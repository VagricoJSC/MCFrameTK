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455DC15B-BF70-4C85-89EC-97F4663BC1B5}" xr6:coauthVersionLast="47" xr6:coauthVersionMax="47" xr10:uidLastSave="{00000000-0000-0000-0000-000000000000}"/>
  <bookViews>
    <workbookView xWindow="1710" yWindow="1710" windowWidth="21600" windowHeight="11265" tabRatio="794" firstSheet="2" activeTab="8" xr2:uid="{00000000-000D-0000-FFFF-FFFF00000000}"/>
  </bookViews>
  <sheets>
    <sheet name="LogicCommon" sheetId="3" r:id="rId1"/>
    <sheet name="PoCrctRsn_UpdChk01" sheetId="6" r:id="rId2"/>
    <sheet name="PoCrctRsn_Upd01" sheetId="10" r:id="rId3"/>
    <sheet name="PoCrctRsn_DelChk01" sheetId="7" r:id="rId4"/>
    <sheet name="PoCrctRsn_Del01" sheetId="11" r:id="rId5"/>
    <sheet name="Srch01" sheetId="5" r:id="rId6"/>
    <sheet name="Upd01" sheetId="8" r:id="rId7"/>
    <sheet name="Del01" sheetId="9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<sst xmlns="http://schemas.openxmlformats.org/spreadsheetml/2006/main" count="954" uniqueCount="237">
  <si>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</si>
  <si>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</si>
  <si>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</si>
  <si>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</si>
  <si>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</si>
  <si>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</si>
  <si>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</si>
  <si>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</si>
  <si>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</si>
  <si>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</si>
  <si>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</si>
  <si>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</si>
  <si>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</si>
  <si>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</si>
  <si>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</si>
  <si>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</si>
  <si>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</si>
  <si>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MSBD</t>
  </si>
  <si>
    <t>MSBDL4010</t>
  </si>
  <si>
    <t>Ope.ID :</t>
    <phoneticPr fontId="1"/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</si>
  <si>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</si>
  <si>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</si>
  <si>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</si>
  <si>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</si>
  <si>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</si>
  <si>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</si>
  <si>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</si>
  <si>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</si>
  <si>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E</t>
    <phoneticPr fontId="1"/>
  </si>
  <si>
    <t>Srch01</t>
  </si>
  <si>
    <t>検索</t>
  </si>
  <si>
    <t>Srch01_Cnd</t>
  </si>
  <si>
    <t>po_crct_rsn_cd</t>
  </si>
  <si>
    <t>po_crct_rsn_nm</t>
  </si>
  <si>
    <t>L</t>
  </si>
  <si>
    <t>upd_cntr</t>
  </si>
  <si>
    <t>#MA.UPD_CNT</t>
  </si>
  <si>
    <t>更新前チェック</t>
  </si>
  <si>
    <t>#MS.PO_CRCT_RSN_CD</t>
  </si>
  <si>
    <t>#MS.PO_CRCT_RSN_NM</t>
  </si>
  <si>
    <t>po_crct_rsn_rmrks</t>
  </si>
  <si>
    <t>#MS.PO_CRCT_RSN_RMRKS</t>
  </si>
  <si>
    <t>upri_mod_typ</t>
  </si>
  <si>
    <t>#MS.UPRI_MOD_TYP</t>
  </si>
  <si>
    <t>#</t>
    <phoneticPr fontId="1"/>
  </si>
  <si>
    <t>U</t>
    <phoneticPr fontId="1"/>
  </si>
  <si>
    <t>K</t>
    <phoneticPr fontId="1"/>
  </si>
  <si>
    <t>o</t>
    <phoneticPr fontId="1"/>
  </si>
  <si>
    <t>削除前チェック</t>
  </si>
  <si>
    <t>Upd01</t>
  </si>
  <si>
    <t>更新</t>
  </si>
  <si>
    <t>Upd01_Dtl</t>
  </si>
  <si>
    <t>R</t>
  </si>
  <si>
    <t>$share$</t>
  </si>
  <si>
    <t>Del01</t>
  </si>
  <si>
    <t>@</t>
  </si>
  <si>
    <t>削除</t>
  </si>
  <si>
    <t>Del01_Dtl</t>
  </si>
  <si>
    <t>発注訂正理由登録</t>
    <phoneticPr fontId="2"/>
  </si>
  <si>
    <t>@</t>
    <phoneticPr fontId="2"/>
  </si>
  <si>
    <t>K</t>
  </si>
  <si>
    <t>REQUIRED</t>
  </si>
  <si>
    <t>LIST_LOGIC</t>
  </si>
  <si>
    <t>LIST_OUT</t>
  </si>
  <si>
    <t>LIST_OUT_BASE</t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</si>
  <si>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</si>
  <si>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</si>
  <si>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</si>
  <si>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</si>
  <si>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</si>
  <si>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</si>
  <si>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</si>
  <si>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</si>
  <si>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</si>
  <si>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</si>
  <si>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</si>
  <si>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</si>
  <si>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</si>
  <si>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</si>
  <si>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</si>
  <si>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SELECT.c0</t>
  </si>
  <si>
    <t>DBC.MS.MST_PO_CRCT_RSN</t>
  </si>
  <si>
    <t>off_del_flg</t>
  </si>
  <si>
    <t>#MA.FLG</t>
  </si>
  <si>
    <t>on_del_flg</t>
  </si>
  <si>
    <t>memo1</t>
  </si>
  <si>
    <t>#MA.MST_MEMO1</t>
  </si>
  <si>
    <t>memo2</t>
  </si>
  <si>
    <t>#MA.MST_MEMO2</t>
  </si>
  <si>
    <t>memo3</t>
  </si>
  <si>
    <t>#MA.MST_MEMO3</t>
  </si>
  <si>
    <t>#MA.FCM_USR_ID</t>
  </si>
  <si>
    <t>#MA.FCM_USR_NM</t>
  </si>
  <si>
    <t>del_usr_id</t>
  </si>
  <si>
    <t>del_usr_nm</t>
  </si>
  <si>
    <t>del_ts</t>
  </si>
  <si>
    <t>発注訂正理由の検索を行います。</t>
    <rPh sb="0" eb="2">
      <t>ハッチュウ</t>
    </rPh>
    <rPh sb="2" eb="4">
      <t>テイセイ</t>
    </rPh>
    <rPh sb="4" eb="6">
      <t>リユウ</t>
    </rPh>
    <rPh sb="7" eb="9">
      <t>ケンサク</t>
    </rPh>
    <rPh sb="10" eb="11">
      <t>オコナ</t>
    </rPh>
    <phoneticPr fontId="1"/>
  </si>
  <si>
    <t>del_flg</t>
  </si>
  <si>
    <t>$super$</t>
  </si>
  <si>
    <t>CALL_OPE01.chk01</t>
  </si>
  <si>
    <t>UPDATE.updMaster</t>
  </si>
  <si>
    <t>MAIN.chkMaster</t>
  </si>
  <si>
    <t>発注訂正理由の登録を行います。</t>
    <rPh sb="0" eb="2">
      <t>ハッチュウ</t>
    </rPh>
    <rPh sb="2" eb="4">
      <t>テイセイ</t>
    </rPh>
    <rPh sb="4" eb="6">
      <t>リユウ</t>
    </rPh>
    <phoneticPr fontId="2"/>
  </si>
  <si>
    <t>UPDATE.updMaster1</t>
  </si>
  <si>
    <t>発注訂正理由の登録前のチェックを行います。</t>
    <phoneticPr fontId="2"/>
  </si>
  <si>
    <t>発注訂正理由の削除前のチェックを行います。</t>
    <rPh sb="7" eb="9">
      <t>サクジョ</t>
    </rPh>
    <phoneticPr fontId="2"/>
  </si>
  <si>
    <t>PoCrctRsn_UpdChk01_Dtl</t>
    <phoneticPr fontId="2"/>
  </si>
  <si>
    <t>o</t>
  </si>
  <si>
    <t>TargetName</t>
  </si>
  <si>
    <t>PoCrctRsn_Upd01_Dtl</t>
    <phoneticPr fontId="2"/>
  </si>
  <si>
    <t>PoCrctRsn_DelChk01_Dtl</t>
    <phoneticPr fontId="2"/>
  </si>
  <si>
    <t>PoCrctRsn_DelChk01</t>
    <phoneticPr fontId="2"/>
  </si>
  <si>
    <t>PoCrctRsn_UpdChk01</t>
    <phoneticPr fontId="2"/>
  </si>
  <si>
    <t>PoCrctRsn_Upd01</t>
    <phoneticPr fontId="2"/>
  </si>
  <si>
    <t>PoCrctRsn_Del01</t>
    <phoneticPr fontId="2"/>
  </si>
  <si>
    <t>OPE.MS.MSBDL4010.PoCrctRsn_UpdChk01</t>
    <phoneticPr fontId="2"/>
  </si>
  <si>
    <t>OPE.MS.MSBDL4010.PoCrctRsn_Upd01</t>
    <phoneticPr fontId="2"/>
  </si>
  <si>
    <t>CALL_OPE01.upd01</t>
  </si>
  <si>
    <t>CALL_OPE01.del01</t>
  </si>
  <si>
    <t>PoCrctRsn_Del01_Dtl</t>
    <phoneticPr fontId="2"/>
  </si>
  <si>
    <t>OPE.MS.MSBDL4010.PoCrctRsn_DelChk01</t>
    <phoneticPr fontId="2"/>
  </si>
  <si>
    <t>OPE.MS.MSBDL4010.PoCrctRsn_Del01</t>
    <phoneticPr fontId="2"/>
  </si>
  <si>
    <t>Pj.ID :</t>
    <phoneticPr fontId="1"/>
  </si>
  <si>
    <t>MSBDL_PoCrctRsnReg</t>
    <phoneticPr fontId="2"/>
  </si>
  <si>
    <t>SuperClassPj.ID :</t>
    <phoneticPr fontId="1"/>
  </si>
  <si>
    <t>ID</t>
    <phoneticPr fontId="1"/>
  </si>
  <si>
    <t>*</t>
    <phoneticPr fontId="1"/>
  </si>
  <si>
    <t>L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</si>
  <si>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</si>
  <si>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</si>
  <si>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</si>
  <si>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</si>
  <si>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</si>
  <si>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</si>
  <si>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発注訂正理由</t>
    <phoneticPr fontId="1"/>
  </si>
  <si>
    <t>E</t>
    <phoneticPr fontId="2"/>
  </si>
  <si>
    <t>発注訂正理由名</t>
    <phoneticPr fontId="1"/>
  </si>
  <si>
    <t>発注訂正理由備考</t>
    <phoneticPr fontId="1"/>
  </si>
  <si>
    <t>単価訂正理由区分</t>
    <phoneticPr fontId="2"/>
  </si>
  <si>
    <t>MSC_UPRI_MOD_TYP</t>
    <phoneticPr fontId="2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</si>
  <si>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</si>
  <si>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</si>
  <si>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</si>
  <si>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</si>
  <si>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1"/>
  </si>
  <si>
    <t>ALL</t>
    <phoneticPr fontId="1"/>
  </si>
  <si>
    <t>ImplOpe.ID:</t>
    <phoneticPr fontId="1"/>
  </si>
  <si>
    <t>super/share</t>
    <phoneticPr fontId="1"/>
  </si>
  <si>
    <t>CONST</t>
    <phoneticPr fontId="2"/>
  </si>
  <si>
    <t>MS.MSBDL4010.PoCrctRsn_UpdChk01.PoCrctRsn_UpdChk01_Dtl</t>
    <phoneticPr fontId="2"/>
  </si>
  <si>
    <t>L</t>
    <phoneticPr fontId="2"/>
  </si>
  <si>
    <t>発注訂正理由</t>
    <phoneticPr fontId="2"/>
  </si>
  <si>
    <t>発注訂正理由名</t>
    <phoneticPr fontId="2"/>
  </si>
  <si>
    <t>発注訂正理由備考</t>
    <phoneticPr fontId="2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</si>
  <si>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</si>
  <si>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</si>
  <si>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</si>
  <si>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</si>
  <si>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2"/>
  </si>
  <si>
    <t>MS.MSBDL4010.PoCrctRsn_DelChk01.PoCrctRsn_DelChk01_Dtl</t>
    <phoneticPr fontId="2"/>
  </si>
  <si>
    <t>R</t>
    <phoneticPr fontId="1"/>
  </si>
  <si>
    <t>論理削除ＦＬＧ（オフ）</t>
    <phoneticPr fontId="1"/>
  </si>
  <si>
    <t>論理削除ＦＬＧ（オン）</t>
    <phoneticPr fontId="1"/>
  </si>
  <si>
    <t>単価訂正理由区分</t>
    <phoneticPr fontId="1"/>
  </si>
  <si>
    <t>単価訂正理由区分名</t>
    <phoneticPr fontId="2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</si>
  <si>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</si>
  <si>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</si>
  <si>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</si>
  <si>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</si>
  <si>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</si>
  <si>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</si>
  <si>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</si>
  <si>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</si>
  <si>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</si>
  <si>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</si>
  <si>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</si>
  <si>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</si>
  <si>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</si>
  <si>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</si>
  <si>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CONST</t>
    <phoneticPr fontId="2"/>
  </si>
  <si>
    <t>TargetName</t>
    <phoneticPr fontId="1"/>
  </si>
  <si>
    <t>TargetName</t>
    <phoneticPr fontId="1"/>
  </si>
  <si>
    <t>Srch01_Rslt</t>
    <phoneticPr fontId="2"/>
  </si>
  <si>
    <t>upri_mod_typ_nm</t>
    <phoneticPr fontId="2"/>
  </si>
  <si>
    <t>#MS.UPRI_MOD_TYP_NM</t>
    <phoneticPr fontId="2"/>
  </si>
  <si>
    <t>MA.MAUDL5010.Checker</t>
  </si>
  <si>
    <t>"mcframe.serverMAUD.MAUDL5030.MAUDL_RLUpdater"</t>
  </si>
  <si>
    <t>"mcframe.serverMAUD.MAUDL5030.MAUDL_RLDeleter"</t>
  </si>
  <si>
    <t>"mcframe.serverMAUD.MAUDL5030.MAUDL_RLSearcher"</t>
  </si>
  <si>
    <t>DBC:MS.MST_PO_CRCT_RSN</t>
    <phoneticPr fontId="2"/>
  </si>
  <si>
    <t>DBC.MS.MST_PO_CRCT_RSN</t>
    <phoneticPr fontId="2"/>
  </si>
  <si>
    <t>DBC.MS.MST_PO_CRCT_RSN</t>
    <phoneticPr fontId="1"/>
  </si>
  <si>
    <t>MS.MSUDL5010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</si>
  <si>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</si>
  <si>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</si>
  <si>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</si>
  <si>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</si>
  <si>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</si>
  <si>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</si>
  <si>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</si>
  <si>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</si>
  <si>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</si>
  <si>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</si>
  <si>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</si>
  <si>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</si>
  <si>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</si>
  <si>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</si>
  <si>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PO correction reason</t>
  </si>
  <si>
    <t>PO correction reason name</t>
  </si>
  <si>
    <t>PO correction reason remarks</t>
  </si>
  <si>
    <t>Unit price correction reason type</t>
  </si>
  <si>
    <t>Memo 1</t>
  </si>
  <si>
    <t>Memo 2</t>
  </si>
  <si>
    <t>Memo 3</t>
  </si>
  <si>
    <t>Logical delete</t>
  </si>
  <si>
    <t>Update counter</t>
  </si>
  <si>
    <t>項目名
Field Name</t>
    <phoneticPr fontId="2"/>
  </si>
  <si>
    <t>型
Type</t>
    <phoneticPr fontId="2"/>
  </si>
  <si>
    <t>Logical delete flg. (Off)</t>
  </si>
  <si>
    <t>Logical delete flg. (On)</t>
  </si>
  <si>
    <t>Reason type name for unit price correction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</si>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</sst>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9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0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9" xfId="0" applyFont="1" applyBorder="1" applyAlignment="1"/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2" borderId="3" xfId="0" applyFont="1" applyFill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177" fontId="12" fillId="0" borderId="25" xfId="8" applyNumberFormat="1" applyFont="1" applyBorder="1" applyAlignment="1">
      <alignment horizontal="center" vertical="center"/>
    </xf>
    <xf numFmtId="177" fontId="12" fillId="0" borderId="26" xfId="7" applyNumberFormat="1" applyFont="1" applyBorder="1" applyAlignment="1">
      <alignment horizontal="center" vertical="center"/>
    </xf>
    <xf numFmtId="177" fontId="12" fillId="0" borderId="27" xfId="7" applyNumberFormat="1" applyFont="1" applyBorder="1" applyAlignment="1">
      <alignment horizontal="center" vertical="center"/>
    </xf>
    <xf numFmtId="0" fontId="12" fillId="0" borderId="28" xfId="8" applyFont="1" applyBorder="1" applyAlignment="1">
      <alignment horizontal="left" vertical="center" wrapText="1"/>
    </xf>
    <xf numFmtId="0" fontId="12" fillId="0" borderId="26" xfId="7" applyFont="1" applyBorder="1" applyAlignment="1">
      <alignment horizontal="left" vertical="center" wrapText="1"/>
    </xf>
    <xf numFmtId="0" fontId="12" fillId="0" borderId="27" xfId="7" applyFont="1" applyBorder="1" applyAlignment="1">
      <alignment horizontal="left" vertical="center" wrapText="1"/>
    </xf>
    <xf numFmtId="0" fontId="12" fillId="0" borderId="26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28" xfId="8" applyFont="1" applyBorder="1" applyAlignment="1">
      <alignment vertical="center" wrapText="1"/>
    </xf>
    <xf numFmtId="0" fontId="12" fillId="0" borderId="29" xfId="7" applyFont="1" applyBorder="1" applyAlignment="1">
      <alignment vertical="center" wrapText="1"/>
    </xf>
    <xf numFmtId="177" fontId="12" fillId="0" borderId="23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9" xfId="7" applyNumberFormat="1" applyFont="1" applyBorder="1" applyAlignment="1">
      <alignment horizontal="center" vertical="center"/>
    </xf>
    <xf numFmtId="0" fontId="12" fillId="0" borderId="8" xfId="8" applyFont="1" applyBorder="1" applyAlignment="1">
      <alignment horizontal="left"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9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9" xfId="7" applyFont="1" applyBorder="1" applyAlignment="1">
      <alignment vertical="center" wrapText="1"/>
    </xf>
    <xf numFmtId="0" fontId="12" fillId="0" borderId="8" xfId="8" applyFont="1" applyBorder="1" applyAlignment="1">
      <alignment vertical="center" wrapText="1"/>
    </xf>
    <xf numFmtId="0" fontId="12" fillId="0" borderId="24" xfId="7" applyFont="1" applyBorder="1" applyAlignment="1">
      <alignment vertical="center" wrapText="1"/>
    </xf>
    <xf numFmtId="0" fontId="12" fillId="0" borderId="8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9" xfId="7" applyFont="1" applyBorder="1" applyAlignment="1">
      <alignment horizontal="center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9" xfId="8" applyFont="1" applyBorder="1" applyAlignment="1">
      <alignment horizontal="left" vertical="center" wrapText="1"/>
    </xf>
    <xf numFmtId="0" fontId="12" fillId="0" borderId="2" xfId="8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8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9" xfId="7" applyFont="1" applyBorder="1" applyAlignment="1">
      <alignment horizontal="left" vertical="center"/>
    </xf>
    <xf numFmtId="0" fontId="12" fillId="0" borderId="8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4" xfId="7" applyFont="1" applyBorder="1" applyAlignment="1">
      <alignment vertical="center"/>
    </xf>
    <xf numFmtId="0" fontId="11" fillId="3" borderId="11" xfId="6" applyFont="1" applyFill="1" applyBorder="1" applyAlignment="1">
      <alignment horizontal="center" vertical="center"/>
    </xf>
    <xf numFmtId="0" fontId="12" fillId="0" borderId="12" xfId="7" applyFont="1" applyBorder="1" applyAlignment="1">
      <alignment vertical="center"/>
    </xf>
    <xf numFmtId="0" fontId="12" fillId="0" borderId="13" xfId="7" applyFont="1" applyBorder="1" applyAlignment="1">
      <alignment vertical="center"/>
    </xf>
    <xf numFmtId="0" fontId="13" fillId="3" borderId="14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5" xfId="7" applyFont="1" applyBorder="1" applyAlignment="1">
      <alignment horizontal="center" vertical="center"/>
    </xf>
    <xf numFmtId="0" fontId="13" fillId="3" borderId="16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5" xfId="8" applyFont="1" applyFill="1" applyBorder="1" applyAlignment="1">
      <alignment horizontal="center" vertical="center"/>
    </xf>
    <xf numFmtId="0" fontId="13" fillId="3" borderId="16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7" xfId="7" applyFont="1" applyBorder="1" applyAlignment="1">
      <alignment horizontal="center" vertical="center"/>
    </xf>
    <xf numFmtId="177" fontId="12" fillId="0" borderId="18" xfId="8" applyNumberFormat="1" applyFont="1" applyBorder="1" applyAlignment="1">
      <alignment horizontal="center" vertical="center"/>
    </xf>
    <xf numFmtId="177" fontId="12" fillId="0" borderId="19" xfId="7" applyNumberFormat="1" applyFont="1" applyBorder="1" applyAlignment="1">
      <alignment horizontal="center" vertical="center"/>
    </xf>
    <xf numFmtId="177" fontId="12" fillId="0" borderId="20" xfId="7" applyNumberFormat="1" applyFont="1" applyBorder="1" applyAlignment="1">
      <alignment horizontal="center" vertical="center"/>
    </xf>
    <xf numFmtId="0" fontId="12" fillId="0" borderId="21" xfId="8" applyFont="1" applyBorder="1" applyAlignment="1">
      <alignment horizontal="left" vertical="center" wrapText="1"/>
    </xf>
    <xf numFmtId="0" fontId="12" fillId="0" borderId="19" xfId="7" applyFont="1" applyBorder="1" applyAlignment="1">
      <alignment horizontal="left" vertical="center" wrapText="1"/>
    </xf>
    <xf numFmtId="0" fontId="12" fillId="0" borderId="20" xfId="7" applyFont="1" applyBorder="1" applyAlignment="1">
      <alignment horizontal="left" vertical="center" wrapText="1"/>
    </xf>
    <xf numFmtId="0" fontId="12" fillId="0" borderId="19" xfId="7" applyFont="1" applyBorder="1" applyAlignment="1">
      <alignment vertical="center" wrapText="1"/>
    </xf>
    <xf numFmtId="0" fontId="12" fillId="0" borderId="20" xfId="7" applyFont="1" applyBorder="1" applyAlignment="1">
      <alignment vertical="center" wrapText="1"/>
    </xf>
    <xf numFmtId="0" fontId="12" fillId="0" borderId="21" xfId="8" applyFont="1" applyBorder="1" applyAlignment="1">
      <alignment vertical="center" wrapText="1"/>
    </xf>
    <xf numFmtId="0" fontId="12" fillId="0" borderId="22" xfId="7" applyFont="1" applyBorder="1" applyAlignment="1">
      <alignment vertical="center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122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123</v>
      </c>
      <c r="F3" s="7" t="s">
        <v>124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58</v>
      </c>
      <c r="F4" s="7" t="s">
        <v>5</v>
      </c>
      <c r="G4" s="8" t="s">
        <v>192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>
    <pageSetUpPr fitToPage="1"/>
  </sheetPr>
  <dimension ref="A1:Y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36328125" style="4" customWidth="1"/>
    <col min="14" max="14" width="50.81640625" style="4" customWidth="1"/>
    <col min="15" max="15" width="16.36328125" style="4" customWidth="1"/>
    <col min="16" max="17" width="16.453125" style="4" customWidth="1"/>
    <col min="18" max="18" width="19.90625" style="4" customWidth="1"/>
    <col min="19" max="21" width="17.1796875" style="5" customWidth="1"/>
    <col min="22" max="22" width="30.81640625" style="5" customWidth="1"/>
    <col min="23" max="28" width="17.1796875" style="5" customWidth="1"/>
    <col min="29" max="16384" width="9" style="5"/>
  </cols>
  <sheetData>
    <row r="1" spans="1:25" s="10" customFormat="1">
      <c r="A1" s="54" t="s">
        <v>126</v>
      </c>
      <c r="B1" s="54" t="s">
        <v>126</v>
      </c>
      <c r="C1" s="54"/>
      <c r="D1" s="1" t="s">
        <v>127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</row>
    <row r="2" spans="1:25" s="10" customFormat="1" ht="40" customHeight="1">
      <c r="A2" s="55" t="s">
        <v>126</v>
      </c>
      <c r="B2" s="22"/>
      <c r="C2" s="22"/>
      <c r="D2" s="67" t="s">
        <v>193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MSBDL4010</v>
      </c>
      <c r="I2" s="7" t="s">
        <v>19</v>
      </c>
      <c r="J2" s="8" t="s">
        <v>112</v>
      </c>
      <c r="K2" s="7" t="s">
        <v>122</v>
      </c>
      <c r="L2" s="56" t="str">
        <f>IF(LogicCommon!G2="","",LogicCommon!G2)</f>
        <v>MC</v>
      </c>
      <c r="M2" s="5" t="s">
        <v>128</v>
      </c>
      <c r="N2" s="23" t="s">
        <v>185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</row>
    <row r="3" spans="1:25" s="10" customFormat="1">
      <c r="A3" s="57" t="s">
        <v>126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MSBD</v>
      </c>
      <c r="G3" s="7" t="s">
        <v>3</v>
      </c>
      <c r="H3" s="56" t="str">
        <f>IF(LogicCommon!E3="","",LogicCommon!E3)</f>
        <v>MSBDL_PoCrctRsnReg</v>
      </c>
      <c r="I3" s="7" t="s">
        <v>129</v>
      </c>
      <c r="J3" s="8" t="s">
        <v>59</v>
      </c>
      <c r="K3" s="7" t="s">
        <v>124</v>
      </c>
      <c r="L3" s="56" t="str">
        <f>IF(LogicCommon!G3="","",LogicCommon!G3)</f>
        <v/>
      </c>
      <c r="M3" s="60"/>
      <c r="N3" s="7"/>
      <c r="O3" s="7" t="s">
        <v>130</v>
      </c>
      <c r="P3" s="8" t="s">
        <v>145</v>
      </c>
      <c r="Q3" s="4"/>
      <c r="R3" s="5"/>
      <c r="S3" s="5"/>
      <c r="T3" s="5"/>
      <c r="U3" s="5"/>
      <c r="V3" s="5"/>
      <c r="W3" s="5"/>
      <c r="X3" s="5"/>
      <c r="Y3" s="5"/>
    </row>
    <row r="4" spans="1:25" s="10" customFormat="1">
      <c r="A4" s="57" t="s">
        <v>126</v>
      </c>
      <c r="B4" s="58"/>
      <c r="C4" s="58"/>
      <c r="D4" s="4"/>
      <c r="E4" s="7" t="s">
        <v>20</v>
      </c>
      <c r="F4" s="61" t="s">
        <v>131</v>
      </c>
      <c r="G4" s="7" t="s">
        <v>4</v>
      </c>
      <c r="H4" s="56" t="str">
        <f>IF(LogicCommon!E4="","",LogicCommon!E4)</f>
        <v>発注訂正理由登録</v>
      </c>
      <c r="I4" s="7" t="s">
        <v>132</v>
      </c>
      <c r="J4" s="8" t="s">
        <v>37</v>
      </c>
      <c r="K4" s="7" t="s">
        <v>5</v>
      </c>
      <c r="L4" s="56" t="str">
        <f>IF(LogicCommon!G4="","",LogicCommon!G4)</f>
        <v>MS.MSUDL5010</v>
      </c>
      <c r="M4" s="62" t="s">
        <v>146</v>
      </c>
      <c r="N4" s="23"/>
      <c r="O4" s="63"/>
      <c r="P4" s="4"/>
      <c r="Q4" s="4"/>
      <c r="R4" s="5"/>
      <c r="S4" s="5"/>
      <c r="T4" s="5"/>
      <c r="U4" s="5"/>
      <c r="V4" s="5"/>
      <c r="W4" s="5"/>
      <c r="X4" s="5"/>
      <c r="Y4" s="5"/>
    </row>
    <row r="5" spans="1:25" s="10" customFormat="1">
      <c r="A5" s="64" t="s">
        <v>126</v>
      </c>
      <c r="B5" s="54"/>
      <c r="C5" s="54"/>
      <c r="D5" s="21"/>
      <c r="E5" s="7" t="s">
        <v>133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</row>
    <row r="6" spans="1:25" s="10" customFormat="1">
      <c r="A6" s="57" t="s">
        <v>126</v>
      </c>
      <c r="B6" s="58"/>
      <c r="C6" s="58"/>
      <c r="D6" s="4" t="s">
        <v>8</v>
      </c>
      <c r="E6" s="12" t="s">
        <v>104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 t="s">
        <v>125</v>
      </c>
      <c r="R6" s="15"/>
      <c r="S6" s="15" t="s">
        <v>125</v>
      </c>
      <c r="T6" s="15"/>
      <c r="U6" s="15" t="s">
        <v>125</v>
      </c>
      <c r="V6" s="4"/>
      <c r="W6" s="4"/>
      <c r="X6" s="4"/>
      <c r="Y6" s="4"/>
    </row>
    <row r="7" spans="1:25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60</v>
      </c>
      <c r="L7" s="8" t="s">
        <v>60</v>
      </c>
      <c r="M7" s="8" t="s">
        <v>60</v>
      </c>
      <c r="N7" s="8" t="s">
        <v>60</v>
      </c>
      <c r="O7" s="8" t="s">
        <v>23</v>
      </c>
      <c r="P7" s="24" t="s">
        <v>24</v>
      </c>
      <c r="Q7" s="25"/>
      <c r="R7" s="24" t="s">
        <v>24</v>
      </c>
      <c r="S7" s="25"/>
      <c r="T7" s="24" t="s">
        <v>24</v>
      </c>
      <c r="U7" s="25"/>
      <c r="V7" s="4"/>
      <c r="W7" s="4"/>
      <c r="X7" s="4"/>
      <c r="Y7" s="4"/>
    </row>
    <row r="8" spans="1:25" s="10" customFormat="1" ht="60" customHeight="1">
      <c r="A8" s="25" t="s">
        <v>21</v>
      </c>
      <c r="B8" s="68"/>
      <c r="C8" s="69"/>
      <c r="D8" s="24" t="s">
        <v>194</v>
      </c>
      <c r="E8" s="24" t="s">
        <v>195</v>
      </c>
      <c r="F8" s="66"/>
      <c r="G8" s="24" t="s">
        <v>147</v>
      </c>
      <c r="H8" s="24" t="s">
        <v>196</v>
      </c>
      <c r="I8" s="66"/>
      <c r="J8" s="3"/>
      <c r="K8" s="8" t="s">
        <v>61</v>
      </c>
      <c r="L8" s="8" t="s">
        <v>62</v>
      </c>
      <c r="M8" s="8" t="s">
        <v>63</v>
      </c>
      <c r="N8" s="8" t="s">
        <v>64</v>
      </c>
      <c r="O8" s="8" t="s">
        <v>148</v>
      </c>
      <c r="P8" s="24" t="s">
        <v>25</v>
      </c>
      <c r="Q8" s="25"/>
      <c r="R8" s="24" t="s">
        <v>25</v>
      </c>
      <c r="S8" s="25"/>
      <c r="T8" s="24" t="s">
        <v>25</v>
      </c>
      <c r="U8" s="25"/>
      <c r="V8" s="3"/>
      <c r="W8" s="21"/>
      <c r="X8" s="125" t="s">
        <v>205</v>
      </c>
      <c r="Y8" s="126"/>
    </row>
    <row r="9" spans="1:25" s="10" customFormat="1" ht="60" customHeight="1">
      <c r="A9" s="8" t="s">
        <v>21</v>
      </c>
      <c r="B9" s="28"/>
      <c r="C9" s="29"/>
      <c r="D9" s="24" t="s">
        <v>197</v>
      </c>
      <c r="E9" s="52" t="s">
        <v>198</v>
      </c>
      <c r="F9" s="24" t="s">
        <v>199</v>
      </c>
      <c r="G9" s="24" t="s">
        <v>200</v>
      </c>
      <c r="H9" s="24" t="s">
        <v>201</v>
      </c>
      <c r="I9" s="53" t="s">
        <v>202</v>
      </c>
      <c r="J9" s="24" t="s">
        <v>203</v>
      </c>
      <c r="K9" s="67"/>
      <c r="L9" s="67"/>
      <c r="M9" s="67"/>
      <c r="N9" s="67"/>
      <c r="O9" s="67"/>
      <c r="P9" s="53"/>
      <c r="Q9" s="24"/>
      <c r="R9" s="24"/>
      <c r="S9" s="24"/>
      <c r="T9" s="24"/>
      <c r="U9" s="24"/>
      <c r="V9" s="125" t="s">
        <v>204</v>
      </c>
      <c r="W9" s="126"/>
      <c r="X9" s="125" t="s">
        <v>206</v>
      </c>
      <c r="Y9" s="126"/>
    </row>
    <row r="10" spans="1:25" s="10" customFormat="1" ht="39">
      <c r="A10" s="28" t="s">
        <v>26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24" t="s">
        <v>202</v>
      </c>
      <c r="Q10" s="24" t="s">
        <v>203</v>
      </c>
      <c r="R10" s="24" t="s">
        <v>202</v>
      </c>
      <c r="S10" s="24" t="s">
        <v>203</v>
      </c>
      <c r="T10" s="24" t="s">
        <v>202</v>
      </c>
      <c r="U10" s="24" t="s">
        <v>203</v>
      </c>
      <c r="V10" s="30"/>
      <c r="W10" s="30"/>
      <c r="X10" s="35"/>
      <c r="Y10" s="49"/>
    </row>
    <row r="11" spans="1:25" s="10" customFormat="1" ht="26">
      <c r="A11" s="8">
        <v>10</v>
      </c>
      <c r="B11" s="28" t="s">
        <v>27</v>
      </c>
      <c r="C11" s="29"/>
      <c r="D11" s="23" t="s">
        <v>106</v>
      </c>
      <c r="E11" s="26" t="s">
        <v>34</v>
      </c>
      <c r="F11" s="36"/>
      <c r="G11" s="23" t="s">
        <v>98</v>
      </c>
      <c r="H11" s="27" t="s">
        <v>189</v>
      </c>
      <c r="I11" s="37"/>
      <c r="J11" s="33"/>
      <c r="K11" s="33"/>
      <c r="L11" s="33"/>
      <c r="M11" s="33"/>
      <c r="N11" s="33"/>
      <c r="O11" s="33"/>
      <c r="P11" s="26"/>
      <c r="Q11" s="26"/>
      <c r="R11" s="26"/>
      <c r="S11" s="26"/>
      <c r="T11" s="26"/>
      <c r="U11" s="26"/>
      <c r="V11" s="37"/>
      <c r="W11" s="36"/>
      <c r="X11" s="127"/>
      <c r="Y11" s="128"/>
    </row>
    <row r="12" spans="1:25" s="10" customFormat="1">
      <c r="A12" s="8">
        <v>10</v>
      </c>
      <c r="B12" s="8"/>
      <c r="C12" s="8"/>
      <c r="D12" s="8" t="s">
        <v>32</v>
      </c>
      <c r="E12" s="25" t="s">
        <v>38</v>
      </c>
      <c r="F12" s="25"/>
      <c r="G12" s="38" t="s">
        <v>207</v>
      </c>
      <c r="H12" s="38" t="s">
        <v>134</v>
      </c>
      <c r="I12" s="8" t="s">
        <v>28</v>
      </c>
      <c r="J12" s="8"/>
      <c r="K12" s="8" t="s">
        <v>135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125"/>
      <c r="W12" s="126"/>
      <c r="X12" s="127"/>
      <c r="Y12" s="128"/>
    </row>
    <row r="13" spans="1:25" s="10" customFormat="1">
      <c r="A13" s="8">
        <v>10</v>
      </c>
      <c r="B13" s="8"/>
      <c r="C13" s="8"/>
      <c r="D13" s="8" t="s">
        <v>33</v>
      </c>
      <c r="E13" s="25" t="s">
        <v>39</v>
      </c>
      <c r="F13" s="25"/>
      <c r="G13" s="38" t="s">
        <v>208</v>
      </c>
      <c r="H13" s="38" t="s">
        <v>136</v>
      </c>
      <c r="I13" s="8" t="s">
        <v>28</v>
      </c>
      <c r="J13" s="8"/>
      <c r="K13" s="8" t="s">
        <v>135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125"/>
      <c r="W13" s="126"/>
      <c r="X13" s="127"/>
      <c r="Y13" s="128"/>
    </row>
    <row r="14" spans="1:25" s="10" customFormat="1">
      <c r="A14" s="8">
        <v>10</v>
      </c>
      <c r="B14" s="8"/>
      <c r="C14" s="8"/>
      <c r="D14" s="8" t="s">
        <v>40</v>
      </c>
      <c r="E14" s="25" t="s">
        <v>41</v>
      </c>
      <c r="F14" s="25"/>
      <c r="G14" s="38" t="s">
        <v>209</v>
      </c>
      <c r="H14" s="38" t="s">
        <v>137</v>
      </c>
      <c r="I14" s="8" t="s">
        <v>28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125"/>
      <c r="W14" s="126"/>
      <c r="X14" s="127"/>
      <c r="Y14" s="128"/>
    </row>
    <row r="15" spans="1:25" s="10" customFormat="1" ht="26">
      <c r="A15" s="8">
        <v>10</v>
      </c>
      <c r="B15" s="8"/>
      <c r="C15" s="8"/>
      <c r="D15" s="8" t="s">
        <v>42</v>
      </c>
      <c r="E15" s="25" t="s">
        <v>43</v>
      </c>
      <c r="F15" s="25"/>
      <c r="G15" s="38" t="s">
        <v>210</v>
      </c>
      <c r="H15" s="38" t="s">
        <v>138</v>
      </c>
      <c r="I15" s="8" t="s">
        <v>28</v>
      </c>
      <c r="J15" s="8"/>
      <c r="K15" s="8" t="s">
        <v>135</v>
      </c>
      <c r="L15" s="8"/>
      <c r="M15" s="8"/>
      <c r="N15" s="8"/>
      <c r="O15" s="8" t="s">
        <v>139</v>
      </c>
      <c r="P15" s="8"/>
      <c r="Q15" s="8"/>
      <c r="R15" s="8"/>
      <c r="S15" s="8"/>
      <c r="T15" s="8"/>
      <c r="U15" s="8"/>
      <c r="V15" s="125"/>
      <c r="W15" s="126"/>
      <c r="X15" s="127"/>
      <c r="Y15" s="128"/>
    </row>
    <row r="16" spans="1:25" s="10" customFormat="1">
      <c r="A16" s="8">
        <v>10</v>
      </c>
      <c r="B16" s="8"/>
      <c r="C16" s="8"/>
      <c r="D16" s="8" t="s">
        <v>85</v>
      </c>
      <c r="E16" s="25" t="s">
        <v>86</v>
      </c>
      <c r="F16" s="25"/>
      <c r="G16" s="38" t="s">
        <v>211</v>
      </c>
      <c r="H16" s="38" t="s">
        <v>140</v>
      </c>
      <c r="I16" s="8" t="s">
        <v>28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52"/>
      <c r="W16" s="53"/>
      <c r="X16" s="50"/>
      <c r="Y16" s="51"/>
    </row>
    <row r="17" spans="1:25" s="10" customFormat="1">
      <c r="A17" s="8">
        <v>10</v>
      </c>
      <c r="B17" s="8"/>
      <c r="C17" s="8"/>
      <c r="D17" s="8" t="s">
        <v>87</v>
      </c>
      <c r="E17" s="25" t="s">
        <v>88</v>
      </c>
      <c r="F17" s="25"/>
      <c r="G17" s="38" t="s">
        <v>212</v>
      </c>
      <c r="H17" s="38" t="s">
        <v>141</v>
      </c>
      <c r="I17" s="8" t="s">
        <v>28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52"/>
      <c r="W17" s="53"/>
      <c r="X17" s="50"/>
      <c r="Y17" s="51"/>
    </row>
    <row r="18" spans="1:25" s="10" customFormat="1">
      <c r="A18" s="8">
        <v>10</v>
      </c>
      <c r="B18" s="8"/>
      <c r="C18" s="8"/>
      <c r="D18" s="8" t="s">
        <v>89</v>
      </c>
      <c r="E18" s="25" t="s">
        <v>90</v>
      </c>
      <c r="F18" s="25"/>
      <c r="G18" s="38" t="s">
        <v>213</v>
      </c>
      <c r="H18" s="38" t="s">
        <v>142</v>
      </c>
      <c r="I18" s="8" t="s">
        <v>28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52"/>
      <c r="W18" s="53"/>
      <c r="X18" s="50"/>
      <c r="Y18" s="51"/>
    </row>
    <row r="19" spans="1:25" s="10" customFormat="1">
      <c r="A19" s="8">
        <v>10</v>
      </c>
      <c r="B19" s="8"/>
      <c r="C19" s="8"/>
      <c r="D19" s="8" t="s">
        <v>97</v>
      </c>
      <c r="E19" s="25" t="s">
        <v>83</v>
      </c>
      <c r="F19" s="25"/>
      <c r="G19" s="38" t="s">
        <v>214</v>
      </c>
      <c r="H19" s="38" t="s">
        <v>143</v>
      </c>
      <c r="I19" s="8" t="s">
        <v>28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52"/>
      <c r="W19" s="53"/>
      <c r="X19" s="50"/>
      <c r="Y19" s="51"/>
    </row>
    <row r="20" spans="1:25" s="10" customFormat="1">
      <c r="A20" s="8">
        <v>10</v>
      </c>
      <c r="B20" s="8"/>
      <c r="C20" s="8"/>
      <c r="D20" s="8" t="s">
        <v>35</v>
      </c>
      <c r="E20" s="25" t="s">
        <v>36</v>
      </c>
      <c r="F20" s="25"/>
      <c r="G20" s="38" t="s">
        <v>215</v>
      </c>
      <c r="H20" s="38" t="s">
        <v>144</v>
      </c>
      <c r="I20" s="8" t="s">
        <v>28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125"/>
      <c r="W20" s="126"/>
      <c r="X20" s="127"/>
      <c r="Y20" s="128"/>
    </row>
    <row r="21" spans="1:25" s="10" customFormat="1">
      <c r="A21" s="57"/>
      <c r="Y21" s="39"/>
    </row>
    <row r="22" spans="1:25" s="10" customFormat="1">
      <c r="A22" s="57"/>
      <c r="Y22" s="39"/>
    </row>
    <row r="23" spans="1:25" s="10" customFormat="1">
      <c r="A23" s="57"/>
      <c r="Y23" s="39"/>
    </row>
    <row r="24" spans="1:25" s="10" customFormat="1">
      <c r="A24" s="57"/>
      <c r="Y24" s="39"/>
    </row>
    <row r="25" spans="1:25" s="10" customFormat="1">
      <c r="A25" s="57"/>
      <c r="Y25" s="39"/>
    </row>
    <row r="26" spans="1:25" s="10" customFormat="1">
      <c r="A26" s="57"/>
      <c r="Y26" s="39"/>
    </row>
    <row r="27" spans="1:25" s="10" customFormat="1">
      <c r="A27" s="57"/>
      <c r="Y27" s="39"/>
    </row>
    <row r="28" spans="1:25" s="10" customFormat="1">
      <c r="A28" s="57"/>
      <c r="Y28" s="39"/>
    </row>
    <row r="29" spans="1:25" s="10" customFormat="1">
      <c r="A29" s="57"/>
      <c r="Y29" s="39"/>
    </row>
    <row r="30" spans="1:25" s="10" customFormat="1">
      <c r="A30" s="6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40"/>
    </row>
  </sheetData>
  <mergeCells count="14">
    <mergeCell ref="V20:W20"/>
    <mergeCell ref="X20:Y20"/>
    <mergeCell ref="V12:W12"/>
    <mergeCell ref="X12:Y12"/>
    <mergeCell ref="V13:W13"/>
    <mergeCell ref="X13:Y13"/>
    <mergeCell ref="V14:W14"/>
    <mergeCell ref="X14:Y14"/>
    <mergeCell ref="X8:Y8"/>
    <mergeCell ref="V9:W9"/>
    <mergeCell ref="X9:Y9"/>
    <mergeCell ref="X11:Y11"/>
    <mergeCell ref="V15:W15"/>
    <mergeCell ref="X15:Y1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126</v>
      </c>
      <c r="B1" s="54" t="s">
        <v>126</v>
      </c>
      <c r="C1" s="54"/>
      <c r="D1" s="1" t="s">
        <v>127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126</v>
      </c>
      <c r="B2" s="22"/>
      <c r="C2" s="22"/>
      <c r="D2" s="67" t="s">
        <v>193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MSBDL4010</v>
      </c>
      <c r="I2" s="7" t="s">
        <v>19</v>
      </c>
      <c r="J2" s="8" t="s">
        <v>113</v>
      </c>
      <c r="K2" s="7" t="s">
        <v>122</v>
      </c>
      <c r="L2" s="56" t="str">
        <f>IF(LogicCommon!G2="","",LogicCommon!G2)</f>
        <v>MC</v>
      </c>
      <c r="M2" s="5" t="s">
        <v>128</v>
      </c>
      <c r="N2" s="23" t="s">
        <v>186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126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MSBD</v>
      </c>
      <c r="G3" s="7" t="s">
        <v>3</v>
      </c>
      <c r="H3" s="56" t="str">
        <f>IF(LogicCommon!E3="","",LogicCommon!E3)</f>
        <v>MSBDL_PoCrctRsnReg</v>
      </c>
      <c r="I3" s="7" t="s">
        <v>129</v>
      </c>
      <c r="J3" s="8" t="s">
        <v>59</v>
      </c>
      <c r="K3" s="7" t="s">
        <v>124</v>
      </c>
      <c r="L3" s="56" t="str">
        <f>IF(LogicCommon!G3="","",LogicCommon!G3)</f>
        <v/>
      </c>
      <c r="M3" s="60"/>
      <c r="N3" s="7"/>
      <c r="O3" s="7" t="s">
        <v>130</v>
      </c>
      <c r="P3" s="8" t="s">
        <v>145</v>
      </c>
      <c r="Q3" s="4"/>
      <c r="R3" s="5"/>
      <c r="S3" s="5"/>
      <c r="T3" s="5"/>
      <c r="U3" s="5"/>
    </row>
    <row r="4" spans="1:21" s="10" customFormat="1">
      <c r="A4" s="57" t="s">
        <v>126</v>
      </c>
      <c r="B4" s="58"/>
      <c r="C4" s="58"/>
      <c r="D4" s="4"/>
      <c r="E4" s="7" t="s">
        <v>20</v>
      </c>
      <c r="F4" s="61" t="s">
        <v>131</v>
      </c>
      <c r="G4" s="7" t="s">
        <v>4</v>
      </c>
      <c r="H4" s="56" t="str">
        <f>IF(LogicCommon!E4="","",LogicCommon!E4)</f>
        <v>発注訂正理由登録</v>
      </c>
      <c r="I4" s="7" t="s">
        <v>132</v>
      </c>
      <c r="J4" s="8" t="s">
        <v>50</v>
      </c>
      <c r="K4" s="7" t="s">
        <v>5</v>
      </c>
      <c r="L4" s="56" t="str">
        <f>IF(LogicCommon!G4="","",LogicCommon!G4)</f>
        <v>MS.MSUDL5010</v>
      </c>
      <c r="M4" s="62" t="s">
        <v>146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126</v>
      </c>
      <c r="B5" s="54"/>
      <c r="C5" s="54"/>
      <c r="D5" s="21"/>
      <c r="E5" s="7" t="s">
        <v>133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126</v>
      </c>
      <c r="B6" s="58"/>
      <c r="C6" s="58"/>
      <c r="D6" s="4" t="s">
        <v>8</v>
      </c>
      <c r="E6" s="12" t="s">
        <v>102</v>
      </c>
      <c r="F6" s="12"/>
      <c r="G6" s="12"/>
      <c r="H6" s="12"/>
      <c r="I6" s="12"/>
      <c r="J6" s="12"/>
      <c r="K6" s="12"/>
      <c r="L6" s="66"/>
      <c r="M6" s="15" t="s">
        <v>125</v>
      </c>
      <c r="N6" s="15"/>
      <c r="O6" s="15" t="s">
        <v>125</v>
      </c>
      <c r="P6" s="15"/>
      <c r="Q6" s="15" t="s">
        <v>125</v>
      </c>
      <c r="R6" s="4"/>
      <c r="S6" s="4"/>
      <c r="T6" s="4"/>
      <c r="U6" s="4"/>
    </row>
    <row r="7" spans="1:21" s="10" customFormat="1" ht="26">
      <c r="A7" s="22" t="s">
        <v>44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46</v>
      </c>
      <c r="L7" s="24" t="s">
        <v>107</v>
      </c>
      <c r="M7" s="25" t="s">
        <v>100</v>
      </c>
      <c r="N7" s="24" t="s">
        <v>107</v>
      </c>
      <c r="O7" s="25" t="s">
        <v>101</v>
      </c>
      <c r="P7" s="24" t="s">
        <v>47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68"/>
      <c r="C8" s="69"/>
      <c r="D8" s="24" t="s">
        <v>194</v>
      </c>
      <c r="E8" s="24" t="s">
        <v>195</v>
      </c>
      <c r="F8" s="66"/>
      <c r="G8" s="24" t="s">
        <v>147</v>
      </c>
      <c r="H8" s="24" t="s">
        <v>196</v>
      </c>
      <c r="I8" s="66"/>
      <c r="J8" s="3"/>
      <c r="K8" s="8"/>
      <c r="L8" s="24" t="s">
        <v>108</v>
      </c>
      <c r="M8" s="25" t="s">
        <v>190</v>
      </c>
      <c r="N8" s="24" t="s">
        <v>108</v>
      </c>
      <c r="O8" s="25" t="s">
        <v>190</v>
      </c>
      <c r="P8" s="24" t="s">
        <v>25</v>
      </c>
      <c r="Q8" s="25"/>
      <c r="R8" s="3"/>
      <c r="S8" s="21"/>
      <c r="T8" s="125" t="s">
        <v>205</v>
      </c>
      <c r="U8" s="126"/>
    </row>
    <row r="9" spans="1:21" s="10" customFormat="1" ht="60" customHeight="1">
      <c r="A9" s="8" t="s">
        <v>21</v>
      </c>
      <c r="B9" s="28"/>
      <c r="C9" s="29"/>
      <c r="D9" s="24" t="s">
        <v>216</v>
      </c>
      <c r="E9" s="52" t="s">
        <v>217</v>
      </c>
      <c r="F9" s="24" t="s">
        <v>199</v>
      </c>
      <c r="G9" s="24" t="s">
        <v>200</v>
      </c>
      <c r="H9" s="24" t="s">
        <v>201</v>
      </c>
      <c r="I9" s="53" t="s">
        <v>202</v>
      </c>
      <c r="J9" s="24" t="s">
        <v>203</v>
      </c>
      <c r="K9" s="67"/>
      <c r="L9" s="53"/>
      <c r="M9" s="24"/>
      <c r="N9" s="24"/>
      <c r="O9" s="24"/>
      <c r="P9" s="24"/>
      <c r="Q9" s="24"/>
      <c r="R9" s="125" t="s">
        <v>204</v>
      </c>
      <c r="S9" s="126"/>
      <c r="T9" s="125" t="s">
        <v>206</v>
      </c>
      <c r="U9" s="126"/>
    </row>
    <row r="10" spans="1:21" s="10" customFormat="1" ht="39">
      <c r="A10" s="28" t="s">
        <v>26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202</v>
      </c>
      <c r="M10" s="24" t="s">
        <v>203</v>
      </c>
      <c r="N10" s="24" t="s">
        <v>202</v>
      </c>
      <c r="O10" s="24" t="s">
        <v>203</v>
      </c>
      <c r="P10" s="24" t="s">
        <v>202</v>
      </c>
      <c r="Q10" s="24" t="s">
        <v>203</v>
      </c>
      <c r="R10" s="30"/>
      <c r="S10" s="30"/>
      <c r="T10" s="35"/>
      <c r="U10" s="49"/>
    </row>
    <row r="11" spans="1:21" s="10" customFormat="1" ht="39">
      <c r="A11" s="8">
        <v>10</v>
      </c>
      <c r="B11" s="28" t="s">
        <v>27</v>
      </c>
      <c r="C11" s="29"/>
      <c r="D11" s="23" t="s">
        <v>109</v>
      </c>
      <c r="E11" s="26" t="s">
        <v>34</v>
      </c>
      <c r="F11" s="36"/>
      <c r="G11" s="23" t="s">
        <v>53</v>
      </c>
      <c r="H11" s="27" t="s">
        <v>149</v>
      </c>
      <c r="I11" s="37"/>
      <c r="J11" s="33"/>
      <c r="K11" s="33"/>
      <c r="L11" s="26" t="s">
        <v>150</v>
      </c>
      <c r="M11" s="26"/>
      <c r="N11" s="26" t="s">
        <v>150</v>
      </c>
      <c r="O11" s="26"/>
      <c r="P11" s="26"/>
      <c r="Q11" s="26"/>
      <c r="R11" s="37"/>
      <c r="S11" s="36"/>
      <c r="T11" s="127"/>
      <c r="U11" s="128"/>
    </row>
    <row r="12" spans="1:21" s="10" customFormat="1">
      <c r="A12" s="8">
        <v>10</v>
      </c>
      <c r="B12" s="8"/>
      <c r="C12" s="8"/>
      <c r="D12" s="8" t="s">
        <v>32</v>
      </c>
      <c r="E12" s="25" t="s">
        <v>38</v>
      </c>
      <c r="F12" s="25"/>
      <c r="G12" s="38" t="s">
        <v>207</v>
      </c>
      <c r="H12" s="38" t="s">
        <v>151</v>
      </c>
      <c r="I12" s="8" t="s">
        <v>28</v>
      </c>
      <c r="J12" s="8"/>
      <c r="K12" s="8"/>
      <c r="L12" s="8" t="s">
        <v>135</v>
      </c>
      <c r="M12" s="8"/>
      <c r="N12" s="8" t="s">
        <v>135</v>
      </c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33</v>
      </c>
      <c r="E13" s="25" t="s">
        <v>39</v>
      </c>
      <c r="F13" s="25"/>
      <c r="G13" s="38" t="s">
        <v>208</v>
      </c>
      <c r="H13" s="38" t="s">
        <v>152</v>
      </c>
      <c r="I13" s="8" t="s">
        <v>28</v>
      </c>
      <c r="J13" s="8"/>
      <c r="K13" s="8"/>
      <c r="L13" s="8" t="s">
        <v>135</v>
      </c>
      <c r="M13" s="8"/>
      <c r="N13" s="8" t="s">
        <v>135</v>
      </c>
      <c r="O13" s="8"/>
      <c r="P13" s="8"/>
      <c r="Q13" s="8"/>
      <c r="R13" s="125"/>
      <c r="S13" s="126"/>
      <c r="T13" s="127"/>
      <c r="U13" s="128"/>
    </row>
    <row r="14" spans="1:21" s="10" customFormat="1">
      <c r="A14" s="8">
        <v>10</v>
      </c>
      <c r="B14" s="8"/>
      <c r="C14" s="8"/>
      <c r="D14" s="8" t="s">
        <v>40</v>
      </c>
      <c r="E14" s="25" t="s">
        <v>41</v>
      </c>
      <c r="F14" s="25"/>
      <c r="G14" s="38" t="s">
        <v>209</v>
      </c>
      <c r="H14" s="38" t="s">
        <v>153</v>
      </c>
      <c r="I14" s="8" t="s">
        <v>28</v>
      </c>
      <c r="J14" s="8"/>
      <c r="K14" s="8"/>
      <c r="L14" s="8" t="s">
        <v>135</v>
      </c>
      <c r="M14" s="8"/>
      <c r="N14" s="8" t="s">
        <v>135</v>
      </c>
      <c r="O14" s="8"/>
      <c r="P14" s="8"/>
      <c r="Q14" s="8"/>
      <c r="R14" s="125"/>
      <c r="S14" s="126"/>
      <c r="T14" s="127"/>
      <c r="U14" s="128"/>
    </row>
    <row r="15" spans="1:21" s="10" customFormat="1" ht="26">
      <c r="A15" s="8">
        <v>10</v>
      </c>
      <c r="B15" s="8"/>
      <c r="C15" s="8"/>
      <c r="D15" s="8" t="s">
        <v>42</v>
      </c>
      <c r="E15" s="25" t="s">
        <v>43</v>
      </c>
      <c r="F15" s="25"/>
      <c r="G15" s="38" t="s">
        <v>210</v>
      </c>
      <c r="H15" s="38" t="s">
        <v>138</v>
      </c>
      <c r="I15" s="8" t="s">
        <v>28</v>
      </c>
      <c r="J15" s="8"/>
      <c r="K15" s="8"/>
      <c r="L15" s="8" t="s">
        <v>135</v>
      </c>
      <c r="M15" s="8"/>
      <c r="N15" s="8" t="s">
        <v>135</v>
      </c>
      <c r="O15" s="8"/>
      <c r="P15" s="8"/>
      <c r="Q15" s="8"/>
      <c r="R15" s="125"/>
      <c r="S15" s="126"/>
      <c r="T15" s="127"/>
      <c r="U15" s="128"/>
    </row>
    <row r="16" spans="1:21" s="10" customFormat="1">
      <c r="A16" s="8">
        <v>10</v>
      </c>
      <c r="B16" s="8"/>
      <c r="C16" s="8"/>
      <c r="D16" s="8" t="s">
        <v>85</v>
      </c>
      <c r="E16" s="25" t="s">
        <v>86</v>
      </c>
      <c r="F16" s="25"/>
      <c r="G16" s="38" t="s">
        <v>211</v>
      </c>
      <c r="H16" s="38" t="s">
        <v>154</v>
      </c>
      <c r="I16" s="8" t="s">
        <v>135</v>
      </c>
      <c r="J16" s="8"/>
      <c r="K16" s="8"/>
      <c r="L16" s="8" t="s">
        <v>135</v>
      </c>
      <c r="M16" s="8"/>
      <c r="N16" s="8"/>
      <c r="O16" s="8"/>
      <c r="P16" s="8"/>
      <c r="Q16" s="8"/>
      <c r="R16" s="52"/>
      <c r="S16" s="53"/>
      <c r="T16" s="50"/>
      <c r="U16" s="51"/>
    </row>
    <row r="17" spans="1:21" s="10" customFormat="1">
      <c r="A17" s="8">
        <v>10</v>
      </c>
      <c r="B17" s="8"/>
      <c r="C17" s="8"/>
      <c r="D17" s="8" t="s">
        <v>87</v>
      </c>
      <c r="E17" s="25" t="s">
        <v>88</v>
      </c>
      <c r="F17" s="25"/>
      <c r="G17" s="38" t="s">
        <v>212</v>
      </c>
      <c r="H17" s="38" t="s">
        <v>155</v>
      </c>
      <c r="I17" s="8" t="s">
        <v>135</v>
      </c>
      <c r="J17" s="8"/>
      <c r="K17" s="8"/>
      <c r="L17" s="8" t="s">
        <v>135</v>
      </c>
      <c r="M17" s="8"/>
      <c r="N17" s="8"/>
      <c r="O17" s="8"/>
      <c r="P17" s="8"/>
      <c r="Q17" s="8"/>
      <c r="R17" s="52"/>
      <c r="S17" s="53"/>
      <c r="T17" s="50"/>
      <c r="U17" s="51"/>
    </row>
    <row r="18" spans="1:21" s="10" customFormat="1">
      <c r="A18" s="8">
        <v>10</v>
      </c>
      <c r="B18" s="8"/>
      <c r="C18" s="8"/>
      <c r="D18" s="8" t="s">
        <v>89</v>
      </c>
      <c r="E18" s="25" t="s">
        <v>90</v>
      </c>
      <c r="F18" s="25"/>
      <c r="G18" s="38" t="s">
        <v>213</v>
      </c>
      <c r="H18" s="38" t="s">
        <v>156</v>
      </c>
      <c r="I18" s="8" t="s">
        <v>135</v>
      </c>
      <c r="J18" s="8"/>
      <c r="K18" s="8"/>
      <c r="L18" s="8" t="s">
        <v>135</v>
      </c>
      <c r="M18" s="8"/>
      <c r="N18" s="8"/>
      <c r="O18" s="8"/>
      <c r="P18" s="8"/>
      <c r="Q18" s="8"/>
      <c r="R18" s="52"/>
      <c r="S18" s="53"/>
      <c r="T18" s="50"/>
      <c r="U18" s="51"/>
    </row>
    <row r="19" spans="1:21" s="10" customFormat="1">
      <c r="A19" s="8">
        <v>10</v>
      </c>
      <c r="B19" s="8"/>
      <c r="C19" s="8"/>
      <c r="D19" s="8" t="s">
        <v>97</v>
      </c>
      <c r="E19" s="25" t="s">
        <v>83</v>
      </c>
      <c r="F19" s="25"/>
      <c r="G19" s="38" t="s">
        <v>214</v>
      </c>
      <c r="H19" s="38" t="s">
        <v>157</v>
      </c>
      <c r="I19" s="8" t="s">
        <v>135</v>
      </c>
      <c r="J19" s="8"/>
      <c r="K19" s="8"/>
      <c r="L19" s="8" t="s">
        <v>135</v>
      </c>
      <c r="M19" s="8"/>
      <c r="N19" s="8"/>
      <c r="O19" s="8"/>
      <c r="P19" s="8"/>
      <c r="Q19" s="8"/>
      <c r="R19" s="52"/>
      <c r="S19" s="53"/>
      <c r="T19" s="50"/>
      <c r="U19" s="51"/>
    </row>
    <row r="20" spans="1:21" s="10" customFormat="1">
      <c r="A20" s="8">
        <v>10</v>
      </c>
      <c r="B20" s="8"/>
      <c r="C20" s="8"/>
      <c r="D20" s="8" t="s">
        <v>35</v>
      </c>
      <c r="E20" s="25" t="s">
        <v>36</v>
      </c>
      <c r="F20" s="25"/>
      <c r="G20" s="38" t="s">
        <v>215</v>
      </c>
      <c r="H20" s="38" t="s">
        <v>158</v>
      </c>
      <c r="I20" s="8" t="s">
        <v>28</v>
      </c>
      <c r="J20" s="8"/>
      <c r="K20" s="8"/>
      <c r="L20" s="8" t="s">
        <v>135</v>
      </c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>
      <c r="A21" s="57"/>
      <c r="U21" s="39"/>
    </row>
    <row r="22" spans="1:21" s="10" customFormat="1">
      <c r="A22" s="57"/>
      <c r="U22" s="39"/>
    </row>
    <row r="23" spans="1:21" s="10" customFormat="1">
      <c r="A23" s="57"/>
      <c r="U23" s="39"/>
    </row>
    <row r="24" spans="1:21" s="10" customFormat="1">
      <c r="A24" s="57"/>
      <c r="U24" s="39"/>
    </row>
    <row r="25" spans="1:21" s="10" customFormat="1">
      <c r="A25" s="57"/>
      <c r="U25" s="39"/>
    </row>
    <row r="26" spans="1:21" s="10" customFormat="1">
      <c r="A26" s="57"/>
      <c r="U26" s="39"/>
    </row>
    <row r="27" spans="1:21" s="10" customFormat="1">
      <c r="A27" s="57"/>
      <c r="U27" s="39"/>
    </row>
    <row r="28" spans="1:21" s="10" customFormat="1">
      <c r="A28" s="57"/>
      <c r="U28" s="39"/>
    </row>
    <row r="29" spans="1:21" s="10" customFormat="1">
      <c r="A29" s="57"/>
      <c r="U29" s="39"/>
    </row>
    <row r="30" spans="1:21" s="10" customFormat="1">
      <c r="A30" s="6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0"/>
    </row>
  </sheetData>
  <mergeCells count="14">
    <mergeCell ref="R20:S20"/>
    <mergeCell ref="T20:U20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2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36328125" style="4" customWidth="1"/>
    <col min="14" max="14" width="50.81640625" style="4" customWidth="1"/>
    <col min="15" max="15" width="16.36328125" style="4" customWidth="1"/>
    <col min="16" max="17" width="16.453125" style="4" customWidth="1"/>
    <col min="18" max="18" width="30.81640625" style="4" customWidth="1"/>
    <col min="19" max="19" width="8.90625" style="5" customWidth="1"/>
    <col min="20" max="20" width="15.81640625" style="5" customWidth="1"/>
    <col min="21" max="21" width="8.90625" style="5" customWidth="1"/>
    <col min="22" max="25" width="17.1796875" style="5" customWidth="1"/>
    <col min="26" max="16384" width="9" style="5"/>
  </cols>
  <sheetData>
    <row r="1" spans="1:21" s="10" customFormat="1">
      <c r="A1" s="54" t="s">
        <v>126</v>
      </c>
      <c r="B1" s="54" t="s">
        <v>126</v>
      </c>
      <c r="C1" s="54"/>
      <c r="D1" s="1" t="s">
        <v>127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126</v>
      </c>
      <c r="B2" s="22"/>
      <c r="C2" s="22"/>
      <c r="D2" s="67" t="s">
        <v>193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MSBDL4010</v>
      </c>
      <c r="I2" s="7" t="s">
        <v>19</v>
      </c>
      <c r="J2" s="8" t="s">
        <v>111</v>
      </c>
      <c r="K2" s="7" t="s">
        <v>122</v>
      </c>
      <c r="L2" s="56" t="str">
        <f>IF(LogicCommon!G2="","",LogicCommon!G2)</f>
        <v>MC</v>
      </c>
      <c r="M2" s="5" t="s">
        <v>128</v>
      </c>
      <c r="N2" s="23" t="s">
        <v>185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126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MSBD</v>
      </c>
      <c r="G3" s="7" t="s">
        <v>3</v>
      </c>
      <c r="H3" s="56" t="str">
        <f>IF(LogicCommon!E3="","",LogicCommon!E3)</f>
        <v>MSBDL_PoCrctRsnReg</v>
      </c>
      <c r="I3" s="7" t="s">
        <v>129</v>
      </c>
      <c r="J3" s="8" t="s">
        <v>59</v>
      </c>
      <c r="K3" s="7" t="s">
        <v>124</v>
      </c>
      <c r="L3" s="56" t="str">
        <f>IF(LogicCommon!G3="","",LogicCommon!G3)</f>
        <v/>
      </c>
      <c r="M3" s="60"/>
      <c r="N3" s="7"/>
      <c r="O3" s="7" t="s">
        <v>130</v>
      </c>
      <c r="P3" s="8" t="s">
        <v>145</v>
      </c>
      <c r="Q3" s="4"/>
      <c r="R3" s="5"/>
      <c r="S3" s="5"/>
      <c r="T3" s="5"/>
      <c r="U3" s="5"/>
    </row>
    <row r="4" spans="1:21" s="10" customFormat="1">
      <c r="A4" s="57" t="s">
        <v>126</v>
      </c>
      <c r="B4" s="58"/>
      <c r="C4" s="58"/>
      <c r="D4" s="4"/>
      <c r="E4" s="7" t="s">
        <v>20</v>
      </c>
      <c r="F4" s="61" t="s">
        <v>131</v>
      </c>
      <c r="G4" s="7" t="s">
        <v>4</v>
      </c>
      <c r="H4" s="56" t="str">
        <f>IF(LogicCommon!E4="","",LogicCommon!E4)</f>
        <v>発注訂正理由登録</v>
      </c>
      <c r="I4" s="7" t="s">
        <v>132</v>
      </c>
      <c r="J4" s="8" t="s">
        <v>48</v>
      </c>
      <c r="K4" s="7" t="s">
        <v>5</v>
      </c>
      <c r="L4" s="56" t="str">
        <f>IF(LogicCommon!G4="","",LogicCommon!G4)</f>
        <v>MS.MSUDL5010</v>
      </c>
      <c r="M4" s="62" t="s">
        <v>146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126</v>
      </c>
      <c r="B5" s="54"/>
      <c r="C5" s="54"/>
      <c r="D5" s="21"/>
      <c r="E5" s="7" t="s">
        <v>133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126</v>
      </c>
      <c r="B6" s="58"/>
      <c r="C6" s="58"/>
      <c r="D6" s="4" t="s">
        <v>8</v>
      </c>
      <c r="E6" s="12" t="s">
        <v>105</v>
      </c>
      <c r="F6" s="12"/>
      <c r="G6" s="12"/>
      <c r="H6" s="12"/>
      <c r="I6" s="12"/>
      <c r="J6" s="12"/>
      <c r="K6" s="12"/>
      <c r="L6" s="66"/>
      <c r="M6" s="15" t="s">
        <v>125</v>
      </c>
      <c r="N6" s="15"/>
      <c r="O6" s="15" t="s">
        <v>125</v>
      </c>
      <c r="P6" s="15"/>
      <c r="Q6" s="15" t="s">
        <v>125</v>
      </c>
      <c r="R6" s="4"/>
      <c r="S6" s="4"/>
      <c r="T6" s="4"/>
      <c r="U6" s="4"/>
    </row>
    <row r="7" spans="1:21" s="10" customFormat="1">
      <c r="A7" s="22" t="s">
        <v>44</v>
      </c>
      <c r="B7" s="22"/>
      <c r="C7" s="22"/>
      <c r="D7" s="6"/>
      <c r="E7" s="6"/>
      <c r="F7" s="6"/>
      <c r="G7" s="6"/>
      <c r="H7" s="6"/>
      <c r="I7" s="6" t="s">
        <v>45</v>
      </c>
      <c r="J7" s="6"/>
      <c r="K7" s="8" t="s">
        <v>60</v>
      </c>
      <c r="L7" s="24" t="s">
        <v>47</v>
      </c>
      <c r="M7" s="25"/>
      <c r="N7" s="24" t="s">
        <v>47</v>
      </c>
      <c r="O7" s="25"/>
      <c r="P7" s="24" t="s">
        <v>47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68"/>
      <c r="C8" s="69"/>
      <c r="D8" s="24" t="s">
        <v>194</v>
      </c>
      <c r="E8" s="24" t="s">
        <v>195</v>
      </c>
      <c r="F8" s="66"/>
      <c r="G8" s="24" t="s">
        <v>147</v>
      </c>
      <c r="H8" s="24" t="s">
        <v>196</v>
      </c>
      <c r="I8" s="66"/>
      <c r="J8" s="3"/>
      <c r="K8" s="8" t="s">
        <v>61</v>
      </c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25" t="s">
        <v>205</v>
      </c>
      <c r="U8" s="126"/>
    </row>
    <row r="9" spans="1:21" s="10" customFormat="1" ht="60" customHeight="1">
      <c r="A9" s="8" t="s">
        <v>21</v>
      </c>
      <c r="B9" s="28"/>
      <c r="C9" s="29"/>
      <c r="D9" s="24" t="s">
        <v>216</v>
      </c>
      <c r="E9" s="52" t="s">
        <v>217</v>
      </c>
      <c r="F9" s="24" t="s">
        <v>199</v>
      </c>
      <c r="G9" s="24" t="s">
        <v>200</v>
      </c>
      <c r="H9" s="24" t="s">
        <v>201</v>
      </c>
      <c r="I9" s="53" t="s">
        <v>202</v>
      </c>
      <c r="J9" s="24" t="s">
        <v>203</v>
      </c>
      <c r="K9" s="67"/>
      <c r="L9" s="53"/>
      <c r="M9" s="24"/>
      <c r="N9" s="24"/>
      <c r="O9" s="24"/>
      <c r="P9" s="24"/>
      <c r="Q9" s="24"/>
      <c r="R9" s="125" t="s">
        <v>204</v>
      </c>
      <c r="S9" s="126"/>
      <c r="T9" s="125" t="s">
        <v>206</v>
      </c>
      <c r="U9" s="126"/>
    </row>
    <row r="10" spans="1:21" s="10" customFormat="1" ht="39">
      <c r="A10" s="28" t="s">
        <v>26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202</v>
      </c>
      <c r="M10" s="24" t="s">
        <v>203</v>
      </c>
      <c r="N10" s="24" t="s">
        <v>202</v>
      </c>
      <c r="O10" s="24" t="s">
        <v>203</v>
      </c>
      <c r="P10" s="24" t="s">
        <v>202</v>
      </c>
      <c r="Q10" s="24" t="s">
        <v>203</v>
      </c>
      <c r="R10" s="30"/>
      <c r="S10" s="30"/>
      <c r="T10" s="35"/>
      <c r="U10" s="49"/>
    </row>
    <row r="11" spans="1:21" s="10" customFormat="1">
      <c r="A11" s="8">
        <v>10</v>
      </c>
      <c r="B11" s="28" t="s">
        <v>27</v>
      </c>
      <c r="C11" s="29"/>
      <c r="D11" s="23" t="s">
        <v>110</v>
      </c>
      <c r="E11" s="26" t="s">
        <v>34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7"/>
      <c r="U11" s="128"/>
    </row>
    <row r="12" spans="1:21" s="10" customFormat="1">
      <c r="A12" s="8">
        <v>10</v>
      </c>
      <c r="B12" s="8"/>
      <c r="C12" s="8"/>
      <c r="D12" s="8" t="s">
        <v>32</v>
      </c>
      <c r="E12" s="25" t="s">
        <v>38</v>
      </c>
      <c r="F12" s="25"/>
      <c r="G12" s="38" t="s">
        <v>207</v>
      </c>
      <c r="H12" s="38" t="s">
        <v>151</v>
      </c>
      <c r="I12" s="8" t="s">
        <v>28</v>
      </c>
      <c r="J12" s="8"/>
      <c r="K12" s="8" t="s">
        <v>135</v>
      </c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35</v>
      </c>
      <c r="E13" s="25" t="s">
        <v>36</v>
      </c>
      <c r="F13" s="25"/>
      <c r="G13" s="38" t="s">
        <v>215</v>
      </c>
      <c r="H13" s="38" t="s">
        <v>158</v>
      </c>
      <c r="I13" s="8" t="s">
        <v>28</v>
      </c>
      <c r="J13" s="8"/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>
      <c r="A14" s="57"/>
      <c r="U14" s="39"/>
    </row>
    <row r="15" spans="1:21" s="10" customFormat="1">
      <c r="A15" s="57"/>
      <c r="U15" s="39"/>
    </row>
    <row r="16" spans="1:21" s="10" customFormat="1">
      <c r="A16" s="57"/>
      <c r="U16" s="39"/>
    </row>
    <row r="17" spans="1:21" s="10" customFormat="1">
      <c r="A17" s="57"/>
      <c r="U17" s="39"/>
    </row>
    <row r="18" spans="1:21" s="10" customFormat="1">
      <c r="A18" s="57"/>
      <c r="U18" s="39"/>
    </row>
    <row r="19" spans="1:21" s="10" customFormat="1">
      <c r="A19" s="57"/>
      <c r="U19" s="39"/>
    </row>
    <row r="20" spans="1:21" s="10" customFormat="1">
      <c r="A20" s="57"/>
      <c r="U20" s="39"/>
    </row>
    <row r="21" spans="1:21" s="10" customFormat="1">
      <c r="A21" s="57"/>
      <c r="U21" s="39"/>
    </row>
    <row r="22" spans="1:21" s="10" customFormat="1">
      <c r="A22" s="57"/>
      <c r="U22" s="39"/>
    </row>
    <row r="23" spans="1:21" s="10" customFormat="1">
      <c r="A23" s="57"/>
      <c r="U23" s="39"/>
    </row>
    <row r="24" spans="1:21" s="10" customFormat="1">
      <c r="A24" s="57"/>
      <c r="U24" s="39"/>
    </row>
    <row r="25" spans="1:21" s="10" customFormat="1">
      <c r="A25" s="57"/>
      <c r="U25" s="39"/>
    </row>
    <row r="26" spans="1:21" s="10" customFormat="1">
      <c r="A26" s="57"/>
      <c r="U26" s="39"/>
    </row>
    <row r="27" spans="1:21" s="10" customFormat="1">
      <c r="A27" s="6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0"/>
    </row>
  </sheetData>
  <mergeCells count="8">
    <mergeCell ref="R13:S13"/>
    <mergeCell ref="T13:U13"/>
    <mergeCell ref="R12:S12"/>
    <mergeCell ref="T12:U12"/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126</v>
      </c>
      <c r="B1" s="54" t="s">
        <v>126</v>
      </c>
      <c r="C1" s="54"/>
      <c r="D1" s="1" t="s">
        <v>127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126</v>
      </c>
      <c r="B2" s="22"/>
      <c r="C2" s="22"/>
      <c r="D2" s="67" t="s">
        <v>193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MSBDL4010</v>
      </c>
      <c r="I2" s="7" t="s">
        <v>19</v>
      </c>
      <c r="J2" s="8" t="s">
        <v>114</v>
      </c>
      <c r="K2" s="7" t="s">
        <v>122</v>
      </c>
      <c r="L2" s="56" t="str">
        <f>IF(LogicCommon!G2="","",LogicCommon!G2)</f>
        <v>MC</v>
      </c>
      <c r="M2" s="5" t="s">
        <v>128</v>
      </c>
      <c r="N2" s="23" t="s">
        <v>187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126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MSBD</v>
      </c>
      <c r="G3" s="7" t="s">
        <v>3</v>
      </c>
      <c r="H3" s="56" t="str">
        <f>IF(LogicCommon!E3="","",LogicCommon!E3)</f>
        <v>MSBDL_PoCrctRsnReg</v>
      </c>
      <c r="I3" s="7" t="s">
        <v>129</v>
      </c>
      <c r="J3" s="8" t="s">
        <v>55</v>
      </c>
      <c r="K3" s="7" t="s">
        <v>124</v>
      </c>
      <c r="L3" s="56" t="str">
        <f>IF(LogicCommon!G3="","",LogicCommon!G3)</f>
        <v/>
      </c>
      <c r="M3" s="60"/>
      <c r="N3" s="7"/>
      <c r="O3" s="7" t="s">
        <v>130</v>
      </c>
      <c r="P3" s="8" t="s">
        <v>145</v>
      </c>
      <c r="Q3" s="4"/>
      <c r="R3" s="5"/>
      <c r="S3" s="5"/>
      <c r="T3" s="5"/>
      <c r="U3" s="5"/>
    </row>
    <row r="4" spans="1:21" s="10" customFormat="1">
      <c r="A4" s="57" t="s">
        <v>126</v>
      </c>
      <c r="B4" s="58"/>
      <c r="C4" s="58"/>
      <c r="D4" s="4"/>
      <c r="E4" s="7" t="s">
        <v>20</v>
      </c>
      <c r="F4" s="61" t="s">
        <v>131</v>
      </c>
      <c r="G4" s="7" t="s">
        <v>4</v>
      </c>
      <c r="H4" s="56" t="str">
        <f>IF(LogicCommon!E4="","",LogicCommon!E4)</f>
        <v>発注訂正理由登録</v>
      </c>
      <c r="I4" s="7" t="s">
        <v>132</v>
      </c>
      <c r="J4" s="8" t="s">
        <v>56</v>
      </c>
      <c r="K4" s="7" t="s">
        <v>5</v>
      </c>
      <c r="L4" s="56" t="str">
        <f>IF(LogicCommon!G4="","",LogicCommon!G4)</f>
        <v>MS.MSUDL5010</v>
      </c>
      <c r="M4" s="62" t="s">
        <v>146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126</v>
      </c>
      <c r="B5" s="54"/>
      <c r="C5" s="54"/>
      <c r="D5" s="21"/>
      <c r="E5" s="7" t="s">
        <v>133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126</v>
      </c>
      <c r="B6" s="58"/>
      <c r="C6" s="58"/>
      <c r="D6" s="4" t="s">
        <v>8</v>
      </c>
      <c r="E6" s="12"/>
      <c r="F6" s="12"/>
      <c r="G6" s="12"/>
      <c r="H6" s="12"/>
      <c r="I6" s="12"/>
      <c r="J6" s="12"/>
      <c r="K6" s="12"/>
      <c r="L6" s="66"/>
      <c r="M6" s="15" t="s">
        <v>125</v>
      </c>
      <c r="N6" s="15"/>
      <c r="O6" s="15" t="s">
        <v>125</v>
      </c>
      <c r="P6" s="15"/>
      <c r="Q6" s="15" t="s">
        <v>125</v>
      </c>
      <c r="R6" s="4"/>
      <c r="S6" s="4"/>
      <c r="T6" s="4"/>
      <c r="U6" s="4"/>
    </row>
    <row r="7" spans="1:21" s="10" customFormat="1" ht="26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107</v>
      </c>
      <c r="M7" s="25" t="s">
        <v>103</v>
      </c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68"/>
      <c r="C8" s="69"/>
      <c r="D8" s="24" t="s">
        <v>194</v>
      </c>
      <c r="E8" s="24" t="s">
        <v>195</v>
      </c>
      <c r="F8" s="66"/>
      <c r="G8" s="24" t="s">
        <v>147</v>
      </c>
      <c r="H8" s="24" t="s">
        <v>196</v>
      </c>
      <c r="I8" s="66"/>
      <c r="J8" s="3"/>
      <c r="K8" s="8"/>
      <c r="L8" s="24" t="s">
        <v>108</v>
      </c>
      <c r="M8" s="25" t="s">
        <v>81</v>
      </c>
      <c r="N8" s="24" t="s">
        <v>25</v>
      </c>
      <c r="O8" s="25"/>
      <c r="P8" s="24" t="s">
        <v>25</v>
      </c>
      <c r="Q8" s="25"/>
      <c r="R8" s="3"/>
      <c r="S8" s="21"/>
      <c r="T8" s="125" t="s">
        <v>205</v>
      </c>
      <c r="U8" s="126"/>
    </row>
    <row r="9" spans="1:21" s="10" customFormat="1" ht="60" customHeight="1">
      <c r="A9" s="8" t="s">
        <v>21</v>
      </c>
      <c r="B9" s="28"/>
      <c r="C9" s="29"/>
      <c r="D9" s="24" t="s">
        <v>216</v>
      </c>
      <c r="E9" s="52" t="s">
        <v>217</v>
      </c>
      <c r="F9" s="24" t="s">
        <v>199</v>
      </c>
      <c r="G9" s="24" t="s">
        <v>200</v>
      </c>
      <c r="H9" s="24" t="s">
        <v>201</v>
      </c>
      <c r="I9" s="53" t="s">
        <v>202</v>
      </c>
      <c r="J9" s="24" t="s">
        <v>203</v>
      </c>
      <c r="K9" s="67"/>
      <c r="L9" s="53"/>
      <c r="M9" s="24"/>
      <c r="N9" s="24"/>
      <c r="O9" s="24"/>
      <c r="P9" s="24"/>
      <c r="Q9" s="24"/>
      <c r="R9" s="125" t="s">
        <v>204</v>
      </c>
      <c r="S9" s="126"/>
      <c r="T9" s="125" t="s">
        <v>206</v>
      </c>
      <c r="U9" s="126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202</v>
      </c>
      <c r="M10" s="24" t="s">
        <v>203</v>
      </c>
      <c r="N10" s="24" t="s">
        <v>202</v>
      </c>
      <c r="O10" s="24" t="s">
        <v>203</v>
      </c>
      <c r="P10" s="24" t="s">
        <v>202</v>
      </c>
      <c r="Q10" s="24" t="s">
        <v>203</v>
      </c>
      <c r="R10" s="30"/>
      <c r="S10" s="30"/>
      <c r="T10" s="35"/>
      <c r="U10" s="49"/>
    </row>
    <row r="11" spans="1:21" s="10" customFormat="1" ht="39">
      <c r="A11" s="8">
        <v>10</v>
      </c>
      <c r="B11" s="28" t="s">
        <v>27</v>
      </c>
      <c r="C11" s="29"/>
      <c r="D11" s="23" t="s">
        <v>119</v>
      </c>
      <c r="E11" s="26" t="s">
        <v>34</v>
      </c>
      <c r="F11" s="36"/>
      <c r="G11" s="23" t="s">
        <v>53</v>
      </c>
      <c r="H11" s="27" t="s">
        <v>159</v>
      </c>
      <c r="I11" s="37"/>
      <c r="J11" s="33"/>
      <c r="K11" s="33"/>
      <c r="L11" s="26" t="s">
        <v>150</v>
      </c>
      <c r="M11" s="26"/>
      <c r="N11" s="26"/>
      <c r="O11" s="26"/>
      <c r="P11" s="26"/>
      <c r="Q11" s="26"/>
      <c r="R11" s="37"/>
      <c r="S11" s="36"/>
      <c r="T11" s="127"/>
      <c r="U11" s="128"/>
    </row>
    <row r="12" spans="1:21" s="10" customFormat="1">
      <c r="A12" s="8">
        <v>10</v>
      </c>
      <c r="B12" s="8"/>
      <c r="C12" s="8"/>
      <c r="D12" s="8" t="s">
        <v>32</v>
      </c>
      <c r="E12" s="25" t="s">
        <v>38</v>
      </c>
      <c r="F12" s="25"/>
      <c r="G12" s="38" t="s">
        <v>207</v>
      </c>
      <c r="H12" s="38" t="s">
        <v>151</v>
      </c>
      <c r="I12" s="8" t="s">
        <v>28</v>
      </c>
      <c r="J12" s="8"/>
      <c r="K12" s="8"/>
      <c r="L12" s="8" t="s">
        <v>135</v>
      </c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35</v>
      </c>
      <c r="E13" s="25" t="s">
        <v>36</v>
      </c>
      <c r="F13" s="25"/>
      <c r="G13" s="38" t="s">
        <v>215</v>
      </c>
      <c r="H13" s="38" t="s">
        <v>158</v>
      </c>
      <c r="I13" s="8" t="s">
        <v>28</v>
      </c>
      <c r="J13" s="8"/>
      <c r="K13" s="8"/>
      <c r="L13" s="8" t="s">
        <v>135</v>
      </c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>
      <c r="A14" s="57"/>
      <c r="U14" s="39"/>
    </row>
    <row r="15" spans="1:21" s="10" customFormat="1">
      <c r="A15" s="57"/>
      <c r="U15" s="39"/>
    </row>
    <row r="16" spans="1:21" s="10" customFormat="1">
      <c r="A16" s="57"/>
      <c r="U16" s="39"/>
    </row>
    <row r="17" spans="1:21" s="10" customFormat="1">
      <c r="A17" s="57"/>
      <c r="U17" s="39"/>
    </row>
    <row r="18" spans="1:21" s="10" customFormat="1">
      <c r="A18" s="57"/>
      <c r="U18" s="39"/>
    </row>
    <row r="19" spans="1:21" s="10" customFormat="1">
      <c r="A19" s="57"/>
      <c r="U19" s="39"/>
    </row>
    <row r="20" spans="1:21" s="10" customFormat="1">
      <c r="A20" s="57"/>
      <c r="U20" s="39"/>
    </row>
    <row r="21" spans="1:21" s="10" customFormat="1">
      <c r="A21" s="57"/>
      <c r="U21" s="39"/>
    </row>
    <row r="22" spans="1:21" s="10" customFormat="1">
      <c r="A22" s="57"/>
      <c r="U22" s="39"/>
    </row>
    <row r="23" spans="1:21" s="10" customFormat="1">
      <c r="A23" s="6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0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1:U5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126</v>
      </c>
      <c r="B1" s="54" t="s">
        <v>126</v>
      </c>
      <c r="C1" s="54"/>
      <c r="D1" s="1" t="s">
        <v>127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126</v>
      </c>
      <c r="B2" s="22"/>
      <c r="C2" s="22"/>
      <c r="D2" s="67" t="s">
        <v>193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MSBDL4010</v>
      </c>
      <c r="I2" s="7" t="s">
        <v>19</v>
      </c>
      <c r="J2" s="8" t="s">
        <v>29</v>
      </c>
      <c r="K2" s="7" t="s">
        <v>122</v>
      </c>
      <c r="L2" s="56" t="str">
        <f>IF(LogicCommon!G2="","",LogicCommon!G2)</f>
        <v>MC</v>
      </c>
      <c r="M2" s="5" t="s">
        <v>128</v>
      </c>
      <c r="N2" s="23" t="s">
        <v>188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126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MSBD</v>
      </c>
      <c r="G3" s="7" t="s">
        <v>3</v>
      </c>
      <c r="H3" s="56" t="str">
        <f>IF(LogicCommon!E3="","",LogicCommon!E3)</f>
        <v>MSBDL_PoCrctRsnReg</v>
      </c>
      <c r="I3" s="7" t="s">
        <v>129</v>
      </c>
      <c r="J3" s="8" t="s">
        <v>59</v>
      </c>
      <c r="K3" s="7" t="s">
        <v>124</v>
      </c>
      <c r="L3" s="56" t="str">
        <f>IF(LogicCommon!G3="","",LogicCommon!G3)</f>
        <v/>
      </c>
      <c r="M3" s="60"/>
      <c r="N3" s="7"/>
      <c r="O3" s="7" t="s">
        <v>130</v>
      </c>
      <c r="P3" s="8" t="s">
        <v>145</v>
      </c>
      <c r="Q3" s="4"/>
      <c r="R3" s="5"/>
      <c r="S3" s="5"/>
      <c r="T3" s="5"/>
      <c r="U3" s="5"/>
    </row>
    <row r="4" spans="1:21" s="10" customFormat="1">
      <c r="A4" s="57" t="s">
        <v>126</v>
      </c>
      <c r="B4" s="58"/>
      <c r="C4" s="58"/>
      <c r="D4" s="4"/>
      <c r="E4" s="7" t="s">
        <v>20</v>
      </c>
      <c r="F4" s="61" t="s">
        <v>131</v>
      </c>
      <c r="G4" s="7" t="s">
        <v>4</v>
      </c>
      <c r="H4" s="56" t="str">
        <f>IF(LogicCommon!E4="","",LogicCommon!E4)</f>
        <v>発注訂正理由登録</v>
      </c>
      <c r="I4" s="7" t="s">
        <v>132</v>
      </c>
      <c r="J4" s="8" t="s">
        <v>30</v>
      </c>
      <c r="K4" s="7" t="s">
        <v>5</v>
      </c>
      <c r="L4" s="56" t="str">
        <f>IF(LogicCommon!G4="","",LogicCommon!G4)</f>
        <v>MS.MSUDL5010</v>
      </c>
      <c r="M4" s="62" t="s">
        <v>146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126</v>
      </c>
      <c r="B5" s="54"/>
      <c r="C5" s="54"/>
      <c r="D5" s="21"/>
      <c r="E5" s="7" t="s">
        <v>133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126</v>
      </c>
      <c r="B6" s="58"/>
      <c r="C6" s="58"/>
      <c r="D6" s="4" t="s">
        <v>8</v>
      </c>
      <c r="E6" s="12" t="s">
        <v>96</v>
      </c>
      <c r="F6" s="12"/>
      <c r="G6" s="12"/>
      <c r="H6" s="12"/>
      <c r="I6" s="12"/>
      <c r="J6" s="12"/>
      <c r="K6" s="12"/>
      <c r="L6" s="66"/>
      <c r="M6" s="15" t="s">
        <v>125</v>
      </c>
      <c r="N6" s="15"/>
      <c r="O6" s="15" t="s">
        <v>125</v>
      </c>
      <c r="P6" s="15"/>
      <c r="Q6" s="15" t="s">
        <v>125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 t="s">
        <v>80</v>
      </c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68"/>
      <c r="C8" s="69"/>
      <c r="D8" s="24" t="s">
        <v>194</v>
      </c>
      <c r="E8" s="24" t="s">
        <v>195</v>
      </c>
      <c r="F8" s="66"/>
      <c r="G8" s="24" t="s">
        <v>147</v>
      </c>
      <c r="H8" s="24" t="s">
        <v>196</v>
      </c>
      <c r="I8" s="66"/>
      <c r="J8" s="3"/>
      <c r="K8" s="8" t="s">
        <v>179</v>
      </c>
      <c r="L8" s="24" t="s">
        <v>25</v>
      </c>
      <c r="M8" s="25" t="s">
        <v>191</v>
      </c>
      <c r="N8" s="24" t="s">
        <v>180</v>
      </c>
      <c r="O8" s="25"/>
      <c r="P8" s="24" t="s">
        <v>181</v>
      </c>
      <c r="Q8" s="25"/>
      <c r="R8" s="3"/>
      <c r="S8" s="21"/>
      <c r="T8" s="125" t="s">
        <v>205</v>
      </c>
      <c r="U8" s="126"/>
    </row>
    <row r="9" spans="1:21" s="10" customFormat="1" ht="60" customHeight="1">
      <c r="A9" s="8" t="s">
        <v>21</v>
      </c>
      <c r="B9" s="28"/>
      <c r="C9" s="29"/>
      <c r="D9" s="24" t="s">
        <v>197</v>
      </c>
      <c r="E9" s="52" t="s">
        <v>198</v>
      </c>
      <c r="F9" s="24" t="s">
        <v>199</v>
      </c>
      <c r="G9" s="24" t="s">
        <v>200</v>
      </c>
      <c r="H9" s="24" t="s">
        <v>201</v>
      </c>
      <c r="I9" s="53" t="s">
        <v>202</v>
      </c>
      <c r="J9" s="24" t="s">
        <v>203</v>
      </c>
      <c r="K9" s="67"/>
      <c r="L9" s="53"/>
      <c r="M9" s="24"/>
      <c r="N9" s="24"/>
      <c r="O9" s="24"/>
      <c r="P9" s="24"/>
      <c r="Q9" s="24"/>
      <c r="R9" s="125" t="s">
        <v>204</v>
      </c>
      <c r="S9" s="126"/>
      <c r="T9" s="125" t="s">
        <v>206</v>
      </c>
      <c r="U9" s="126"/>
    </row>
    <row r="10" spans="1:21" s="10" customFormat="1" ht="39">
      <c r="A10" s="28" t="s">
        <v>26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202</v>
      </c>
      <c r="M10" s="24" t="s">
        <v>203</v>
      </c>
      <c r="N10" s="24" t="s">
        <v>202</v>
      </c>
      <c r="O10" s="24" t="s">
        <v>203</v>
      </c>
      <c r="P10" s="24" t="s">
        <v>202</v>
      </c>
      <c r="Q10" s="24" t="s">
        <v>203</v>
      </c>
      <c r="R10" s="30"/>
      <c r="S10" s="30"/>
      <c r="T10" s="35"/>
      <c r="U10" s="49"/>
    </row>
    <row r="11" spans="1:21" s="10" customFormat="1">
      <c r="A11" s="8">
        <v>10</v>
      </c>
      <c r="B11" s="28" t="s">
        <v>27</v>
      </c>
      <c r="C11" s="29"/>
      <c r="D11" s="23" t="s">
        <v>31</v>
      </c>
      <c r="E11" s="26" t="s">
        <v>52</v>
      </c>
      <c r="F11" s="36"/>
      <c r="G11" s="23"/>
      <c r="H11" s="27"/>
      <c r="I11" s="37"/>
      <c r="J11" s="33"/>
      <c r="K11" s="33"/>
      <c r="L11" s="26" t="s">
        <v>160</v>
      </c>
      <c r="M11" s="26"/>
      <c r="N11" s="26"/>
      <c r="O11" s="26"/>
      <c r="P11" s="26"/>
      <c r="Q11" s="26"/>
      <c r="R11" s="37"/>
      <c r="S11" s="36"/>
      <c r="T11" s="127"/>
      <c r="U11" s="128"/>
    </row>
    <row r="12" spans="1:21" s="10" customFormat="1">
      <c r="A12" s="8">
        <v>10</v>
      </c>
      <c r="B12" s="8"/>
      <c r="C12" s="8"/>
      <c r="D12" s="8" t="s">
        <v>32</v>
      </c>
      <c r="E12" s="25" t="s">
        <v>38</v>
      </c>
      <c r="F12" s="25"/>
      <c r="G12" s="38" t="s">
        <v>207</v>
      </c>
      <c r="H12" s="38" t="s">
        <v>134</v>
      </c>
      <c r="I12" s="8" t="s">
        <v>28</v>
      </c>
      <c r="J12" s="8"/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33</v>
      </c>
      <c r="E13" s="25" t="s">
        <v>39</v>
      </c>
      <c r="F13" s="25"/>
      <c r="G13" s="38" t="s">
        <v>208</v>
      </c>
      <c r="H13" s="38" t="s">
        <v>136</v>
      </c>
      <c r="I13" s="8" t="s">
        <v>28</v>
      </c>
      <c r="J13" s="8"/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ht="26">
      <c r="A14" s="8">
        <v>10</v>
      </c>
      <c r="B14" s="8"/>
      <c r="C14" s="8"/>
      <c r="D14" s="8" t="s">
        <v>82</v>
      </c>
      <c r="E14" s="25" t="s">
        <v>83</v>
      </c>
      <c r="F14" s="25"/>
      <c r="G14" s="38" t="s">
        <v>218</v>
      </c>
      <c r="H14" s="38" t="s">
        <v>161</v>
      </c>
      <c r="I14" s="8" t="s">
        <v>28</v>
      </c>
      <c r="J14" s="8"/>
      <c r="K14" s="8"/>
      <c r="L14" s="8"/>
      <c r="M14" s="8"/>
      <c r="N14" s="8"/>
      <c r="O14" s="8"/>
      <c r="P14" s="8"/>
      <c r="Q14" s="8"/>
      <c r="R14" s="52"/>
      <c r="S14" s="53"/>
      <c r="T14" s="50"/>
      <c r="U14" s="51"/>
    </row>
    <row r="15" spans="1:21" s="10" customFormat="1" ht="26">
      <c r="A15" s="8">
        <v>10</v>
      </c>
      <c r="B15" s="8"/>
      <c r="C15" s="8"/>
      <c r="D15" s="8" t="s">
        <v>84</v>
      </c>
      <c r="E15" s="25" t="s">
        <v>83</v>
      </c>
      <c r="F15" s="25"/>
      <c r="G15" s="38" t="s">
        <v>219</v>
      </c>
      <c r="H15" s="38" t="s">
        <v>162</v>
      </c>
      <c r="I15" s="8" t="s">
        <v>28</v>
      </c>
      <c r="J15" s="8"/>
      <c r="K15" s="8"/>
      <c r="L15" s="8"/>
      <c r="M15" s="8"/>
      <c r="N15" s="8"/>
      <c r="O15" s="8"/>
      <c r="P15" s="8"/>
      <c r="Q15" s="8"/>
      <c r="R15" s="52"/>
      <c r="S15" s="53"/>
      <c r="T15" s="50"/>
      <c r="U15" s="51"/>
    </row>
    <row r="16" spans="1:21" s="10" customFormat="1">
      <c r="A16" s="8">
        <v>10</v>
      </c>
      <c r="B16" s="8"/>
      <c r="C16" s="8"/>
      <c r="D16" s="8" t="s">
        <v>85</v>
      </c>
      <c r="E16" s="25" t="s">
        <v>86</v>
      </c>
      <c r="F16" s="25"/>
      <c r="G16" s="38" t="s">
        <v>211</v>
      </c>
      <c r="H16" s="38" t="s">
        <v>140</v>
      </c>
      <c r="I16" s="8" t="s">
        <v>28</v>
      </c>
      <c r="J16" s="8"/>
      <c r="K16" s="8"/>
      <c r="L16" s="8"/>
      <c r="M16" s="8"/>
      <c r="N16" s="8"/>
      <c r="O16" s="8"/>
      <c r="P16" s="8"/>
      <c r="Q16" s="8"/>
      <c r="R16" s="52"/>
      <c r="S16" s="53"/>
      <c r="T16" s="50"/>
      <c r="U16" s="51"/>
    </row>
    <row r="17" spans="1:21" s="10" customFormat="1">
      <c r="A17" s="8">
        <v>10</v>
      </c>
      <c r="B17" s="8"/>
      <c r="C17" s="8"/>
      <c r="D17" s="8" t="s">
        <v>87</v>
      </c>
      <c r="E17" s="25" t="s">
        <v>88</v>
      </c>
      <c r="F17" s="25"/>
      <c r="G17" s="38" t="s">
        <v>212</v>
      </c>
      <c r="H17" s="38" t="s">
        <v>141</v>
      </c>
      <c r="I17" s="8" t="s">
        <v>28</v>
      </c>
      <c r="J17" s="8"/>
      <c r="K17" s="8"/>
      <c r="L17" s="8"/>
      <c r="M17" s="8"/>
      <c r="N17" s="8"/>
      <c r="O17" s="8"/>
      <c r="P17" s="8"/>
      <c r="Q17" s="8"/>
      <c r="R17" s="52"/>
      <c r="S17" s="53"/>
      <c r="T17" s="50"/>
      <c r="U17" s="51"/>
    </row>
    <row r="18" spans="1:21" s="10" customFormat="1">
      <c r="A18" s="8">
        <v>10</v>
      </c>
      <c r="B18" s="8"/>
      <c r="C18" s="8"/>
      <c r="D18" s="8" t="s">
        <v>89</v>
      </c>
      <c r="E18" s="25" t="s">
        <v>90</v>
      </c>
      <c r="F18" s="25"/>
      <c r="G18" s="38" t="s">
        <v>213</v>
      </c>
      <c r="H18" s="38" t="s">
        <v>142</v>
      </c>
      <c r="I18" s="8" t="s">
        <v>28</v>
      </c>
      <c r="J18" s="8"/>
      <c r="K18" s="8"/>
      <c r="L18" s="8"/>
      <c r="M18" s="8"/>
      <c r="N18" s="8"/>
      <c r="O18" s="8"/>
      <c r="P18" s="8"/>
      <c r="Q18" s="8"/>
      <c r="R18" s="52"/>
      <c r="S18" s="53"/>
      <c r="T18" s="50"/>
      <c r="U18" s="51"/>
    </row>
    <row r="19" spans="1:21" s="10" customFormat="1">
      <c r="A19" s="57"/>
      <c r="U19" s="39"/>
    </row>
    <row r="20" spans="1:21" s="10" customFormat="1">
      <c r="A20" s="8">
        <v>20</v>
      </c>
      <c r="B20" s="28" t="s">
        <v>27</v>
      </c>
      <c r="C20" s="29"/>
      <c r="D20" s="23" t="s">
        <v>182</v>
      </c>
      <c r="E20" s="26" t="s">
        <v>34</v>
      </c>
      <c r="F20" s="41"/>
      <c r="G20" s="23"/>
      <c r="H20" s="27"/>
      <c r="I20" s="42"/>
      <c r="J20" s="43"/>
      <c r="K20" s="43"/>
      <c r="L20" s="26"/>
      <c r="M20" s="26" t="s">
        <v>127</v>
      </c>
      <c r="N20" s="26"/>
      <c r="O20" s="26"/>
      <c r="P20" s="26"/>
      <c r="Q20" s="26"/>
      <c r="R20" s="37"/>
      <c r="S20" s="36"/>
      <c r="T20" s="127"/>
      <c r="U20" s="128"/>
    </row>
    <row r="21" spans="1:21" s="10" customFormat="1">
      <c r="A21" s="8">
        <v>20</v>
      </c>
      <c r="B21" s="8"/>
      <c r="C21" s="8"/>
      <c r="D21" s="8" t="s">
        <v>32</v>
      </c>
      <c r="E21" s="25" t="s">
        <v>38</v>
      </c>
      <c r="F21" s="25"/>
      <c r="G21" s="38" t="s">
        <v>207</v>
      </c>
      <c r="H21" s="38" t="s">
        <v>134</v>
      </c>
      <c r="I21" s="8"/>
      <c r="J21" s="8" t="s">
        <v>28</v>
      </c>
      <c r="K21" s="8"/>
      <c r="L21" s="8"/>
      <c r="M21" s="8" t="s">
        <v>28</v>
      </c>
      <c r="N21" s="8"/>
      <c r="O21" s="8"/>
      <c r="P21" s="8"/>
      <c r="Q21" s="8"/>
      <c r="R21" s="125"/>
      <c r="S21" s="126"/>
      <c r="T21" s="127"/>
      <c r="U21" s="128"/>
    </row>
    <row r="22" spans="1:21" s="10" customFormat="1">
      <c r="A22" s="8">
        <v>20</v>
      </c>
      <c r="B22" s="8"/>
      <c r="C22" s="8"/>
      <c r="D22" s="8" t="s">
        <v>33</v>
      </c>
      <c r="E22" s="25" t="s">
        <v>39</v>
      </c>
      <c r="F22" s="25"/>
      <c r="G22" s="38" t="s">
        <v>208</v>
      </c>
      <c r="H22" s="38" t="s">
        <v>136</v>
      </c>
      <c r="I22" s="8"/>
      <c r="J22" s="8" t="s">
        <v>28</v>
      </c>
      <c r="K22" s="8"/>
      <c r="L22" s="8"/>
      <c r="M22" s="8" t="s">
        <v>28</v>
      </c>
      <c r="N22" s="8"/>
      <c r="O22" s="8"/>
      <c r="P22" s="8"/>
      <c r="Q22" s="8"/>
      <c r="R22" s="125"/>
      <c r="S22" s="126"/>
      <c r="T22" s="127"/>
      <c r="U22" s="128"/>
    </row>
    <row r="23" spans="1:21" s="10" customFormat="1">
      <c r="A23" s="8">
        <v>20</v>
      </c>
      <c r="B23" s="8"/>
      <c r="C23" s="8"/>
      <c r="D23" s="8" t="s">
        <v>97</v>
      </c>
      <c r="E23" s="25" t="s">
        <v>83</v>
      </c>
      <c r="F23" s="25"/>
      <c r="G23" s="38" t="s">
        <v>214</v>
      </c>
      <c r="H23" s="38" t="s">
        <v>143</v>
      </c>
      <c r="I23" s="8"/>
      <c r="J23" s="8" t="s">
        <v>28</v>
      </c>
      <c r="K23" s="8"/>
      <c r="L23" s="8"/>
      <c r="M23" s="8" t="s">
        <v>28</v>
      </c>
      <c r="N23" s="8"/>
      <c r="O23" s="8"/>
      <c r="P23" s="8"/>
      <c r="Q23" s="8"/>
      <c r="R23" s="52"/>
      <c r="S23" s="53"/>
      <c r="T23" s="50"/>
      <c r="U23" s="51"/>
    </row>
    <row r="24" spans="1:21" s="10" customFormat="1">
      <c r="A24" s="8">
        <v>20</v>
      </c>
      <c r="B24" s="8"/>
      <c r="C24" s="8"/>
      <c r="D24" s="8" t="s">
        <v>40</v>
      </c>
      <c r="E24" s="25" t="s">
        <v>41</v>
      </c>
      <c r="F24" s="25"/>
      <c r="G24" s="38" t="s">
        <v>209</v>
      </c>
      <c r="H24" s="38" t="s">
        <v>137</v>
      </c>
      <c r="I24" s="8"/>
      <c r="J24" s="8" t="s">
        <v>28</v>
      </c>
      <c r="K24" s="8"/>
      <c r="L24" s="8"/>
      <c r="M24" s="8" t="s">
        <v>28</v>
      </c>
      <c r="N24" s="8"/>
      <c r="O24" s="8"/>
      <c r="P24" s="8"/>
      <c r="Q24" s="8"/>
      <c r="R24" s="125"/>
      <c r="S24" s="126"/>
      <c r="T24" s="127"/>
      <c r="U24" s="128"/>
    </row>
    <row r="25" spans="1:21" s="10" customFormat="1" ht="26">
      <c r="A25" s="8">
        <v>20</v>
      </c>
      <c r="B25" s="8"/>
      <c r="C25" s="8"/>
      <c r="D25" s="8" t="s">
        <v>42</v>
      </c>
      <c r="E25" s="25" t="s">
        <v>43</v>
      </c>
      <c r="F25" s="25"/>
      <c r="G25" s="38" t="s">
        <v>210</v>
      </c>
      <c r="H25" s="38" t="s">
        <v>163</v>
      </c>
      <c r="I25" s="8"/>
      <c r="J25" s="8" t="s">
        <v>28</v>
      </c>
      <c r="K25" s="8" t="s">
        <v>139</v>
      </c>
      <c r="L25" s="8"/>
      <c r="M25" s="8" t="s">
        <v>28</v>
      </c>
      <c r="N25" s="8"/>
      <c r="O25" s="8"/>
      <c r="P25" s="8"/>
      <c r="Q25" s="8"/>
      <c r="R25" s="125"/>
      <c r="S25" s="126"/>
      <c r="T25" s="127"/>
      <c r="U25" s="128"/>
    </row>
    <row r="26" spans="1:21" s="10" customFormat="1" ht="26">
      <c r="A26" s="8">
        <v>20</v>
      </c>
      <c r="B26" s="8"/>
      <c r="C26" s="8"/>
      <c r="D26" s="8" t="s">
        <v>183</v>
      </c>
      <c r="E26" s="25" t="s">
        <v>184</v>
      </c>
      <c r="F26" s="25"/>
      <c r="G26" s="38" t="s">
        <v>220</v>
      </c>
      <c r="H26" s="38" t="s">
        <v>164</v>
      </c>
      <c r="I26" s="8"/>
      <c r="J26" s="8" t="s">
        <v>28</v>
      </c>
      <c r="K26" s="8"/>
      <c r="L26" s="8"/>
      <c r="M26" s="8"/>
      <c r="N26" s="8"/>
      <c r="O26" s="8"/>
      <c r="P26" s="8"/>
      <c r="Q26" s="8"/>
      <c r="R26" s="125"/>
      <c r="S26" s="126"/>
      <c r="T26" s="127"/>
      <c r="U26" s="128"/>
    </row>
    <row r="27" spans="1:21" s="10" customFormat="1">
      <c r="A27" s="8">
        <v>20</v>
      </c>
      <c r="B27" s="8"/>
      <c r="C27" s="8"/>
      <c r="D27" s="8" t="s">
        <v>85</v>
      </c>
      <c r="E27" s="25" t="s">
        <v>86</v>
      </c>
      <c r="F27" s="25"/>
      <c r="G27" s="38" t="s">
        <v>211</v>
      </c>
      <c r="H27" s="38" t="s">
        <v>140</v>
      </c>
      <c r="I27" s="8"/>
      <c r="J27" s="8" t="s">
        <v>28</v>
      </c>
      <c r="K27" s="8"/>
      <c r="L27" s="8"/>
      <c r="M27" s="8" t="s">
        <v>28</v>
      </c>
      <c r="N27" s="8"/>
      <c r="O27" s="8"/>
      <c r="P27" s="8"/>
      <c r="Q27" s="8"/>
      <c r="R27" s="125"/>
      <c r="S27" s="126"/>
      <c r="T27" s="127"/>
      <c r="U27" s="128"/>
    </row>
    <row r="28" spans="1:21" s="10" customFormat="1">
      <c r="A28" s="8">
        <v>20</v>
      </c>
      <c r="B28" s="8"/>
      <c r="C28" s="8"/>
      <c r="D28" s="8" t="s">
        <v>87</v>
      </c>
      <c r="E28" s="25" t="s">
        <v>88</v>
      </c>
      <c r="F28" s="25"/>
      <c r="G28" s="38" t="s">
        <v>212</v>
      </c>
      <c r="H28" s="38" t="s">
        <v>141</v>
      </c>
      <c r="I28" s="8"/>
      <c r="J28" s="8" t="s">
        <v>28</v>
      </c>
      <c r="K28" s="8"/>
      <c r="L28" s="8"/>
      <c r="M28" s="8" t="s">
        <v>28</v>
      </c>
      <c r="N28" s="8"/>
      <c r="O28" s="8"/>
      <c r="P28" s="8"/>
      <c r="Q28" s="8"/>
      <c r="R28" s="125"/>
      <c r="S28" s="126"/>
      <c r="T28" s="127"/>
      <c r="U28" s="128"/>
    </row>
    <row r="29" spans="1:21" s="10" customFormat="1">
      <c r="A29" s="8">
        <v>20</v>
      </c>
      <c r="B29" s="8"/>
      <c r="C29" s="8"/>
      <c r="D29" s="8" t="s">
        <v>89</v>
      </c>
      <c r="E29" s="25" t="s">
        <v>90</v>
      </c>
      <c r="F29" s="25"/>
      <c r="G29" s="38" t="s">
        <v>213</v>
      </c>
      <c r="H29" s="38" t="s">
        <v>142</v>
      </c>
      <c r="I29" s="8"/>
      <c r="J29" s="8" t="s">
        <v>28</v>
      </c>
      <c r="K29" s="8"/>
      <c r="L29" s="8"/>
      <c r="M29" s="8" t="s">
        <v>28</v>
      </c>
      <c r="N29" s="8"/>
      <c r="O29" s="8"/>
      <c r="P29" s="8"/>
      <c r="Q29" s="8"/>
      <c r="R29" s="125"/>
      <c r="S29" s="126"/>
      <c r="T29" s="127"/>
      <c r="U29" s="128"/>
    </row>
    <row r="30" spans="1:21" s="10" customFormat="1">
      <c r="A30" s="8">
        <v>20</v>
      </c>
      <c r="B30" s="8"/>
      <c r="C30" s="8"/>
      <c r="D30" s="8" t="s">
        <v>65</v>
      </c>
      <c r="E30" s="25" t="s">
        <v>91</v>
      </c>
      <c r="F30" s="25"/>
      <c r="G30" s="38" t="s">
        <v>221</v>
      </c>
      <c r="H30" s="38" t="s">
        <v>165</v>
      </c>
      <c r="I30" s="8"/>
      <c r="J30" s="8" t="s">
        <v>28</v>
      </c>
      <c r="K30" s="8"/>
      <c r="L30" s="8"/>
      <c r="M30" s="8" t="s">
        <v>28</v>
      </c>
      <c r="N30" s="8"/>
      <c r="O30" s="8"/>
      <c r="P30" s="8"/>
      <c r="Q30" s="8"/>
      <c r="R30" s="125"/>
      <c r="S30" s="126"/>
      <c r="T30" s="127"/>
      <c r="U30" s="128"/>
    </row>
    <row r="31" spans="1:21" s="10" customFormat="1">
      <c r="A31" s="8">
        <v>20</v>
      </c>
      <c r="B31" s="8"/>
      <c r="C31" s="8"/>
      <c r="D31" s="8" t="s">
        <v>66</v>
      </c>
      <c r="E31" s="25" t="s">
        <v>92</v>
      </c>
      <c r="F31" s="25"/>
      <c r="G31" s="38" t="s">
        <v>222</v>
      </c>
      <c r="H31" s="38" t="s">
        <v>166</v>
      </c>
      <c r="I31" s="8"/>
      <c r="J31" s="8" t="s">
        <v>28</v>
      </c>
      <c r="K31" s="8"/>
      <c r="L31" s="8"/>
      <c r="M31" s="8" t="s">
        <v>28</v>
      </c>
      <c r="N31" s="8"/>
      <c r="O31" s="8"/>
      <c r="P31" s="8"/>
      <c r="Q31" s="8"/>
      <c r="R31" s="125"/>
      <c r="S31" s="126"/>
      <c r="T31" s="127"/>
      <c r="U31" s="128"/>
    </row>
    <row r="32" spans="1:21" s="10" customFormat="1">
      <c r="A32" s="8">
        <v>20</v>
      </c>
      <c r="B32" s="8"/>
      <c r="C32" s="8"/>
      <c r="D32" s="8" t="s">
        <v>71</v>
      </c>
      <c r="E32" s="25" t="s">
        <v>72</v>
      </c>
      <c r="F32" s="25"/>
      <c r="G32" s="38" t="s">
        <v>223</v>
      </c>
      <c r="H32" s="38" t="s">
        <v>167</v>
      </c>
      <c r="I32" s="8"/>
      <c r="J32" s="8" t="s">
        <v>28</v>
      </c>
      <c r="K32" s="8"/>
      <c r="L32" s="8"/>
      <c r="M32" s="8" t="s">
        <v>28</v>
      </c>
      <c r="N32" s="8"/>
      <c r="O32" s="8"/>
      <c r="P32" s="8"/>
      <c r="Q32" s="8"/>
      <c r="R32" s="52"/>
      <c r="S32" s="53"/>
      <c r="T32" s="50"/>
      <c r="U32" s="51"/>
    </row>
    <row r="33" spans="1:21" s="10" customFormat="1">
      <c r="A33" s="8">
        <v>20</v>
      </c>
      <c r="B33" s="8"/>
      <c r="C33" s="8"/>
      <c r="D33" s="8" t="s">
        <v>67</v>
      </c>
      <c r="E33" s="25" t="s">
        <v>68</v>
      </c>
      <c r="F33" s="25"/>
      <c r="G33" s="38" t="s">
        <v>224</v>
      </c>
      <c r="H33" s="38" t="s">
        <v>168</v>
      </c>
      <c r="I33" s="8"/>
      <c r="J33" s="8" t="s">
        <v>28</v>
      </c>
      <c r="K33" s="8"/>
      <c r="L33" s="8"/>
      <c r="M33" s="8" t="s">
        <v>28</v>
      </c>
      <c r="N33" s="8"/>
      <c r="O33" s="8"/>
      <c r="P33" s="8"/>
      <c r="Q33" s="8"/>
      <c r="R33" s="125"/>
      <c r="S33" s="126"/>
      <c r="T33" s="127"/>
      <c r="U33" s="128"/>
    </row>
    <row r="34" spans="1:21" s="10" customFormat="1">
      <c r="A34" s="8">
        <v>20</v>
      </c>
      <c r="B34" s="8"/>
      <c r="C34" s="8"/>
      <c r="D34" s="8" t="s">
        <v>69</v>
      </c>
      <c r="E34" s="25" t="s">
        <v>70</v>
      </c>
      <c r="F34" s="25"/>
      <c r="G34" s="38" t="s">
        <v>225</v>
      </c>
      <c r="H34" s="38" t="s">
        <v>169</v>
      </c>
      <c r="I34" s="8"/>
      <c r="J34" s="8" t="s">
        <v>28</v>
      </c>
      <c r="K34" s="8"/>
      <c r="L34" s="8"/>
      <c r="M34" s="8"/>
      <c r="N34" s="8"/>
      <c r="O34" s="8"/>
      <c r="P34" s="8"/>
      <c r="Q34" s="8"/>
      <c r="R34" s="125"/>
      <c r="S34" s="126"/>
      <c r="T34" s="127"/>
      <c r="U34" s="128"/>
    </row>
    <row r="35" spans="1:21" s="10" customFormat="1">
      <c r="A35" s="8">
        <v>20</v>
      </c>
      <c r="B35" s="8"/>
      <c r="C35" s="8"/>
      <c r="D35" s="8" t="s">
        <v>35</v>
      </c>
      <c r="E35" s="25" t="s">
        <v>36</v>
      </c>
      <c r="F35" s="25"/>
      <c r="G35" s="38" t="s">
        <v>215</v>
      </c>
      <c r="H35" s="38" t="s">
        <v>144</v>
      </c>
      <c r="I35" s="8"/>
      <c r="J35" s="8" t="s">
        <v>28</v>
      </c>
      <c r="K35" s="8"/>
      <c r="L35" s="8"/>
      <c r="M35" s="8" t="s">
        <v>28</v>
      </c>
      <c r="N35" s="8"/>
      <c r="O35" s="8"/>
      <c r="P35" s="8"/>
      <c r="Q35" s="8"/>
      <c r="R35" s="125"/>
      <c r="S35" s="126"/>
      <c r="T35" s="127"/>
      <c r="U35" s="128"/>
    </row>
    <row r="36" spans="1:21" s="10" customFormat="1">
      <c r="A36" s="8">
        <v>20</v>
      </c>
      <c r="B36" s="8"/>
      <c r="C36" s="8"/>
      <c r="D36" s="8" t="s">
        <v>73</v>
      </c>
      <c r="E36" s="25" t="s">
        <v>91</v>
      </c>
      <c r="F36" s="25"/>
      <c r="G36" s="38" t="s">
        <v>226</v>
      </c>
      <c r="H36" s="38" t="s">
        <v>170</v>
      </c>
      <c r="I36" s="8"/>
      <c r="J36" s="8" t="s">
        <v>28</v>
      </c>
      <c r="K36" s="8"/>
      <c r="L36" s="8"/>
      <c r="M36" s="8" t="s">
        <v>28</v>
      </c>
      <c r="N36" s="8"/>
      <c r="O36" s="8"/>
      <c r="P36" s="8"/>
      <c r="Q36" s="8"/>
      <c r="R36" s="125"/>
      <c r="S36" s="126"/>
      <c r="T36" s="127"/>
      <c r="U36" s="128"/>
    </row>
    <row r="37" spans="1:21" s="10" customFormat="1">
      <c r="A37" s="8">
        <v>20</v>
      </c>
      <c r="B37" s="8"/>
      <c r="C37" s="8"/>
      <c r="D37" s="8" t="s">
        <v>74</v>
      </c>
      <c r="E37" s="25" t="s">
        <v>92</v>
      </c>
      <c r="F37" s="25"/>
      <c r="G37" s="38" t="s">
        <v>227</v>
      </c>
      <c r="H37" s="38" t="s">
        <v>171</v>
      </c>
      <c r="I37" s="8"/>
      <c r="J37" s="8" t="s">
        <v>28</v>
      </c>
      <c r="K37" s="8"/>
      <c r="L37" s="8"/>
      <c r="M37" s="8" t="s">
        <v>28</v>
      </c>
      <c r="N37" s="8"/>
      <c r="O37" s="8"/>
      <c r="P37" s="8"/>
      <c r="Q37" s="8"/>
      <c r="R37" s="125"/>
      <c r="S37" s="126"/>
      <c r="T37" s="127"/>
      <c r="U37" s="128"/>
    </row>
    <row r="38" spans="1:21" s="10" customFormat="1">
      <c r="A38" s="8">
        <v>20</v>
      </c>
      <c r="B38" s="8"/>
      <c r="C38" s="8"/>
      <c r="D38" s="8" t="s">
        <v>77</v>
      </c>
      <c r="E38" s="25" t="s">
        <v>72</v>
      </c>
      <c r="F38" s="25"/>
      <c r="G38" s="38" t="s">
        <v>228</v>
      </c>
      <c r="H38" s="38" t="s">
        <v>172</v>
      </c>
      <c r="I38" s="8"/>
      <c r="J38" s="8" t="s">
        <v>28</v>
      </c>
      <c r="K38" s="8"/>
      <c r="L38" s="8"/>
      <c r="M38" s="8" t="s">
        <v>28</v>
      </c>
      <c r="N38" s="8"/>
      <c r="O38" s="8"/>
      <c r="P38" s="8"/>
      <c r="Q38" s="8"/>
      <c r="R38" s="52"/>
      <c r="S38" s="53"/>
      <c r="T38" s="50"/>
      <c r="U38" s="51"/>
    </row>
    <row r="39" spans="1:21" s="10" customFormat="1">
      <c r="A39" s="8">
        <v>20</v>
      </c>
      <c r="B39" s="8"/>
      <c r="C39" s="8"/>
      <c r="D39" s="8" t="s">
        <v>75</v>
      </c>
      <c r="E39" s="25" t="s">
        <v>68</v>
      </c>
      <c r="F39" s="25"/>
      <c r="G39" s="38" t="s">
        <v>229</v>
      </c>
      <c r="H39" s="38" t="s">
        <v>173</v>
      </c>
      <c r="I39" s="8"/>
      <c r="J39" s="8" t="s">
        <v>28</v>
      </c>
      <c r="K39" s="8"/>
      <c r="L39" s="8"/>
      <c r="M39" s="8" t="s">
        <v>28</v>
      </c>
      <c r="N39" s="8"/>
      <c r="O39" s="8"/>
      <c r="P39" s="8"/>
      <c r="Q39" s="8"/>
      <c r="R39" s="52"/>
      <c r="S39" s="53"/>
      <c r="T39" s="50"/>
      <c r="U39" s="51"/>
    </row>
    <row r="40" spans="1:21" s="10" customFormat="1">
      <c r="A40" s="8">
        <v>20</v>
      </c>
      <c r="B40" s="8"/>
      <c r="C40" s="8"/>
      <c r="D40" s="8" t="s">
        <v>76</v>
      </c>
      <c r="E40" s="25" t="s">
        <v>70</v>
      </c>
      <c r="F40" s="25"/>
      <c r="G40" s="38" t="s">
        <v>230</v>
      </c>
      <c r="H40" s="38" t="s">
        <v>174</v>
      </c>
      <c r="I40" s="8"/>
      <c r="J40" s="8" t="s">
        <v>28</v>
      </c>
      <c r="K40" s="8"/>
      <c r="L40" s="8"/>
      <c r="M40" s="8"/>
      <c r="N40" s="8"/>
      <c r="O40" s="8"/>
      <c r="P40" s="8"/>
      <c r="Q40" s="8"/>
      <c r="R40" s="52"/>
      <c r="S40" s="53"/>
      <c r="T40" s="50"/>
      <c r="U40" s="51"/>
    </row>
    <row r="41" spans="1:21" s="10" customFormat="1">
      <c r="A41" s="8">
        <v>20</v>
      </c>
      <c r="B41" s="8"/>
      <c r="C41" s="8"/>
      <c r="D41" s="8" t="s">
        <v>78</v>
      </c>
      <c r="E41" s="25" t="s">
        <v>79</v>
      </c>
      <c r="F41" s="25"/>
      <c r="G41" s="38" t="s">
        <v>231</v>
      </c>
      <c r="H41" s="38" t="s">
        <v>175</v>
      </c>
      <c r="I41" s="8"/>
      <c r="J41" s="8" t="s">
        <v>28</v>
      </c>
      <c r="K41" s="8"/>
      <c r="L41" s="8"/>
      <c r="M41" s="8" t="s">
        <v>28</v>
      </c>
      <c r="N41" s="8"/>
      <c r="O41" s="8"/>
      <c r="P41" s="8"/>
      <c r="Q41" s="8"/>
      <c r="R41" s="52"/>
      <c r="S41" s="53"/>
      <c r="T41" s="50"/>
      <c r="U41" s="51"/>
    </row>
    <row r="42" spans="1:21" s="10" customFormat="1">
      <c r="A42" s="8">
        <v>20</v>
      </c>
      <c r="B42" s="8"/>
      <c r="C42" s="8"/>
      <c r="D42" s="8" t="s">
        <v>93</v>
      </c>
      <c r="E42" s="25" t="s">
        <v>91</v>
      </c>
      <c r="F42" s="25"/>
      <c r="G42" s="38" t="s">
        <v>232</v>
      </c>
      <c r="H42" s="38" t="s">
        <v>176</v>
      </c>
      <c r="I42" s="8"/>
      <c r="J42" s="8" t="s">
        <v>28</v>
      </c>
      <c r="K42" s="8"/>
      <c r="L42" s="8"/>
      <c r="M42" s="8" t="s">
        <v>28</v>
      </c>
      <c r="N42" s="8"/>
      <c r="O42" s="8"/>
      <c r="P42" s="8"/>
      <c r="Q42" s="8"/>
      <c r="R42" s="52"/>
      <c r="S42" s="53"/>
      <c r="T42" s="50"/>
      <c r="U42" s="51"/>
    </row>
    <row r="43" spans="1:21" s="10" customFormat="1">
      <c r="A43" s="8">
        <v>20</v>
      </c>
      <c r="B43" s="8"/>
      <c r="C43" s="8"/>
      <c r="D43" s="8" t="s">
        <v>94</v>
      </c>
      <c r="E43" s="25" t="s">
        <v>92</v>
      </c>
      <c r="F43" s="25"/>
      <c r="G43" s="38" t="s">
        <v>233</v>
      </c>
      <c r="H43" s="38" t="s">
        <v>177</v>
      </c>
      <c r="I43" s="8"/>
      <c r="J43" s="8" t="s">
        <v>28</v>
      </c>
      <c r="K43" s="8"/>
      <c r="L43" s="8"/>
      <c r="M43" s="8" t="s">
        <v>28</v>
      </c>
      <c r="N43" s="8"/>
      <c r="O43" s="8"/>
      <c r="P43" s="8"/>
      <c r="Q43" s="8"/>
      <c r="R43" s="52"/>
      <c r="S43" s="53"/>
      <c r="T43" s="50"/>
      <c r="U43" s="51"/>
    </row>
    <row r="44" spans="1:21" s="10" customFormat="1">
      <c r="A44" s="8">
        <v>20</v>
      </c>
      <c r="B44" s="8"/>
      <c r="C44" s="8"/>
      <c r="D44" s="8" t="s">
        <v>95</v>
      </c>
      <c r="E44" s="25" t="s">
        <v>72</v>
      </c>
      <c r="F44" s="25"/>
      <c r="G44" s="38" t="s">
        <v>234</v>
      </c>
      <c r="H44" s="38" t="s">
        <v>178</v>
      </c>
      <c r="I44" s="8"/>
      <c r="J44" s="8" t="s">
        <v>28</v>
      </c>
      <c r="K44" s="8"/>
      <c r="L44" s="8"/>
      <c r="M44" s="8" t="s">
        <v>28</v>
      </c>
      <c r="N44" s="8"/>
      <c r="O44" s="8"/>
      <c r="P44" s="8"/>
      <c r="Q44" s="8"/>
      <c r="R44" s="125"/>
      <c r="S44" s="126"/>
      <c r="T44" s="127"/>
      <c r="U44" s="128"/>
    </row>
    <row r="45" spans="1:21" s="10" customFormat="1">
      <c r="A45" s="57"/>
      <c r="U45" s="39"/>
    </row>
    <row r="46" spans="1:21" s="10" customFormat="1">
      <c r="A46" s="57"/>
      <c r="U46" s="39"/>
    </row>
    <row r="47" spans="1:21" s="10" customFormat="1">
      <c r="A47" s="57"/>
      <c r="U47" s="39"/>
    </row>
    <row r="48" spans="1:21" s="10" customFormat="1">
      <c r="A48" s="57"/>
      <c r="U48" s="39"/>
    </row>
    <row r="49" spans="1:21" s="10" customFormat="1">
      <c r="A49" s="57"/>
      <c r="U49" s="39"/>
    </row>
    <row r="50" spans="1:21" s="10" customFormat="1">
      <c r="A50" s="57"/>
      <c r="U50" s="39"/>
    </row>
    <row r="51" spans="1:21" s="10" customFormat="1">
      <c r="A51" s="57"/>
      <c r="U51" s="39"/>
    </row>
    <row r="52" spans="1:21" s="10" customFormat="1">
      <c r="A52" s="6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40"/>
    </row>
  </sheetData>
  <mergeCells count="41">
    <mergeCell ref="R37:S37"/>
    <mergeCell ref="T37:U37"/>
    <mergeCell ref="R44:S44"/>
    <mergeCell ref="T44:U44"/>
    <mergeCell ref="R34:S34"/>
    <mergeCell ref="T34:U34"/>
    <mergeCell ref="R35:S35"/>
    <mergeCell ref="T35:U35"/>
    <mergeCell ref="R36:S36"/>
    <mergeCell ref="T36:U36"/>
    <mergeCell ref="R30:S30"/>
    <mergeCell ref="T30:U30"/>
    <mergeCell ref="R31:S31"/>
    <mergeCell ref="T31:U31"/>
    <mergeCell ref="R33:S33"/>
    <mergeCell ref="T33:U33"/>
    <mergeCell ref="R27:S27"/>
    <mergeCell ref="T27:U27"/>
    <mergeCell ref="R28:S28"/>
    <mergeCell ref="T28:U28"/>
    <mergeCell ref="R29:S29"/>
    <mergeCell ref="T29:U29"/>
    <mergeCell ref="T8:U8"/>
    <mergeCell ref="R9:S9"/>
    <mergeCell ref="T9:U9"/>
    <mergeCell ref="T11:U11"/>
    <mergeCell ref="R21:S21"/>
    <mergeCell ref="T21:U21"/>
    <mergeCell ref="R12:S12"/>
    <mergeCell ref="T12:U12"/>
    <mergeCell ref="R13:S13"/>
    <mergeCell ref="T13:U13"/>
    <mergeCell ref="T20:U20"/>
    <mergeCell ref="R26:S26"/>
    <mergeCell ref="T26:U26"/>
    <mergeCell ref="R22:S22"/>
    <mergeCell ref="T22:U22"/>
    <mergeCell ref="R24:S24"/>
    <mergeCell ref="T24:U24"/>
    <mergeCell ref="R25:S25"/>
    <mergeCell ref="T25:U2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>
    <pageSetUpPr fitToPage="1"/>
  </sheetPr>
  <dimension ref="A1:U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126</v>
      </c>
      <c r="B1" s="54" t="s">
        <v>126</v>
      </c>
      <c r="C1" s="54"/>
      <c r="D1" s="1" t="s">
        <v>127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126</v>
      </c>
      <c r="B2" s="22"/>
      <c r="C2" s="22"/>
      <c r="D2" s="67" t="s">
        <v>193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MSBDL4010</v>
      </c>
      <c r="I2" s="7" t="s">
        <v>19</v>
      </c>
      <c r="J2" s="8" t="s">
        <v>49</v>
      </c>
      <c r="K2" s="7" t="s">
        <v>122</v>
      </c>
      <c r="L2" s="56" t="str">
        <f>IF(LogicCommon!G2="","",LogicCommon!G2)</f>
        <v>MC</v>
      </c>
      <c r="M2" s="5" t="s">
        <v>128</v>
      </c>
      <c r="N2" s="23" t="s">
        <v>186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126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MSBD</v>
      </c>
      <c r="G3" s="7" t="s">
        <v>3</v>
      </c>
      <c r="H3" s="56" t="str">
        <f>IF(LogicCommon!E3="","",LogicCommon!E3)</f>
        <v>MSBDL_PoCrctRsnReg</v>
      </c>
      <c r="I3" s="7" t="s">
        <v>129</v>
      </c>
      <c r="J3" s="8" t="s">
        <v>59</v>
      </c>
      <c r="K3" s="7" t="s">
        <v>124</v>
      </c>
      <c r="L3" s="56" t="str">
        <f>IF(LogicCommon!G3="","",LogicCommon!G3)</f>
        <v/>
      </c>
      <c r="M3" s="60"/>
      <c r="N3" s="7"/>
      <c r="O3" s="7" t="s">
        <v>130</v>
      </c>
      <c r="P3" s="8" t="s">
        <v>145</v>
      </c>
      <c r="Q3" s="4"/>
      <c r="R3" s="5"/>
      <c r="S3" s="5"/>
      <c r="T3" s="5"/>
      <c r="U3" s="5"/>
    </row>
    <row r="4" spans="1:21" s="10" customFormat="1">
      <c r="A4" s="57" t="s">
        <v>126</v>
      </c>
      <c r="B4" s="58"/>
      <c r="C4" s="58"/>
      <c r="D4" s="4"/>
      <c r="E4" s="7" t="s">
        <v>20</v>
      </c>
      <c r="F4" s="61" t="s">
        <v>131</v>
      </c>
      <c r="G4" s="7" t="s">
        <v>4</v>
      </c>
      <c r="H4" s="56" t="str">
        <f>IF(LogicCommon!E4="","",LogicCommon!E4)</f>
        <v>発注訂正理由登録</v>
      </c>
      <c r="I4" s="7" t="s">
        <v>132</v>
      </c>
      <c r="J4" s="8" t="s">
        <v>50</v>
      </c>
      <c r="K4" s="7" t="s">
        <v>5</v>
      </c>
      <c r="L4" s="56" t="str">
        <f>IF(LogicCommon!G4="","",LogicCommon!G4)</f>
        <v>MS.MSUDL5010</v>
      </c>
      <c r="M4" s="62" t="s">
        <v>146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126</v>
      </c>
      <c r="B5" s="54"/>
      <c r="C5" s="54"/>
      <c r="D5" s="21"/>
      <c r="E5" s="7" t="s">
        <v>133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126</v>
      </c>
      <c r="B6" s="58"/>
      <c r="C6" s="58"/>
      <c r="D6" s="4" t="s">
        <v>8</v>
      </c>
      <c r="E6" s="12" t="s">
        <v>102</v>
      </c>
      <c r="F6" s="12"/>
      <c r="G6" s="12"/>
      <c r="H6" s="12"/>
      <c r="I6" s="12"/>
      <c r="J6" s="12"/>
      <c r="K6" s="12"/>
      <c r="L6" s="66"/>
      <c r="M6" s="15" t="s">
        <v>125</v>
      </c>
      <c r="N6" s="15"/>
      <c r="O6" s="15" t="s">
        <v>125</v>
      </c>
      <c r="P6" s="15"/>
      <c r="Q6" s="15" t="s">
        <v>125</v>
      </c>
      <c r="R6" s="4"/>
      <c r="S6" s="4"/>
      <c r="T6" s="4"/>
      <c r="U6" s="4"/>
    </row>
    <row r="7" spans="1:21" s="10" customFormat="1" ht="26">
      <c r="A7" s="22" t="s">
        <v>44</v>
      </c>
      <c r="B7" s="22"/>
      <c r="C7" s="22"/>
      <c r="D7" s="6"/>
      <c r="E7" s="6"/>
      <c r="F7" s="6"/>
      <c r="G7" s="6"/>
      <c r="H7" s="6"/>
      <c r="I7" s="6" t="s">
        <v>45</v>
      </c>
      <c r="J7" s="6"/>
      <c r="K7" s="8" t="s">
        <v>46</v>
      </c>
      <c r="L7" s="24" t="s">
        <v>47</v>
      </c>
      <c r="M7" s="25" t="s">
        <v>99</v>
      </c>
      <c r="N7" s="24" t="s">
        <v>107</v>
      </c>
      <c r="O7" s="25" t="s">
        <v>117</v>
      </c>
      <c r="P7" s="24" t="s">
        <v>47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68"/>
      <c r="C8" s="69"/>
      <c r="D8" s="24" t="s">
        <v>194</v>
      </c>
      <c r="E8" s="24" t="s">
        <v>195</v>
      </c>
      <c r="F8" s="66"/>
      <c r="G8" s="24" t="s">
        <v>147</v>
      </c>
      <c r="H8" s="24" t="s">
        <v>196</v>
      </c>
      <c r="I8" s="66"/>
      <c r="J8" s="3"/>
      <c r="K8" s="8"/>
      <c r="L8" s="24" t="s">
        <v>25</v>
      </c>
      <c r="M8" s="25" t="s">
        <v>115</v>
      </c>
      <c r="N8" s="24" t="s">
        <v>180</v>
      </c>
      <c r="O8" s="25" t="s">
        <v>116</v>
      </c>
      <c r="P8" s="24" t="s">
        <v>25</v>
      </c>
      <c r="Q8" s="25"/>
      <c r="R8" s="3"/>
      <c r="S8" s="21"/>
      <c r="T8" s="125" t="s">
        <v>205</v>
      </c>
      <c r="U8" s="126"/>
    </row>
    <row r="9" spans="1:21" s="10" customFormat="1" ht="60" customHeight="1">
      <c r="A9" s="8" t="s">
        <v>21</v>
      </c>
      <c r="B9" s="28"/>
      <c r="C9" s="29"/>
      <c r="D9" s="24" t="s">
        <v>216</v>
      </c>
      <c r="E9" s="52" t="s">
        <v>217</v>
      </c>
      <c r="F9" s="24" t="s">
        <v>199</v>
      </c>
      <c r="G9" s="24" t="s">
        <v>200</v>
      </c>
      <c r="H9" s="24" t="s">
        <v>201</v>
      </c>
      <c r="I9" s="53" t="s">
        <v>202</v>
      </c>
      <c r="J9" s="24" t="s">
        <v>203</v>
      </c>
      <c r="K9" s="67"/>
      <c r="L9" s="53"/>
      <c r="M9" s="24"/>
      <c r="N9" s="24"/>
      <c r="O9" s="24"/>
      <c r="P9" s="24"/>
      <c r="Q9" s="24"/>
      <c r="R9" s="125" t="s">
        <v>204</v>
      </c>
      <c r="S9" s="126"/>
      <c r="T9" s="125" t="s">
        <v>206</v>
      </c>
      <c r="U9" s="126"/>
    </row>
    <row r="10" spans="1:21" s="10" customFormat="1" ht="39">
      <c r="A10" s="28" t="s">
        <v>26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202</v>
      </c>
      <c r="M10" s="24" t="s">
        <v>203</v>
      </c>
      <c r="N10" s="24" t="s">
        <v>202</v>
      </c>
      <c r="O10" s="24" t="s">
        <v>203</v>
      </c>
      <c r="P10" s="24" t="s">
        <v>202</v>
      </c>
      <c r="Q10" s="24" t="s">
        <v>203</v>
      </c>
      <c r="R10" s="30"/>
      <c r="S10" s="30"/>
      <c r="T10" s="35"/>
      <c r="U10" s="49"/>
    </row>
    <row r="11" spans="1:21" s="10" customFormat="1" ht="39">
      <c r="A11" s="8">
        <v>10</v>
      </c>
      <c r="B11" s="28" t="s">
        <v>27</v>
      </c>
      <c r="C11" s="29"/>
      <c r="D11" s="23" t="s">
        <v>51</v>
      </c>
      <c r="E11" s="26" t="s">
        <v>34</v>
      </c>
      <c r="F11" s="36"/>
      <c r="G11" s="23" t="s">
        <v>53</v>
      </c>
      <c r="H11" s="27" t="s">
        <v>149</v>
      </c>
      <c r="I11" s="37"/>
      <c r="J11" s="33"/>
      <c r="K11" s="33"/>
      <c r="L11" s="26" t="s">
        <v>106</v>
      </c>
      <c r="M11" s="26"/>
      <c r="N11" s="26" t="s">
        <v>109</v>
      </c>
      <c r="O11" s="26"/>
      <c r="P11" s="26"/>
      <c r="Q11" s="26"/>
      <c r="R11" s="37"/>
      <c r="S11" s="36"/>
      <c r="T11" s="127"/>
      <c r="U11" s="128"/>
    </row>
    <row r="12" spans="1:21" s="10" customFormat="1">
      <c r="A12" s="8">
        <v>10</v>
      </c>
      <c r="B12" s="8"/>
      <c r="C12" s="8"/>
      <c r="D12" s="8" t="s">
        <v>32</v>
      </c>
      <c r="E12" s="25" t="s">
        <v>38</v>
      </c>
      <c r="F12" s="25"/>
      <c r="G12" s="38" t="s">
        <v>207</v>
      </c>
      <c r="H12" s="38" t="s">
        <v>151</v>
      </c>
      <c r="I12" s="8" t="s">
        <v>28</v>
      </c>
      <c r="J12" s="8"/>
      <c r="K12" s="8"/>
      <c r="L12" s="8" t="s">
        <v>135</v>
      </c>
      <c r="M12" s="8"/>
      <c r="N12" s="8" t="s">
        <v>135</v>
      </c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33</v>
      </c>
      <c r="E13" s="25" t="s">
        <v>39</v>
      </c>
      <c r="F13" s="25"/>
      <c r="G13" s="38" t="s">
        <v>208</v>
      </c>
      <c r="H13" s="38" t="s">
        <v>152</v>
      </c>
      <c r="I13" s="8" t="s">
        <v>28</v>
      </c>
      <c r="J13" s="8"/>
      <c r="K13" s="8"/>
      <c r="L13" s="8" t="s">
        <v>135</v>
      </c>
      <c r="M13" s="8"/>
      <c r="N13" s="8" t="s">
        <v>135</v>
      </c>
      <c r="O13" s="8"/>
      <c r="P13" s="8"/>
      <c r="Q13" s="8"/>
      <c r="R13" s="125"/>
      <c r="S13" s="126"/>
      <c r="T13" s="127"/>
      <c r="U13" s="128"/>
    </row>
    <row r="14" spans="1:21" s="10" customFormat="1">
      <c r="A14" s="8">
        <v>10</v>
      </c>
      <c r="B14" s="8"/>
      <c r="C14" s="8"/>
      <c r="D14" s="8" t="s">
        <v>40</v>
      </c>
      <c r="E14" s="25" t="s">
        <v>41</v>
      </c>
      <c r="F14" s="25"/>
      <c r="G14" s="38" t="s">
        <v>209</v>
      </c>
      <c r="H14" s="38" t="s">
        <v>153</v>
      </c>
      <c r="I14" s="8" t="s">
        <v>28</v>
      </c>
      <c r="J14" s="8"/>
      <c r="K14" s="8"/>
      <c r="L14" s="8" t="s">
        <v>135</v>
      </c>
      <c r="M14" s="8"/>
      <c r="N14" s="8" t="s">
        <v>135</v>
      </c>
      <c r="O14" s="8"/>
      <c r="P14" s="8"/>
      <c r="Q14" s="8"/>
      <c r="R14" s="125"/>
      <c r="S14" s="126"/>
      <c r="T14" s="127"/>
      <c r="U14" s="128"/>
    </row>
    <row r="15" spans="1:21" s="10" customFormat="1" ht="26">
      <c r="A15" s="8">
        <v>10</v>
      </c>
      <c r="B15" s="8"/>
      <c r="C15" s="8"/>
      <c r="D15" s="8" t="s">
        <v>42</v>
      </c>
      <c r="E15" s="25" t="s">
        <v>43</v>
      </c>
      <c r="F15" s="25"/>
      <c r="G15" s="38" t="s">
        <v>210</v>
      </c>
      <c r="H15" s="38" t="s">
        <v>138</v>
      </c>
      <c r="I15" s="8" t="s">
        <v>28</v>
      </c>
      <c r="J15" s="8"/>
      <c r="K15" s="8"/>
      <c r="L15" s="8" t="s">
        <v>135</v>
      </c>
      <c r="M15" s="8"/>
      <c r="N15" s="8" t="s">
        <v>135</v>
      </c>
      <c r="O15" s="8"/>
      <c r="P15" s="8"/>
      <c r="Q15" s="8"/>
      <c r="R15" s="125"/>
      <c r="S15" s="126"/>
      <c r="T15" s="127"/>
      <c r="U15" s="128"/>
    </row>
    <row r="16" spans="1:21" s="10" customFormat="1">
      <c r="A16" s="8">
        <v>10</v>
      </c>
      <c r="B16" s="8"/>
      <c r="C16" s="8"/>
      <c r="D16" s="8" t="s">
        <v>85</v>
      </c>
      <c r="E16" s="25" t="s">
        <v>86</v>
      </c>
      <c r="F16" s="25"/>
      <c r="G16" s="38" t="s">
        <v>211</v>
      </c>
      <c r="H16" s="38" t="s">
        <v>154</v>
      </c>
      <c r="I16" s="8" t="s">
        <v>135</v>
      </c>
      <c r="J16" s="8"/>
      <c r="K16" s="8"/>
      <c r="L16" s="8" t="s">
        <v>135</v>
      </c>
      <c r="M16" s="8"/>
      <c r="N16" s="8" t="s">
        <v>135</v>
      </c>
      <c r="O16" s="8"/>
      <c r="P16" s="8"/>
      <c r="Q16" s="8"/>
      <c r="R16" s="52"/>
      <c r="S16" s="53"/>
      <c r="T16" s="50"/>
      <c r="U16" s="51"/>
    </row>
    <row r="17" spans="1:21" s="10" customFormat="1">
      <c r="A17" s="8">
        <v>10</v>
      </c>
      <c r="B17" s="8"/>
      <c r="C17" s="8"/>
      <c r="D17" s="8" t="s">
        <v>87</v>
      </c>
      <c r="E17" s="25" t="s">
        <v>88</v>
      </c>
      <c r="F17" s="25"/>
      <c r="G17" s="38" t="s">
        <v>212</v>
      </c>
      <c r="H17" s="38" t="s">
        <v>155</v>
      </c>
      <c r="I17" s="8" t="s">
        <v>135</v>
      </c>
      <c r="J17" s="8"/>
      <c r="K17" s="8"/>
      <c r="L17" s="8" t="s">
        <v>135</v>
      </c>
      <c r="M17" s="8"/>
      <c r="N17" s="8" t="s">
        <v>135</v>
      </c>
      <c r="O17" s="8"/>
      <c r="P17" s="8"/>
      <c r="Q17" s="8"/>
      <c r="R17" s="52"/>
      <c r="S17" s="53"/>
      <c r="T17" s="50"/>
      <c r="U17" s="51"/>
    </row>
    <row r="18" spans="1:21" s="10" customFormat="1">
      <c r="A18" s="8">
        <v>10</v>
      </c>
      <c r="B18" s="8"/>
      <c r="C18" s="8"/>
      <c r="D18" s="8" t="s">
        <v>89</v>
      </c>
      <c r="E18" s="25" t="s">
        <v>90</v>
      </c>
      <c r="F18" s="25"/>
      <c r="G18" s="38" t="s">
        <v>213</v>
      </c>
      <c r="H18" s="38" t="s">
        <v>156</v>
      </c>
      <c r="I18" s="8" t="s">
        <v>135</v>
      </c>
      <c r="J18" s="8"/>
      <c r="K18" s="8"/>
      <c r="L18" s="8" t="s">
        <v>135</v>
      </c>
      <c r="M18" s="8"/>
      <c r="N18" s="8" t="s">
        <v>135</v>
      </c>
      <c r="O18" s="8"/>
      <c r="P18" s="8"/>
      <c r="Q18" s="8"/>
      <c r="R18" s="52"/>
      <c r="S18" s="53"/>
      <c r="T18" s="50"/>
      <c r="U18" s="51"/>
    </row>
    <row r="19" spans="1:21" s="10" customFormat="1">
      <c r="A19" s="8">
        <v>10</v>
      </c>
      <c r="B19" s="8"/>
      <c r="C19" s="8"/>
      <c r="D19" s="8" t="s">
        <v>97</v>
      </c>
      <c r="E19" s="25" t="s">
        <v>83</v>
      </c>
      <c r="F19" s="25"/>
      <c r="G19" s="38" t="s">
        <v>214</v>
      </c>
      <c r="H19" s="38" t="s">
        <v>157</v>
      </c>
      <c r="I19" s="8" t="s">
        <v>135</v>
      </c>
      <c r="J19" s="8"/>
      <c r="K19" s="8"/>
      <c r="L19" s="8" t="s">
        <v>135</v>
      </c>
      <c r="M19" s="8"/>
      <c r="N19" s="8" t="s">
        <v>135</v>
      </c>
      <c r="O19" s="8"/>
      <c r="P19" s="8"/>
      <c r="Q19" s="8"/>
      <c r="R19" s="52"/>
      <c r="S19" s="53"/>
      <c r="T19" s="50"/>
      <c r="U19" s="51"/>
    </row>
    <row r="20" spans="1:21" s="10" customFormat="1">
      <c r="A20" s="8">
        <v>10</v>
      </c>
      <c r="B20" s="8"/>
      <c r="C20" s="8"/>
      <c r="D20" s="8" t="s">
        <v>35</v>
      </c>
      <c r="E20" s="25" t="s">
        <v>36</v>
      </c>
      <c r="F20" s="25"/>
      <c r="G20" s="38" t="s">
        <v>215</v>
      </c>
      <c r="H20" s="38" t="s">
        <v>158</v>
      </c>
      <c r="I20" s="8" t="s">
        <v>28</v>
      </c>
      <c r="J20" s="8"/>
      <c r="K20" s="8"/>
      <c r="L20" s="8" t="s">
        <v>135</v>
      </c>
      <c r="M20" s="8"/>
      <c r="N20" s="8" t="s">
        <v>135</v>
      </c>
      <c r="O20" s="8"/>
      <c r="P20" s="8"/>
      <c r="Q20" s="8"/>
      <c r="R20" s="125"/>
      <c r="S20" s="126"/>
      <c r="T20" s="127"/>
      <c r="U20" s="128"/>
    </row>
    <row r="21" spans="1:21" s="10" customFormat="1">
      <c r="A21" s="57"/>
      <c r="U21" s="39"/>
    </row>
    <row r="22" spans="1:21" s="10" customFormat="1">
      <c r="A22" s="57"/>
      <c r="U22" s="39"/>
    </row>
    <row r="23" spans="1:21" s="10" customFormat="1">
      <c r="A23" s="57"/>
      <c r="U23" s="39"/>
    </row>
    <row r="24" spans="1:21" s="10" customFormat="1">
      <c r="A24" s="57"/>
      <c r="U24" s="39"/>
    </row>
    <row r="25" spans="1:21" s="10" customFormat="1">
      <c r="A25" s="57"/>
      <c r="U25" s="39"/>
    </row>
    <row r="26" spans="1:21" s="10" customFormat="1">
      <c r="A26" s="57"/>
      <c r="U26" s="39"/>
    </row>
    <row r="27" spans="1:21" s="10" customFormat="1">
      <c r="A27" s="57"/>
      <c r="U27" s="39"/>
    </row>
    <row r="28" spans="1:21" s="10" customFormat="1">
      <c r="A28" s="57"/>
      <c r="U28" s="39"/>
    </row>
    <row r="29" spans="1:21" s="10" customFormat="1">
      <c r="A29" s="57"/>
      <c r="U29" s="39"/>
    </row>
    <row r="30" spans="1:21" s="10" customFormat="1">
      <c r="A30" s="6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0"/>
    </row>
  </sheetData>
  <mergeCells count="14">
    <mergeCell ref="R15:S15"/>
    <mergeCell ref="T15:U15"/>
    <mergeCell ref="R20:S20"/>
    <mergeCell ref="T20:U20"/>
    <mergeCell ref="R14:S14"/>
    <mergeCell ref="T14:U14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126</v>
      </c>
      <c r="B1" s="54" t="s">
        <v>126</v>
      </c>
      <c r="C1" s="54"/>
      <c r="D1" s="1" t="s">
        <v>127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126</v>
      </c>
      <c r="B2" s="22"/>
      <c r="C2" s="22"/>
      <c r="D2" s="67" t="s">
        <v>193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MSBDL4010</v>
      </c>
      <c r="I2" s="7" t="s">
        <v>19</v>
      </c>
      <c r="J2" s="8" t="s">
        <v>54</v>
      </c>
      <c r="K2" s="7" t="s">
        <v>122</v>
      </c>
      <c r="L2" s="56" t="str">
        <f>IF(LogicCommon!G2="","",LogicCommon!G2)</f>
        <v>MC</v>
      </c>
      <c r="M2" s="5" t="s">
        <v>128</v>
      </c>
      <c r="N2" s="23" t="s">
        <v>187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126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MSBD</v>
      </c>
      <c r="G3" s="7" t="s">
        <v>3</v>
      </c>
      <c r="H3" s="56" t="str">
        <f>IF(LogicCommon!E3="","",LogicCommon!E3)</f>
        <v>MSBDL_PoCrctRsnReg</v>
      </c>
      <c r="I3" s="7" t="s">
        <v>129</v>
      </c>
      <c r="J3" s="8" t="s">
        <v>55</v>
      </c>
      <c r="K3" s="7" t="s">
        <v>124</v>
      </c>
      <c r="L3" s="56" t="str">
        <f>IF(LogicCommon!G3="","",LogicCommon!G3)</f>
        <v/>
      </c>
      <c r="M3" s="60"/>
      <c r="N3" s="7"/>
      <c r="O3" s="7" t="s">
        <v>130</v>
      </c>
      <c r="P3" s="8" t="s">
        <v>145</v>
      </c>
      <c r="Q3" s="4"/>
      <c r="R3" s="5"/>
      <c r="S3" s="5"/>
      <c r="T3" s="5"/>
      <c r="U3" s="5"/>
    </row>
    <row r="4" spans="1:21" s="10" customFormat="1">
      <c r="A4" s="57" t="s">
        <v>126</v>
      </c>
      <c r="B4" s="58"/>
      <c r="C4" s="58"/>
      <c r="D4" s="4"/>
      <c r="E4" s="7" t="s">
        <v>20</v>
      </c>
      <c r="F4" s="61" t="s">
        <v>131</v>
      </c>
      <c r="G4" s="7" t="s">
        <v>4</v>
      </c>
      <c r="H4" s="56" t="str">
        <f>IF(LogicCommon!E4="","",LogicCommon!E4)</f>
        <v>発注訂正理由登録</v>
      </c>
      <c r="I4" s="7" t="s">
        <v>132</v>
      </c>
      <c r="J4" s="8" t="s">
        <v>56</v>
      </c>
      <c r="K4" s="7" t="s">
        <v>5</v>
      </c>
      <c r="L4" s="56" t="str">
        <f>IF(LogicCommon!G4="","",LogicCommon!G4)</f>
        <v>MS.MSUDL5010</v>
      </c>
      <c r="M4" s="62" t="s">
        <v>146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126</v>
      </c>
      <c r="B5" s="54"/>
      <c r="C5" s="54"/>
      <c r="D5" s="21"/>
      <c r="E5" s="7" t="s">
        <v>133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126</v>
      </c>
      <c r="B6" s="58"/>
      <c r="C6" s="58"/>
      <c r="D6" s="4" t="s">
        <v>8</v>
      </c>
      <c r="E6" s="12"/>
      <c r="F6" s="12"/>
      <c r="G6" s="12"/>
      <c r="H6" s="12"/>
      <c r="I6" s="12"/>
      <c r="J6" s="12"/>
      <c r="K6" s="12"/>
      <c r="L6" s="66"/>
      <c r="M6" s="15" t="s">
        <v>125</v>
      </c>
      <c r="N6" s="15"/>
      <c r="O6" s="15" t="s">
        <v>125</v>
      </c>
      <c r="P6" s="15"/>
      <c r="Q6" s="15" t="s">
        <v>125</v>
      </c>
      <c r="R6" s="4"/>
      <c r="S6" s="4"/>
      <c r="T6" s="4"/>
      <c r="U6" s="4"/>
    </row>
    <row r="7" spans="1:21" s="10" customFormat="1" ht="26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 t="s">
        <v>99</v>
      </c>
      <c r="N7" s="24" t="s">
        <v>107</v>
      </c>
      <c r="O7" s="25" t="s">
        <v>118</v>
      </c>
      <c r="P7" s="24" t="s">
        <v>24</v>
      </c>
      <c r="Q7" s="25"/>
      <c r="R7" s="4"/>
      <c r="S7" s="4"/>
      <c r="T7" s="4"/>
      <c r="U7" s="4"/>
    </row>
    <row r="8" spans="1:21" s="10" customFormat="1" ht="60" customHeight="1">
      <c r="A8" s="25" t="s">
        <v>21</v>
      </c>
      <c r="B8" s="68"/>
      <c r="C8" s="69"/>
      <c r="D8" s="24" t="s">
        <v>194</v>
      </c>
      <c r="E8" s="24" t="s">
        <v>195</v>
      </c>
      <c r="F8" s="66"/>
      <c r="G8" s="24" t="s">
        <v>147</v>
      </c>
      <c r="H8" s="24" t="s">
        <v>196</v>
      </c>
      <c r="I8" s="66"/>
      <c r="J8" s="3"/>
      <c r="K8" s="8"/>
      <c r="L8" s="24" t="s">
        <v>25</v>
      </c>
      <c r="M8" s="25" t="s">
        <v>120</v>
      </c>
      <c r="N8" s="24" t="s">
        <v>25</v>
      </c>
      <c r="O8" s="25" t="s">
        <v>121</v>
      </c>
      <c r="P8" s="24" t="s">
        <v>25</v>
      </c>
      <c r="Q8" s="25"/>
      <c r="R8" s="3"/>
      <c r="S8" s="21"/>
      <c r="T8" s="125" t="s">
        <v>205</v>
      </c>
      <c r="U8" s="126"/>
    </row>
    <row r="9" spans="1:21" s="10" customFormat="1" ht="60" customHeight="1">
      <c r="A9" s="8" t="s">
        <v>21</v>
      </c>
      <c r="B9" s="28"/>
      <c r="C9" s="29"/>
      <c r="D9" s="24" t="s">
        <v>216</v>
      </c>
      <c r="E9" s="52" t="s">
        <v>217</v>
      </c>
      <c r="F9" s="24" t="s">
        <v>199</v>
      </c>
      <c r="G9" s="24" t="s">
        <v>200</v>
      </c>
      <c r="H9" s="24" t="s">
        <v>201</v>
      </c>
      <c r="I9" s="53" t="s">
        <v>202</v>
      </c>
      <c r="J9" s="24" t="s">
        <v>203</v>
      </c>
      <c r="K9" s="67"/>
      <c r="L9" s="53"/>
      <c r="M9" s="24"/>
      <c r="N9" s="24"/>
      <c r="O9" s="24"/>
      <c r="P9" s="24"/>
      <c r="Q9" s="24"/>
      <c r="R9" s="125" t="s">
        <v>204</v>
      </c>
      <c r="S9" s="126"/>
      <c r="T9" s="125" t="s">
        <v>206</v>
      </c>
      <c r="U9" s="126"/>
    </row>
    <row r="10" spans="1:21" s="10" customFormat="1" ht="39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202</v>
      </c>
      <c r="M10" s="24" t="s">
        <v>203</v>
      </c>
      <c r="N10" s="24" t="s">
        <v>202</v>
      </c>
      <c r="O10" s="24" t="s">
        <v>203</v>
      </c>
      <c r="P10" s="24" t="s">
        <v>202</v>
      </c>
      <c r="Q10" s="24" t="s">
        <v>203</v>
      </c>
      <c r="R10" s="30"/>
      <c r="S10" s="30"/>
      <c r="T10" s="35"/>
      <c r="U10" s="49"/>
    </row>
    <row r="11" spans="1:21" s="10" customFormat="1" ht="39">
      <c r="A11" s="8">
        <v>10</v>
      </c>
      <c r="B11" s="28" t="s">
        <v>27</v>
      </c>
      <c r="C11" s="29"/>
      <c r="D11" s="23" t="s">
        <v>57</v>
      </c>
      <c r="E11" s="26" t="s">
        <v>34</v>
      </c>
      <c r="F11" s="36"/>
      <c r="G11" s="23" t="s">
        <v>53</v>
      </c>
      <c r="H11" s="27" t="s">
        <v>159</v>
      </c>
      <c r="I11" s="37"/>
      <c r="J11" s="33"/>
      <c r="K11" s="33"/>
      <c r="L11" s="26" t="s">
        <v>110</v>
      </c>
      <c r="M11" s="26"/>
      <c r="N11" s="26" t="s">
        <v>119</v>
      </c>
      <c r="O11" s="26"/>
      <c r="P11" s="26"/>
      <c r="Q11" s="26"/>
      <c r="R11" s="37"/>
      <c r="S11" s="36"/>
      <c r="T11" s="127"/>
      <c r="U11" s="128"/>
    </row>
    <row r="12" spans="1:21" s="10" customFormat="1">
      <c r="A12" s="8">
        <v>10</v>
      </c>
      <c r="B12" s="8"/>
      <c r="C12" s="8"/>
      <c r="D12" s="8" t="s">
        <v>32</v>
      </c>
      <c r="E12" s="25" t="s">
        <v>38</v>
      </c>
      <c r="F12" s="25"/>
      <c r="G12" s="38" t="s">
        <v>207</v>
      </c>
      <c r="H12" s="38" t="s">
        <v>151</v>
      </c>
      <c r="I12" s="8" t="s">
        <v>28</v>
      </c>
      <c r="J12" s="8"/>
      <c r="K12" s="8"/>
      <c r="L12" s="8" t="s">
        <v>135</v>
      </c>
      <c r="M12" s="8"/>
      <c r="N12" s="8" t="s">
        <v>135</v>
      </c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35</v>
      </c>
      <c r="E13" s="25" t="s">
        <v>36</v>
      </c>
      <c r="F13" s="25"/>
      <c r="G13" s="38" t="s">
        <v>215</v>
      </c>
      <c r="H13" s="38" t="s">
        <v>158</v>
      </c>
      <c r="I13" s="8" t="s">
        <v>28</v>
      </c>
      <c r="J13" s="8"/>
      <c r="K13" s="8"/>
      <c r="L13" s="8" t="s">
        <v>135</v>
      </c>
      <c r="M13" s="8"/>
      <c r="N13" s="8" t="s">
        <v>135</v>
      </c>
      <c r="O13" s="8"/>
      <c r="P13" s="8"/>
      <c r="Q13" s="8"/>
      <c r="R13" s="125"/>
      <c r="S13" s="126"/>
      <c r="T13" s="127"/>
      <c r="U13" s="128"/>
    </row>
    <row r="14" spans="1:21" s="10" customFormat="1">
      <c r="A14" s="57"/>
      <c r="U14" s="39"/>
    </row>
    <row r="15" spans="1:21" s="10" customFormat="1">
      <c r="A15" s="57"/>
      <c r="U15" s="39"/>
    </row>
    <row r="16" spans="1:21" s="10" customFormat="1">
      <c r="A16" s="57"/>
      <c r="U16" s="39"/>
    </row>
    <row r="17" spans="1:21" s="10" customFormat="1">
      <c r="A17" s="57"/>
      <c r="U17" s="39"/>
    </row>
    <row r="18" spans="1:21" s="10" customFormat="1">
      <c r="A18" s="57"/>
      <c r="U18" s="39"/>
    </row>
    <row r="19" spans="1:21" s="10" customFormat="1">
      <c r="A19" s="57"/>
      <c r="U19" s="39"/>
    </row>
    <row r="20" spans="1:21" s="10" customFormat="1">
      <c r="A20" s="57"/>
      <c r="U20" s="39"/>
    </row>
    <row r="21" spans="1:21" s="10" customFormat="1">
      <c r="A21" s="57"/>
      <c r="U21" s="39"/>
    </row>
    <row r="22" spans="1:21" s="10" customFormat="1">
      <c r="A22" s="57"/>
      <c r="U22" s="39"/>
    </row>
    <row r="23" spans="1:21" s="10" customFormat="1">
      <c r="A23" s="6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0"/>
    </row>
  </sheetData>
  <mergeCells count="8">
    <mergeCell ref="R13:S13"/>
    <mergeCell ref="T13:U13"/>
    <mergeCell ref="R12:S12"/>
    <mergeCell ref="T12:U12"/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s="44" customFormat="1" ht="38.25" customHeight="1" thickBot="1">
      <c r="A1" s="103" t="s">
        <v>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106" t="s">
        <v>10</v>
      </c>
      <c r="B3" s="107"/>
      <c r="C3" s="107"/>
      <c r="D3" s="107"/>
      <c r="E3" s="107"/>
      <c r="F3" s="107"/>
      <c r="G3" s="108"/>
      <c r="H3" s="109" t="s">
        <v>11</v>
      </c>
      <c r="I3" s="107"/>
      <c r="J3" s="107"/>
      <c r="K3" s="107"/>
      <c r="L3" s="107"/>
      <c r="M3" s="107"/>
      <c r="N3" s="108"/>
      <c r="O3" s="109" t="s">
        <v>12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12" t="s">
        <v>13</v>
      </c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4"/>
    </row>
    <row r="4" spans="1:57" ht="15" customHeight="1">
      <c r="A4" s="115">
        <v>1</v>
      </c>
      <c r="B4" s="116"/>
      <c r="C4" s="116"/>
      <c r="D4" s="116"/>
      <c r="E4" s="116"/>
      <c r="F4" s="116"/>
      <c r="G4" s="117"/>
      <c r="H4" s="118"/>
      <c r="I4" s="119"/>
      <c r="J4" s="119"/>
      <c r="K4" s="119"/>
      <c r="L4" s="119"/>
      <c r="M4" s="119"/>
      <c r="N4" s="120"/>
      <c r="O4" s="118" t="s">
        <v>14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2"/>
      <c r="AQ4" s="123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4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7" t="s">
        <v>235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236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80"/>
      <c r="B6" s="81"/>
      <c r="C6" s="81"/>
      <c r="D6" s="81"/>
      <c r="E6" s="81"/>
      <c r="F6" s="81"/>
      <c r="G6" s="82"/>
      <c r="H6" s="90"/>
      <c r="I6" s="91"/>
      <c r="J6" s="91"/>
      <c r="K6" s="91"/>
      <c r="L6" s="91"/>
      <c r="M6" s="91"/>
      <c r="N6" s="92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>
      <c r="A7" s="80"/>
      <c r="B7" s="81"/>
      <c r="C7" s="81"/>
      <c r="D7" s="81"/>
      <c r="E7" s="81"/>
      <c r="F7" s="81"/>
      <c r="G7" s="82"/>
      <c r="H7" s="90"/>
      <c r="I7" s="91"/>
      <c r="J7" s="91"/>
      <c r="K7" s="91"/>
      <c r="L7" s="91"/>
      <c r="M7" s="91"/>
      <c r="N7" s="92"/>
      <c r="O7" s="8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88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6"/>
    </row>
    <row r="8" spans="1:57" ht="15" customHeight="1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PoCrctRsn_UpdChk01</vt:lpstr>
      <vt:lpstr>PoCrctRsn_Upd01</vt:lpstr>
      <vt:lpstr>PoCrctRsn_DelChk01</vt:lpstr>
      <vt:lpstr>PoCrctRsn_Del01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2026-03-27T05:57:49Z</dcterms:modified>
  <cp:category/>
</cp:coreProperties>
</file>