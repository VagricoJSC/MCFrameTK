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49C9C27F-0DF4-4E55-B632-2A6C622C4E4C}" xr6:coauthVersionLast="47" xr6:coauthVersionMax="47" xr10:uidLastSave="{00000000-0000-0000-0000-000000000000}"/>
  <bookViews>
    <workbookView xWindow="1710" yWindow="1710" windowWidth="21600" windowHeight="11265" tabRatio="794" activeTab="6" xr2:uid="{00000000-000D-0000-FFFF-FFFF00000000}"/>
  </bookViews>
  <sheets>
    <sheet name="LogicCommon" sheetId="3" r:id="rId1"/>
    <sheet name="Sls_Schd_Upd01" sheetId="10" r:id="rId2"/>
    <sheet name="Sls_Schd_Upd02" sheetId="11" r:id="rId3"/>
    <sheet name="Sls_Schd_Upd03" sheetId="12" r:id="rId4"/>
    <sheet name="Sls_Schd_Upd04" sheetId="13" r:id="rId5"/>
    <sheet name="Sls_Schd_Upd05" sheetId="14" r:id="rId6"/>
    <sheet name="来歴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14" l="1"/>
  <c r="J3" i="13"/>
  <c r="J3" i="12"/>
  <c r="J3" i="11"/>
  <c r="J3" i="10"/>
  <c r="L4" i="14" l="1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</calcChain>
</file>

<file path=xl/sharedStrings.xml><?xml version="1.0" encoding="utf-8"?>
<sst xmlns="http://schemas.openxmlformats.org/spreadsheetml/2006/main" count="904" uniqueCount="316">
  <si>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</si>
  <si>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</si>
  <si>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</si>
  <si>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</si>
  <si>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</si>
  <si>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</si>
  <si>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</si>
  <si>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</si>
  <si>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</si>
  <si>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</si>
  <si>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</si>
  <si>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</si>
  <si>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</si>
  <si>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</si>
  <si>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</si>
  <si>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</si>
  <si>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</si>
  <si>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MSBB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</si>
  <si>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</si>
  <si>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</si>
  <si>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</si>
  <si>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</si>
  <si>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</si>
  <si>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</si>
  <si>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</si>
  <si>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sls_schd_src_typ</t>
  </si>
  <si>
    <t>data_crud_typ</t>
  </si>
  <si>
    <t>#MA.DATA_CRUD_TYP</t>
  </si>
  <si>
    <t>ship_schd_no</t>
  </si>
  <si>
    <t>#MA.SHIP_SCHD_NO</t>
  </si>
  <si>
    <t>ship_inst_d_no</t>
  </si>
  <si>
    <t>#MA.SHIP_INST_D_NO</t>
  </si>
  <si>
    <t>dlv_inst_rcpt_no</t>
  </si>
  <si>
    <t>#MA.DLV_INST_RCPT_NO</t>
  </si>
  <si>
    <t>slo_d_no</t>
  </si>
  <si>
    <t>#MA.SLO_D_NO</t>
  </si>
  <si>
    <t>dlv_slip_d_no</t>
  </si>
  <si>
    <t>#MA.DLV_SLIP_D_NO</t>
  </si>
  <si>
    <t>ship_schd_dt</t>
  </si>
  <si>
    <t>#MA.DT</t>
  </si>
  <si>
    <t>dlv_schd_dt</t>
  </si>
  <si>
    <t>sls_schd_dt</t>
  </si>
  <si>
    <t>trd_unit_qty</t>
  </si>
  <si>
    <t>#MA.QTY</t>
  </si>
  <si>
    <t>trd_unit_cd</t>
  </si>
  <si>
    <t>#MA.UNIT_CD</t>
  </si>
  <si>
    <t>base_unit_qty</t>
  </si>
  <si>
    <t>base_unit_cd</t>
  </si>
  <si>
    <t>abort_flg</t>
  </si>
  <si>
    <t>#MA.FLG</t>
  </si>
  <si>
    <t>iv_d_no</t>
  </si>
  <si>
    <t>#MA.IV_D_NO</t>
  </si>
  <si>
    <t>L</t>
  </si>
  <si>
    <t>ship_act_d_no</t>
  </si>
  <si>
    <t>#MA.SHIP_ACT_D_NO</t>
  </si>
  <si>
    <t>sls_schd_no</t>
  </si>
  <si>
    <t>#MA.SLS_SCHD_NO</t>
  </si>
  <si>
    <t>base_unit_sls_qty</t>
  </si>
  <si>
    <t>Sls_Schd_Upd04_Dtl</t>
  </si>
  <si>
    <t>purc_schd_no</t>
  </si>
  <si>
    <t>po_schd_no</t>
  </si>
  <si>
    <t>#MA.PO_SCHD_NO</t>
  </si>
  <si>
    <t>wg_rqst_no</t>
  </si>
  <si>
    <t>#MA.WG_RQST_NO</t>
  </si>
  <si>
    <t>lot_no</t>
  </si>
  <si>
    <t>#MA.LOT_NO</t>
  </si>
  <si>
    <t>sublot_no</t>
  </si>
  <si>
    <t>#MA.SUBLOT_NO</t>
  </si>
  <si>
    <t>#MA.IV_SHIP_ACT_D_NO</t>
  </si>
  <si>
    <t>Sls_Schd_Upd01</t>
  </si>
  <si>
    <t>Sls_Schd_Upd02</t>
  </si>
  <si>
    <t>Sls_Schd_Upd03</t>
  </si>
  <si>
    <t>売上計上により更新</t>
  </si>
  <si>
    <t>Sls_Schd_Upd04</t>
  </si>
  <si>
    <t>000000</t>
    <phoneticPr fontId="1"/>
  </si>
  <si>
    <t>ACType :</t>
    <phoneticPr fontId="1"/>
  </si>
  <si>
    <t>ID</t>
    <phoneticPr fontId="1"/>
  </si>
  <si>
    <t>Sls_Schd_Upd05</t>
  </si>
  <si>
    <t>#MS.SLS_SCHD_SRC_TYP</t>
  </si>
  <si>
    <t>売上予定サービス</t>
    <phoneticPr fontId="2"/>
  </si>
  <si>
    <t>#MA.PURC_SCHD_NO</t>
    <phoneticPr fontId="2"/>
  </si>
  <si>
    <t>Sls_Schd_Upd01_Dtl</t>
    <phoneticPr fontId="2"/>
  </si>
  <si>
    <t>sls_schd_src_typ</t>
    <phoneticPr fontId="2"/>
  </si>
  <si>
    <t>#MS.SLS_SCHD_SRC_TYP</t>
    <phoneticPr fontId="2"/>
  </si>
  <si>
    <t>dlv_slip_d_no</t>
    <phoneticPr fontId="2"/>
  </si>
  <si>
    <t>cred_no_up_flg</t>
    <phoneticPr fontId="2"/>
  </si>
  <si>
    <t>iv_ship_act_d_no</t>
    <phoneticPr fontId="2"/>
  </si>
  <si>
    <t>MSBBL6220</t>
    <phoneticPr fontId="2"/>
  </si>
  <si>
    <t>与信更新無</t>
    <phoneticPr fontId="2"/>
  </si>
  <si>
    <t>打切</t>
    <phoneticPr fontId="2"/>
  </si>
  <si>
    <t>#MA.SHIP_ACT_D_NO</t>
    <phoneticPr fontId="2"/>
  </si>
  <si>
    <t>出荷実績明細ＮＯ</t>
    <phoneticPr fontId="2"/>
  </si>
  <si>
    <t>ship_act_d_no</t>
    <phoneticPr fontId="2"/>
  </si>
  <si>
    <t>inst_po_flg</t>
    <phoneticPr fontId="2"/>
  </si>
  <si>
    <t>iv_no</t>
    <phoneticPr fontId="2"/>
  </si>
  <si>
    <t>#MA.IV_NO</t>
    <phoneticPr fontId="2"/>
  </si>
  <si>
    <t>インボイスＮＯ</t>
    <phoneticPr fontId="2"/>
  </si>
  <si>
    <t>ship_act_flg</t>
    <phoneticPr fontId="2"/>
  </si>
  <si>
    <t>#MA.PURC_ACT_NO</t>
    <phoneticPr fontId="2"/>
  </si>
  <si>
    <t>accpt_dfct_flg</t>
    <phoneticPr fontId="2"/>
  </si>
  <si>
    <t>検収不良</t>
    <phoneticPr fontId="2"/>
  </si>
  <si>
    <t>purc_act_d_no</t>
    <phoneticPr fontId="2"/>
  </si>
  <si>
    <t>data_crud_typ</t>
    <phoneticPr fontId="2"/>
  </si>
  <si>
    <t>ship_schd_del_flg</t>
    <phoneticPr fontId="2"/>
  </si>
  <si>
    <t>Sls_Schd_Upd05_IVAct</t>
    <phoneticPr fontId="2"/>
  </si>
  <si>
    <t>sls_ret_flg</t>
    <phoneticPr fontId="2"/>
  </si>
  <si>
    <t>sls_purc_sync_flg</t>
    <phoneticPr fontId="2"/>
  </si>
  <si>
    <t>Pj.ID :</t>
    <phoneticPr fontId="1"/>
  </si>
  <si>
    <t>MSBBL_SlsSchdService</t>
    <phoneticPr fontId="2"/>
  </si>
  <si>
    <t>SuperClassPj.ID :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</si>
  <si>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</si>
  <si>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</si>
  <si>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</si>
  <si>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</si>
  <si>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</si>
  <si>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</si>
  <si>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</si>
  <si>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売上予定作成元区分</t>
    <phoneticPr fontId="2"/>
  </si>
  <si>
    <t>E</t>
    <phoneticPr fontId="1"/>
  </si>
  <si>
    <t>データ更新区分</t>
    <phoneticPr fontId="2"/>
  </si>
  <si>
    <t>出荷予定ＮＯ</t>
    <phoneticPr fontId="2"/>
  </si>
  <si>
    <t>出荷指図明細ＮＯ</t>
    <phoneticPr fontId="2"/>
  </si>
  <si>
    <t>納入指示受領ＮＯ</t>
    <phoneticPr fontId="2"/>
  </si>
  <si>
    <t>受注明細NO</t>
    <phoneticPr fontId="2"/>
  </si>
  <si>
    <t>納品書明細ＮＯ</t>
    <phoneticPr fontId="2"/>
  </si>
  <si>
    <t>出荷予定日</t>
    <phoneticPr fontId="2"/>
  </si>
  <si>
    <t>納品予定日</t>
    <phoneticPr fontId="2"/>
  </si>
  <si>
    <t>売上予定日</t>
    <phoneticPr fontId="2"/>
  </si>
  <si>
    <t>取引単位数量</t>
    <phoneticPr fontId="2"/>
  </si>
  <si>
    <t>取引単位ＣＤ</t>
    <phoneticPr fontId="2"/>
  </si>
  <si>
    <t>基準単位数量</t>
    <phoneticPr fontId="2"/>
  </si>
  <si>
    <t>基準単位ＣＤ</t>
    <phoneticPr fontId="2"/>
  </si>
  <si>
    <t>ALL</t>
    <phoneticPr fontId="1"/>
  </si>
  <si>
    <t>ImplOpe.ID:</t>
    <phoneticPr fontId="1"/>
  </si>
  <si>
    <t>super/share</t>
    <phoneticPr fontId="1"/>
  </si>
  <si>
    <t>インボイス明細ＮＯ</t>
    <phoneticPr fontId="2"/>
  </si>
  <si>
    <t>売上予定ＮＯ</t>
    <phoneticPr fontId="2"/>
  </si>
  <si>
    <t>基準単位売上数量</t>
    <phoneticPr fontId="2"/>
  </si>
  <si>
    <t>仕入予定ＮＯ</t>
    <phoneticPr fontId="2"/>
  </si>
  <si>
    <t>仕入実績明細ＮＯ</t>
    <phoneticPr fontId="2"/>
  </si>
  <si>
    <t>発注予定ＮＯ</t>
    <phoneticPr fontId="2"/>
  </si>
  <si>
    <t>WG間依頼ＮＯ</t>
    <phoneticPr fontId="2"/>
  </si>
  <si>
    <t>ロットＮＯ</t>
    <phoneticPr fontId="2"/>
  </si>
  <si>
    <t>サブロットＮＯ</t>
    <phoneticPr fontId="2"/>
  </si>
  <si>
    <t>指図・発注済</t>
    <phoneticPr fontId="2"/>
  </si>
  <si>
    <t>売上仕入同時計上</t>
    <phoneticPr fontId="2"/>
  </si>
  <si>
    <t>出荷予定削除</t>
    <phoneticPr fontId="2"/>
  </si>
  <si>
    <t>出荷予定NO</t>
    <phoneticPr fontId="2"/>
  </si>
  <si>
    <t>出荷実績</t>
    <phoneticPr fontId="2"/>
  </si>
  <si>
    <t>売上返品</t>
    <phoneticPr fontId="2"/>
  </si>
  <si>
    <t>受注明細ＮＯ</t>
    <phoneticPr fontId="2"/>
  </si>
  <si>
    <t>インボイス出荷実績明細ＮＯ</t>
    <phoneticPr fontId="2"/>
  </si>
  <si>
    <t>#MA.FLG</t>
    <phoneticPr fontId="2"/>
  </si>
  <si>
    <t>#MA.FLG</t>
    <phoneticPr fontId="2"/>
  </si>
  <si>
    <t>manual_upd_flg</t>
    <phoneticPr fontId="2"/>
  </si>
  <si>
    <t>Sls_Schd_Upd03_Dtl</t>
    <phoneticPr fontId="2"/>
  </si>
  <si>
    <t>sls_schd_dt</t>
    <phoneticPr fontId="2"/>
  </si>
  <si>
    <t>Sls_Schd_Upd02_ShipAct</t>
    <phoneticPr fontId="2"/>
  </si>
  <si>
    <t>cred_no_up_flg</t>
    <phoneticPr fontId="2"/>
  </si>
  <si>
    <t>Sls_Schd_Upd02_Dtl</t>
    <phoneticPr fontId="2"/>
  </si>
  <si>
    <t>マニュアル訂正</t>
    <phoneticPr fontId="2"/>
  </si>
  <si>
    <t>仕入直送の受注登録、発注・仕入予定変更による更新</t>
    <phoneticPr fontId="2"/>
  </si>
  <si>
    <t>dlv_cd</t>
    <phoneticPr fontId="2"/>
  </si>
  <si>
    <t>#MA.BP_CD</t>
    <phoneticPr fontId="1"/>
  </si>
  <si>
    <t>納品先ＣＤ</t>
    <phoneticPr fontId="2"/>
  </si>
  <si>
    <t>E</t>
    <phoneticPr fontId="2"/>
  </si>
  <si>
    <t>dlv_sundry_flg</t>
    <phoneticPr fontId="2"/>
  </si>
  <si>
    <t>#MA.FLG</t>
    <phoneticPr fontId="1"/>
  </si>
  <si>
    <t>納品先諸口</t>
    <phoneticPr fontId="2"/>
  </si>
  <si>
    <t>dlv_nm</t>
    <phoneticPr fontId="2"/>
  </si>
  <si>
    <t>#MA.BP_NM</t>
    <phoneticPr fontId="1"/>
  </si>
  <si>
    <t>納品先名</t>
    <phoneticPr fontId="2"/>
  </si>
  <si>
    <t>dlv_cntct_dpt</t>
    <phoneticPr fontId="2"/>
  </si>
  <si>
    <t>#MA.BP_CNTCT_DPT</t>
    <phoneticPr fontId="1"/>
  </si>
  <si>
    <t>納品先部署</t>
    <phoneticPr fontId="2"/>
  </si>
  <si>
    <t>dlv_cntct_psn</t>
    <phoneticPr fontId="2"/>
  </si>
  <si>
    <t>#MA.BP_CNTCT_PSN</t>
    <phoneticPr fontId="1"/>
  </si>
  <si>
    <t>納品先担当者</t>
    <phoneticPr fontId="2"/>
  </si>
  <si>
    <t>dlv_zip_cd</t>
    <phoneticPr fontId="2"/>
  </si>
  <si>
    <t>#MA.ZIP_CD</t>
    <phoneticPr fontId="1"/>
  </si>
  <si>
    <t>納品先郵便番号</t>
    <phoneticPr fontId="2"/>
  </si>
  <si>
    <t>dlv_addr1</t>
    <phoneticPr fontId="2"/>
  </si>
  <si>
    <t>#MA.ADDR</t>
    <phoneticPr fontId="1"/>
  </si>
  <si>
    <t>納品先住所1</t>
    <phoneticPr fontId="2"/>
  </si>
  <si>
    <t>dlv_addr2</t>
    <phoneticPr fontId="2"/>
  </si>
  <si>
    <t>納品先住所2</t>
    <phoneticPr fontId="2"/>
  </si>
  <si>
    <t>dlv_addr3</t>
    <phoneticPr fontId="2"/>
  </si>
  <si>
    <t>納品先住所3</t>
    <phoneticPr fontId="2"/>
  </si>
  <si>
    <t>dlv_addr4</t>
    <phoneticPr fontId="2"/>
  </si>
  <si>
    <t>納品先住所4</t>
    <phoneticPr fontId="2"/>
  </si>
  <si>
    <t>dlv_tel</t>
    <phoneticPr fontId="2"/>
  </si>
  <si>
    <t>#MA.TEL</t>
    <phoneticPr fontId="1"/>
  </si>
  <si>
    <t>納品先ＴＥＬ</t>
    <phoneticPr fontId="2"/>
  </si>
  <si>
    <t>dlv_fax</t>
    <phoneticPr fontId="2"/>
  </si>
  <si>
    <t>納品先ＦＡＸ</t>
    <phoneticPr fontId="2"/>
  </si>
  <si>
    <t>dlv_lg_grp_cd</t>
    <phoneticPr fontId="2"/>
  </si>
  <si>
    <t>#MA.LG_GRP_CD</t>
    <phoneticPr fontId="1"/>
  </si>
  <si>
    <t>納品先物流グループＣＤ</t>
    <phoneticPr fontId="2"/>
  </si>
  <si>
    <t>pri_prnt_flg</t>
    <phoneticPr fontId="2"/>
  </si>
  <si>
    <t>価格印字</t>
    <phoneticPr fontId="2"/>
  </si>
  <si>
    <t>tdlv_cd</t>
    <phoneticPr fontId="2"/>
  </si>
  <si>
    <t>配送先ＣＤ</t>
    <phoneticPr fontId="2"/>
  </si>
  <si>
    <t>tdlv_sundry_flg</t>
    <phoneticPr fontId="2"/>
  </si>
  <si>
    <t>配送先諸口</t>
    <phoneticPr fontId="2"/>
  </si>
  <si>
    <t>tdlv_nm</t>
    <phoneticPr fontId="2"/>
  </si>
  <si>
    <t>配送先名</t>
    <phoneticPr fontId="2"/>
  </si>
  <si>
    <t>tdlv_cntct_dpt</t>
    <phoneticPr fontId="2"/>
  </si>
  <si>
    <t>配送先部署</t>
    <phoneticPr fontId="2"/>
  </si>
  <si>
    <t>tdlv_cntct_psn</t>
    <phoneticPr fontId="2"/>
  </si>
  <si>
    <t>配送先担当者</t>
    <phoneticPr fontId="2"/>
  </si>
  <si>
    <t>tdlv_zip_cd</t>
    <phoneticPr fontId="2"/>
  </si>
  <si>
    <t>配送先郵便番号</t>
    <phoneticPr fontId="2"/>
  </si>
  <si>
    <t>tdlv_addr1</t>
    <phoneticPr fontId="2"/>
  </si>
  <si>
    <t>配送先住所1</t>
    <phoneticPr fontId="2"/>
  </si>
  <si>
    <t>tdlv_addr2</t>
    <phoneticPr fontId="2"/>
  </si>
  <si>
    <t>配送先住所2</t>
    <phoneticPr fontId="2"/>
  </si>
  <si>
    <t>tdlv_addr3</t>
    <phoneticPr fontId="2"/>
  </si>
  <si>
    <t>配送先住所3</t>
    <phoneticPr fontId="2"/>
  </si>
  <si>
    <t>tdlv_addr4</t>
    <phoneticPr fontId="2"/>
  </si>
  <si>
    <t>配送先住所4</t>
    <phoneticPr fontId="2"/>
  </si>
  <si>
    <t>tdlv_tel</t>
    <phoneticPr fontId="2"/>
  </si>
  <si>
    <t>配送先ＴＥＬ</t>
    <phoneticPr fontId="2"/>
  </si>
  <si>
    <t>tdlv_fax</t>
    <phoneticPr fontId="2"/>
  </si>
  <si>
    <t>配送先ＦＡＸ</t>
    <phoneticPr fontId="2"/>
  </si>
  <si>
    <t>tdlv_lg_grp_cd</t>
    <phoneticPr fontId="2"/>
  </si>
  <si>
    <t>配送先物流グループＣＤ</t>
    <phoneticPr fontId="2"/>
  </si>
  <si>
    <t>MS.MSUDL5010</t>
    <phoneticPr fontId="2"/>
  </si>
  <si>
    <t>"mcframe.serverMAUD.MAUDL5010.MAUDL_Operation"</t>
    <phoneticPr fontId="2"/>
  </si>
  <si>
    <t>インボイス登録、輸出実績登録による更新</t>
    <phoneticPr fontId="2"/>
  </si>
  <si>
    <t>受注有の出荷実績登録による更新</t>
    <phoneticPr fontId="2"/>
  </si>
  <si>
    <t>出荷予定変更、海外の受注登録、受注無しの出荷実績登録により更新、受注削除、出荷実績削除等による削除</t>
    <phoneticPr fontId="2"/>
  </si>
  <si>
    <t>uplnd_flg</t>
    <phoneticPr fontId="2"/>
  </si>
  <si>
    <t>計画外出荷</t>
    <rPh sb="3" eb="5">
      <t>シュッカ</t>
    </rPh>
    <phoneticPr fontId="2"/>
  </si>
  <si>
    <t>Sls_Schd_Upd05_Dtl</t>
    <phoneticPr fontId="2"/>
  </si>
  <si>
    <t>manual_add_flg</t>
    <phoneticPr fontId="2"/>
  </si>
  <si>
    <t>マニュアル追加</t>
    <rPh sb="5" eb="7">
      <t>ツイカ</t>
    </rPh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</si>
  <si>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</si>
  <si>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</si>
  <si>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</si>
  <si>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</si>
  <si>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</si>
  <si>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</si>
  <si>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</si>
  <si>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</si>
  <si>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</si>
  <si>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</si>
  <si>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</si>
  <si>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</si>
  <si>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</si>
  <si>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</si>
  <si>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Sales schedule creating source type</t>
  </si>
  <si>
    <t>Data update type</t>
  </si>
  <si>
    <t>Shipping schedule No.</t>
  </si>
  <si>
    <t>Shipping order details No.</t>
  </si>
  <si>
    <t>Delivery order received No.</t>
  </si>
  <si>
    <t>Sales order details No.</t>
  </si>
  <si>
    <t>Delivery note details No.</t>
  </si>
  <si>
    <t>Scheduled shipping date</t>
  </si>
  <si>
    <t>Scheduled delivery date</t>
  </si>
  <si>
    <t>Scheduled sales date</t>
  </si>
  <si>
    <t>Transaction unit qty.</t>
  </si>
  <si>
    <t>Transaction unit cd.</t>
  </si>
  <si>
    <t>Base unit qty.</t>
  </si>
  <si>
    <t>Base unit cd.</t>
  </si>
  <si>
    <t>Cancel remaining</t>
  </si>
  <si>
    <t>No credit update</t>
  </si>
  <si>
    <t>Invoice details No.</t>
  </si>
  <si>
    <t>Shipping result details No.</t>
  </si>
  <si>
    <t>Sales schedule No.</t>
  </si>
  <si>
    <t>Base unit sales qty.</t>
  </si>
  <si>
    <t>Manual correction</t>
  </si>
  <si>
    <t>Purchase schedule No.</t>
  </si>
  <si>
    <t>Purchase result details No.</t>
  </si>
  <si>
    <t>Defective acceptance</t>
  </si>
  <si>
    <t>PO schedule No.</t>
  </si>
  <si>
    <t>No. of inventory request from other WG</t>
  </si>
  <si>
    <t>Lot No.</t>
  </si>
  <si>
    <t>Sublot No.</t>
  </si>
  <si>
    <t>Ordered/Placed PO</t>
  </si>
  <si>
    <t>Sales and purchase simultaneously recorded</t>
  </si>
  <si>
    <t>Delete shipping schedule</t>
  </si>
  <si>
    <t>Delivery destination cd.</t>
  </si>
  <si>
    <t>Miscellaneous delivery destination</t>
  </si>
  <si>
    <t>Delivery destination name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</si>
  <si>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</si>
  <si>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</si>
  <si>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</si>
  <si>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</si>
  <si>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</si>
  <si>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</si>
  <si>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</si>
  <si>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</si>
  <si>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</si>
  <si>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distribution group cd.</t>
  </si>
  <si>
    <t>Print price</t>
  </si>
  <si>
    <t>Receiving point cd.</t>
  </si>
  <si>
    <t>Miscellaneous receiving point</t>
  </si>
  <si>
    <t>Receiving point name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</si>
  <si>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</si>
  <si>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</si>
  <si>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</si>
  <si>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</si>
  <si>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</si>
  <si>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</si>
  <si>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</si>
  <si>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</si>
  <si>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</si>
  <si>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distribution group cd.</t>
  </si>
  <si>
    <t>Invoice No.</t>
  </si>
  <si>
    <t>Shipping result</t>
  </si>
  <si>
    <t>Sales return</t>
  </si>
  <si>
    <t>Manual add</t>
  </si>
  <si>
    <t>Unplanned shipping</t>
  </si>
  <si>
    <t>Shipping invoice result details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</si>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</sst>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27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9" xfId="0" applyFont="1" applyFill="1" applyBorder="1" applyAlignment="1">
      <alignment wrapText="1"/>
    </xf>
    <xf numFmtId="0" fontId="10" fillId="2" borderId="8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9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0" xfId="0" applyFont="1" applyBorder="1">
      <alignment vertical="top" wrapText="1"/>
    </xf>
    <xf numFmtId="0" fontId="10" fillId="0" borderId="7" xfId="0" applyFont="1" applyBorder="1" applyAlignment="1">
      <alignment wrapText="1"/>
    </xf>
    <xf numFmtId="0" fontId="10" fillId="0" borderId="3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7" xfId="0" applyFont="1" applyBorder="1">
      <alignment vertical="top"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2" borderId="3" xfId="0" applyFont="1" applyFill="1" applyBorder="1" applyAlignment="1">
      <alignment vertical="top"/>
    </xf>
    <xf numFmtId="0" fontId="10" fillId="2" borderId="30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31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8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3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2" xfId="0" applyFont="1" applyBorder="1" applyAlignment="1">
      <alignment vertical="top"/>
    </xf>
    <xf numFmtId="0" fontId="10" fillId="0" borderId="9" xfId="0" applyFont="1" applyBorder="1" applyAlignment="1"/>
    <xf numFmtId="0" fontId="10" fillId="0" borderId="4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2" borderId="9" xfId="0" applyFont="1" applyFill="1" applyBorder="1">
      <alignment vertical="top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1" fillId="3" borderId="11" xfId="6" applyFont="1" applyFill="1" applyBorder="1" applyAlignment="1">
      <alignment horizontal="center" vertical="center"/>
    </xf>
    <xf numFmtId="0" fontId="12" fillId="0" borderId="12" xfId="7" applyFont="1" applyBorder="1" applyAlignment="1">
      <alignment vertical="center"/>
    </xf>
    <xf numFmtId="0" fontId="12" fillId="0" borderId="13" xfId="7" applyFont="1" applyBorder="1" applyAlignment="1">
      <alignment vertical="center"/>
    </xf>
    <xf numFmtId="0" fontId="13" fillId="3" borderId="14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5" xfId="7" applyFont="1" applyBorder="1" applyAlignment="1">
      <alignment horizontal="center" vertical="center"/>
    </xf>
    <xf numFmtId="0" fontId="13" fillId="3" borderId="16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5" xfId="8" applyFont="1" applyFill="1" applyBorder="1" applyAlignment="1">
      <alignment horizontal="center" vertical="center"/>
    </xf>
    <xf numFmtId="0" fontId="13" fillId="3" borderId="16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7" xfId="7" applyFont="1" applyBorder="1" applyAlignment="1">
      <alignment horizontal="center" vertical="center"/>
    </xf>
    <xf numFmtId="177" fontId="12" fillId="0" borderId="18" xfId="8" applyNumberFormat="1" applyFont="1" applyBorder="1" applyAlignment="1">
      <alignment horizontal="center" vertical="center"/>
    </xf>
    <xf numFmtId="177" fontId="12" fillId="0" borderId="19" xfId="7" applyNumberFormat="1" applyFont="1" applyBorder="1" applyAlignment="1">
      <alignment horizontal="center" vertical="center"/>
    </xf>
    <xf numFmtId="177" fontId="12" fillId="0" borderId="20" xfId="7" applyNumberFormat="1" applyFont="1" applyBorder="1" applyAlignment="1">
      <alignment horizontal="center" vertical="center"/>
    </xf>
    <xf numFmtId="0" fontId="12" fillId="0" borderId="21" xfId="8" applyFont="1" applyBorder="1" applyAlignment="1">
      <alignment horizontal="left" vertical="center" wrapText="1"/>
    </xf>
    <xf numFmtId="0" fontId="12" fillId="0" borderId="19" xfId="7" applyFont="1" applyBorder="1" applyAlignment="1">
      <alignment horizontal="left" vertical="center" wrapText="1"/>
    </xf>
    <xf numFmtId="0" fontId="12" fillId="0" borderId="20" xfId="7" applyFont="1" applyBorder="1" applyAlignment="1">
      <alignment horizontal="left" vertical="center" wrapText="1"/>
    </xf>
    <xf numFmtId="0" fontId="12" fillId="0" borderId="19" xfId="7" applyFont="1" applyBorder="1" applyAlignment="1">
      <alignment vertical="center" wrapText="1"/>
    </xf>
    <xf numFmtId="0" fontId="12" fillId="0" borderId="20" xfId="7" applyFont="1" applyBorder="1" applyAlignment="1">
      <alignment vertical="center" wrapText="1"/>
    </xf>
    <xf numFmtId="0" fontId="12" fillId="0" borderId="21" xfId="8" applyFont="1" applyBorder="1" applyAlignment="1">
      <alignment vertical="center" wrapText="1"/>
    </xf>
    <xf numFmtId="0" fontId="12" fillId="0" borderId="22" xfId="7" applyFont="1" applyBorder="1" applyAlignment="1">
      <alignment vertical="center" wrapText="1"/>
    </xf>
    <xf numFmtId="177" fontId="12" fillId="0" borderId="23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9" xfId="7" applyNumberFormat="1" applyFont="1" applyBorder="1" applyAlignment="1">
      <alignment horizontal="center" vertical="center"/>
    </xf>
    <xf numFmtId="0" fontId="12" fillId="0" borderId="8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9" xfId="7" applyFont="1" applyBorder="1" applyAlignment="1">
      <alignment horizontal="center" vertical="center" wrapText="1"/>
    </xf>
    <xf numFmtId="0" fontId="12" fillId="0" borderId="8" xfId="8" applyFont="1" applyBorder="1" applyAlignment="1">
      <alignment horizontal="left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9" xfId="8" applyFont="1" applyBorder="1" applyAlignment="1">
      <alignment horizontal="left" vertical="center" wrapText="1"/>
    </xf>
    <xf numFmtId="0" fontId="12" fillId="0" borderId="8" xfId="8" applyFont="1" applyBorder="1" applyAlignment="1">
      <alignment vertical="center" wrapText="1"/>
    </xf>
    <xf numFmtId="0" fontId="12" fillId="0" borderId="2" xfId="8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9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9" xfId="7" applyFont="1" applyBorder="1" applyAlignment="1">
      <alignment vertical="center" wrapText="1"/>
    </xf>
    <xf numFmtId="0" fontId="12" fillId="0" borderId="24" xfId="7" applyFont="1" applyBorder="1" applyAlignment="1">
      <alignment vertical="center" wrapText="1"/>
    </xf>
    <xf numFmtId="0" fontId="12" fillId="0" borderId="8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9" xfId="7" applyFont="1" applyBorder="1" applyAlignment="1">
      <alignment horizontal="left" vertical="center"/>
    </xf>
    <xf numFmtId="0" fontId="12" fillId="0" borderId="8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4" xfId="7" applyFont="1" applyBorder="1" applyAlignment="1">
      <alignment vertical="center"/>
    </xf>
    <xf numFmtId="177" fontId="12" fillId="0" borderId="25" xfId="8" applyNumberFormat="1" applyFont="1" applyBorder="1" applyAlignment="1">
      <alignment horizontal="center" vertical="center"/>
    </xf>
    <xf numFmtId="177" fontId="12" fillId="0" borderId="26" xfId="7" applyNumberFormat="1" applyFont="1" applyBorder="1" applyAlignment="1">
      <alignment horizontal="center" vertical="center"/>
    </xf>
    <xf numFmtId="177" fontId="12" fillId="0" borderId="27" xfId="7" applyNumberFormat="1" applyFont="1" applyBorder="1" applyAlignment="1">
      <alignment horizontal="center" vertical="center"/>
    </xf>
    <xf numFmtId="0" fontId="12" fillId="0" borderId="28" xfId="8" applyFont="1" applyBorder="1" applyAlignment="1">
      <alignment horizontal="left" vertical="center" wrapText="1"/>
    </xf>
    <xf numFmtId="0" fontId="12" fillId="0" borderId="26" xfId="7" applyFont="1" applyBorder="1" applyAlignment="1">
      <alignment horizontal="left" vertical="center" wrapText="1"/>
    </xf>
    <xf numFmtId="0" fontId="12" fillId="0" borderId="27" xfId="7" applyFont="1" applyBorder="1" applyAlignment="1">
      <alignment horizontal="left" vertical="center" wrapText="1"/>
    </xf>
    <xf numFmtId="0" fontId="12" fillId="0" borderId="26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28" xfId="8" applyFont="1" applyBorder="1" applyAlignment="1">
      <alignment vertical="center" wrapText="1"/>
    </xf>
    <xf numFmtId="0" fontId="12" fillId="0" borderId="29" xfId="7" applyFont="1" applyBorder="1" applyAlignment="1">
      <alignment vertical="center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179687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87</v>
      </c>
      <c r="F2" s="7" t="s">
        <v>107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108</v>
      </c>
      <c r="F3" s="7" t="s">
        <v>109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79</v>
      </c>
      <c r="F4" s="7" t="s">
        <v>5</v>
      </c>
      <c r="G4" s="8" t="s">
        <v>226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6">
    <pageSetUpPr fitToPage="1"/>
  </sheetPr>
  <dimension ref="A1:U27"/>
  <sheetViews>
    <sheetView zoomScale="85" zoomScaleNormal="85" zoomScaleSheetLayoutView="85" workbookViewId="0">
      <selection activeCell="A18" sqref="A18:XFD18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9" t="s">
        <v>110</v>
      </c>
      <c r="B1" s="49" t="s">
        <v>110</v>
      </c>
      <c r="C1" s="49"/>
      <c r="D1" s="1" t="s">
        <v>111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0" t="s">
        <v>110</v>
      </c>
      <c r="B2" s="22"/>
      <c r="C2" s="22"/>
      <c r="D2" s="63" t="s">
        <v>236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MSBBL6220</v>
      </c>
      <c r="I2" s="7" t="s">
        <v>112</v>
      </c>
      <c r="J2" s="8" t="s">
        <v>69</v>
      </c>
      <c r="K2" s="7" t="s">
        <v>107</v>
      </c>
      <c r="L2" s="51" t="str">
        <f>IF(LogicCommon!G2="","",LogicCommon!G2)</f>
        <v>MC</v>
      </c>
      <c r="M2" s="5" t="s">
        <v>113</v>
      </c>
      <c r="N2" s="23" t="s">
        <v>227</v>
      </c>
      <c r="O2" s="7"/>
      <c r="P2" s="7"/>
      <c r="Q2" s="4"/>
      <c r="R2" s="5"/>
      <c r="S2" s="5"/>
      <c r="T2" s="5"/>
      <c r="U2" s="5"/>
    </row>
    <row r="3" spans="1:21" s="10" customFormat="1">
      <c r="A3" s="52" t="s">
        <v>110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MSBB</v>
      </c>
      <c r="G3" s="7" t="s">
        <v>3</v>
      </c>
      <c r="H3" s="51" t="str">
        <f>IF(LogicCommon!E3="","",LogicCommon!E3)</f>
        <v>MSBBL_SlsSchdService</v>
      </c>
      <c r="I3" s="7" t="s">
        <v>114</v>
      </c>
      <c r="J3" s="8" t="str">
        <f>J2</f>
        <v>Sls_Schd_Upd01</v>
      </c>
      <c r="K3" s="7" t="s">
        <v>109</v>
      </c>
      <c r="L3" s="51" t="str">
        <f>IF(LogicCommon!G3="","",LogicCommon!G3)</f>
        <v/>
      </c>
      <c r="M3" s="55"/>
      <c r="N3" s="7"/>
      <c r="O3" s="7" t="s">
        <v>115</v>
      </c>
      <c r="P3" s="8" t="s">
        <v>132</v>
      </c>
      <c r="Q3" s="4"/>
      <c r="R3" s="5"/>
      <c r="S3" s="5"/>
      <c r="T3" s="5"/>
      <c r="U3" s="5"/>
    </row>
    <row r="4" spans="1:21" s="10" customFormat="1">
      <c r="A4" s="52" t="s">
        <v>110</v>
      </c>
      <c r="B4" s="53"/>
      <c r="C4" s="53"/>
      <c r="D4" s="4"/>
      <c r="E4" s="7" t="s">
        <v>18</v>
      </c>
      <c r="F4" s="56" t="s">
        <v>74</v>
      </c>
      <c r="G4" s="7" t="s">
        <v>4</v>
      </c>
      <c r="H4" s="51" t="str">
        <f>IF(LogicCommon!E4="","",LogicCommon!E4)</f>
        <v>売上予定サービス</v>
      </c>
      <c r="I4" s="7" t="s">
        <v>116</v>
      </c>
      <c r="J4" s="8" t="s">
        <v>230</v>
      </c>
      <c r="K4" s="7" t="s">
        <v>5</v>
      </c>
      <c r="L4" s="51" t="str">
        <f>IF(LogicCommon!G4="","",LogicCommon!G4)</f>
        <v>MS.MSUDL5010</v>
      </c>
      <c r="M4" s="57" t="s">
        <v>133</v>
      </c>
      <c r="N4" s="23"/>
      <c r="O4" s="58"/>
      <c r="P4" s="4"/>
      <c r="Q4" s="4"/>
      <c r="R4" s="5"/>
      <c r="S4" s="5"/>
      <c r="T4" s="5"/>
      <c r="U4" s="5"/>
    </row>
    <row r="5" spans="1:21" s="10" customFormat="1">
      <c r="A5" s="59" t="s">
        <v>110</v>
      </c>
      <c r="B5" s="49"/>
      <c r="C5" s="49"/>
      <c r="D5" s="21"/>
      <c r="E5" s="7" t="s">
        <v>75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2" t="s">
        <v>110</v>
      </c>
      <c r="B6" s="53"/>
      <c r="C6" s="53"/>
      <c r="D6" s="4" t="s">
        <v>8</v>
      </c>
      <c r="E6" s="12"/>
      <c r="F6" s="12"/>
      <c r="G6" s="12"/>
      <c r="H6" s="12"/>
      <c r="I6" s="12"/>
      <c r="J6" s="12"/>
      <c r="K6" s="12"/>
      <c r="L6" s="61"/>
      <c r="M6" s="15" t="s">
        <v>76</v>
      </c>
      <c r="N6" s="15"/>
      <c r="O6" s="15" t="s">
        <v>76</v>
      </c>
      <c r="P6" s="15"/>
      <c r="Q6" s="15" t="s">
        <v>76</v>
      </c>
      <c r="R6" s="4"/>
      <c r="S6" s="4"/>
      <c r="T6" s="4"/>
      <c r="U6" s="4"/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64"/>
      <c r="C8" s="65"/>
      <c r="D8" s="24" t="s">
        <v>237</v>
      </c>
      <c r="E8" s="24" t="s">
        <v>238</v>
      </c>
      <c r="F8" s="61"/>
      <c r="G8" s="24" t="s">
        <v>134</v>
      </c>
      <c r="H8" s="24" t="s">
        <v>239</v>
      </c>
      <c r="I8" s="61"/>
      <c r="J8" s="3"/>
      <c r="K8" s="8"/>
      <c r="L8" s="24" t="s">
        <v>23</v>
      </c>
      <c r="M8" s="25"/>
      <c r="N8" s="24" t="s">
        <v>23</v>
      </c>
      <c r="O8" s="25"/>
      <c r="P8" s="24" t="s">
        <v>23</v>
      </c>
      <c r="Q8" s="25"/>
      <c r="R8" s="3"/>
      <c r="S8" s="21"/>
      <c r="T8" s="123" t="s">
        <v>240</v>
      </c>
      <c r="U8" s="124"/>
    </row>
    <row r="9" spans="1:21" s="10" customFormat="1" ht="60" customHeight="1">
      <c r="A9" s="8" t="s">
        <v>19</v>
      </c>
      <c r="B9" s="28"/>
      <c r="C9" s="29"/>
      <c r="D9" s="24" t="s">
        <v>241</v>
      </c>
      <c r="E9" s="66" t="s">
        <v>242</v>
      </c>
      <c r="F9" s="24" t="s">
        <v>243</v>
      </c>
      <c r="G9" s="24" t="s">
        <v>244</v>
      </c>
      <c r="H9" s="24" t="s">
        <v>245</v>
      </c>
      <c r="I9" s="67" t="s">
        <v>246</v>
      </c>
      <c r="J9" s="24" t="s">
        <v>247</v>
      </c>
      <c r="K9" s="63"/>
      <c r="L9" s="67"/>
      <c r="M9" s="24"/>
      <c r="N9" s="67"/>
      <c r="O9" s="24"/>
      <c r="P9" s="67"/>
      <c r="Q9" s="24"/>
      <c r="R9" s="123" t="s">
        <v>248</v>
      </c>
      <c r="S9" s="124"/>
      <c r="T9" s="123" t="s">
        <v>249</v>
      </c>
      <c r="U9" s="124"/>
    </row>
    <row r="10" spans="1:21" s="10" customFormat="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246</v>
      </c>
      <c r="M10" s="24" t="s">
        <v>247</v>
      </c>
      <c r="N10" s="24" t="s">
        <v>246</v>
      </c>
      <c r="O10" s="24" t="s">
        <v>247</v>
      </c>
      <c r="P10" s="24" t="s">
        <v>246</v>
      </c>
      <c r="Q10" s="24" t="s">
        <v>247</v>
      </c>
      <c r="R10" s="30"/>
      <c r="S10" s="30"/>
      <c r="T10" s="35"/>
      <c r="U10" s="62"/>
    </row>
    <row r="11" spans="1:21" s="10" customFormat="1">
      <c r="A11" s="8">
        <v>10</v>
      </c>
      <c r="B11" s="28" t="s">
        <v>24</v>
      </c>
      <c r="C11" s="29"/>
      <c r="D11" s="23" t="s">
        <v>81</v>
      </c>
      <c r="E11" s="26" t="s">
        <v>52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5"/>
      <c r="U11" s="126"/>
    </row>
    <row r="12" spans="1:21" s="10" customFormat="1" ht="26">
      <c r="A12" s="8">
        <v>10</v>
      </c>
      <c r="B12" s="8"/>
      <c r="C12" s="8"/>
      <c r="D12" s="8" t="s">
        <v>82</v>
      </c>
      <c r="E12" s="25" t="s">
        <v>83</v>
      </c>
      <c r="F12" s="25"/>
      <c r="G12" s="38" t="s">
        <v>250</v>
      </c>
      <c r="H12" s="38" t="s">
        <v>117</v>
      </c>
      <c r="I12" s="8" t="s">
        <v>118</v>
      </c>
      <c r="J12" s="8"/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26</v>
      </c>
      <c r="E13" s="25" t="s">
        <v>27</v>
      </c>
      <c r="F13" s="25"/>
      <c r="G13" s="38" t="s">
        <v>251</v>
      </c>
      <c r="H13" s="38" t="s">
        <v>119</v>
      </c>
      <c r="I13" s="8" t="s">
        <v>118</v>
      </c>
      <c r="J13" s="8"/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28</v>
      </c>
      <c r="E14" s="25" t="s">
        <v>29</v>
      </c>
      <c r="F14" s="25"/>
      <c r="G14" s="38" t="s">
        <v>252</v>
      </c>
      <c r="H14" s="38" t="s">
        <v>120</v>
      </c>
      <c r="I14" s="8" t="s">
        <v>118</v>
      </c>
      <c r="J14" s="8"/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>
      <c r="A15" s="8">
        <v>10</v>
      </c>
      <c r="B15" s="8"/>
      <c r="C15" s="8"/>
      <c r="D15" s="8" t="s">
        <v>30</v>
      </c>
      <c r="E15" s="25" t="s">
        <v>31</v>
      </c>
      <c r="F15" s="25"/>
      <c r="G15" s="38" t="s">
        <v>253</v>
      </c>
      <c r="H15" s="38" t="s">
        <v>121</v>
      </c>
      <c r="I15" s="8" t="s">
        <v>118</v>
      </c>
      <c r="J15" s="8"/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>
      <c r="A16" s="8">
        <v>10</v>
      </c>
      <c r="B16" s="8"/>
      <c r="C16" s="8"/>
      <c r="D16" s="8" t="s">
        <v>32</v>
      </c>
      <c r="E16" s="25" t="s">
        <v>33</v>
      </c>
      <c r="F16" s="25"/>
      <c r="G16" s="38" t="s">
        <v>254</v>
      </c>
      <c r="H16" s="38" t="s">
        <v>122</v>
      </c>
      <c r="I16" s="8" t="s">
        <v>118</v>
      </c>
      <c r="J16" s="8"/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10</v>
      </c>
      <c r="B17" s="8"/>
      <c r="C17" s="8"/>
      <c r="D17" s="8" t="s">
        <v>34</v>
      </c>
      <c r="E17" s="25" t="s">
        <v>35</v>
      </c>
      <c r="F17" s="25"/>
      <c r="G17" s="38" t="s">
        <v>255</v>
      </c>
      <c r="H17" s="38" t="s">
        <v>123</v>
      </c>
      <c r="I17" s="8" t="s">
        <v>118</v>
      </c>
      <c r="J17" s="8"/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10</v>
      </c>
      <c r="B18" s="8"/>
      <c r="C18" s="8"/>
      <c r="D18" s="8" t="s">
        <v>84</v>
      </c>
      <c r="E18" s="25" t="s">
        <v>37</v>
      </c>
      <c r="F18" s="25"/>
      <c r="G18" s="38" t="s">
        <v>256</v>
      </c>
      <c r="H18" s="38" t="s">
        <v>124</v>
      </c>
      <c r="I18" s="8" t="s">
        <v>118</v>
      </c>
      <c r="J18" s="8"/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>
      <c r="A19" s="8">
        <v>10</v>
      </c>
      <c r="B19" s="8"/>
      <c r="C19" s="8"/>
      <c r="D19" s="8" t="s">
        <v>38</v>
      </c>
      <c r="E19" s="25" t="s">
        <v>39</v>
      </c>
      <c r="F19" s="25"/>
      <c r="G19" s="38" t="s">
        <v>257</v>
      </c>
      <c r="H19" s="38" t="s">
        <v>125</v>
      </c>
      <c r="I19" s="8" t="s">
        <v>118</v>
      </c>
      <c r="J19" s="8"/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>
      <c r="A20" s="8">
        <v>10</v>
      </c>
      <c r="B20" s="8"/>
      <c r="C20" s="8"/>
      <c r="D20" s="8" t="s">
        <v>40</v>
      </c>
      <c r="E20" s="25" t="s">
        <v>39</v>
      </c>
      <c r="F20" s="25"/>
      <c r="G20" s="38" t="s">
        <v>258</v>
      </c>
      <c r="H20" s="38" t="s">
        <v>126</v>
      </c>
      <c r="I20" s="8" t="s">
        <v>118</v>
      </c>
      <c r="J20" s="8"/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>
      <c r="A21" s="8">
        <v>10</v>
      </c>
      <c r="B21" s="8"/>
      <c r="C21" s="8"/>
      <c r="D21" s="8" t="s">
        <v>41</v>
      </c>
      <c r="E21" s="25" t="s">
        <v>39</v>
      </c>
      <c r="F21" s="25"/>
      <c r="G21" s="38" t="s">
        <v>259</v>
      </c>
      <c r="H21" s="38" t="s">
        <v>127</v>
      </c>
      <c r="I21" s="8" t="s">
        <v>118</v>
      </c>
      <c r="J21" s="8"/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>
      <c r="A22" s="8">
        <v>10</v>
      </c>
      <c r="B22" s="8"/>
      <c r="C22" s="8"/>
      <c r="D22" s="8" t="s">
        <v>42</v>
      </c>
      <c r="E22" s="25" t="s">
        <v>43</v>
      </c>
      <c r="F22" s="25"/>
      <c r="G22" s="38" t="s">
        <v>260</v>
      </c>
      <c r="H22" s="38" t="s">
        <v>128</v>
      </c>
      <c r="I22" s="8" t="s">
        <v>118</v>
      </c>
      <c r="J22" s="8"/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>
      <c r="A23" s="8">
        <v>10</v>
      </c>
      <c r="B23" s="8"/>
      <c r="C23" s="8"/>
      <c r="D23" s="8" t="s">
        <v>44</v>
      </c>
      <c r="E23" s="25" t="s">
        <v>45</v>
      </c>
      <c r="F23" s="25"/>
      <c r="G23" s="38" t="s">
        <v>261</v>
      </c>
      <c r="H23" s="38" t="s">
        <v>129</v>
      </c>
      <c r="I23" s="8" t="s">
        <v>118</v>
      </c>
      <c r="J23" s="8"/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>
      <c r="A24" s="8">
        <v>10</v>
      </c>
      <c r="B24" s="8"/>
      <c r="C24" s="8"/>
      <c r="D24" s="8" t="s">
        <v>46</v>
      </c>
      <c r="E24" s="25" t="s">
        <v>43</v>
      </c>
      <c r="F24" s="25"/>
      <c r="G24" s="38" t="s">
        <v>262</v>
      </c>
      <c r="H24" s="38" t="s">
        <v>130</v>
      </c>
      <c r="I24" s="8" t="s">
        <v>118</v>
      </c>
      <c r="J24" s="8"/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>
      <c r="A25" s="8">
        <v>10</v>
      </c>
      <c r="B25" s="8"/>
      <c r="C25" s="8"/>
      <c r="D25" s="8" t="s">
        <v>47</v>
      </c>
      <c r="E25" s="25" t="s">
        <v>45</v>
      </c>
      <c r="F25" s="25"/>
      <c r="G25" s="38" t="s">
        <v>263</v>
      </c>
      <c r="H25" s="38" t="s">
        <v>131</v>
      </c>
      <c r="I25" s="8" t="s">
        <v>118</v>
      </c>
      <c r="J25" s="8"/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>
      <c r="A26" s="8">
        <v>10</v>
      </c>
      <c r="B26" s="8"/>
      <c r="C26" s="8"/>
      <c r="D26" s="8" t="s">
        <v>48</v>
      </c>
      <c r="E26" s="25" t="s">
        <v>49</v>
      </c>
      <c r="F26" s="25"/>
      <c r="G26" s="38" t="s">
        <v>264</v>
      </c>
      <c r="H26" s="38" t="s">
        <v>89</v>
      </c>
      <c r="I26" s="8" t="s">
        <v>118</v>
      </c>
      <c r="J26" s="8"/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>
      <c r="A27" s="8">
        <v>10</v>
      </c>
      <c r="B27" s="8"/>
      <c r="C27" s="8"/>
      <c r="D27" s="8" t="s">
        <v>85</v>
      </c>
      <c r="E27" s="25" t="s">
        <v>49</v>
      </c>
      <c r="F27" s="25"/>
      <c r="G27" s="38" t="s">
        <v>265</v>
      </c>
      <c r="H27" s="38" t="s">
        <v>88</v>
      </c>
      <c r="I27" s="8" t="s">
        <v>118</v>
      </c>
      <c r="J27" s="8"/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</sheetData>
  <mergeCells count="36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7:S27"/>
    <mergeCell ref="T27:U27"/>
    <mergeCell ref="R25:S25"/>
    <mergeCell ref="T25:U25"/>
    <mergeCell ref="R26:S26"/>
    <mergeCell ref="T26:U2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7">
    <pageSetUpPr fitToPage="1"/>
  </sheetPr>
  <dimension ref="A1:U28"/>
  <sheetViews>
    <sheetView zoomScale="85" zoomScaleNormal="85" zoomScaleSheetLayoutView="85" workbookViewId="0">
      <selection activeCell="D14" sqref="D14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9" t="s">
        <v>110</v>
      </c>
      <c r="B1" s="49" t="s">
        <v>110</v>
      </c>
      <c r="C1" s="49"/>
      <c r="D1" s="1" t="s">
        <v>111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0" t="s">
        <v>110</v>
      </c>
      <c r="B2" s="22"/>
      <c r="C2" s="22"/>
      <c r="D2" s="63" t="s">
        <v>236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MSBBL6220</v>
      </c>
      <c r="I2" s="7" t="s">
        <v>112</v>
      </c>
      <c r="J2" s="8" t="s">
        <v>70</v>
      </c>
      <c r="K2" s="7" t="s">
        <v>107</v>
      </c>
      <c r="L2" s="51" t="str">
        <f>IF(LogicCommon!G2="","",LogicCommon!G2)</f>
        <v>MC</v>
      </c>
      <c r="M2" s="5" t="s">
        <v>113</v>
      </c>
      <c r="N2" s="23" t="s">
        <v>227</v>
      </c>
      <c r="O2" s="7"/>
      <c r="P2" s="7"/>
      <c r="Q2" s="4"/>
      <c r="R2" s="5"/>
      <c r="S2" s="5"/>
      <c r="T2" s="5"/>
      <c r="U2" s="5"/>
    </row>
    <row r="3" spans="1:21" s="10" customFormat="1">
      <c r="A3" s="52" t="s">
        <v>110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MSBB</v>
      </c>
      <c r="G3" s="7" t="s">
        <v>3</v>
      </c>
      <c r="H3" s="51" t="str">
        <f>IF(LogicCommon!E3="","",LogicCommon!E3)</f>
        <v>MSBBL_SlsSchdService</v>
      </c>
      <c r="I3" s="7" t="s">
        <v>114</v>
      </c>
      <c r="J3" s="8" t="str">
        <f>J2</f>
        <v>Sls_Schd_Upd02</v>
      </c>
      <c r="K3" s="7" t="s">
        <v>109</v>
      </c>
      <c r="L3" s="51" t="str">
        <f>IF(LogicCommon!G3="","",LogicCommon!G3)</f>
        <v/>
      </c>
      <c r="M3" s="55"/>
      <c r="N3" s="7"/>
      <c r="O3" s="7" t="s">
        <v>115</v>
      </c>
      <c r="P3" s="8" t="s">
        <v>132</v>
      </c>
      <c r="Q3" s="4"/>
      <c r="R3" s="5"/>
      <c r="S3" s="5"/>
      <c r="T3" s="5"/>
      <c r="U3" s="5"/>
    </row>
    <row r="4" spans="1:21" s="10" customFormat="1">
      <c r="A4" s="52" t="s">
        <v>110</v>
      </c>
      <c r="B4" s="53"/>
      <c r="C4" s="53"/>
      <c r="D4" s="4"/>
      <c r="E4" s="7" t="s">
        <v>18</v>
      </c>
      <c r="F4" s="56" t="s">
        <v>74</v>
      </c>
      <c r="G4" s="7" t="s">
        <v>4</v>
      </c>
      <c r="H4" s="51" t="str">
        <f>IF(LogicCommon!E4="","",LogicCommon!E4)</f>
        <v>売上予定サービス</v>
      </c>
      <c r="I4" s="7" t="s">
        <v>116</v>
      </c>
      <c r="J4" s="8" t="s">
        <v>229</v>
      </c>
      <c r="K4" s="7" t="s">
        <v>5</v>
      </c>
      <c r="L4" s="51" t="str">
        <f>IF(LogicCommon!G4="","",LogicCommon!G4)</f>
        <v>MS.MSUDL5010</v>
      </c>
      <c r="M4" s="57" t="s">
        <v>133</v>
      </c>
      <c r="N4" s="23"/>
      <c r="O4" s="58"/>
      <c r="P4" s="4"/>
      <c r="Q4" s="4"/>
      <c r="R4" s="5"/>
      <c r="S4" s="5"/>
      <c r="T4" s="5"/>
      <c r="U4" s="5"/>
    </row>
    <row r="5" spans="1:21" s="10" customFormat="1">
      <c r="A5" s="59" t="s">
        <v>110</v>
      </c>
      <c r="B5" s="49"/>
      <c r="C5" s="49"/>
      <c r="D5" s="21"/>
      <c r="E5" s="7" t="s">
        <v>75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2" t="s">
        <v>110</v>
      </c>
      <c r="B6" s="53"/>
      <c r="C6" s="53"/>
      <c r="D6" s="4" t="s">
        <v>8</v>
      </c>
      <c r="E6" s="12"/>
      <c r="F6" s="12"/>
      <c r="G6" s="12"/>
      <c r="H6" s="12"/>
      <c r="I6" s="12"/>
      <c r="J6" s="12"/>
      <c r="K6" s="12"/>
      <c r="L6" s="61"/>
      <c r="M6" s="15" t="s">
        <v>76</v>
      </c>
      <c r="N6" s="15"/>
      <c r="O6" s="15" t="s">
        <v>76</v>
      </c>
      <c r="P6" s="15"/>
      <c r="Q6" s="15" t="s">
        <v>76</v>
      </c>
      <c r="R6" s="4"/>
      <c r="S6" s="4"/>
      <c r="T6" s="4"/>
      <c r="U6" s="4"/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64"/>
      <c r="C8" s="65"/>
      <c r="D8" s="24" t="s">
        <v>237</v>
      </c>
      <c r="E8" s="24" t="s">
        <v>238</v>
      </c>
      <c r="F8" s="61"/>
      <c r="G8" s="24" t="s">
        <v>134</v>
      </c>
      <c r="H8" s="24" t="s">
        <v>239</v>
      </c>
      <c r="I8" s="61"/>
      <c r="J8" s="3"/>
      <c r="K8" s="8"/>
      <c r="L8" s="24" t="s">
        <v>23</v>
      </c>
      <c r="M8" s="25"/>
      <c r="N8" s="24" t="s">
        <v>23</v>
      </c>
      <c r="O8" s="25"/>
      <c r="P8" s="24" t="s">
        <v>23</v>
      </c>
      <c r="Q8" s="25"/>
      <c r="R8" s="3"/>
      <c r="S8" s="21"/>
      <c r="T8" s="123" t="s">
        <v>240</v>
      </c>
      <c r="U8" s="124"/>
    </row>
    <row r="9" spans="1:21" s="10" customFormat="1" ht="60" customHeight="1">
      <c r="A9" s="8" t="s">
        <v>19</v>
      </c>
      <c r="B9" s="28"/>
      <c r="C9" s="29"/>
      <c r="D9" s="24" t="s">
        <v>241</v>
      </c>
      <c r="E9" s="66" t="s">
        <v>242</v>
      </c>
      <c r="F9" s="24" t="s">
        <v>243</v>
      </c>
      <c r="G9" s="24" t="s">
        <v>244</v>
      </c>
      <c r="H9" s="24" t="s">
        <v>245</v>
      </c>
      <c r="I9" s="67" t="s">
        <v>246</v>
      </c>
      <c r="J9" s="24" t="s">
        <v>247</v>
      </c>
      <c r="K9" s="63"/>
      <c r="L9" s="67"/>
      <c r="M9" s="24"/>
      <c r="N9" s="67"/>
      <c r="O9" s="24"/>
      <c r="P9" s="67"/>
      <c r="Q9" s="24"/>
      <c r="R9" s="123" t="s">
        <v>248</v>
      </c>
      <c r="S9" s="124"/>
      <c r="T9" s="123" t="s">
        <v>249</v>
      </c>
      <c r="U9" s="124"/>
    </row>
    <row r="10" spans="1:21" s="10" customFormat="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246</v>
      </c>
      <c r="M10" s="24" t="s">
        <v>247</v>
      </c>
      <c r="N10" s="24" t="s">
        <v>246</v>
      </c>
      <c r="O10" s="24" t="s">
        <v>247</v>
      </c>
      <c r="P10" s="24" t="s">
        <v>246</v>
      </c>
      <c r="Q10" s="24" t="s">
        <v>247</v>
      </c>
      <c r="R10" s="30"/>
      <c r="S10" s="30"/>
      <c r="T10" s="35"/>
      <c r="U10" s="62"/>
    </row>
    <row r="11" spans="1:21" s="10" customFormat="1">
      <c r="A11" s="8">
        <v>10</v>
      </c>
      <c r="B11" s="28" t="s">
        <v>24</v>
      </c>
      <c r="C11" s="29"/>
      <c r="D11" s="23" t="s">
        <v>159</v>
      </c>
      <c r="E11" s="26" t="s">
        <v>52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5"/>
      <c r="U11" s="126"/>
    </row>
    <row r="12" spans="1:21" s="10" customFormat="1">
      <c r="A12" s="8">
        <v>10</v>
      </c>
      <c r="B12" s="8"/>
      <c r="C12" s="8"/>
      <c r="D12" s="8" t="s">
        <v>26</v>
      </c>
      <c r="E12" s="25" t="s">
        <v>27</v>
      </c>
      <c r="F12" s="25"/>
      <c r="G12" s="38" t="s">
        <v>251</v>
      </c>
      <c r="H12" s="38" t="s">
        <v>119</v>
      </c>
      <c r="I12" s="8" t="s">
        <v>118</v>
      </c>
      <c r="J12" s="8"/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28</v>
      </c>
      <c r="E13" s="25" t="s">
        <v>29</v>
      </c>
      <c r="F13" s="25"/>
      <c r="G13" s="38" t="s">
        <v>252</v>
      </c>
      <c r="H13" s="38" t="s">
        <v>120</v>
      </c>
      <c r="I13" s="8" t="s">
        <v>118</v>
      </c>
      <c r="J13" s="8"/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36</v>
      </c>
      <c r="E14" s="25" t="s">
        <v>37</v>
      </c>
      <c r="F14" s="25"/>
      <c r="G14" s="38" t="s">
        <v>256</v>
      </c>
      <c r="H14" s="38" t="s">
        <v>124</v>
      </c>
      <c r="I14" s="8" t="s">
        <v>118</v>
      </c>
      <c r="J14" s="8"/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>
      <c r="A15" s="8">
        <v>10</v>
      </c>
      <c r="B15" s="8"/>
      <c r="C15" s="8"/>
      <c r="D15" s="8" t="s">
        <v>50</v>
      </c>
      <c r="E15" s="25" t="s">
        <v>51</v>
      </c>
      <c r="F15" s="25"/>
      <c r="G15" s="38" t="s">
        <v>266</v>
      </c>
      <c r="H15" s="38" t="s">
        <v>135</v>
      </c>
      <c r="I15" s="8" t="s">
        <v>118</v>
      </c>
      <c r="J15" s="8"/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>
      <c r="A16" s="8">
        <v>10</v>
      </c>
      <c r="B16" s="8"/>
      <c r="C16" s="8"/>
      <c r="D16" s="8" t="s">
        <v>34</v>
      </c>
      <c r="E16" s="25" t="s">
        <v>35</v>
      </c>
      <c r="F16" s="25"/>
      <c r="G16" s="38" t="s">
        <v>255</v>
      </c>
      <c r="H16" s="38" t="s">
        <v>123</v>
      </c>
      <c r="I16" s="8" t="s">
        <v>118</v>
      </c>
      <c r="J16" s="8"/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10</v>
      </c>
      <c r="B17" s="8"/>
      <c r="C17" s="8"/>
      <c r="D17" s="8" t="s">
        <v>41</v>
      </c>
      <c r="E17" s="25" t="s">
        <v>39</v>
      </c>
      <c r="F17" s="25"/>
      <c r="G17" s="38" t="s">
        <v>259</v>
      </c>
      <c r="H17" s="38" t="s">
        <v>127</v>
      </c>
      <c r="I17" s="8" t="s">
        <v>118</v>
      </c>
      <c r="J17" s="8"/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10</v>
      </c>
      <c r="B18" s="8"/>
      <c r="C18" s="8"/>
      <c r="D18" s="8" t="s">
        <v>42</v>
      </c>
      <c r="E18" s="25" t="s">
        <v>43</v>
      </c>
      <c r="F18" s="25"/>
      <c r="G18" s="38" t="s">
        <v>260</v>
      </c>
      <c r="H18" s="38" t="s">
        <v>128</v>
      </c>
      <c r="I18" s="8" t="s">
        <v>118</v>
      </c>
      <c r="J18" s="8"/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>
      <c r="A19" s="8">
        <v>10</v>
      </c>
      <c r="B19" s="8"/>
      <c r="C19" s="8"/>
      <c r="D19" s="8" t="s">
        <v>44</v>
      </c>
      <c r="E19" s="25" t="s">
        <v>45</v>
      </c>
      <c r="F19" s="25"/>
      <c r="G19" s="38" t="s">
        <v>261</v>
      </c>
      <c r="H19" s="38" t="s">
        <v>129</v>
      </c>
      <c r="I19" s="8" t="s">
        <v>118</v>
      </c>
      <c r="J19" s="8"/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>
      <c r="A20" s="8">
        <v>10</v>
      </c>
      <c r="B20" s="8"/>
      <c r="C20" s="8"/>
      <c r="D20" s="8" t="s">
        <v>46</v>
      </c>
      <c r="E20" s="25" t="s">
        <v>43</v>
      </c>
      <c r="F20" s="25"/>
      <c r="G20" s="38" t="s">
        <v>262</v>
      </c>
      <c r="H20" s="38" t="s">
        <v>130</v>
      </c>
      <c r="I20" s="8" t="s">
        <v>118</v>
      </c>
      <c r="J20" s="8"/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>
      <c r="A21" s="8">
        <v>10</v>
      </c>
      <c r="B21" s="8"/>
      <c r="C21" s="8"/>
      <c r="D21" s="8" t="s">
        <v>47</v>
      </c>
      <c r="E21" s="25" t="s">
        <v>45</v>
      </c>
      <c r="F21" s="25"/>
      <c r="G21" s="38" t="s">
        <v>263</v>
      </c>
      <c r="H21" s="38" t="s">
        <v>131</v>
      </c>
      <c r="I21" s="8" t="s">
        <v>118</v>
      </c>
      <c r="J21" s="8"/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>
      <c r="A22" s="8">
        <v>10</v>
      </c>
      <c r="B22" s="8"/>
      <c r="C22" s="8"/>
      <c r="D22" s="8" t="s">
        <v>48</v>
      </c>
      <c r="E22" s="25" t="s">
        <v>49</v>
      </c>
      <c r="F22" s="25"/>
      <c r="G22" s="38" t="s">
        <v>264</v>
      </c>
      <c r="H22" s="38" t="s">
        <v>89</v>
      </c>
      <c r="I22" s="8" t="s">
        <v>118</v>
      </c>
      <c r="J22" s="8"/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>
      <c r="A23" s="8">
        <v>10</v>
      </c>
      <c r="B23" s="8"/>
      <c r="C23" s="8"/>
      <c r="D23" s="8" t="s">
        <v>158</v>
      </c>
      <c r="E23" s="25" t="s">
        <v>49</v>
      </c>
      <c r="F23" s="25"/>
      <c r="G23" s="38" t="s">
        <v>265</v>
      </c>
      <c r="H23" s="38" t="s">
        <v>88</v>
      </c>
      <c r="I23" s="8" t="s">
        <v>118</v>
      </c>
      <c r="J23" s="8"/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>
      <c r="A24" s="52"/>
      <c r="U24" s="39"/>
    </row>
    <row r="25" spans="1:21" s="10" customFormat="1">
      <c r="A25" s="8">
        <v>20</v>
      </c>
      <c r="B25" s="28" t="s">
        <v>24</v>
      </c>
      <c r="C25" s="29"/>
      <c r="D25" s="23" t="s">
        <v>157</v>
      </c>
      <c r="E25" s="26" t="s">
        <v>52</v>
      </c>
      <c r="F25" s="40"/>
      <c r="G25" s="23"/>
      <c r="H25" s="27"/>
      <c r="I25" s="41"/>
      <c r="J25" s="42"/>
      <c r="K25" s="42"/>
      <c r="L25" s="26"/>
      <c r="M25" s="26"/>
      <c r="N25" s="26"/>
      <c r="O25" s="26"/>
      <c r="P25" s="26"/>
      <c r="Q25" s="26"/>
      <c r="R25" s="37"/>
      <c r="S25" s="36"/>
      <c r="T25" s="125"/>
      <c r="U25" s="126"/>
    </row>
    <row r="26" spans="1:21" s="10" customFormat="1">
      <c r="A26" s="8">
        <v>20</v>
      </c>
      <c r="B26" s="8"/>
      <c r="C26" s="8"/>
      <c r="D26" s="8" t="s">
        <v>26</v>
      </c>
      <c r="E26" s="25" t="s">
        <v>27</v>
      </c>
      <c r="F26" s="25"/>
      <c r="G26" s="38" t="s">
        <v>251</v>
      </c>
      <c r="H26" s="38" t="s">
        <v>119</v>
      </c>
      <c r="I26" s="8" t="s">
        <v>118</v>
      </c>
      <c r="J26" s="8"/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>
      <c r="A27" s="8">
        <v>20</v>
      </c>
      <c r="B27" s="8"/>
      <c r="C27" s="8"/>
      <c r="D27" s="8" t="s">
        <v>28</v>
      </c>
      <c r="E27" s="25" t="s">
        <v>29</v>
      </c>
      <c r="F27" s="25"/>
      <c r="G27" s="38" t="s">
        <v>252</v>
      </c>
      <c r="H27" s="38" t="s">
        <v>120</v>
      </c>
      <c r="I27" s="8" t="s">
        <v>118</v>
      </c>
      <c r="J27" s="8"/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  <row r="28" spans="1:21" s="10" customFormat="1">
      <c r="A28" s="8">
        <v>20</v>
      </c>
      <c r="B28" s="8"/>
      <c r="C28" s="8"/>
      <c r="D28" s="8" t="s">
        <v>53</v>
      </c>
      <c r="E28" s="25" t="s">
        <v>54</v>
      </c>
      <c r="F28" s="25"/>
      <c r="G28" s="38" t="s">
        <v>267</v>
      </c>
      <c r="H28" s="38" t="s">
        <v>91</v>
      </c>
      <c r="I28" s="8" t="s">
        <v>118</v>
      </c>
      <c r="J28" s="8"/>
      <c r="K28" s="8"/>
      <c r="L28" s="8"/>
      <c r="M28" s="8"/>
      <c r="N28" s="8"/>
      <c r="O28" s="8"/>
      <c r="P28" s="8"/>
      <c r="Q28" s="8"/>
      <c r="R28" s="123"/>
      <c r="S28" s="124"/>
      <c r="T28" s="125"/>
      <c r="U28" s="126"/>
    </row>
  </sheetData>
  <mergeCells count="35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7:S27"/>
    <mergeCell ref="T27:U27"/>
    <mergeCell ref="R28:S28"/>
    <mergeCell ref="T28:U28"/>
    <mergeCell ref="R21:S21"/>
    <mergeCell ref="T21:U21"/>
    <mergeCell ref="R22:S22"/>
    <mergeCell ref="T22:U22"/>
    <mergeCell ref="T25:U25"/>
    <mergeCell ref="R26:S26"/>
    <mergeCell ref="T26:U26"/>
    <mergeCell ref="R23:S23"/>
    <mergeCell ref="T23:U23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8">
    <pageSetUpPr fitToPage="1"/>
  </sheetPr>
  <dimension ref="A1:U28"/>
  <sheetViews>
    <sheetView zoomScale="85" zoomScaleNormal="85" zoomScaleSheetLayoutView="85" workbookViewId="0">
      <selection activeCell="D12" sqref="D12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9" t="s">
        <v>110</v>
      </c>
      <c r="B1" s="49" t="s">
        <v>110</v>
      </c>
      <c r="C1" s="49"/>
      <c r="D1" s="1" t="s">
        <v>111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0" t="s">
        <v>110</v>
      </c>
      <c r="B2" s="22"/>
      <c r="C2" s="22"/>
      <c r="D2" s="63" t="s">
        <v>236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MSBBL6220</v>
      </c>
      <c r="I2" s="7" t="s">
        <v>112</v>
      </c>
      <c r="J2" s="8" t="s">
        <v>71</v>
      </c>
      <c r="K2" s="7" t="s">
        <v>107</v>
      </c>
      <c r="L2" s="51" t="str">
        <f>IF(LogicCommon!G2="","",LogicCommon!G2)</f>
        <v>MC</v>
      </c>
      <c r="M2" s="5" t="s">
        <v>113</v>
      </c>
      <c r="N2" s="23" t="s">
        <v>227</v>
      </c>
      <c r="O2" s="7"/>
      <c r="P2" s="7"/>
      <c r="Q2" s="4"/>
      <c r="R2" s="5"/>
      <c r="S2" s="5"/>
      <c r="T2" s="5"/>
      <c r="U2" s="5"/>
    </row>
    <row r="3" spans="1:21" s="10" customFormat="1">
      <c r="A3" s="52" t="s">
        <v>110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MSBB</v>
      </c>
      <c r="G3" s="7" t="s">
        <v>3</v>
      </c>
      <c r="H3" s="51" t="str">
        <f>IF(LogicCommon!E3="","",LogicCommon!E3)</f>
        <v>MSBBL_SlsSchdService</v>
      </c>
      <c r="I3" s="7" t="s">
        <v>114</v>
      </c>
      <c r="J3" s="8" t="str">
        <f>J2</f>
        <v>Sls_Schd_Upd03</v>
      </c>
      <c r="K3" s="7" t="s">
        <v>109</v>
      </c>
      <c r="L3" s="51" t="str">
        <f>IF(LogicCommon!G3="","",LogicCommon!G3)</f>
        <v/>
      </c>
      <c r="M3" s="55"/>
      <c r="N3" s="7"/>
      <c r="O3" s="7" t="s">
        <v>115</v>
      </c>
      <c r="P3" s="8" t="s">
        <v>132</v>
      </c>
      <c r="Q3" s="4"/>
      <c r="R3" s="5"/>
      <c r="S3" s="5"/>
      <c r="T3" s="5"/>
      <c r="U3" s="5"/>
    </row>
    <row r="4" spans="1:21" s="10" customFormat="1">
      <c r="A4" s="52" t="s">
        <v>110</v>
      </c>
      <c r="B4" s="53"/>
      <c r="C4" s="53"/>
      <c r="D4" s="4"/>
      <c r="E4" s="7" t="s">
        <v>18</v>
      </c>
      <c r="F4" s="56" t="s">
        <v>74</v>
      </c>
      <c r="G4" s="7" t="s">
        <v>4</v>
      </c>
      <c r="H4" s="51" t="str">
        <f>IF(LogicCommon!E4="","",LogicCommon!E4)</f>
        <v>売上予定サービス</v>
      </c>
      <c r="I4" s="7" t="s">
        <v>116</v>
      </c>
      <c r="J4" s="8" t="s">
        <v>72</v>
      </c>
      <c r="K4" s="7" t="s">
        <v>5</v>
      </c>
      <c r="L4" s="51" t="str">
        <f>IF(LogicCommon!G4="","",LogicCommon!G4)</f>
        <v>MS.MSUDL5010</v>
      </c>
      <c r="M4" s="57" t="s">
        <v>133</v>
      </c>
      <c r="N4" s="23"/>
      <c r="O4" s="58"/>
      <c r="P4" s="4"/>
      <c r="Q4" s="4"/>
      <c r="R4" s="5"/>
      <c r="S4" s="5"/>
      <c r="T4" s="5"/>
      <c r="U4" s="5"/>
    </row>
    <row r="5" spans="1:21" s="10" customFormat="1">
      <c r="A5" s="59" t="s">
        <v>110</v>
      </c>
      <c r="B5" s="49"/>
      <c r="C5" s="49"/>
      <c r="D5" s="21"/>
      <c r="E5" s="7" t="s">
        <v>75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2" t="s">
        <v>110</v>
      </c>
      <c r="B6" s="53"/>
      <c r="C6" s="53"/>
      <c r="D6" s="4" t="s">
        <v>8</v>
      </c>
      <c r="E6" s="12"/>
      <c r="F6" s="12"/>
      <c r="G6" s="12"/>
      <c r="H6" s="12"/>
      <c r="I6" s="12"/>
      <c r="J6" s="12"/>
      <c r="K6" s="12"/>
      <c r="L6" s="61"/>
      <c r="M6" s="15" t="s">
        <v>76</v>
      </c>
      <c r="N6" s="15"/>
      <c r="O6" s="15" t="s">
        <v>76</v>
      </c>
      <c r="P6" s="15"/>
      <c r="Q6" s="15" t="s">
        <v>76</v>
      </c>
      <c r="R6" s="4"/>
      <c r="S6" s="4"/>
      <c r="T6" s="4"/>
      <c r="U6" s="4"/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64"/>
      <c r="C8" s="65"/>
      <c r="D8" s="24" t="s">
        <v>237</v>
      </c>
      <c r="E8" s="24" t="s">
        <v>238</v>
      </c>
      <c r="F8" s="61"/>
      <c r="G8" s="24" t="s">
        <v>134</v>
      </c>
      <c r="H8" s="24" t="s">
        <v>239</v>
      </c>
      <c r="I8" s="61"/>
      <c r="J8" s="3"/>
      <c r="K8" s="8"/>
      <c r="L8" s="24" t="s">
        <v>23</v>
      </c>
      <c r="M8" s="25"/>
      <c r="N8" s="24" t="s">
        <v>23</v>
      </c>
      <c r="O8" s="25"/>
      <c r="P8" s="24" t="s">
        <v>23</v>
      </c>
      <c r="Q8" s="25"/>
      <c r="R8" s="3"/>
      <c r="S8" s="21"/>
      <c r="T8" s="123" t="s">
        <v>240</v>
      </c>
      <c r="U8" s="124"/>
    </row>
    <row r="9" spans="1:21" s="10" customFormat="1" ht="60" customHeight="1">
      <c r="A9" s="8" t="s">
        <v>19</v>
      </c>
      <c r="B9" s="28"/>
      <c r="C9" s="29"/>
      <c r="D9" s="24" t="s">
        <v>241</v>
      </c>
      <c r="E9" s="66" t="s">
        <v>242</v>
      </c>
      <c r="F9" s="24" t="s">
        <v>243</v>
      </c>
      <c r="G9" s="24" t="s">
        <v>244</v>
      </c>
      <c r="H9" s="24" t="s">
        <v>245</v>
      </c>
      <c r="I9" s="67" t="s">
        <v>246</v>
      </c>
      <c r="J9" s="24" t="s">
        <v>247</v>
      </c>
      <c r="K9" s="63"/>
      <c r="L9" s="67"/>
      <c r="M9" s="24"/>
      <c r="N9" s="67"/>
      <c r="O9" s="24"/>
      <c r="P9" s="67"/>
      <c r="Q9" s="24"/>
      <c r="R9" s="123" t="s">
        <v>248</v>
      </c>
      <c r="S9" s="124"/>
      <c r="T9" s="123" t="s">
        <v>249</v>
      </c>
      <c r="U9" s="124"/>
    </row>
    <row r="10" spans="1:21" s="10" customFormat="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246</v>
      </c>
      <c r="M10" s="24" t="s">
        <v>247</v>
      </c>
      <c r="N10" s="24" t="s">
        <v>246</v>
      </c>
      <c r="O10" s="24" t="s">
        <v>247</v>
      </c>
      <c r="P10" s="24" t="s">
        <v>246</v>
      </c>
      <c r="Q10" s="24" t="s">
        <v>247</v>
      </c>
      <c r="R10" s="30"/>
      <c r="S10" s="30"/>
      <c r="T10" s="35"/>
      <c r="U10" s="62"/>
    </row>
    <row r="11" spans="1:21" s="10" customFormat="1">
      <c r="A11" s="8">
        <v>10</v>
      </c>
      <c r="B11" s="28" t="s">
        <v>24</v>
      </c>
      <c r="C11" s="29"/>
      <c r="D11" s="23" t="s">
        <v>155</v>
      </c>
      <c r="E11" s="26" t="s">
        <v>52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5"/>
      <c r="U11" s="126"/>
    </row>
    <row r="12" spans="1:21" s="10" customFormat="1">
      <c r="A12" s="8">
        <v>10</v>
      </c>
      <c r="B12" s="8"/>
      <c r="C12" s="8"/>
      <c r="D12" s="8" t="s">
        <v>102</v>
      </c>
      <c r="E12" s="25" t="s">
        <v>27</v>
      </c>
      <c r="F12" s="25"/>
      <c r="G12" s="38" t="s">
        <v>251</v>
      </c>
      <c r="H12" s="38" t="s">
        <v>119</v>
      </c>
      <c r="I12" s="8" t="s">
        <v>118</v>
      </c>
      <c r="J12" s="8"/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55</v>
      </c>
      <c r="E13" s="25" t="s">
        <v>56</v>
      </c>
      <c r="F13" s="25"/>
      <c r="G13" s="38" t="s">
        <v>268</v>
      </c>
      <c r="H13" s="38" t="s">
        <v>136</v>
      </c>
      <c r="I13" s="8" t="s">
        <v>118</v>
      </c>
      <c r="J13" s="8"/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48</v>
      </c>
      <c r="E14" s="25" t="s">
        <v>152</v>
      </c>
      <c r="F14" s="25"/>
      <c r="G14" s="38" t="s">
        <v>264</v>
      </c>
      <c r="H14" s="38" t="s">
        <v>89</v>
      </c>
      <c r="I14" s="8" t="s">
        <v>118</v>
      </c>
      <c r="J14" s="8"/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>
      <c r="A15" s="8">
        <v>10</v>
      </c>
      <c r="B15" s="8"/>
      <c r="C15" s="8"/>
      <c r="D15" s="8" t="s">
        <v>57</v>
      </c>
      <c r="E15" s="25" t="s">
        <v>43</v>
      </c>
      <c r="F15" s="25"/>
      <c r="G15" s="38" t="s">
        <v>269</v>
      </c>
      <c r="H15" s="38" t="s">
        <v>137</v>
      </c>
      <c r="I15" s="8" t="s">
        <v>118</v>
      </c>
      <c r="J15" s="8"/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>
      <c r="A16" s="8">
        <v>10</v>
      </c>
      <c r="B16" s="8"/>
      <c r="C16" s="8"/>
      <c r="D16" s="8" t="s">
        <v>156</v>
      </c>
      <c r="E16" s="25" t="s">
        <v>39</v>
      </c>
      <c r="F16" s="25"/>
      <c r="G16" s="38" t="s">
        <v>259</v>
      </c>
      <c r="H16" s="38" t="s">
        <v>127</v>
      </c>
      <c r="I16" s="8" t="s">
        <v>118</v>
      </c>
      <c r="J16" s="8"/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10</v>
      </c>
      <c r="B17" s="8"/>
      <c r="C17" s="8"/>
      <c r="D17" s="8" t="s">
        <v>154</v>
      </c>
      <c r="E17" s="25" t="s">
        <v>153</v>
      </c>
      <c r="F17" s="25"/>
      <c r="G17" s="38" t="s">
        <v>270</v>
      </c>
      <c r="H17" s="38" t="s">
        <v>160</v>
      </c>
      <c r="I17" s="8" t="s">
        <v>118</v>
      </c>
      <c r="J17" s="8"/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52"/>
      <c r="U18" s="39"/>
    </row>
    <row r="19" spans="1:21" s="10" customFormat="1">
      <c r="A19" s="52"/>
      <c r="U19" s="39"/>
    </row>
    <row r="20" spans="1:21" s="10" customFormat="1">
      <c r="A20" s="52"/>
      <c r="U20" s="39"/>
    </row>
    <row r="21" spans="1:21" s="10" customFormat="1">
      <c r="A21" s="52"/>
      <c r="U21" s="39"/>
    </row>
    <row r="22" spans="1:21" s="10" customFormat="1">
      <c r="A22" s="52"/>
      <c r="U22" s="39"/>
    </row>
    <row r="23" spans="1:21" s="10" customFormat="1">
      <c r="A23" s="52"/>
      <c r="U23" s="39"/>
    </row>
    <row r="24" spans="1:21" s="10" customFormat="1">
      <c r="A24" s="52"/>
      <c r="U24" s="39"/>
    </row>
    <row r="25" spans="1:21" s="10" customFormat="1">
      <c r="A25" s="52"/>
      <c r="U25" s="39"/>
    </row>
    <row r="26" spans="1:21" s="10" customFormat="1">
      <c r="A26" s="52"/>
      <c r="U26" s="39"/>
    </row>
    <row r="27" spans="1:21" s="10" customFormat="1">
      <c r="A27" s="52"/>
      <c r="U27" s="39"/>
    </row>
    <row r="28" spans="1:21" s="10" customFormat="1">
      <c r="A28" s="59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3"/>
    </row>
  </sheetData>
  <mergeCells count="16">
    <mergeCell ref="R16:S16"/>
    <mergeCell ref="T16:U16"/>
    <mergeCell ref="R17:S17"/>
    <mergeCell ref="T17:U17"/>
    <mergeCell ref="T8:U8"/>
    <mergeCell ref="R9:S9"/>
    <mergeCell ref="T9:U9"/>
    <mergeCell ref="T11:U11"/>
    <mergeCell ref="R15:S15"/>
    <mergeCell ref="T15:U15"/>
    <mergeCell ref="R12:S12"/>
    <mergeCell ref="T12:U12"/>
    <mergeCell ref="R13:S13"/>
    <mergeCell ref="T13:U13"/>
    <mergeCell ref="R14:S14"/>
    <mergeCell ref="T14:U1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9">
    <pageSetUpPr fitToPage="1"/>
  </sheetPr>
  <dimension ref="A1:U61"/>
  <sheetViews>
    <sheetView zoomScale="85" zoomScaleNormal="85" zoomScaleSheetLayoutView="85" workbookViewId="0">
      <selection activeCell="E8" sqref="E8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9" t="s">
        <v>110</v>
      </c>
      <c r="B1" s="49" t="s">
        <v>110</v>
      </c>
      <c r="C1" s="49"/>
      <c r="D1" s="1" t="s">
        <v>111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0" t="s">
        <v>110</v>
      </c>
      <c r="B2" s="22"/>
      <c r="C2" s="22"/>
      <c r="D2" s="63" t="s">
        <v>236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MSBBL6220</v>
      </c>
      <c r="I2" s="7" t="s">
        <v>112</v>
      </c>
      <c r="J2" s="8" t="s">
        <v>73</v>
      </c>
      <c r="K2" s="7" t="s">
        <v>107</v>
      </c>
      <c r="L2" s="51" t="str">
        <f>IF(LogicCommon!G2="","",LogicCommon!G2)</f>
        <v>MC</v>
      </c>
      <c r="M2" s="5" t="s">
        <v>113</v>
      </c>
      <c r="N2" s="23" t="s">
        <v>227</v>
      </c>
      <c r="O2" s="7"/>
      <c r="P2" s="7"/>
      <c r="Q2" s="4"/>
      <c r="R2" s="5"/>
      <c r="S2" s="5"/>
      <c r="T2" s="5"/>
      <c r="U2" s="5"/>
    </row>
    <row r="3" spans="1:21" s="10" customFormat="1">
      <c r="A3" s="52" t="s">
        <v>110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MSBB</v>
      </c>
      <c r="G3" s="7" t="s">
        <v>3</v>
      </c>
      <c r="H3" s="51" t="str">
        <f>IF(LogicCommon!E3="","",LogicCommon!E3)</f>
        <v>MSBBL_SlsSchdService</v>
      </c>
      <c r="I3" s="7" t="s">
        <v>114</v>
      </c>
      <c r="J3" s="8" t="str">
        <f>J2</f>
        <v>Sls_Schd_Upd04</v>
      </c>
      <c r="K3" s="7" t="s">
        <v>109</v>
      </c>
      <c r="L3" s="51" t="str">
        <f>IF(LogicCommon!G3="","",LogicCommon!G3)</f>
        <v/>
      </c>
      <c r="M3" s="55"/>
      <c r="N3" s="7"/>
      <c r="O3" s="7" t="s">
        <v>115</v>
      </c>
      <c r="P3" s="8" t="s">
        <v>132</v>
      </c>
      <c r="Q3" s="4"/>
      <c r="R3" s="5"/>
      <c r="S3" s="5"/>
      <c r="T3" s="5"/>
      <c r="U3" s="5"/>
    </row>
    <row r="4" spans="1:21" s="10" customFormat="1">
      <c r="A4" s="52" t="s">
        <v>110</v>
      </c>
      <c r="B4" s="53"/>
      <c r="C4" s="53"/>
      <c r="D4" s="4"/>
      <c r="E4" s="7" t="s">
        <v>18</v>
      </c>
      <c r="F4" s="56" t="s">
        <v>74</v>
      </c>
      <c r="G4" s="7" t="s">
        <v>4</v>
      </c>
      <c r="H4" s="51" t="str">
        <f>IF(LogicCommon!E4="","",LogicCommon!E4)</f>
        <v>売上予定サービス</v>
      </c>
      <c r="I4" s="7" t="s">
        <v>116</v>
      </c>
      <c r="J4" s="8" t="s">
        <v>161</v>
      </c>
      <c r="K4" s="7" t="s">
        <v>5</v>
      </c>
      <c r="L4" s="51" t="str">
        <f>IF(LogicCommon!G4="","",LogicCommon!G4)</f>
        <v>MS.MSUDL5010</v>
      </c>
      <c r="M4" s="57" t="s">
        <v>133</v>
      </c>
      <c r="N4" s="23"/>
      <c r="O4" s="58"/>
      <c r="P4" s="4"/>
      <c r="Q4" s="4"/>
      <c r="R4" s="5"/>
      <c r="S4" s="5"/>
      <c r="T4" s="5"/>
      <c r="U4" s="5"/>
    </row>
    <row r="5" spans="1:21" s="10" customFormat="1">
      <c r="A5" s="59" t="s">
        <v>110</v>
      </c>
      <c r="B5" s="49"/>
      <c r="C5" s="49"/>
      <c r="D5" s="21"/>
      <c r="E5" s="7" t="s">
        <v>75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2" t="s">
        <v>110</v>
      </c>
      <c r="B6" s="53"/>
      <c r="C6" s="53"/>
      <c r="D6" s="4" t="s">
        <v>8</v>
      </c>
      <c r="E6" s="12"/>
      <c r="F6" s="12"/>
      <c r="G6" s="12"/>
      <c r="H6" s="12"/>
      <c r="I6" s="12"/>
      <c r="J6" s="12"/>
      <c r="K6" s="12"/>
      <c r="L6" s="61"/>
      <c r="M6" s="15" t="s">
        <v>76</v>
      </c>
      <c r="N6" s="15"/>
      <c r="O6" s="15" t="s">
        <v>76</v>
      </c>
      <c r="P6" s="15"/>
      <c r="Q6" s="15" t="s">
        <v>76</v>
      </c>
      <c r="R6" s="4"/>
      <c r="S6" s="4"/>
      <c r="T6" s="4"/>
      <c r="U6" s="4"/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64"/>
      <c r="C8" s="65"/>
      <c r="D8" s="24" t="s">
        <v>237</v>
      </c>
      <c r="E8" s="24" t="s">
        <v>238</v>
      </c>
      <c r="F8" s="61"/>
      <c r="G8" s="24" t="s">
        <v>134</v>
      </c>
      <c r="H8" s="24" t="s">
        <v>239</v>
      </c>
      <c r="I8" s="61"/>
      <c r="J8" s="3"/>
      <c r="K8" s="8"/>
      <c r="L8" s="24" t="s">
        <v>23</v>
      </c>
      <c r="M8" s="25"/>
      <c r="N8" s="24" t="s">
        <v>23</v>
      </c>
      <c r="O8" s="25"/>
      <c r="P8" s="24" t="s">
        <v>23</v>
      </c>
      <c r="Q8" s="25"/>
      <c r="R8" s="3"/>
      <c r="S8" s="21"/>
      <c r="T8" s="123" t="s">
        <v>240</v>
      </c>
      <c r="U8" s="124"/>
    </row>
    <row r="9" spans="1:21" s="10" customFormat="1" ht="60" customHeight="1">
      <c r="A9" s="8" t="s">
        <v>19</v>
      </c>
      <c r="B9" s="28"/>
      <c r="C9" s="29"/>
      <c r="D9" s="24" t="s">
        <v>241</v>
      </c>
      <c r="E9" s="66" t="s">
        <v>242</v>
      </c>
      <c r="F9" s="24" t="s">
        <v>243</v>
      </c>
      <c r="G9" s="24" t="s">
        <v>244</v>
      </c>
      <c r="H9" s="24" t="s">
        <v>245</v>
      </c>
      <c r="I9" s="67" t="s">
        <v>246</v>
      </c>
      <c r="J9" s="24" t="s">
        <v>247</v>
      </c>
      <c r="K9" s="63"/>
      <c r="L9" s="67"/>
      <c r="M9" s="24"/>
      <c r="N9" s="67"/>
      <c r="O9" s="24"/>
      <c r="P9" s="67"/>
      <c r="Q9" s="24"/>
      <c r="R9" s="123" t="s">
        <v>248</v>
      </c>
      <c r="S9" s="124"/>
      <c r="T9" s="123" t="s">
        <v>249</v>
      </c>
      <c r="U9" s="124"/>
    </row>
    <row r="10" spans="1:21" s="10" customFormat="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246</v>
      </c>
      <c r="M10" s="24" t="s">
        <v>247</v>
      </c>
      <c r="N10" s="24" t="s">
        <v>246</v>
      </c>
      <c r="O10" s="24" t="s">
        <v>247</v>
      </c>
      <c r="P10" s="24" t="s">
        <v>246</v>
      </c>
      <c r="Q10" s="24" t="s">
        <v>247</v>
      </c>
      <c r="R10" s="30"/>
      <c r="S10" s="30"/>
      <c r="T10" s="35"/>
      <c r="U10" s="62"/>
    </row>
    <row r="11" spans="1:21" s="10" customFormat="1">
      <c r="A11" s="8">
        <v>10</v>
      </c>
      <c r="B11" s="28" t="s">
        <v>24</v>
      </c>
      <c r="C11" s="29"/>
      <c r="D11" s="23" t="s">
        <v>58</v>
      </c>
      <c r="E11" s="26" t="s">
        <v>52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5"/>
      <c r="U11" s="126"/>
    </row>
    <row r="12" spans="1:21" s="10" customFormat="1" ht="26">
      <c r="A12" s="8">
        <v>10</v>
      </c>
      <c r="B12" s="8"/>
      <c r="C12" s="8"/>
      <c r="D12" s="8" t="s">
        <v>25</v>
      </c>
      <c r="E12" s="25" t="s">
        <v>78</v>
      </c>
      <c r="F12" s="25"/>
      <c r="G12" s="38" t="s">
        <v>250</v>
      </c>
      <c r="H12" s="38" t="s">
        <v>117</v>
      </c>
      <c r="I12" s="8" t="s">
        <v>118</v>
      </c>
      <c r="J12" s="8"/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26</v>
      </c>
      <c r="E13" s="25" t="s">
        <v>27</v>
      </c>
      <c r="F13" s="25"/>
      <c r="G13" s="38" t="s">
        <v>251</v>
      </c>
      <c r="H13" s="38" t="s">
        <v>119</v>
      </c>
      <c r="I13" s="8" t="s">
        <v>118</v>
      </c>
      <c r="J13" s="8"/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50</v>
      </c>
      <c r="E14" s="25" t="s">
        <v>51</v>
      </c>
      <c r="F14" s="25"/>
      <c r="G14" s="38" t="s">
        <v>266</v>
      </c>
      <c r="H14" s="38" t="s">
        <v>135</v>
      </c>
      <c r="I14" s="8" t="s">
        <v>118</v>
      </c>
      <c r="J14" s="8"/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>
      <c r="A15" s="8">
        <v>10</v>
      </c>
      <c r="B15" s="8"/>
      <c r="C15" s="8"/>
      <c r="D15" s="8" t="s">
        <v>59</v>
      </c>
      <c r="E15" s="25" t="s">
        <v>80</v>
      </c>
      <c r="F15" s="25"/>
      <c r="G15" s="38" t="s">
        <v>271</v>
      </c>
      <c r="H15" s="38" t="s">
        <v>138</v>
      </c>
      <c r="I15" s="8" t="s">
        <v>118</v>
      </c>
      <c r="J15" s="8"/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>
      <c r="A16" s="8">
        <v>10</v>
      </c>
      <c r="B16" s="8"/>
      <c r="C16" s="8"/>
      <c r="D16" s="8" t="s">
        <v>101</v>
      </c>
      <c r="E16" s="25" t="s">
        <v>98</v>
      </c>
      <c r="F16" s="25"/>
      <c r="G16" s="38" t="s">
        <v>272</v>
      </c>
      <c r="H16" s="38" t="s">
        <v>139</v>
      </c>
      <c r="I16" s="8" t="s">
        <v>118</v>
      </c>
      <c r="J16" s="8"/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10</v>
      </c>
      <c r="B17" s="8"/>
      <c r="C17" s="8"/>
      <c r="D17" s="8" t="s">
        <v>99</v>
      </c>
      <c r="E17" s="25" t="s">
        <v>49</v>
      </c>
      <c r="F17" s="25"/>
      <c r="G17" s="38" t="s">
        <v>273</v>
      </c>
      <c r="H17" s="38" t="s">
        <v>100</v>
      </c>
      <c r="I17" s="8" t="s">
        <v>118</v>
      </c>
      <c r="J17" s="8"/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10</v>
      </c>
      <c r="B18" s="8"/>
      <c r="C18" s="8"/>
      <c r="D18" s="8" t="s">
        <v>60</v>
      </c>
      <c r="E18" s="25" t="s">
        <v>61</v>
      </c>
      <c r="F18" s="25"/>
      <c r="G18" s="38" t="s">
        <v>274</v>
      </c>
      <c r="H18" s="38" t="s">
        <v>140</v>
      </c>
      <c r="I18" s="8" t="s">
        <v>118</v>
      </c>
      <c r="J18" s="8"/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>
      <c r="A19" s="8">
        <v>10</v>
      </c>
      <c r="B19" s="8"/>
      <c r="C19" s="8"/>
      <c r="D19" s="8" t="s">
        <v>34</v>
      </c>
      <c r="E19" s="25" t="s">
        <v>35</v>
      </c>
      <c r="F19" s="25"/>
      <c r="G19" s="38" t="s">
        <v>255</v>
      </c>
      <c r="H19" s="38" t="s">
        <v>123</v>
      </c>
      <c r="I19" s="8" t="s">
        <v>118</v>
      </c>
      <c r="J19" s="8"/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 ht="26">
      <c r="A20" s="8">
        <v>10</v>
      </c>
      <c r="B20" s="8"/>
      <c r="C20" s="8"/>
      <c r="D20" s="8" t="s">
        <v>62</v>
      </c>
      <c r="E20" s="25" t="s">
        <v>63</v>
      </c>
      <c r="F20" s="25"/>
      <c r="G20" s="38" t="s">
        <v>275</v>
      </c>
      <c r="H20" s="38" t="s">
        <v>141</v>
      </c>
      <c r="I20" s="8" t="s">
        <v>118</v>
      </c>
      <c r="J20" s="8"/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>
      <c r="A21" s="8">
        <v>10</v>
      </c>
      <c r="B21" s="8"/>
      <c r="C21" s="8"/>
      <c r="D21" s="8" t="s">
        <v>41</v>
      </c>
      <c r="E21" s="25" t="s">
        <v>39</v>
      </c>
      <c r="F21" s="25"/>
      <c r="G21" s="38" t="s">
        <v>259</v>
      </c>
      <c r="H21" s="38" t="s">
        <v>127</v>
      </c>
      <c r="I21" s="8" t="s">
        <v>118</v>
      </c>
      <c r="J21" s="8"/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>
      <c r="A22" s="8">
        <v>10</v>
      </c>
      <c r="B22" s="8"/>
      <c r="C22" s="8"/>
      <c r="D22" s="8" t="s">
        <v>42</v>
      </c>
      <c r="E22" s="25" t="s">
        <v>43</v>
      </c>
      <c r="F22" s="25"/>
      <c r="G22" s="38" t="s">
        <v>260</v>
      </c>
      <c r="H22" s="38" t="s">
        <v>128</v>
      </c>
      <c r="I22" s="8" t="s">
        <v>118</v>
      </c>
      <c r="J22" s="8"/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>
      <c r="A23" s="8">
        <v>10</v>
      </c>
      <c r="B23" s="8"/>
      <c r="C23" s="8"/>
      <c r="D23" s="8" t="s">
        <v>44</v>
      </c>
      <c r="E23" s="25" t="s">
        <v>45</v>
      </c>
      <c r="F23" s="25"/>
      <c r="G23" s="38" t="s">
        <v>261</v>
      </c>
      <c r="H23" s="38" t="s">
        <v>129</v>
      </c>
      <c r="I23" s="8" t="s">
        <v>118</v>
      </c>
      <c r="J23" s="8"/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>
      <c r="A24" s="8">
        <v>10</v>
      </c>
      <c r="B24" s="8"/>
      <c r="C24" s="8"/>
      <c r="D24" s="8" t="s">
        <v>46</v>
      </c>
      <c r="E24" s="25" t="s">
        <v>43</v>
      </c>
      <c r="F24" s="25"/>
      <c r="G24" s="38" t="s">
        <v>262</v>
      </c>
      <c r="H24" s="38" t="s">
        <v>130</v>
      </c>
      <c r="I24" s="8" t="s">
        <v>118</v>
      </c>
      <c r="J24" s="8"/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>
      <c r="A25" s="8">
        <v>10</v>
      </c>
      <c r="B25" s="8"/>
      <c r="C25" s="8"/>
      <c r="D25" s="8" t="s">
        <v>47</v>
      </c>
      <c r="E25" s="25" t="s">
        <v>45</v>
      </c>
      <c r="F25" s="25"/>
      <c r="G25" s="38" t="s">
        <v>263</v>
      </c>
      <c r="H25" s="38" t="s">
        <v>131</v>
      </c>
      <c r="I25" s="8" t="s">
        <v>118</v>
      </c>
      <c r="J25" s="8"/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>
      <c r="A26" s="8">
        <v>10</v>
      </c>
      <c r="B26" s="8"/>
      <c r="C26" s="8"/>
      <c r="D26" s="8" t="s">
        <v>64</v>
      </c>
      <c r="E26" s="25" t="s">
        <v>65</v>
      </c>
      <c r="F26" s="25"/>
      <c r="G26" s="38" t="s">
        <v>276</v>
      </c>
      <c r="H26" s="38" t="s">
        <v>142</v>
      </c>
      <c r="I26" s="8" t="s">
        <v>118</v>
      </c>
      <c r="J26" s="8"/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>
      <c r="A27" s="8">
        <v>10</v>
      </c>
      <c r="B27" s="8"/>
      <c r="C27" s="8"/>
      <c r="D27" s="8" t="s">
        <v>66</v>
      </c>
      <c r="E27" s="25" t="s">
        <v>67</v>
      </c>
      <c r="F27" s="25"/>
      <c r="G27" s="38" t="s">
        <v>277</v>
      </c>
      <c r="H27" s="38" t="s">
        <v>143</v>
      </c>
      <c r="I27" s="8" t="s">
        <v>118</v>
      </c>
      <c r="J27" s="8"/>
      <c r="K27" s="8"/>
      <c r="L27" s="8"/>
      <c r="M27" s="8"/>
      <c r="N27" s="8"/>
      <c r="O27" s="8"/>
      <c r="P27" s="8"/>
      <c r="Q27" s="8"/>
      <c r="R27" s="123"/>
      <c r="S27" s="124"/>
      <c r="T27" s="125"/>
      <c r="U27" s="126"/>
    </row>
    <row r="28" spans="1:21" s="10" customFormat="1">
      <c r="A28" s="8">
        <v>10</v>
      </c>
      <c r="B28" s="8"/>
      <c r="C28" s="8"/>
      <c r="D28" s="8" t="s">
        <v>48</v>
      </c>
      <c r="E28" s="25" t="s">
        <v>49</v>
      </c>
      <c r="F28" s="25"/>
      <c r="G28" s="38" t="s">
        <v>264</v>
      </c>
      <c r="H28" s="38" t="s">
        <v>89</v>
      </c>
      <c r="I28" s="8" t="s">
        <v>118</v>
      </c>
      <c r="J28" s="8"/>
      <c r="K28" s="8"/>
      <c r="L28" s="8"/>
      <c r="M28" s="8"/>
      <c r="N28" s="8"/>
      <c r="O28" s="8"/>
      <c r="P28" s="8"/>
      <c r="Q28" s="8"/>
      <c r="R28" s="123"/>
      <c r="S28" s="124"/>
      <c r="T28" s="125"/>
      <c r="U28" s="126"/>
    </row>
    <row r="29" spans="1:21" s="10" customFormat="1">
      <c r="A29" s="8">
        <v>10</v>
      </c>
      <c r="B29" s="8"/>
      <c r="C29" s="8"/>
      <c r="D29" s="8" t="s">
        <v>85</v>
      </c>
      <c r="E29" s="25" t="s">
        <v>49</v>
      </c>
      <c r="F29" s="25"/>
      <c r="G29" s="38" t="s">
        <v>265</v>
      </c>
      <c r="H29" s="38" t="s">
        <v>88</v>
      </c>
      <c r="I29" s="8" t="s">
        <v>118</v>
      </c>
      <c r="J29" s="8"/>
      <c r="K29" s="8"/>
      <c r="L29" s="8"/>
      <c r="M29" s="8"/>
      <c r="N29" s="8"/>
      <c r="O29" s="8"/>
      <c r="P29" s="8"/>
      <c r="Q29" s="8"/>
      <c r="R29" s="123"/>
      <c r="S29" s="124"/>
      <c r="T29" s="125"/>
      <c r="U29" s="126"/>
    </row>
    <row r="30" spans="1:21" s="10" customFormat="1">
      <c r="A30" s="8">
        <v>10</v>
      </c>
      <c r="B30" s="8"/>
      <c r="C30" s="8"/>
      <c r="D30" s="8" t="s">
        <v>93</v>
      </c>
      <c r="E30" s="25" t="s">
        <v>49</v>
      </c>
      <c r="F30" s="25"/>
      <c r="G30" s="38" t="s">
        <v>278</v>
      </c>
      <c r="H30" s="38" t="s">
        <v>144</v>
      </c>
      <c r="I30" s="8" t="s">
        <v>118</v>
      </c>
      <c r="J30" s="8"/>
      <c r="K30" s="8"/>
      <c r="L30" s="8"/>
      <c r="M30" s="8"/>
      <c r="N30" s="8"/>
      <c r="O30" s="8"/>
      <c r="P30" s="8"/>
      <c r="Q30" s="8"/>
      <c r="R30" s="123"/>
      <c r="S30" s="124"/>
      <c r="T30" s="125"/>
      <c r="U30" s="126"/>
    </row>
    <row r="31" spans="1:21" s="10" customFormat="1" ht="26">
      <c r="A31" s="8">
        <v>10</v>
      </c>
      <c r="B31" s="8"/>
      <c r="C31" s="8"/>
      <c r="D31" s="8" t="s">
        <v>106</v>
      </c>
      <c r="E31" s="25" t="s">
        <v>49</v>
      </c>
      <c r="F31" s="25"/>
      <c r="G31" s="38" t="s">
        <v>279</v>
      </c>
      <c r="H31" s="38" t="s">
        <v>145</v>
      </c>
      <c r="I31" s="8" t="s">
        <v>118</v>
      </c>
      <c r="J31" s="8"/>
      <c r="K31" s="8"/>
      <c r="L31" s="8"/>
      <c r="M31" s="8"/>
      <c r="N31" s="8"/>
      <c r="O31" s="8"/>
      <c r="P31" s="8"/>
      <c r="Q31" s="8"/>
      <c r="R31" s="123"/>
      <c r="S31" s="124"/>
      <c r="T31" s="125"/>
      <c r="U31" s="126"/>
    </row>
    <row r="32" spans="1:21" s="10" customFormat="1">
      <c r="A32" s="8">
        <v>10</v>
      </c>
      <c r="B32" s="8"/>
      <c r="C32" s="8"/>
      <c r="D32" s="8" t="s">
        <v>103</v>
      </c>
      <c r="E32" s="25" t="s">
        <v>49</v>
      </c>
      <c r="F32" s="25"/>
      <c r="G32" s="38" t="s">
        <v>280</v>
      </c>
      <c r="H32" s="38" t="s">
        <v>146</v>
      </c>
      <c r="I32" s="8"/>
      <c r="J32" s="8"/>
      <c r="K32" s="8"/>
      <c r="L32" s="8"/>
      <c r="M32" s="8"/>
      <c r="N32" s="8"/>
      <c r="O32" s="8"/>
      <c r="P32" s="8"/>
      <c r="Q32" s="8"/>
      <c r="R32" s="123"/>
      <c r="S32" s="124"/>
      <c r="T32" s="125"/>
      <c r="U32" s="126"/>
    </row>
    <row r="33" spans="1:21" s="10" customFormat="1">
      <c r="A33" s="8">
        <v>10</v>
      </c>
      <c r="B33" s="8"/>
      <c r="C33" s="8"/>
      <c r="D33" s="8" t="s">
        <v>28</v>
      </c>
      <c r="E33" s="25" t="s">
        <v>29</v>
      </c>
      <c r="F33" s="25"/>
      <c r="G33" s="38" t="s">
        <v>252</v>
      </c>
      <c r="H33" s="38" t="s">
        <v>147</v>
      </c>
      <c r="I33" s="8"/>
      <c r="J33" s="8"/>
      <c r="K33" s="8"/>
      <c r="L33" s="8"/>
      <c r="M33" s="8"/>
      <c r="N33" s="8"/>
      <c r="O33" s="8"/>
      <c r="P33" s="8"/>
      <c r="Q33" s="8"/>
      <c r="R33" s="123"/>
      <c r="S33" s="124"/>
      <c r="T33" s="125"/>
      <c r="U33" s="126"/>
    </row>
    <row r="34" spans="1:21" s="10" customFormat="1">
      <c r="A34" s="8">
        <v>10</v>
      </c>
      <c r="B34" s="8"/>
      <c r="C34" s="8"/>
      <c r="D34" s="8" t="s">
        <v>55</v>
      </c>
      <c r="E34" s="25" t="s">
        <v>56</v>
      </c>
      <c r="F34" s="25"/>
      <c r="G34" s="38" t="s">
        <v>268</v>
      </c>
      <c r="H34" s="38" t="s">
        <v>136</v>
      </c>
      <c r="I34" s="8"/>
      <c r="J34" s="8"/>
      <c r="K34" s="8"/>
      <c r="L34" s="8"/>
      <c r="M34" s="8"/>
      <c r="N34" s="8"/>
      <c r="O34" s="8"/>
      <c r="P34" s="8"/>
      <c r="Q34" s="8"/>
      <c r="R34" s="123"/>
      <c r="S34" s="124"/>
      <c r="T34" s="125"/>
      <c r="U34" s="126"/>
    </row>
    <row r="35" spans="1:21" s="10" customFormat="1">
      <c r="A35" s="8">
        <v>10</v>
      </c>
      <c r="B35" s="8"/>
      <c r="C35" s="8"/>
      <c r="D35" s="8" t="s">
        <v>162</v>
      </c>
      <c r="E35" s="25" t="s">
        <v>163</v>
      </c>
      <c r="F35" s="25"/>
      <c r="G35" s="38" t="s">
        <v>281</v>
      </c>
      <c r="H35" s="38" t="s">
        <v>164</v>
      </c>
      <c r="I35" s="8" t="s">
        <v>165</v>
      </c>
      <c r="J35" s="8"/>
      <c r="K35" s="8"/>
      <c r="L35" s="8"/>
      <c r="M35" s="8"/>
      <c r="N35" s="8"/>
      <c r="O35" s="8"/>
      <c r="P35" s="8"/>
      <c r="Q35" s="8"/>
      <c r="R35" s="123"/>
      <c r="S35" s="124"/>
      <c r="T35" s="125"/>
      <c r="U35" s="126"/>
    </row>
    <row r="36" spans="1:21" s="10" customFormat="1" ht="26">
      <c r="A36" s="8">
        <v>10</v>
      </c>
      <c r="B36" s="8"/>
      <c r="C36" s="8"/>
      <c r="D36" s="8" t="s">
        <v>166</v>
      </c>
      <c r="E36" s="25" t="s">
        <v>167</v>
      </c>
      <c r="F36" s="25"/>
      <c r="G36" s="38" t="s">
        <v>282</v>
      </c>
      <c r="H36" s="38" t="s">
        <v>168</v>
      </c>
      <c r="I36" s="8" t="s">
        <v>165</v>
      </c>
      <c r="J36" s="8"/>
      <c r="K36" s="8"/>
      <c r="L36" s="8"/>
      <c r="M36" s="8"/>
      <c r="N36" s="8"/>
      <c r="O36" s="8"/>
      <c r="P36" s="8"/>
      <c r="Q36" s="8"/>
      <c r="R36" s="123"/>
      <c r="S36" s="124"/>
      <c r="T36" s="125"/>
      <c r="U36" s="126"/>
    </row>
    <row r="37" spans="1:21" s="10" customFormat="1">
      <c r="A37" s="8">
        <v>10</v>
      </c>
      <c r="B37" s="8"/>
      <c r="C37" s="8"/>
      <c r="D37" s="8" t="s">
        <v>169</v>
      </c>
      <c r="E37" s="25" t="s">
        <v>170</v>
      </c>
      <c r="F37" s="25"/>
      <c r="G37" s="38" t="s">
        <v>283</v>
      </c>
      <c r="H37" s="38" t="s">
        <v>171</v>
      </c>
      <c r="I37" s="8" t="s">
        <v>165</v>
      </c>
      <c r="J37" s="8"/>
      <c r="K37" s="8"/>
      <c r="L37" s="8"/>
      <c r="M37" s="8"/>
      <c r="N37" s="8"/>
      <c r="O37" s="8"/>
      <c r="P37" s="8"/>
      <c r="Q37" s="8"/>
      <c r="R37" s="123"/>
      <c r="S37" s="124"/>
      <c r="T37" s="125"/>
      <c r="U37" s="126"/>
    </row>
    <row r="38" spans="1:21" s="10" customFormat="1">
      <c r="A38" s="8">
        <v>10</v>
      </c>
      <c r="B38" s="8"/>
      <c r="C38" s="8"/>
      <c r="D38" s="8" t="s">
        <v>172</v>
      </c>
      <c r="E38" s="25" t="s">
        <v>173</v>
      </c>
      <c r="F38" s="25"/>
      <c r="G38" s="38" t="s">
        <v>284</v>
      </c>
      <c r="H38" s="38" t="s">
        <v>174</v>
      </c>
      <c r="I38" s="8" t="s">
        <v>165</v>
      </c>
      <c r="J38" s="8"/>
      <c r="K38" s="8"/>
      <c r="L38" s="8"/>
      <c r="M38" s="8"/>
      <c r="N38" s="8"/>
      <c r="O38" s="8"/>
      <c r="P38" s="8"/>
      <c r="Q38" s="8"/>
      <c r="R38" s="123"/>
      <c r="S38" s="124"/>
      <c r="T38" s="125"/>
      <c r="U38" s="126"/>
    </row>
    <row r="39" spans="1:21" s="10" customFormat="1">
      <c r="A39" s="8">
        <v>10</v>
      </c>
      <c r="B39" s="8"/>
      <c r="C39" s="8"/>
      <c r="D39" s="8" t="s">
        <v>175</v>
      </c>
      <c r="E39" s="25" t="s">
        <v>176</v>
      </c>
      <c r="F39" s="25"/>
      <c r="G39" s="38" t="s">
        <v>285</v>
      </c>
      <c r="H39" s="38" t="s">
        <v>177</v>
      </c>
      <c r="I39" s="8" t="s">
        <v>165</v>
      </c>
      <c r="J39" s="8"/>
      <c r="K39" s="8"/>
      <c r="L39" s="8"/>
      <c r="M39" s="8"/>
      <c r="N39" s="8"/>
      <c r="O39" s="8"/>
      <c r="P39" s="8"/>
      <c r="Q39" s="8"/>
      <c r="R39" s="123"/>
      <c r="S39" s="124"/>
      <c r="T39" s="125"/>
      <c r="U39" s="126"/>
    </row>
    <row r="40" spans="1:21" s="10" customFormat="1" ht="26">
      <c r="A40" s="8">
        <v>10</v>
      </c>
      <c r="B40" s="8"/>
      <c r="C40" s="8"/>
      <c r="D40" s="8" t="s">
        <v>178</v>
      </c>
      <c r="E40" s="25" t="s">
        <v>179</v>
      </c>
      <c r="F40" s="25"/>
      <c r="G40" s="38" t="s">
        <v>286</v>
      </c>
      <c r="H40" s="38" t="s">
        <v>180</v>
      </c>
      <c r="I40" s="8" t="s">
        <v>165</v>
      </c>
      <c r="J40" s="8"/>
      <c r="K40" s="8"/>
      <c r="L40" s="8"/>
      <c r="M40" s="8"/>
      <c r="N40" s="8"/>
      <c r="O40" s="8"/>
      <c r="P40" s="8"/>
      <c r="Q40" s="8"/>
      <c r="R40" s="123"/>
      <c r="S40" s="124"/>
      <c r="T40" s="125"/>
      <c r="U40" s="126"/>
    </row>
    <row r="41" spans="1:21" s="10" customFormat="1" ht="26">
      <c r="A41" s="8">
        <v>10</v>
      </c>
      <c r="B41" s="8"/>
      <c r="C41" s="8"/>
      <c r="D41" s="8" t="s">
        <v>181</v>
      </c>
      <c r="E41" s="25" t="s">
        <v>182</v>
      </c>
      <c r="F41" s="25"/>
      <c r="G41" s="38" t="s">
        <v>287</v>
      </c>
      <c r="H41" s="38" t="s">
        <v>183</v>
      </c>
      <c r="I41" s="8" t="s">
        <v>165</v>
      </c>
      <c r="J41" s="8"/>
      <c r="K41" s="8"/>
      <c r="L41" s="8"/>
      <c r="M41" s="8"/>
      <c r="N41" s="8"/>
      <c r="O41" s="8"/>
      <c r="P41" s="8"/>
      <c r="Q41" s="8"/>
      <c r="R41" s="123"/>
      <c r="S41" s="124"/>
      <c r="T41" s="125"/>
      <c r="U41" s="126"/>
    </row>
    <row r="42" spans="1:21" s="10" customFormat="1" ht="26">
      <c r="A42" s="8">
        <v>10</v>
      </c>
      <c r="B42" s="8"/>
      <c r="C42" s="8"/>
      <c r="D42" s="8" t="s">
        <v>184</v>
      </c>
      <c r="E42" s="25" t="s">
        <v>182</v>
      </c>
      <c r="F42" s="25"/>
      <c r="G42" s="38" t="s">
        <v>288</v>
      </c>
      <c r="H42" s="38" t="s">
        <v>185</v>
      </c>
      <c r="I42" s="8" t="s">
        <v>165</v>
      </c>
      <c r="J42" s="8"/>
      <c r="K42" s="8"/>
      <c r="L42" s="8"/>
      <c r="M42" s="8"/>
      <c r="N42" s="8"/>
      <c r="O42" s="8"/>
      <c r="P42" s="8"/>
      <c r="Q42" s="8"/>
      <c r="R42" s="123"/>
      <c r="S42" s="124"/>
      <c r="T42" s="125"/>
      <c r="U42" s="126"/>
    </row>
    <row r="43" spans="1:21" s="10" customFormat="1" ht="26">
      <c r="A43" s="8">
        <v>10</v>
      </c>
      <c r="B43" s="8"/>
      <c r="C43" s="8"/>
      <c r="D43" s="8" t="s">
        <v>186</v>
      </c>
      <c r="E43" s="25" t="s">
        <v>182</v>
      </c>
      <c r="F43" s="25"/>
      <c r="G43" s="38" t="s">
        <v>289</v>
      </c>
      <c r="H43" s="38" t="s">
        <v>187</v>
      </c>
      <c r="I43" s="8" t="s">
        <v>165</v>
      </c>
      <c r="J43" s="8"/>
      <c r="K43" s="8"/>
      <c r="L43" s="8"/>
      <c r="M43" s="8"/>
      <c r="N43" s="8"/>
      <c r="O43" s="8"/>
      <c r="P43" s="8"/>
      <c r="Q43" s="8"/>
      <c r="R43" s="123"/>
      <c r="S43" s="124"/>
      <c r="T43" s="125"/>
      <c r="U43" s="126"/>
    </row>
    <row r="44" spans="1:21" s="10" customFormat="1" ht="26">
      <c r="A44" s="8">
        <v>10</v>
      </c>
      <c r="B44" s="8"/>
      <c r="C44" s="8"/>
      <c r="D44" s="8" t="s">
        <v>188</v>
      </c>
      <c r="E44" s="25" t="s">
        <v>182</v>
      </c>
      <c r="F44" s="25"/>
      <c r="G44" s="38" t="s">
        <v>290</v>
      </c>
      <c r="H44" s="38" t="s">
        <v>189</v>
      </c>
      <c r="I44" s="8" t="s">
        <v>165</v>
      </c>
      <c r="J44" s="8"/>
      <c r="K44" s="8"/>
      <c r="L44" s="8"/>
      <c r="M44" s="8"/>
      <c r="N44" s="8"/>
      <c r="O44" s="8"/>
      <c r="P44" s="8"/>
      <c r="Q44" s="8"/>
      <c r="R44" s="123"/>
      <c r="S44" s="124"/>
      <c r="T44" s="125"/>
      <c r="U44" s="126"/>
    </row>
    <row r="45" spans="1:21" s="10" customFormat="1">
      <c r="A45" s="8">
        <v>10</v>
      </c>
      <c r="B45" s="8"/>
      <c r="C45" s="8"/>
      <c r="D45" s="8" t="s">
        <v>190</v>
      </c>
      <c r="E45" s="25" t="s">
        <v>191</v>
      </c>
      <c r="F45" s="25"/>
      <c r="G45" s="38" t="s">
        <v>291</v>
      </c>
      <c r="H45" s="38" t="s">
        <v>192</v>
      </c>
      <c r="I45" s="8" t="s">
        <v>165</v>
      </c>
      <c r="J45" s="8"/>
      <c r="K45" s="8"/>
      <c r="L45" s="8"/>
      <c r="M45" s="8"/>
      <c r="N45" s="8"/>
      <c r="O45" s="8"/>
      <c r="P45" s="8"/>
      <c r="Q45" s="8"/>
      <c r="R45" s="123"/>
      <c r="S45" s="124"/>
      <c r="T45" s="125"/>
      <c r="U45" s="126"/>
    </row>
    <row r="46" spans="1:21" s="10" customFormat="1">
      <c r="A46" s="8">
        <v>10</v>
      </c>
      <c r="B46" s="8"/>
      <c r="C46" s="8"/>
      <c r="D46" s="8" t="s">
        <v>193</v>
      </c>
      <c r="E46" s="25" t="s">
        <v>191</v>
      </c>
      <c r="F46" s="25"/>
      <c r="G46" s="38" t="s">
        <v>292</v>
      </c>
      <c r="H46" s="38" t="s">
        <v>194</v>
      </c>
      <c r="I46" s="8" t="s">
        <v>165</v>
      </c>
      <c r="J46" s="8"/>
      <c r="K46" s="8"/>
      <c r="L46" s="8"/>
      <c r="M46" s="8"/>
      <c r="N46" s="8"/>
      <c r="O46" s="8"/>
      <c r="P46" s="8"/>
      <c r="Q46" s="8"/>
      <c r="R46" s="123"/>
      <c r="S46" s="124"/>
      <c r="T46" s="125"/>
      <c r="U46" s="126"/>
    </row>
    <row r="47" spans="1:21" s="10" customFormat="1" ht="26">
      <c r="A47" s="8">
        <v>10</v>
      </c>
      <c r="B47" s="8"/>
      <c r="C47" s="8"/>
      <c r="D47" s="8" t="s">
        <v>195</v>
      </c>
      <c r="E47" s="25" t="s">
        <v>196</v>
      </c>
      <c r="F47" s="25"/>
      <c r="G47" s="38" t="s">
        <v>293</v>
      </c>
      <c r="H47" s="38" t="s">
        <v>197</v>
      </c>
      <c r="I47" s="8" t="s">
        <v>165</v>
      </c>
      <c r="J47" s="8"/>
      <c r="K47" s="8"/>
      <c r="L47" s="8"/>
      <c r="M47" s="8"/>
      <c r="N47" s="8"/>
      <c r="O47" s="8"/>
      <c r="P47" s="8"/>
      <c r="Q47" s="8"/>
      <c r="R47" s="123"/>
      <c r="S47" s="124"/>
      <c r="T47" s="125"/>
      <c r="U47" s="126"/>
    </row>
    <row r="48" spans="1:21" s="10" customFormat="1">
      <c r="A48" s="8">
        <v>10</v>
      </c>
      <c r="B48" s="8"/>
      <c r="C48" s="8"/>
      <c r="D48" s="8" t="s">
        <v>198</v>
      </c>
      <c r="E48" s="25" t="s">
        <v>167</v>
      </c>
      <c r="F48" s="25"/>
      <c r="G48" s="38" t="s">
        <v>294</v>
      </c>
      <c r="H48" s="38" t="s">
        <v>199</v>
      </c>
      <c r="I48" s="8" t="s">
        <v>165</v>
      </c>
      <c r="J48" s="8"/>
      <c r="K48" s="8"/>
      <c r="L48" s="8"/>
      <c r="M48" s="8"/>
      <c r="N48" s="8"/>
      <c r="O48" s="8"/>
      <c r="P48" s="8"/>
      <c r="Q48" s="8"/>
      <c r="R48" s="123"/>
      <c r="S48" s="124"/>
      <c r="T48" s="125"/>
      <c r="U48" s="126"/>
    </row>
    <row r="49" spans="1:21" s="10" customFormat="1">
      <c r="A49" s="8">
        <v>10</v>
      </c>
      <c r="B49" s="8"/>
      <c r="C49" s="8"/>
      <c r="D49" s="8" t="s">
        <v>200</v>
      </c>
      <c r="E49" s="25" t="s">
        <v>163</v>
      </c>
      <c r="F49" s="25"/>
      <c r="G49" s="38" t="s">
        <v>295</v>
      </c>
      <c r="H49" s="38" t="s">
        <v>201</v>
      </c>
      <c r="I49" s="8" t="s">
        <v>165</v>
      </c>
      <c r="J49" s="8"/>
      <c r="K49" s="8"/>
      <c r="L49" s="8"/>
      <c r="M49" s="8"/>
      <c r="N49" s="8"/>
      <c r="O49" s="8"/>
      <c r="P49" s="8"/>
      <c r="Q49" s="8"/>
      <c r="R49" s="123"/>
      <c r="S49" s="124"/>
      <c r="T49" s="125"/>
      <c r="U49" s="126"/>
    </row>
    <row r="50" spans="1:21" s="10" customFormat="1">
      <c r="A50" s="8">
        <v>10</v>
      </c>
      <c r="B50" s="8"/>
      <c r="C50" s="8"/>
      <c r="D50" s="8" t="s">
        <v>202</v>
      </c>
      <c r="E50" s="25" t="s">
        <v>167</v>
      </c>
      <c r="F50" s="25"/>
      <c r="G50" s="38" t="s">
        <v>296</v>
      </c>
      <c r="H50" s="38" t="s">
        <v>203</v>
      </c>
      <c r="I50" s="8" t="s">
        <v>165</v>
      </c>
      <c r="J50" s="8"/>
      <c r="K50" s="8"/>
      <c r="L50" s="8"/>
      <c r="M50" s="8"/>
      <c r="N50" s="8"/>
      <c r="O50" s="8"/>
      <c r="P50" s="8"/>
      <c r="Q50" s="8"/>
      <c r="R50" s="123"/>
      <c r="S50" s="124"/>
      <c r="T50" s="125"/>
      <c r="U50" s="126"/>
    </row>
    <row r="51" spans="1:21" s="10" customFormat="1">
      <c r="A51" s="8">
        <v>10</v>
      </c>
      <c r="B51" s="8"/>
      <c r="C51" s="8"/>
      <c r="D51" s="8" t="s">
        <v>204</v>
      </c>
      <c r="E51" s="25" t="s">
        <v>170</v>
      </c>
      <c r="F51" s="25"/>
      <c r="G51" s="38" t="s">
        <v>297</v>
      </c>
      <c r="H51" s="38" t="s">
        <v>205</v>
      </c>
      <c r="I51" s="8" t="s">
        <v>165</v>
      </c>
      <c r="J51" s="8"/>
      <c r="K51" s="8"/>
      <c r="L51" s="8"/>
      <c r="M51" s="8"/>
      <c r="N51" s="8"/>
      <c r="O51" s="8"/>
      <c r="P51" s="8"/>
      <c r="Q51" s="8"/>
      <c r="R51" s="123"/>
      <c r="S51" s="124"/>
      <c r="T51" s="125"/>
      <c r="U51" s="126"/>
    </row>
    <row r="52" spans="1:21" s="10" customFormat="1">
      <c r="A52" s="8">
        <v>10</v>
      </c>
      <c r="B52" s="8"/>
      <c r="C52" s="8"/>
      <c r="D52" s="8" t="s">
        <v>206</v>
      </c>
      <c r="E52" s="25" t="s">
        <v>173</v>
      </c>
      <c r="F52" s="25"/>
      <c r="G52" s="38" t="s">
        <v>298</v>
      </c>
      <c r="H52" s="38" t="s">
        <v>207</v>
      </c>
      <c r="I52" s="8" t="s">
        <v>165</v>
      </c>
      <c r="J52" s="8"/>
      <c r="K52" s="8"/>
      <c r="L52" s="8"/>
      <c r="M52" s="8"/>
      <c r="N52" s="8"/>
      <c r="O52" s="8"/>
      <c r="P52" s="8"/>
      <c r="Q52" s="8"/>
      <c r="R52" s="123"/>
      <c r="S52" s="124"/>
      <c r="T52" s="125"/>
      <c r="U52" s="126"/>
    </row>
    <row r="53" spans="1:21" s="10" customFormat="1">
      <c r="A53" s="8">
        <v>10</v>
      </c>
      <c r="B53" s="8"/>
      <c r="C53" s="8"/>
      <c r="D53" s="8" t="s">
        <v>208</v>
      </c>
      <c r="E53" s="25" t="s">
        <v>176</v>
      </c>
      <c r="F53" s="25"/>
      <c r="G53" s="38" t="s">
        <v>299</v>
      </c>
      <c r="H53" s="38" t="s">
        <v>209</v>
      </c>
      <c r="I53" s="8" t="s">
        <v>165</v>
      </c>
      <c r="J53" s="8"/>
      <c r="K53" s="8"/>
      <c r="L53" s="8"/>
      <c r="M53" s="8"/>
      <c r="N53" s="8"/>
      <c r="O53" s="8"/>
      <c r="P53" s="8"/>
      <c r="Q53" s="8"/>
      <c r="R53" s="123"/>
      <c r="S53" s="124"/>
      <c r="T53" s="125"/>
      <c r="U53" s="126"/>
    </row>
    <row r="54" spans="1:21" s="10" customFormat="1">
      <c r="A54" s="8">
        <v>10</v>
      </c>
      <c r="B54" s="8"/>
      <c r="C54" s="8"/>
      <c r="D54" s="8" t="s">
        <v>210</v>
      </c>
      <c r="E54" s="25" t="s">
        <v>179</v>
      </c>
      <c r="F54" s="25"/>
      <c r="G54" s="38" t="s">
        <v>300</v>
      </c>
      <c r="H54" s="38" t="s">
        <v>211</v>
      </c>
      <c r="I54" s="8" t="s">
        <v>165</v>
      </c>
      <c r="J54" s="8"/>
      <c r="K54" s="8"/>
      <c r="L54" s="8"/>
      <c r="M54" s="8"/>
      <c r="N54" s="8"/>
      <c r="O54" s="8"/>
      <c r="P54" s="8"/>
      <c r="Q54" s="8"/>
      <c r="R54" s="123"/>
      <c r="S54" s="124"/>
      <c r="T54" s="125"/>
      <c r="U54" s="126"/>
    </row>
    <row r="55" spans="1:21" s="10" customFormat="1">
      <c r="A55" s="8">
        <v>10</v>
      </c>
      <c r="B55" s="8"/>
      <c r="C55" s="8"/>
      <c r="D55" s="8" t="s">
        <v>212</v>
      </c>
      <c r="E55" s="25" t="s">
        <v>182</v>
      </c>
      <c r="F55" s="25"/>
      <c r="G55" s="38" t="s">
        <v>301</v>
      </c>
      <c r="H55" s="38" t="s">
        <v>213</v>
      </c>
      <c r="I55" s="8" t="s">
        <v>165</v>
      </c>
      <c r="J55" s="8"/>
      <c r="K55" s="8"/>
      <c r="L55" s="8"/>
      <c r="M55" s="8"/>
      <c r="N55" s="8"/>
      <c r="O55" s="8"/>
      <c r="P55" s="8"/>
      <c r="Q55" s="8"/>
      <c r="R55" s="123"/>
      <c r="S55" s="124"/>
      <c r="T55" s="125"/>
      <c r="U55" s="126"/>
    </row>
    <row r="56" spans="1:21" s="10" customFormat="1">
      <c r="A56" s="8">
        <v>10</v>
      </c>
      <c r="B56" s="8"/>
      <c r="C56" s="8"/>
      <c r="D56" s="8" t="s">
        <v>214</v>
      </c>
      <c r="E56" s="25" t="s">
        <v>182</v>
      </c>
      <c r="F56" s="25"/>
      <c r="G56" s="38" t="s">
        <v>302</v>
      </c>
      <c r="H56" s="38" t="s">
        <v>215</v>
      </c>
      <c r="I56" s="8" t="s">
        <v>165</v>
      </c>
      <c r="J56" s="8"/>
      <c r="K56" s="8"/>
      <c r="L56" s="8"/>
      <c r="M56" s="8"/>
      <c r="N56" s="8"/>
      <c r="O56" s="8"/>
      <c r="P56" s="8"/>
      <c r="Q56" s="8"/>
      <c r="R56" s="123"/>
      <c r="S56" s="124"/>
      <c r="T56" s="125"/>
      <c r="U56" s="126"/>
    </row>
    <row r="57" spans="1:21" s="10" customFormat="1">
      <c r="A57" s="8">
        <v>10</v>
      </c>
      <c r="B57" s="8"/>
      <c r="C57" s="8"/>
      <c r="D57" s="8" t="s">
        <v>216</v>
      </c>
      <c r="E57" s="25" t="s">
        <v>182</v>
      </c>
      <c r="F57" s="25"/>
      <c r="G57" s="38" t="s">
        <v>303</v>
      </c>
      <c r="H57" s="38" t="s">
        <v>217</v>
      </c>
      <c r="I57" s="8" t="s">
        <v>165</v>
      </c>
      <c r="J57" s="8"/>
      <c r="K57" s="8"/>
      <c r="L57" s="8"/>
      <c r="M57" s="8"/>
      <c r="N57" s="8"/>
      <c r="O57" s="8"/>
      <c r="P57" s="8"/>
      <c r="Q57" s="8"/>
      <c r="R57" s="123"/>
      <c r="S57" s="124"/>
      <c r="T57" s="125"/>
      <c r="U57" s="126"/>
    </row>
    <row r="58" spans="1:21" s="10" customFormat="1">
      <c r="A58" s="8">
        <v>10</v>
      </c>
      <c r="B58" s="8"/>
      <c r="C58" s="8"/>
      <c r="D58" s="8" t="s">
        <v>218</v>
      </c>
      <c r="E58" s="25" t="s">
        <v>182</v>
      </c>
      <c r="F58" s="25"/>
      <c r="G58" s="38" t="s">
        <v>304</v>
      </c>
      <c r="H58" s="38" t="s">
        <v>219</v>
      </c>
      <c r="I58" s="8" t="s">
        <v>165</v>
      </c>
      <c r="J58" s="8"/>
      <c r="K58" s="8"/>
      <c r="L58" s="8"/>
      <c r="M58" s="8"/>
      <c r="N58" s="8"/>
      <c r="O58" s="8"/>
      <c r="P58" s="8"/>
      <c r="Q58" s="8"/>
      <c r="R58" s="123"/>
      <c r="S58" s="124"/>
      <c r="T58" s="125"/>
      <c r="U58" s="126"/>
    </row>
    <row r="59" spans="1:21" s="10" customFormat="1">
      <c r="A59" s="8">
        <v>10</v>
      </c>
      <c r="B59" s="8"/>
      <c r="C59" s="8"/>
      <c r="D59" s="8" t="s">
        <v>220</v>
      </c>
      <c r="E59" s="25" t="s">
        <v>191</v>
      </c>
      <c r="F59" s="25"/>
      <c r="G59" s="38" t="s">
        <v>305</v>
      </c>
      <c r="H59" s="38" t="s">
        <v>221</v>
      </c>
      <c r="I59" s="8" t="s">
        <v>165</v>
      </c>
      <c r="J59" s="8"/>
      <c r="K59" s="8"/>
      <c r="L59" s="8"/>
      <c r="M59" s="8"/>
      <c r="N59" s="8"/>
      <c r="O59" s="8"/>
      <c r="P59" s="8"/>
      <c r="Q59" s="8"/>
      <c r="R59" s="123"/>
      <c r="S59" s="124"/>
      <c r="T59" s="125"/>
      <c r="U59" s="126"/>
    </row>
    <row r="60" spans="1:21" s="10" customFormat="1">
      <c r="A60" s="8">
        <v>10</v>
      </c>
      <c r="B60" s="8"/>
      <c r="C60" s="8"/>
      <c r="D60" s="8" t="s">
        <v>222</v>
      </c>
      <c r="E60" s="25" t="s">
        <v>191</v>
      </c>
      <c r="F60" s="25"/>
      <c r="G60" s="38" t="s">
        <v>306</v>
      </c>
      <c r="H60" s="38" t="s">
        <v>223</v>
      </c>
      <c r="I60" s="8" t="s">
        <v>165</v>
      </c>
      <c r="J60" s="8"/>
      <c r="K60" s="8"/>
      <c r="L60" s="8"/>
      <c r="M60" s="8"/>
      <c r="N60" s="8"/>
      <c r="O60" s="8"/>
      <c r="P60" s="8"/>
      <c r="Q60" s="8"/>
      <c r="R60" s="123"/>
      <c r="S60" s="124"/>
      <c r="T60" s="125"/>
      <c r="U60" s="126"/>
    </row>
    <row r="61" spans="1:21" s="10" customFormat="1" ht="26">
      <c r="A61" s="8">
        <v>10</v>
      </c>
      <c r="B61" s="8"/>
      <c r="C61" s="8"/>
      <c r="D61" s="8" t="s">
        <v>224</v>
      </c>
      <c r="E61" s="25" t="s">
        <v>196</v>
      </c>
      <c r="F61" s="25"/>
      <c r="G61" s="38" t="s">
        <v>307</v>
      </c>
      <c r="H61" s="38" t="s">
        <v>225</v>
      </c>
      <c r="I61" s="8" t="s">
        <v>165</v>
      </c>
      <c r="J61" s="8"/>
      <c r="K61" s="8"/>
      <c r="L61" s="8"/>
      <c r="M61" s="8"/>
      <c r="N61" s="8"/>
      <c r="O61" s="8"/>
      <c r="P61" s="8"/>
      <c r="Q61" s="8"/>
      <c r="R61" s="123"/>
      <c r="S61" s="124"/>
      <c r="T61" s="125"/>
      <c r="U61" s="126"/>
    </row>
  </sheetData>
  <mergeCells count="104">
    <mergeCell ref="R16:S16"/>
    <mergeCell ref="T16:U16"/>
    <mergeCell ref="R17:S17"/>
    <mergeCell ref="T17:U17"/>
    <mergeCell ref="R19:S19"/>
    <mergeCell ref="T19:U19"/>
    <mergeCell ref="R34:S34"/>
    <mergeCell ref="T34:U34"/>
    <mergeCell ref="T8:U8"/>
    <mergeCell ref="R9:S9"/>
    <mergeCell ref="T9:U9"/>
    <mergeCell ref="T11:U11"/>
    <mergeCell ref="R12:S12"/>
    <mergeCell ref="T12:U12"/>
    <mergeCell ref="R13:S13"/>
    <mergeCell ref="T13:U13"/>
    <mergeCell ref="R15:S15"/>
    <mergeCell ref="T15:U15"/>
    <mergeCell ref="R18:S18"/>
    <mergeCell ref="T18:U18"/>
    <mergeCell ref="R14:S14"/>
    <mergeCell ref="T14:U14"/>
    <mergeCell ref="R33:S33"/>
    <mergeCell ref="T33:U33"/>
    <mergeCell ref="R20:S20"/>
    <mergeCell ref="T20:U20"/>
    <mergeCell ref="R21:S21"/>
    <mergeCell ref="T21:U21"/>
    <mergeCell ref="R22:S22"/>
    <mergeCell ref="T22:U22"/>
    <mergeCell ref="R23:S23"/>
    <mergeCell ref="T23:U23"/>
    <mergeCell ref="R30:S30"/>
    <mergeCell ref="T30:U30"/>
    <mergeCell ref="R24:S24"/>
    <mergeCell ref="T24:U24"/>
    <mergeCell ref="R25:S25"/>
    <mergeCell ref="T25:U25"/>
    <mergeCell ref="R32:S32"/>
    <mergeCell ref="T32:U32"/>
    <mergeCell ref="R29:S29"/>
    <mergeCell ref="T29:U29"/>
    <mergeCell ref="R26:S26"/>
    <mergeCell ref="T26:U26"/>
    <mergeCell ref="R27:S27"/>
    <mergeCell ref="T27:U27"/>
    <mergeCell ref="R28:S28"/>
    <mergeCell ref="T28:U28"/>
    <mergeCell ref="R31:S31"/>
    <mergeCell ref="T31:U31"/>
    <mergeCell ref="R37:S37"/>
    <mergeCell ref="T37:U37"/>
    <mergeCell ref="R38:S38"/>
    <mergeCell ref="T38:U38"/>
    <mergeCell ref="R39:S39"/>
    <mergeCell ref="T39:U39"/>
    <mergeCell ref="R35:S35"/>
    <mergeCell ref="T35:U35"/>
    <mergeCell ref="R36:S36"/>
    <mergeCell ref="T36:U36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49:S49"/>
    <mergeCell ref="T49:U49"/>
    <mergeCell ref="R50:S50"/>
    <mergeCell ref="T50:U50"/>
    <mergeCell ref="R46:S46"/>
    <mergeCell ref="T46:U46"/>
    <mergeCell ref="R47:S47"/>
    <mergeCell ref="T47:U47"/>
    <mergeCell ref="R48:S48"/>
    <mergeCell ref="T48:U48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60:S60"/>
    <mergeCell ref="T60:U60"/>
    <mergeCell ref="R61:S61"/>
    <mergeCell ref="T61:U61"/>
    <mergeCell ref="R57:S57"/>
    <mergeCell ref="T57:U57"/>
    <mergeCell ref="R58:S58"/>
    <mergeCell ref="T58:U58"/>
    <mergeCell ref="R59:S59"/>
    <mergeCell ref="T59:U5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0">
    <pageSetUpPr fitToPage="1"/>
  </sheetPr>
  <dimension ref="A1:U33"/>
  <sheetViews>
    <sheetView zoomScale="85" zoomScaleNormal="85" zoomScaleSheetLayoutView="85" workbookViewId="0">
      <selection activeCell="D31" sqref="D31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9" t="s">
        <v>110</v>
      </c>
      <c r="B1" s="49" t="s">
        <v>110</v>
      </c>
      <c r="C1" s="49"/>
      <c r="D1" s="1" t="s">
        <v>111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50" t="s">
        <v>110</v>
      </c>
      <c r="B2" s="22"/>
      <c r="C2" s="22"/>
      <c r="D2" s="63" t="s">
        <v>236</v>
      </c>
      <c r="E2" s="7" t="s">
        <v>0</v>
      </c>
      <c r="F2" s="51" t="str">
        <f>IF(LogicCommon!C2="","",LogicCommon!C2)</f>
        <v>MS</v>
      </c>
      <c r="G2" s="7" t="s">
        <v>1</v>
      </c>
      <c r="H2" s="51" t="str">
        <f>IF(LogicCommon!E2="","",LogicCommon!E2)</f>
        <v>MSBBL6220</v>
      </c>
      <c r="I2" s="7" t="s">
        <v>112</v>
      </c>
      <c r="J2" s="8" t="s">
        <v>77</v>
      </c>
      <c r="K2" s="7" t="s">
        <v>107</v>
      </c>
      <c r="L2" s="51" t="str">
        <f>IF(LogicCommon!G2="","",LogicCommon!G2)</f>
        <v>MC</v>
      </c>
      <c r="M2" s="5" t="s">
        <v>113</v>
      </c>
      <c r="N2" s="23" t="s">
        <v>227</v>
      </c>
      <c r="O2" s="7"/>
      <c r="P2" s="7"/>
      <c r="Q2" s="4"/>
      <c r="R2" s="5"/>
      <c r="S2" s="5"/>
      <c r="T2" s="5"/>
      <c r="U2" s="5"/>
    </row>
    <row r="3" spans="1:21" s="10" customFormat="1">
      <c r="A3" s="52" t="s">
        <v>110</v>
      </c>
      <c r="B3" s="53"/>
      <c r="C3" s="53"/>
      <c r="D3" s="54" t="str">
        <f>IF(LogicCommon!A3="","",LogicCommon!A3)</f>
        <v/>
      </c>
      <c r="E3" s="7" t="s">
        <v>2</v>
      </c>
      <c r="F3" s="51" t="str">
        <f>IF(LogicCommon!C3="","",LogicCommon!C3)</f>
        <v>MSBB</v>
      </c>
      <c r="G3" s="7" t="s">
        <v>3</v>
      </c>
      <c r="H3" s="51" t="str">
        <f>IF(LogicCommon!E3="","",LogicCommon!E3)</f>
        <v>MSBBL_SlsSchdService</v>
      </c>
      <c r="I3" s="7" t="s">
        <v>114</v>
      </c>
      <c r="J3" s="8" t="str">
        <f>J2</f>
        <v>Sls_Schd_Upd05</v>
      </c>
      <c r="K3" s="7" t="s">
        <v>109</v>
      </c>
      <c r="L3" s="51" t="str">
        <f>IF(LogicCommon!G3="","",LogicCommon!G3)</f>
        <v/>
      </c>
      <c r="M3" s="55"/>
      <c r="N3" s="7"/>
      <c r="O3" s="7" t="s">
        <v>115</v>
      </c>
      <c r="P3" s="8" t="s">
        <v>132</v>
      </c>
      <c r="Q3" s="4"/>
      <c r="R3" s="5"/>
      <c r="S3" s="5"/>
      <c r="T3" s="5"/>
      <c r="U3" s="5"/>
    </row>
    <row r="4" spans="1:21" s="10" customFormat="1">
      <c r="A4" s="52" t="s">
        <v>110</v>
      </c>
      <c r="B4" s="53"/>
      <c r="C4" s="53"/>
      <c r="D4" s="4"/>
      <c r="E4" s="7" t="s">
        <v>18</v>
      </c>
      <c r="F4" s="56" t="s">
        <v>74</v>
      </c>
      <c r="G4" s="7" t="s">
        <v>4</v>
      </c>
      <c r="H4" s="51" t="str">
        <f>IF(LogicCommon!E4="","",LogicCommon!E4)</f>
        <v>売上予定サービス</v>
      </c>
      <c r="I4" s="7" t="s">
        <v>116</v>
      </c>
      <c r="J4" s="8" t="s">
        <v>228</v>
      </c>
      <c r="K4" s="7" t="s">
        <v>5</v>
      </c>
      <c r="L4" s="51" t="str">
        <f>IF(LogicCommon!G4="","",LogicCommon!G4)</f>
        <v>MS.MSUDL5010</v>
      </c>
      <c r="M4" s="57" t="s">
        <v>133</v>
      </c>
      <c r="N4" s="23"/>
      <c r="O4" s="58"/>
      <c r="P4" s="4"/>
      <c r="Q4" s="4"/>
      <c r="R4" s="5"/>
      <c r="S4" s="5"/>
      <c r="T4" s="5"/>
      <c r="U4" s="5"/>
    </row>
    <row r="5" spans="1:21" s="10" customFormat="1">
      <c r="A5" s="59" t="s">
        <v>110</v>
      </c>
      <c r="B5" s="49"/>
      <c r="C5" s="49"/>
      <c r="D5" s="21"/>
      <c r="E5" s="7" t="s">
        <v>75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2" t="s">
        <v>110</v>
      </c>
      <c r="B6" s="53"/>
      <c r="C6" s="53"/>
      <c r="D6" s="4" t="s">
        <v>8</v>
      </c>
      <c r="E6" s="12"/>
      <c r="F6" s="12"/>
      <c r="G6" s="12"/>
      <c r="H6" s="12"/>
      <c r="I6" s="12"/>
      <c r="J6" s="12"/>
      <c r="K6" s="12"/>
      <c r="L6" s="61"/>
      <c r="M6" s="15" t="s">
        <v>76</v>
      </c>
      <c r="N6" s="15"/>
      <c r="O6" s="15" t="s">
        <v>76</v>
      </c>
      <c r="P6" s="15"/>
      <c r="Q6" s="15" t="s">
        <v>76</v>
      </c>
      <c r="R6" s="4"/>
      <c r="S6" s="4"/>
      <c r="T6" s="4"/>
      <c r="U6" s="4"/>
    </row>
    <row r="7" spans="1:21" s="10" customFormat="1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4" t="s">
        <v>22</v>
      </c>
      <c r="M7" s="25"/>
      <c r="N7" s="24" t="s">
        <v>22</v>
      </c>
      <c r="O7" s="25"/>
      <c r="P7" s="24" t="s">
        <v>22</v>
      </c>
      <c r="Q7" s="25"/>
      <c r="R7" s="4"/>
      <c r="S7" s="4"/>
      <c r="T7" s="4"/>
      <c r="U7" s="4"/>
    </row>
    <row r="8" spans="1:21" s="10" customFormat="1" ht="60" customHeight="1">
      <c r="A8" s="25" t="s">
        <v>19</v>
      </c>
      <c r="B8" s="64"/>
      <c r="C8" s="65"/>
      <c r="D8" s="24" t="s">
        <v>237</v>
      </c>
      <c r="E8" s="24" t="s">
        <v>238</v>
      </c>
      <c r="F8" s="61"/>
      <c r="G8" s="24" t="s">
        <v>134</v>
      </c>
      <c r="H8" s="24" t="s">
        <v>239</v>
      </c>
      <c r="I8" s="61"/>
      <c r="J8" s="3"/>
      <c r="K8" s="8"/>
      <c r="L8" s="24" t="s">
        <v>23</v>
      </c>
      <c r="M8" s="25"/>
      <c r="N8" s="24" t="s">
        <v>23</v>
      </c>
      <c r="O8" s="25"/>
      <c r="P8" s="24" t="s">
        <v>23</v>
      </c>
      <c r="Q8" s="25"/>
      <c r="R8" s="3"/>
      <c r="S8" s="21"/>
      <c r="T8" s="123" t="s">
        <v>240</v>
      </c>
      <c r="U8" s="124"/>
    </row>
    <row r="9" spans="1:21" s="10" customFormat="1" ht="60" customHeight="1">
      <c r="A9" s="8" t="s">
        <v>19</v>
      </c>
      <c r="B9" s="28"/>
      <c r="C9" s="29"/>
      <c r="D9" s="24" t="s">
        <v>241</v>
      </c>
      <c r="E9" s="66" t="s">
        <v>242</v>
      </c>
      <c r="F9" s="24" t="s">
        <v>243</v>
      </c>
      <c r="G9" s="24" t="s">
        <v>244</v>
      </c>
      <c r="H9" s="24" t="s">
        <v>245</v>
      </c>
      <c r="I9" s="67" t="s">
        <v>246</v>
      </c>
      <c r="J9" s="24" t="s">
        <v>247</v>
      </c>
      <c r="K9" s="63"/>
      <c r="L9" s="67"/>
      <c r="M9" s="24"/>
      <c r="N9" s="67"/>
      <c r="O9" s="24"/>
      <c r="P9" s="67"/>
      <c r="Q9" s="24"/>
      <c r="R9" s="123" t="s">
        <v>248</v>
      </c>
      <c r="S9" s="124"/>
      <c r="T9" s="123" t="s">
        <v>249</v>
      </c>
      <c r="U9" s="124"/>
    </row>
    <row r="10" spans="1:21" s="10" customFormat="1" ht="39">
      <c r="A10" s="28" t="s">
        <v>19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246</v>
      </c>
      <c r="M10" s="24" t="s">
        <v>247</v>
      </c>
      <c r="N10" s="24" t="s">
        <v>246</v>
      </c>
      <c r="O10" s="24" t="s">
        <v>247</v>
      </c>
      <c r="P10" s="24" t="s">
        <v>246</v>
      </c>
      <c r="Q10" s="24" t="s">
        <v>247</v>
      </c>
      <c r="R10" s="30"/>
      <c r="S10" s="30"/>
      <c r="T10" s="35"/>
      <c r="U10" s="62"/>
    </row>
    <row r="11" spans="1:21" s="10" customFormat="1">
      <c r="A11" s="8">
        <v>10</v>
      </c>
      <c r="B11" s="28" t="s">
        <v>24</v>
      </c>
      <c r="C11" s="29"/>
      <c r="D11" s="23" t="s">
        <v>233</v>
      </c>
      <c r="E11" s="26" t="s">
        <v>52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5"/>
      <c r="U11" s="126"/>
    </row>
    <row r="12" spans="1:21" s="10" customFormat="1" ht="26">
      <c r="A12" s="8">
        <v>10</v>
      </c>
      <c r="B12" s="8"/>
      <c r="C12" s="8"/>
      <c r="D12" s="8" t="s">
        <v>25</v>
      </c>
      <c r="E12" s="25" t="s">
        <v>78</v>
      </c>
      <c r="F12" s="25"/>
      <c r="G12" s="38" t="s">
        <v>250</v>
      </c>
      <c r="H12" s="38" t="s">
        <v>117</v>
      </c>
      <c r="I12" s="8" t="s">
        <v>118</v>
      </c>
      <c r="J12" s="8"/>
      <c r="K12" s="8"/>
      <c r="L12" s="8"/>
      <c r="M12" s="8"/>
      <c r="N12" s="8"/>
      <c r="O12" s="8"/>
      <c r="P12" s="8"/>
      <c r="Q12" s="8"/>
      <c r="R12" s="123"/>
      <c r="S12" s="124"/>
      <c r="T12" s="125"/>
      <c r="U12" s="126"/>
    </row>
    <row r="13" spans="1:21" s="10" customFormat="1">
      <c r="A13" s="8">
        <v>10</v>
      </c>
      <c r="B13" s="8"/>
      <c r="C13" s="8"/>
      <c r="D13" s="8" t="s">
        <v>26</v>
      </c>
      <c r="E13" s="25" t="s">
        <v>27</v>
      </c>
      <c r="F13" s="25"/>
      <c r="G13" s="38" t="s">
        <v>251</v>
      </c>
      <c r="H13" s="38" t="s">
        <v>119</v>
      </c>
      <c r="I13" s="8" t="s">
        <v>118</v>
      </c>
      <c r="J13" s="8"/>
      <c r="K13" s="8"/>
      <c r="L13" s="8"/>
      <c r="M13" s="8"/>
      <c r="N13" s="8"/>
      <c r="O13" s="8"/>
      <c r="P13" s="8"/>
      <c r="Q13" s="8"/>
      <c r="R13" s="123"/>
      <c r="S13" s="124"/>
      <c r="T13" s="125"/>
      <c r="U13" s="126"/>
    </row>
    <row r="14" spans="1:21" s="10" customFormat="1">
      <c r="A14" s="8">
        <v>10</v>
      </c>
      <c r="B14" s="8"/>
      <c r="C14" s="8"/>
      <c r="D14" s="8" t="s">
        <v>50</v>
      </c>
      <c r="E14" s="25" t="s">
        <v>51</v>
      </c>
      <c r="F14" s="25"/>
      <c r="G14" s="38" t="s">
        <v>266</v>
      </c>
      <c r="H14" s="38" t="s">
        <v>135</v>
      </c>
      <c r="I14" s="8" t="s">
        <v>118</v>
      </c>
      <c r="J14" s="8"/>
      <c r="K14" s="8"/>
      <c r="L14" s="8"/>
      <c r="M14" s="8"/>
      <c r="N14" s="8"/>
      <c r="O14" s="8"/>
      <c r="P14" s="8"/>
      <c r="Q14" s="8"/>
      <c r="R14" s="123"/>
      <c r="S14" s="124"/>
      <c r="T14" s="125"/>
      <c r="U14" s="126"/>
    </row>
    <row r="15" spans="1:21" s="10" customFormat="1">
      <c r="A15" s="8">
        <v>10</v>
      </c>
      <c r="B15" s="8"/>
      <c r="C15" s="8"/>
      <c r="D15" s="8" t="s">
        <v>34</v>
      </c>
      <c r="E15" s="25" t="s">
        <v>35</v>
      </c>
      <c r="F15" s="25"/>
      <c r="G15" s="38" t="s">
        <v>255</v>
      </c>
      <c r="H15" s="38" t="s">
        <v>123</v>
      </c>
      <c r="I15" s="8" t="s">
        <v>118</v>
      </c>
      <c r="J15" s="8"/>
      <c r="K15" s="8"/>
      <c r="L15" s="8"/>
      <c r="M15" s="8"/>
      <c r="N15" s="8"/>
      <c r="O15" s="8"/>
      <c r="P15" s="8"/>
      <c r="Q15" s="8"/>
      <c r="R15" s="123"/>
      <c r="S15" s="124"/>
      <c r="T15" s="125"/>
      <c r="U15" s="126"/>
    </row>
    <row r="16" spans="1:21" s="10" customFormat="1">
      <c r="A16" s="8">
        <v>10</v>
      </c>
      <c r="B16" s="8"/>
      <c r="C16" s="8"/>
      <c r="D16" s="8" t="s">
        <v>84</v>
      </c>
      <c r="E16" s="25" t="s">
        <v>37</v>
      </c>
      <c r="F16" s="25"/>
      <c r="G16" s="38" t="s">
        <v>256</v>
      </c>
      <c r="H16" s="38" t="s">
        <v>124</v>
      </c>
      <c r="I16" s="8" t="s">
        <v>118</v>
      </c>
      <c r="J16" s="8"/>
      <c r="K16" s="8"/>
      <c r="L16" s="8"/>
      <c r="M16" s="8"/>
      <c r="N16" s="8"/>
      <c r="O16" s="8"/>
      <c r="P16" s="8"/>
      <c r="Q16" s="8"/>
      <c r="R16" s="123"/>
      <c r="S16" s="124"/>
      <c r="T16" s="125"/>
      <c r="U16" s="126"/>
    </row>
    <row r="17" spans="1:21" s="10" customFormat="1">
      <c r="A17" s="8">
        <v>10</v>
      </c>
      <c r="B17" s="8"/>
      <c r="C17" s="8"/>
      <c r="D17" s="8" t="s">
        <v>41</v>
      </c>
      <c r="E17" s="25" t="s">
        <v>39</v>
      </c>
      <c r="F17" s="25"/>
      <c r="G17" s="38" t="s">
        <v>259</v>
      </c>
      <c r="H17" s="38" t="s">
        <v>127</v>
      </c>
      <c r="I17" s="8" t="s">
        <v>118</v>
      </c>
      <c r="J17" s="8"/>
      <c r="K17" s="8"/>
      <c r="L17" s="8"/>
      <c r="M17" s="8"/>
      <c r="N17" s="8"/>
      <c r="O17" s="8"/>
      <c r="P17" s="8"/>
      <c r="Q17" s="8"/>
      <c r="R17" s="123"/>
      <c r="S17" s="124"/>
      <c r="T17" s="125"/>
      <c r="U17" s="126"/>
    </row>
    <row r="18" spans="1:21" s="10" customFormat="1">
      <c r="A18" s="8">
        <v>10</v>
      </c>
      <c r="B18" s="8"/>
      <c r="C18" s="8"/>
      <c r="D18" s="8" t="s">
        <v>42</v>
      </c>
      <c r="E18" s="25" t="s">
        <v>43</v>
      </c>
      <c r="F18" s="25"/>
      <c r="G18" s="38" t="s">
        <v>260</v>
      </c>
      <c r="H18" s="38" t="s">
        <v>128</v>
      </c>
      <c r="I18" s="8" t="s">
        <v>118</v>
      </c>
      <c r="J18" s="8"/>
      <c r="K18" s="8"/>
      <c r="L18" s="8"/>
      <c r="M18" s="8"/>
      <c r="N18" s="8"/>
      <c r="O18" s="8"/>
      <c r="P18" s="8"/>
      <c r="Q18" s="8"/>
      <c r="R18" s="123"/>
      <c r="S18" s="124"/>
      <c r="T18" s="125"/>
      <c r="U18" s="126"/>
    </row>
    <row r="19" spans="1:21" s="10" customFormat="1">
      <c r="A19" s="8">
        <v>10</v>
      </c>
      <c r="B19" s="8"/>
      <c r="C19" s="8"/>
      <c r="D19" s="8" t="s">
        <v>44</v>
      </c>
      <c r="E19" s="25" t="s">
        <v>45</v>
      </c>
      <c r="F19" s="25"/>
      <c r="G19" s="38" t="s">
        <v>261</v>
      </c>
      <c r="H19" s="38" t="s">
        <v>129</v>
      </c>
      <c r="I19" s="8" t="s">
        <v>118</v>
      </c>
      <c r="J19" s="8"/>
      <c r="K19" s="8"/>
      <c r="L19" s="8"/>
      <c r="M19" s="8"/>
      <c r="N19" s="8"/>
      <c r="O19" s="8"/>
      <c r="P19" s="8"/>
      <c r="Q19" s="8"/>
      <c r="R19" s="123"/>
      <c r="S19" s="124"/>
      <c r="T19" s="125"/>
      <c r="U19" s="126"/>
    </row>
    <row r="20" spans="1:21" s="10" customFormat="1">
      <c r="A20" s="8">
        <v>10</v>
      </c>
      <c r="B20" s="8"/>
      <c r="C20" s="8"/>
      <c r="D20" s="8" t="s">
        <v>46</v>
      </c>
      <c r="E20" s="25" t="s">
        <v>43</v>
      </c>
      <c r="F20" s="25"/>
      <c r="G20" s="38" t="s">
        <v>262</v>
      </c>
      <c r="H20" s="38" t="s">
        <v>130</v>
      </c>
      <c r="I20" s="8" t="s">
        <v>118</v>
      </c>
      <c r="J20" s="8"/>
      <c r="K20" s="8"/>
      <c r="L20" s="8"/>
      <c r="M20" s="8"/>
      <c r="N20" s="8"/>
      <c r="O20" s="8"/>
      <c r="P20" s="8"/>
      <c r="Q20" s="8"/>
      <c r="R20" s="123"/>
      <c r="S20" s="124"/>
      <c r="T20" s="125"/>
      <c r="U20" s="126"/>
    </row>
    <row r="21" spans="1:21" s="10" customFormat="1">
      <c r="A21" s="8">
        <v>10</v>
      </c>
      <c r="B21" s="8"/>
      <c r="C21" s="8"/>
      <c r="D21" s="8" t="s">
        <v>47</v>
      </c>
      <c r="E21" s="25" t="s">
        <v>45</v>
      </c>
      <c r="F21" s="25"/>
      <c r="G21" s="38" t="s">
        <v>263</v>
      </c>
      <c r="H21" s="38" t="s">
        <v>131</v>
      </c>
      <c r="I21" s="8" t="s">
        <v>118</v>
      </c>
      <c r="J21" s="8"/>
      <c r="K21" s="8"/>
      <c r="L21" s="8"/>
      <c r="M21" s="8"/>
      <c r="N21" s="8"/>
      <c r="O21" s="8"/>
      <c r="P21" s="8"/>
      <c r="Q21" s="8"/>
      <c r="R21" s="123"/>
      <c r="S21" s="124"/>
      <c r="T21" s="125"/>
      <c r="U21" s="126"/>
    </row>
    <row r="22" spans="1:21" s="10" customFormat="1">
      <c r="A22" s="8">
        <v>10</v>
      </c>
      <c r="B22" s="8"/>
      <c r="C22" s="8"/>
      <c r="D22" s="8" t="s">
        <v>94</v>
      </c>
      <c r="E22" s="25" t="s">
        <v>95</v>
      </c>
      <c r="F22" s="25"/>
      <c r="G22" s="38" t="s">
        <v>308</v>
      </c>
      <c r="H22" s="38" t="s">
        <v>96</v>
      </c>
      <c r="I22" s="8" t="s">
        <v>118</v>
      </c>
      <c r="J22" s="8"/>
      <c r="K22" s="8"/>
      <c r="L22" s="8"/>
      <c r="M22" s="8"/>
      <c r="N22" s="8"/>
      <c r="O22" s="8"/>
      <c r="P22" s="8"/>
      <c r="Q22" s="8"/>
      <c r="R22" s="123"/>
      <c r="S22" s="124"/>
      <c r="T22" s="125"/>
      <c r="U22" s="126"/>
    </row>
    <row r="23" spans="1:21" s="10" customFormat="1">
      <c r="A23" s="8">
        <v>10</v>
      </c>
      <c r="B23" s="8"/>
      <c r="C23" s="8"/>
      <c r="D23" s="8" t="s">
        <v>97</v>
      </c>
      <c r="E23" s="25" t="s">
        <v>49</v>
      </c>
      <c r="F23" s="25"/>
      <c r="G23" s="38" t="s">
        <v>309</v>
      </c>
      <c r="H23" s="38" t="s">
        <v>148</v>
      </c>
      <c r="I23" s="8" t="s">
        <v>118</v>
      </c>
      <c r="J23" s="8"/>
      <c r="K23" s="8"/>
      <c r="L23" s="8"/>
      <c r="M23" s="8"/>
      <c r="N23" s="8"/>
      <c r="O23" s="8"/>
      <c r="P23" s="8"/>
      <c r="Q23" s="8"/>
      <c r="R23" s="123"/>
      <c r="S23" s="124"/>
      <c r="T23" s="125"/>
      <c r="U23" s="126"/>
    </row>
    <row r="24" spans="1:21" s="10" customFormat="1">
      <c r="A24" s="8">
        <v>10</v>
      </c>
      <c r="B24" s="8"/>
      <c r="C24" s="8"/>
      <c r="D24" s="8" t="s">
        <v>105</v>
      </c>
      <c r="E24" s="25" t="s">
        <v>49</v>
      </c>
      <c r="F24" s="25"/>
      <c r="G24" s="38" t="s">
        <v>310</v>
      </c>
      <c r="H24" s="38" t="s">
        <v>149</v>
      </c>
      <c r="I24" s="8" t="s">
        <v>118</v>
      </c>
      <c r="J24" s="8"/>
      <c r="K24" s="8"/>
      <c r="L24" s="8"/>
      <c r="M24" s="8"/>
      <c r="N24" s="8"/>
      <c r="O24" s="8"/>
      <c r="P24" s="8"/>
      <c r="Q24" s="8"/>
      <c r="R24" s="123"/>
      <c r="S24" s="124"/>
      <c r="T24" s="125"/>
      <c r="U24" s="126"/>
    </row>
    <row r="25" spans="1:21" s="10" customFormat="1">
      <c r="A25" s="8">
        <v>10</v>
      </c>
      <c r="B25" s="8"/>
      <c r="C25" s="8"/>
      <c r="D25" s="8" t="s">
        <v>234</v>
      </c>
      <c r="E25" s="25" t="s">
        <v>152</v>
      </c>
      <c r="F25" s="25"/>
      <c r="G25" s="38" t="s">
        <v>311</v>
      </c>
      <c r="H25" s="38" t="s">
        <v>235</v>
      </c>
      <c r="I25" s="8" t="s">
        <v>118</v>
      </c>
      <c r="J25" s="8"/>
      <c r="K25" s="8"/>
      <c r="L25" s="8"/>
      <c r="M25" s="8"/>
      <c r="N25" s="8"/>
      <c r="O25" s="8"/>
      <c r="P25" s="8"/>
      <c r="Q25" s="8"/>
      <c r="R25" s="123"/>
      <c r="S25" s="124"/>
      <c r="T25" s="125"/>
      <c r="U25" s="126"/>
    </row>
    <row r="26" spans="1:21" s="10" customFormat="1">
      <c r="A26" s="8">
        <v>10</v>
      </c>
      <c r="B26" s="8"/>
      <c r="C26" s="8"/>
      <c r="D26" s="8" t="s">
        <v>231</v>
      </c>
      <c r="E26" s="25" t="s">
        <v>152</v>
      </c>
      <c r="F26" s="25"/>
      <c r="G26" s="38" t="s">
        <v>312</v>
      </c>
      <c r="H26" s="38" t="s">
        <v>232</v>
      </c>
      <c r="I26" s="8" t="s">
        <v>118</v>
      </c>
      <c r="J26" s="8"/>
      <c r="K26" s="8"/>
      <c r="L26" s="8"/>
      <c r="M26" s="8"/>
      <c r="N26" s="8"/>
      <c r="O26" s="8"/>
      <c r="P26" s="8"/>
      <c r="Q26" s="8"/>
      <c r="R26" s="123"/>
      <c r="S26" s="124"/>
      <c r="T26" s="125"/>
      <c r="U26" s="126"/>
    </row>
    <row r="27" spans="1:21" s="10" customFormat="1">
      <c r="A27" s="52"/>
      <c r="U27" s="39"/>
    </row>
    <row r="28" spans="1:21" s="10" customFormat="1">
      <c r="A28" s="8">
        <v>20</v>
      </c>
      <c r="B28" s="28" t="s">
        <v>24</v>
      </c>
      <c r="C28" s="29"/>
      <c r="D28" s="23" t="s">
        <v>104</v>
      </c>
      <c r="E28" s="26" t="s">
        <v>52</v>
      </c>
      <c r="F28" s="40"/>
      <c r="G28" s="23"/>
      <c r="H28" s="27"/>
      <c r="I28" s="41"/>
      <c r="J28" s="42"/>
      <c r="K28" s="42"/>
      <c r="L28" s="26"/>
      <c r="M28" s="26"/>
      <c r="N28" s="26"/>
      <c r="O28" s="26"/>
      <c r="P28" s="26"/>
      <c r="Q28" s="26"/>
      <c r="R28" s="37"/>
      <c r="S28" s="36"/>
      <c r="T28" s="125"/>
      <c r="U28" s="126"/>
    </row>
    <row r="29" spans="1:21" s="10" customFormat="1">
      <c r="A29" s="8">
        <v>20</v>
      </c>
      <c r="B29" s="8"/>
      <c r="C29" s="8"/>
      <c r="D29" s="8" t="s">
        <v>26</v>
      </c>
      <c r="E29" s="25" t="s">
        <v>27</v>
      </c>
      <c r="F29" s="25"/>
      <c r="G29" s="38" t="s">
        <v>251</v>
      </c>
      <c r="H29" s="38" t="s">
        <v>119</v>
      </c>
      <c r="I29" s="8" t="s">
        <v>118</v>
      </c>
      <c r="J29" s="8"/>
      <c r="K29" s="8"/>
      <c r="L29" s="8"/>
      <c r="M29" s="8"/>
      <c r="N29" s="8"/>
      <c r="O29" s="8"/>
      <c r="P29" s="8"/>
      <c r="Q29" s="8"/>
      <c r="R29" s="123"/>
      <c r="S29" s="124"/>
      <c r="T29" s="125"/>
      <c r="U29" s="126"/>
    </row>
    <row r="30" spans="1:21" s="10" customFormat="1">
      <c r="A30" s="8">
        <v>20</v>
      </c>
      <c r="B30" s="8"/>
      <c r="C30" s="8"/>
      <c r="D30" s="8" t="s">
        <v>34</v>
      </c>
      <c r="E30" s="25" t="s">
        <v>35</v>
      </c>
      <c r="F30" s="25"/>
      <c r="G30" s="38" t="s">
        <v>255</v>
      </c>
      <c r="H30" s="38" t="s">
        <v>150</v>
      </c>
      <c r="I30" s="8" t="s">
        <v>118</v>
      </c>
      <c r="J30" s="8"/>
      <c r="K30" s="8"/>
      <c r="L30" s="8"/>
      <c r="M30" s="8"/>
      <c r="N30" s="8"/>
      <c r="O30" s="8"/>
      <c r="P30" s="8"/>
      <c r="Q30" s="8"/>
      <c r="R30" s="123"/>
      <c r="S30" s="124"/>
      <c r="T30" s="125"/>
      <c r="U30" s="126"/>
    </row>
    <row r="31" spans="1:21" s="10" customFormat="1">
      <c r="A31" s="8">
        <v>20</v>
      </c>
      <c r="B31" s="8"/>
      <c r="C31" s="8"/>
      <c r="D31" s="8" t="s">
        <v>92</v>
      </c>
      <c r="E31" s="25" t="s">
        <v>90</v>
      </c>
      <c r="F31" s="25"/>
      <c r="G31" s="38" t="s">
        <v>267</v>
      </c>
      <c r="H31" s="38" t="s">
        <v>91</v>
      </c>
      <c r="I31" s="8" t="s">
        <v>118</v>
      </c>
      <c r="J31" s="8"/>
      <c r="K31" s="8"/>
      <c r="L31" s="8"/>
      <c r="M31" s="8"/>
      <c r="N31" s="8"/>
      <c r="O31" s="8"/>
      <c r="P31" s="8"/>
      <c r="Q31" s="8"/>
      <c r="R31" s="123"/>
      <c r="S31" s="124"/>
      <c r="T31" s="125"/>
      <c r="U31" s="126"/>
    </row>
    <row r="32" spans="1:21" s="10" customFormat="1" ht="26">
      <c r="A32" s="8">
        <v>20</v>
      </c>
      <c r="B32" s="8"/>
      <c r="C32" s="8"/>
      <c r="D32" s="8" t="s">
        <v>86</v>
      </c>
      <c r="E32" s="25" t="s">
        <v>68</v>
      </c>
      <c r="F32" s="25"/>
      <c r="G32" s="38" t="s">
        <v>313</v>
      </c>
      <c r="H32" s="38" t="s">
        <v>151</v>
      </c>
      <c r="I32" s="8" t="s">
        <v>118</v>
      </c>
      <c r="J32" s="8"/>
      <c r="K32" s="8"/>
      <c r="L32" s="8"/>
      <c r="M32" s="8"/>
      <c r="N32" s="8"/>
      <c r="O32" s="8"/>
      <c r="P32" s="8"/>
      <c r="Q32" s="8"/>
      <c r="R32" s="123"/>
      <c r="S32" s="124"/>
      <c r="T32" s="125"/>
      <c r="U32" s="126"/>
    </row>
    <row r="33" spans="1:21" s="10" customFormat="1">
      <c r="A33" s="59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3"/>
    </row>
  </sheetData>
  <mergeCells count="43">
    <mergeCell ref="R17:S17"/>
    <mergeCell ref="T17:U17"/>
    <mergeCell ref="R18:S18"/>
    <mergeCell ref="T18:U18"/>
    <mergeCell ref="R25:S25"/>
    <mergeCell ref="T25:U25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32:S32"/>
    <mergeCell ref="T32:U32"/>
    <mergeCell ref="T28:U28"/>
    <mergeCell ref="R29:S29"/>
    <mergeCell ref="T29:U29"/>
    <mergeCell ref="R30:S30"/>
    <mergeCell ref="T30:U30"/>
    <mergeCell ref="R31:S31"/>
    <mergeCell ref="T31:U31"/>
    <mergeCell ref="R16:S16"/>
    <mergeCell ref="T16:U16"/>
    <mergeCell ref="R26:S26"/>
    <mergeCell ref="T26:U26"/>
    <mergeCell ref="T22:U22"/>
    <mergeCell ref="R23:S23"/>
    <mergeCell ref="T23:U23"/>
    <mergeCell ref="R22:S22"/>
    <mergeCell ref="R24:S24"/>
    <mergeCell ref="T24:U24"/>
    <mergeCell ref="R19:S19"/>
    <mergeCell ref="T19:U19"/>
    <mergeCell ref="R20:S20"/>
    <mergeCell ref="T20:U20"/>
    <mergeCell ref="R21:S21"/>
    <mergeCell ref="T21:U2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tabSelected="1" zoomScale="85" zoomScaleNormal="85" workbookViewId="0">
      <selection activeCell="A4" sqref="A4:G4"/>
    </sheetView>
  </sheetViews>
  <sheetFormatPr defaultRowHeight="13"/>
  <cols>
    <col min="1" max="42" width="2.08984375" style="47" customWidth="1"/>
    <col min="43" max="44" width="2.08984375" style="48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s="44" customFormat="1" ht="38.25" customHeight="1" thickBot="1">
      <c r="A1" s="68" t="s">
        <v>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71" t="s">
        <v>10</v>
      </c>
      <c r="B3" s="72"/>
      <c r="C3" s="72"/>
      <c r="D3" s="72"/>
      <c r="E3" s="72"/>
      <c r="F3" s="72"/>
      <c r="G3" s="73"/>
      <c r="H3" s="74" t="s">
        <v>11</v>
      </c>
      <c r="I3" s="72"/>
      <c r="J3" s="72"/>
      <c r="K3" s="72"/>
      <c r="L3" s="72"/>
      <c r="M3" s="72"/>
      <c r="N3" s="73"/>
      <c r="O3" s="74" t="s">
        <v>12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7" t="s">
        <v>13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14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>
      <c r="A5" s="90">
        <v>1.1000000000000001</v>
      </c>
      <c r="B5" s="91"/>
      <c r="C5" s="91"/>
      <c r="D5" s="91"/>
      <c r="E5" s="91"/>
      <c r="F5" s="91"/>
      <c r="G5" s="92"/>
      <c r="H5" s="96"/>
      <c r="I5" s="102"/>
      <c r="J5" s="102"/>
      <c r="K5" s="102"/>
      <c r="L5" s="102"/>
      <c r="M5" s="102"/>
      <c r="N5" s="103"/>
      <c r="O5" s="107" t="s">
        <v>314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315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1"/>
    </row>
    <row r="7" spans="1:57" ht="15" customHeight="1">
      <c r="A7" s="90"/>
      <c r="B7" s="91"/>
      <c r="C7" s="91"/>
      <c r="D7" s="91"/>
      <c r="E7" s="91"/>
      <c r="F7" s="91"/>
      <c r="G7" s="92"/>
      <c r="H7" s="96"/>
      <c r="I7" s="102"/>
      <c r="J7" s="102"/>
      <c r="K7" s="102"/>
      <c r="L7" s="102"/>
      <c r="M7" s="102"/>
      <c r="N7" s="103"/>
      <c r="O7" s="96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99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6"/>
    </row>
    <row r="8" spans="1:57" ht="15" customHeight="1">
      <c r="A8" s="90"/>
      <c r="B8" s="91"/>
      <c r="C8" s="91"/>
      <c r="D8" s="91"/>
      <c r="E8" s="91"/>
      <c r="F8" s="91"/>
      <c r="G8" s="92"/>
      <c r="H8" s="96"/>
      <c r="I8" s="102"/>
      <c r="J8" s="102"/>
      <c r="K8" s="102"/>
      <c r="L8" s="102"/>
      <c r="M8" s="102"/>
      <c r="N8" s="103"/>
      <c r="O8" s="96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99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6"/>
    </row>
    <row r="9" spans="1:57" ht="15" customHeight="1">
      <c r="A9" s="90"/>
      <c r="B9" s="91"/>
      <c r="C9" s="91"/>
      <c r="D9" s="91"/>
      <c r="E9" s="91"/>
      <c r="F9" s="91"/>
      <c r="G9" s="92"/>
      <c r="H9" s="96"/>
      <c r="I9" s="102"/>
      <c r="J9" s="102"/>
      <c r="K9" s="102"/>
      <c r="L9" s="102"/>
      <c r="M9" s="102"/>
      <c r="N9" s="103"/>
      <c r="O9" s="96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99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6"/>
    </row>
    <row r="10" spans="1:57" ht="15" customHeight="1">
      <c r="A10" s="90"/>
      <c r="B10" s="91"/>
      <c r="C10" s="91"/>
      <c r="D10" s="91"/>
      <c r="E10" s="91"/>
      <c r="F10" s="91"/>
      <c r="G10" s="92"/>
      <c r="H10" s="96"/>
      <c r="I10" s="102"/>
      <c r="J10" s="102"/>
      <c r="K10" s="102"/>
      <c r="L10" s="102"/>
      <c r="M10" s="102"/>
      <c r="N10" s="103"/>
      <c r="O10" s="96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99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6"/>
    </row>
    <row r="11" spans="1:57" ht="15" customHeight="1">
      <c r="A11" s="90"/>
      <c r="B11" s="91"/>
      <c r="C11" s="91"/>
      <c r="D11" s="91"/>
      <c r="E11" s="91"/>
      <c r="F11" s="91"/>
      <c r="G11" s="92"/>
      <c r="H11" s="96"/>
      <c r="I11" s="102"/>
      <c r="J11" s="102"/>
      <c r="K11" s="102"/>
      <c r="L11" s="102"/>
      <c r="M11" s="102"/>
      <c r="N11" s="103"/>
      <c r="O11" s="96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99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6"/>
    </row>
    <row r="12" spans="1:57" ht="15" customHeight="1">
      <c r="A12" s="90"/>
      <c r="B12" s="91"/>
      <c r="C12" s="91"/>
      <c r="D12" s="91"/>
      <c r="E12" s="91"/>
      <c r="F12" s="91"/>
      <c r="G12" s="92"/>
      <c r="H12" s="96"/>
      <c r="I12" s="102"/>
      <c r="J12" s="102"/>
      <c r="K12" s="102"/>
      <c r="L12" s="102"/>
      <c r="M12" s="102"/>
      <c r="N12" s="103"/>
      <c r="O12" s="96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99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6"/>
    </row>
    <row r="13" spans="1:57" ht="15" customHeight="1">
      <c r="A13" s="90"/>
      <c r="B13" s="91"/>
      <c r="C13" s="91"/>
      <c r="D13" s="91"/>
      <c r="E13" s="91"/>
      <c r="F13" s="91"/>
      <c r="G13" s="92"/>
      <c r="H13" s="96"/>
      <c r="I13" s="102"/>
      <c r="J13" s="102"/>
      <c r="K13" s="102"/>
      <c r="L13" s="102"/>
      <c r="M13" s="102"/>
      <c r="N13" s="103"/>
      <c r="O13" s="96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99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6"/>
    </row>
    <row r="14" spans="1:57" ht="15" customHeight="1">
      <c r="A14" s="90"/>
      <c r="B14" s="91"/>
      <c r="C14" s="91"/>
      <c r="D14" s="91"/>
      <c r="E14" s="91"/>
      <c r="F14" s="91"/>
      <c r="G14" s="92"/>
      <c r="H14" s="96"/>
      <c r="I14" s="102"/>
      <c r="J14" s="102"/>
      <c r="K14" s="102"/>
      <c r="L14" s="102"/>
      <c r="M14" s="102"/>
      <c r="N14" s="103"/>
      <c r="O14" s="96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99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6"/>
    </row>
    <row r="15" spans="1:57" ht="15" customHeight="1">
      <c r="A15" s="90"/>
      <c r="B15" s="91"/>
      <c r="C15" s="91"/>
      <c r="D15" s="91"/>
      <c r="E15" s="91"/>
      <c r="F15" s="91"/>
      <c r="G15" s="92"/>
      <c r="H15" s="96"/>
      <c r="I15" s="102"/>
      <c r="J15" s="102"/>
      <c r="K15" s="102"/>
      <c r="L15" s="102"/>
      <c r="M15" s="102"/>
      <c r="N15" s="103"/>
      <c r="O15" s="96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99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6"/>
    </row>
    <row r="16" spans="1:57" ht="15" customHeight="1">
      <c r="A16" s="90"/>
      <c r="B16" s="91"/>
      <c r="C16" s="91"/>
      <c r="D16" s="91"/>
      <c r="E16" s="91"/>
      <c r="F16" s="91"/>
      <c r="G16" s="92"/>
      <c r="H16" s="96"/>
      <c r="I16" s="102"/>
      <c r="J16" s="102"/>
      <c r="K16" s="102"/>
      <c r="L16" s="102"/>
      <c r="M16" s="102"/>
      <c r="N16" s="103"/>
      <c r="O16" s="96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99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6"/>
    </row>
    <row r="17" spans="1:57" ht="15" customHeight="1">
      <c r="A17" s="90"/>
      <c r="B17" s="91"/>
      <c r="C17" s="91"/>
      <c r="D17" s="91"/>
      <c r="E17" s="91"/>
      <c r="F17" s="91"/>
      <c r="G17" s="92"/>
      <c r="H17" s="96"/>
      <c r="I17" s="102"/>
      <c r="J17" s="102"/>
      <c r="K17" s="102"/>
      <c r="L17" s="102"/>
      <c r="M17" s="102"/>
      <c r="N17" s="103"/>
      <c r="O17" s="96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99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6"/>
    </row>
    <row r="18" spans="1:57" ht="15" customHeight="1">
      <c r="A18" s="90"/>
      <c r="B18" s="91"/>
      <c r="C18" s="91"/>
      <c r="D18" s="91"/>
      <c r="E18" s="91"/>
      <c r="F18" s="91"/>
      <c r="G18" s="92"/>
      <c r="H18" s="96"/>
      <c r="I18" s="102"/>
      <c r="J18" s="102"/>
      <c r="K18" s="102"/>
      <c r="L18" s="102"/>
      <c r="M18" s="102"/>
      <c r="N18" s="103"/>
      <c r="O18" s="96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99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6"/>
    </row>
    <row r="19" spans="1:57" ht="15" customHeight="1">
      <c r="A19" s="90"/>
      <c r="B19" s="91"/>
      <c r="C19" s="91"/>
      <c r="D19" s="91"/>
      <c r="E19" s="91"/>
      <c r="F19" s="91"/>
      <c r="G19" s="92"/>
      <c r="H19" s="96"/>
      <c r="I19" s="102"/>
      <c r="J19" s="102"/>
      <c r="K19" s="102"/>
      <c r="L19" s="102"/>
      <c r="M19" s="102"/>
      <c r="N19" s="103"/>
      <c r="O19" s="96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99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6"/>
    </row>
    <row r="20" spans="1:57" ht="15" customHeight="1">
      <c r="A20" s="90"/>
      <c r="B20" s="91"/>
      <c r="C20" s="91"/>
      <c r="D20" s="91"/>
      <c r="E20" s="91"/>
      <c r="F20" s="91"/>
      <c r="G20" s="92"/>
      <c r="H20" s="96"/>
      <c r="I20" s="102"/>
      <c r="J20" s="102"/>
      <c r="K20" s="102"/>
      <c r="L20" s="102"/>
      <c r="M20" s="102"/>
      <c r="N20" s="103"/>
      <c r="O20" s="96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99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6"/>
    </row>
    <row r="21" spans="1:57" ht="15" customHeight="1">
      <c r="A21" s="90"/>
      <c r="B21" s="91"/>
      <c r="C21" s="91"/>
      <c r="D21" s="91"/>
      <c r="E21" s="91"/>
      <c r="F21" s="91"/>
      <c r="G21" s="92"/>
      <c r="H21" s="96"/>
      <c r="I21" s="102"/>
      <c r="J21" s="102"/>
      <c r="K21" s="102"/>
      <c r="L21" s="102"/>
      <c r="M21" s="102"/>
      <c r="N21" s="103"/>
      <c r="O21" s="96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99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6"/>
    </row>
    <row r="22" spans="1:57" ht="15" customHeight="1">
      <c r="A22" s="90"/>
      <c r="B22" s="91"/>
      <c r="C22" s="91"/>
      <c r="D22" s="91"/>
      <c r="E22" s="91"/>
      <c r="F22" s="91"/>
      <c r="G22" s="92"/>
      <c r="H22" s="96"/>
      <c r="I22" s="102"/>
      <c r="J22" s="102"/>
      <c r="K22" s="102"/>
      <c r="L22" s="102"/>
      <c r="M22" s="102"/>
      <c r="N22" s="103"/>
      <c r="O22" s="96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99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6"/>
    </row>
    <row r="23" spans="1:57" ht="15" customHeight="1">
      <c r="A23" s="90"/>
      <c r="B23" s="91"/>
      <c r="C23" s="91"/>
      <c r="D23" s="91"/>
      <c r="E23" s="91"/>
      <c r="F23" s="91"/>
      <c r="G23" s="92"/>
      <c r="H23" s="96"/>
      <c r="I23" s="102"/>
      <c r="J23" s="102"/>
      <c r="K23" s="102"/>
      <c r="L23" s="102"/>
      <c r="M23" s="102"/>
      <c r="N23" s="103"/>
      <c r="O23" s="96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99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6"/>
    </row>
    <row r="24" spans="1:57" ht="15" customHeight="1">
      <c r="A24" s="90"/>
      <c r="B24" s="91"/>
      <c r="C24" s="91"/>
      <c r="D24" s="91"/>
      <c r="E24" s="91"/>
      <c r="F24" s="91"/>
      <c r="G24" s="92"/>
      <c r="H24" s="96"/>
      <c r="I24" s="102"/>
      <c r="J24" s="102"/>
      <c r="K24" s="102"/>
      <c r="L24" s="102"/>
      <c r="M24" s="102"/>
      <c r="N24" s="103"/>
      <c r="O24" s="96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99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6"/>
    </row>
    <row r="25" spans="1:57" ht="15" customHeight="1">
      <c r="A25" s="90"/>
      <c r="B25" s="91"/>
      <c r="C25" s="91"/>
      <c r="D25" s="91"/>
      <c r="E25" s="91"/>
      <c r="F25" s="91"/>
      <c r="G25" s="92"/>
      <c r="H25" s="96"/>
      <c r="I25" s="102"/>
      <c r="J25" s="102"/>
      <c r="K25" s="102"/>
      <c r="L25" s="102"/>
      <c r="M25" s="102"/>
      <c r="N25" s="103"/>
      <c r="O25" s="96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99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6"/>
    </row>
    <row r="26" spans="1:57" ht="15" customHeight="1">
      <c r="A26" s="90"/>
      <c r="B26" s="91"/>
      <c r="C26" s="91"/>
      <c r="D26" s="91"/>
      <c r="E26" s="91"/>
      <c r="F26" s="91"/>
      <c r="G26" s="92"/>
      <c r="H26" s="96"/>
      <c r="I26" s="102"/>
      <c r="J26" s="102"/>
      <c r="K26" s="102"/>
      <c r="L26" s="102"/>
      <c r="M26" s="102"/>
      <c r="N26" s="103"/>
      <c r="O26" s="96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99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6"/>
    </row>
    <row r="27" spans="1:57" ht="15" customHeight="1">
      <c r="A27" s="90"/>
      <c r="B27" s="91"/>
      <c r="C27" s="91"/>
      <c r="D27" s="91"/>
      <c r="E27" s="91"/>
      <c r="F27" s="91"/>
      <c r="G27" s="92"/>
      <c r="H27" s="96"/>
      <c r="I27" s="102"/>
      <c r="J27" s="102"/>
      <c r="K27" s="102"/>
      <c r="L27" s="102"/>
      <c r="M27" s="102"/>
      <c r="N27" s="103"/>
      <c r="O27" s="96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99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6"/>
    </row>
    <row r="28" spans="1:57" ht="15" customHeight="1">
      <c r="A28" s="90"/>
      <c r="B28" s="91"/>
      <c r="C28" s="91"/>
      <c r="D28" s="91"/>
      <c r="E28" s="91"/>
      <c r="F28" s="91"/>
      <c r="G28" s="92"/>
      <c r="H28" s="96"/>
      <c r="I28" s="102"/>
      <c r="J28" s="102"/>
      <c r="K28" s="102"/>
      <c r="L28" s="102"/>
      <c r="M28" s="102"/>
      <c r="N28" s="103"/>
      <c r="O28" s="96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99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6"/>
    </row>
    <row r="29" spans="1:57" ht="15" customHeight="1">
      <c r="A29" s="90"/>
      <c r="B29" s="91"/>
      <c r="C29" s="91"/>
      <c r="D29" s="91"/>
      <c r="E29" s="91"/>
      <c r="F29" s="91"/>
      <c r="G29" s="92"/>
      <c r="H29" s="96"/>
      <c r="I29" s="102"/>
      <c r="J29" s="102"/>
      <c r="K29" s="102"/>
      <c r="L29" s="102"/>
      <c r="M29" s="102"/>
      <c r="N29" s="103"/>
      <c r="O29" s="96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99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6"/>
    </row>
    <row r="30" spans="1:57" ht="15" customHeight="1">
      <c r="A30" s="90"/>
      <c r="B30" s="91"/>
      <c r="C30" s="91"/>
      <c r="D30" s="91"/>
      <c r="E30" s="91"/>
      <c r="F30" s="91"/>
      <c r="G30" s="92"/>
      <c r="H30" s="96"/>
      <c r="I30" s="102"/>
      <c r="J30" s="102"/>
      <c r="K30" s="102"/>
      <c r="L30" s="102"/>
      <c r="M30" s="102"/>
      <c r="N30" s="103"/>
      <c r="O30" s="96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99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6"/>
    </row>
    <row r="31" spans="1:57" ht="15" customHeight="1">
      <c r="A31" s="90"/>
      <c r="B31" s="91"/>
      <c r="C31" s="91"/>
      <c r="D31" s="91"/>
      <c r="E31" s="91"/>
      <c r="F31" s="91"/>
      <c r="G31" s="92"/>
      <c r="H31" s="96"/>
      <c r="I31" s="102"/>
      <c r="J31" s="102"/>
      <c r="K31" s="102"/>
      <c r="L31" s="102"/>
      <c r="M31" s="102"/>
      <c r="N31" s="103"/>
      <c r="O31" s="96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99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6"/>
    </row>
    <row r="32" spans="1:57" ht="15" customHeight="1">
      <c r="A32" s="90"/>
      <c r="B32" s="91"/>
      <c r="C32" s="91"/>
      <c r="D32" s="91"/>
      <c r="E32" s="91"/>
      <c r="F32" s="91"/>
      <c r="G32" s="92"/>
      <c r="H32" s="96"/>
      <c r="I32" s="102"/>
      <c r="J32" s="102"/>
      <c r="K32" s="102"/>
      <c r="L32" s="102"/>
      <c r="M32" s="102"/>
      <c r="N32" s="103"/>
      <c r="O32" s="96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99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6"/>
    </row>
    <row r="33" spans="1:57" ht="15" customHeight="1">
      <c r="A33" s="90"/>
      <c r="B33" s="91"/>
      <c r="C33" s="91"/>
      <c r="D33" s="91"/>
      <c r="E33" s="91"/>
      <c r="F33" s="91"/>
      <c r="G33" s="92"/>
      <c r="H33" s="96"/>
      <c r="I33" s="102"/>
      <c r="J33" s="102"/>
      <c r="K33" s="102"/>
      <c r="L33" s="102"/>
      <c r="M33" s="102"/>
      <c r="N33" s="103"/>
      <c r="O33" s="96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99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6"/>
    </row>
    <row r="34" spans="1:57" ht="15" customHeight="1">
      <c r="A34" s="90"/>
      <c r="B34" s="91"/>
      <c r="C34" s="91"/>
      <c r="D34" s="91"/>
      <c r="E34" s="91"/>
      <c r="F34" s="91"/>
      <c r="G34" s="92"/>
      <c r="H34" s="96"/>
      <c r="I34" s="102"/>
      <c r="J34" s="102"/>
      <c r="K34" s="102"/>
      <c r="L34" s="102"/>
      <c r="M34" s="102"/>
      <c r="N34" s="103"/>
      <c r="O34" s="96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99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6"/>
    </row>
    <row r="35" spans="1:57" ht="15" customHeight="1" thickBot="1">
      <c r="A35" s="113"/>
      <c r="B35" s="114"/>
      <c r="C35" s="114"/>
      <c r="D35" s="114"/>
      <c r="E35" s="114"/>
      <c r="F35" s="114"/>
      <c r="G35" s="11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2:G22"/>
    <mergeCell ref="H22:N22"/>
    <mergeCell ref="O22:AP22"/>
    <mergeCell ref="AQ22:BE22"/>
    <mergeCell ref="A24:G24"/>
    <mergeCell ref="H24:N24"/>
    <mergeCell ref="O24:AP24"/>
    <mergeCell ref="AQ24:BE24"/>
    <mergeCell ref="A20:G20"/>
    <mergeCell ref="H20:N20"/>
    <mergeCell ref="O20:AP20"/>
    <mergeCell ref="AQ20:BE20"/>
    <mergeCell ref="A21:G21"/>
    <mergeCell ref="H21:N21"/>
    <mergeCell ref="O21:AP21"/>
    <mergeCell ref="AQ21:BE21"/>
    <mergeCell ref="A23:G23"/>
    <mergeCell ref="H23:N23"/>
    <mergeCell ref="O23:AP23"/>
    <mergeCell ref="AQ23:BE23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LogicCommon</vt:lpstr>
      <vt:lpstr>Sls_Schd_Upd01</vt:lpstr>
      <vt:lpstr>Sls_Schd_Upd02</vt:lpstr>
      <vt:lpstr>Sls_Schd_Upd03</vt:lpstr>
      <vt:lpstr>Sls_Schd_Upd04</vt:lpstr>
      <vt:lpstr>Sls_Schd_Upd05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2026-03-27T05:56:24Z</dcterms:modified>
  <cp:category/>
</cp:coreProperties>
</file>