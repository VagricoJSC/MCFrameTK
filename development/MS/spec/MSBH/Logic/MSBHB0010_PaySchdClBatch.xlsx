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C6FA810C-2386-4D17-90A0-4FE2078D738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aySchdClBatch_Upd01" sheetId="6" r:id="rId2"/>
    <sheet name="PaySchdClBatch_Upd02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<sst xmlns="http://schemas.openxmlformats.org/spreadsheetml/2006/main" count="220" uniqueCount="93">
  <si>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</si>
  <si>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</si>
  <si>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</si>
  <si>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</si>
  <si>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</si>
  <si>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</si>
  <si>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</si>
  <si>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</si>
  <si>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</si>
  <si>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</si>
  <si>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</si>
  <si>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</si>
  <si>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</si>
  <si>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</si>
  <si>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2"/>
  </si>
  <si>
    <t>R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</si>
  <si>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</si>
  <si>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</si>
  <si>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</si>
  <si>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</si>
  <si>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</si>
  <si>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</si>
  <si>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</si>
  <si>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</si>
  <si>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</si>
  <si>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登録</t>
    <rPh sb="0" eb="2">
      <t>トウロク</t>
    </rPh>
    <phoneticPr fontId="2"/>
  </si>
  <si>
    <t>R</t>
    <phoneticPr fontId="2"/>
  </si>
  <si>
    <t>MS</t>
    <phoneticPr fontId="2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</si>
  <si>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</si>
  <si>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</si>
  <si>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</si>
  <si>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</si>
  <si>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</si>
  <si>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</si>
  <si>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</si>
  <si>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</si>
  <si>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</si>
  <si>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</si>
  <si>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</si>
  <si>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</si>
  <si>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2"/>
  </si>
  <si>
    <t>ImplOpe.ID:</t>
    <phoneticPr fontId="1"/>
  </si>
  <si>
    <t>TargetName</t>
    <phoneticPr fontId="1"/>
  </si>
  <si>
    <t>#MA.DT</t>
    <phoneticPr fontId="2"/>
  </si>
  <si>
    <t>ALL</t>
    <phoneticPr fontId="1"/>
  </si>
  <si>
    <t>super/share</t>
    <phoneticPr fontId="1"/>
  </si>
  <si>
    <t>MSBH</t>
    <phoneticPr fontId="2"/>
  </si>
  <si>
    <t>MSBHB0010</t>
    <phoneticPr fontId="2"/>
  </si>
  <si>
    <t>MSBHB_PaySchdClBatch</t>
    <phoneticPr fontId="2"/>
  </si>
  <si>
    <t>支払予定登録バッチ</t>
    <rPh sb="0" eb="2">
      <t>シハライ</t>
    </rPh>
    <rPh sb="2" eb="4">
      <t>ヨテイ</t>
    </rPh>
    <rPh sb="4" eb="6">
      <t>トウロク</t>
    </rPh>
    <phoneticPr fontId="2"/>
  </si>
  <si>
    <t>PaySchdClBatch_Upd01</t>
    <phoneticPr fontId="2"/>
  </si>
  <si>
    <t>PaySchdClBatch_Cnd</t>
    <phoneticPr fontId="2"/>
  </si>
  <si>
    <t>tgt_dt</t>
    <phoneticPr fontId="2"/>
  </si>
  <si>
    <t>bsppl_cd</t>
    <phoneticPr fontId="2"/>
  </si>
  <si>
    <t>#MA.BP_CD</t>
    <phoneticPr fontId="2"/>
  </si>
  <si>
    <t>PaySchdClBatch_Upd02</t>
    <phoneticPr fontId="2"/>
  </si>
  <si>
    <t>MS.MSBHB0010.PaySchdClBatch_Upd01.PaySchdClBatch_Cnd</t>
    <phoneticPr fontId="2"/>
  </si>
  <si>
    <t>登録（マルチスレッド用）</t>
    <rPh sb="0" eb="2">
      <t>トウロク</t>
    </rPh>
    <rPh sb="10" eb="11">
      <t>ヨウ</t>
    </rPh>
    <phoneticPr fontId="2"/>
  </si>
  <si>
    <t>PaySchdClBatch_Rslt</t>
    <phoneticPr fontId="2"/>
  </si>
  <si>
    <t>total_cnt</t>
  </si>
  <si>
    <t>success_cnt</t>
  </si>
  <si>
    <t>error_cnt</t>
  </si>
  <si>
    <t>#MA.INT</t>
    <phoneticPr fontId="2"/>
  </si>
  <si>
    <t>-</t>
    <phoneticPr fontId="2"/>
  </si>
  <si>
    <t>@</t>
  </si>
  <si>
    <t>MS.MSUDL5010</t>
    <phoneticPr fontId="2"/>
  </si>
  <si>
    <t>"mcframe.serverMAUD.MAUDL5010.MAUDL_Operation"</t>
    <phoneticPr fontId="2"/>
  </si>
  <si>
    <t>対象日</t>
    <phoneticPr fontId="2"/>
  </si>
  <si>
    <t>支払予定管理先ＣＤ</t>
    <phoneticPr fontId="2"/>
  </si>
  <si>
    <t>全処理件数</t>
    <phoneticPr fontId="8"/>
  </si>
  <si>
    <t>正常終了件数</t>
    <phoneticPr fontId="2"/>
  </si>
  <si>
    <t>エラー件数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</si>
  <si>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</si>
  <si>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</si>
  <si>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</si>
  <si>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</si>
  <si>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</si>
  <si>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</si>
  <si>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</si>
  <si>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</si>
  <si>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</si>
  <si>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</si>
  <si>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</si>
  <si>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</si>
  <si>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</si>
  <si>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</si>
  <si>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Date</t>
  </si>
  <si>
    <t>Scheduled payee cd.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</si>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</sst>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2" borderId="12" xfId="0" applyFont="1" applyFill="1" applyBorder="1" applyAlignment="1"/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27</v>
      </c>
      <c r="D2" s="7" t="s">
        <v>2</v>
      </c>
      <c r="E2" s="8" t="s">
        <v>47</v>
      </c>
      <c r="F2" s="7" t="s">
        <v>28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46</v>
      </c>
      <c r="D3" s="7" t="s">
        <v>4</v>
      </c>
      <c r="E3" s="8" t="s">
        <v>48</v>
      </c>
      <c r="F3" s="7" t="s">
        <v>29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49</v>
      </c>
      <c r="F4" s="7" t="s">
        <v>6</v>
      </c>
      <c r="G4" s="8" t="s">
        <v>65</v>
      </c>
      <c r="I4" s="5"/>
      <c r="J4" s="4"/>
    </row>
    <row r="5" spans="1:13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31</v>
      </c>
      <c r="B1" s="53" t="s">
        <v>31</v>
      </c>
      <c r="C1" s="5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65" t="s">
        <v>72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MSBHB0010</v>
      </c>
      <c r="I2" s="7" t="s">
        <v>33</v>
      </c>
      <c r="J2" s="8" t="s">
        <v>50</v>
      </c>
      <c r="K2" s="7" t="s">
        <v>28</v>
      </c>
      <c r="L2" s="54" t="str">
        <f>IF(LogicCommon!G2="","",LogicCommon!G2)</f>
        <v>MC</v>
      </c>
      <c r="M2" s="5" t="s">
        <v>34</v>
      </c>
      <c r="N2" s="24" t="s">
        <v>66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31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MSBH</v>
      </c>
      <c r="G3" s="7" t="s">
        <v>4</v>
      </c>
      <c r="H3" s="54" t="str">
        <f>IF(LogicCommon!E3="","",LogicCommon!E3)</f>
        <v>MSBHB_PaySchdClBatch</v>
      </c>
      <c r="I3" s="7" t="s">
        <v>35</v>
      </c>
      <c r="J3" s="8" t="s">
        <v>50</v>
      </c>
      <c r="K3" s="7" t="s">
        <v>29</v>
      </c>
      <c r="L3" s="54" t="str">
        <f>IF(LogicCommon!G3="","",LogicCommon!G3)</f>
        <v/>
      </c>
      <c r="M3" s="58"/>
      <c r="N3" s="7"/>
      <c r="O3" s="7" t="s">
        <v>36</v>
      </c>
      <c r="P3" s="8" t="s">
        <v>44</v>
      </c>
      <c r="Q3" s="4"/>
      <c r="R3" s="5"/>
      <c r="S3" s="5"/>
      <c r="T3" s="5"/>
      <c r="U3" s="5"/>
    </row>
    <row r="4" spans="1:21" s="10" customFormat="1">
      <c r="A4" s="55" t="s">
        <v>31</v>
      </c>
      <c r="B4" s="56"/>
      <c r="C4" s="56"/>
      <c r="D4" s="4"/>
      <c r="E4" s="7" t="s">
        <v>12</v>
      </c>
      <c r="F4" s="59" t="s">
        <v>37</v>
      </c>
      <c r="G4" s="7" t="s">
        <v>5</v>
      </c>
      <c r="H4" s="54" t="str">
        <f>IF(LogicCommon!E4="","",LogicCommon!E4)</f>
        <v>支払予定登録バッチ</v>
      </c>
      <c r="I4" s="7" t="s">
        <v>38</v>
      </c>
      <c r="J4" s="8" t="s">
        <v>25</v>
      </c>
      <c r="K4" s="7" t="s">
        <v>6</v>
      </c>
      <c r="L4" s="54" t="str">
        <f>IF(LogicCommon!G4="","",LogicCommon!G4)</f>
        <v>MS.MSUDL5010</v>
      </c>
      <c r="M4" s="60" t="s">
        <v>41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31</v>
      </c>
      <c r="B5" s="53"/>
      <c r="C5" s="53"/>
      <c r="D5" s="21"/>
      <c r="E5" s="7" t="s">
        <v>39</v>
      </c>
      <c r="F5" s="59" t="s">
        <v>64</v>
      </c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31</v>
      </c>
      <c r="B6" s="56"/>
      <c r="C6" s="56"/>
      <c r="D6" s="4" t="s">
        <v>17</v>
      </c>
      <c r="E6" s="12"/>
      <c r="F6" s="12"/>
      <c r="G6" s="12"/>
      <c r="H6" s="12"/>
      <c r="I6" s="12"/>
      <c r="J6" s="12"/>
      <c r="K6" s="12"/>
      <c r="L6" s="64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6"/>
      <c r="C8" s="67"/>
      <c r="D8" s="25" t="s">
        <v>73</v>
      </c>
      <c r="E8" s="25" t="s">
        <v>74</v>
      </c>
      <c r="F8" s="64"/>
      <c r="G8" s="25" t="s">
        <v>45</v>
      </c>
      <c r="H8" s="25" t="s">
        <v>75</v>
      </c>
      <c r="I8" s="64"/>
      <c r="J8" s="3"/>
      <c r="K8" s="8"/>
      <c r="L8" s="25" t="s">
        <v>11</v>
      </c>
      <c r="M8" s="26"/>
      <c r="N8" s="25" t="s">
        <v>42</v>
      </c>
      <c r="O8" s="26"/>
      <c r="P8" s="25" t="s">
        <v>42</v>
      </c>
      <c r="Q8" s="26"/>
      <c r="R8" s="3"/>
      <c r="S8" s="21"/>
      <c r="T8" s="123" t="s">
        <v>76</v>
      </c>
      <c r="U8" s="124"/>
    </row>
    <row r="9" spans="1:21" s="10" customFormat="1" ht="60" customHeight="1">
      <c r="A9" s="8" t="s">
        <v>8</v>
      </c>
      <c r="B9" s="29"/>
      <c r="C9" s="30"/>
      <c r="D9" s="25" t="s">
        <v>77</v>
      </c>
      <c r="E9" s="48" t="s">
        <v>78</v>
      </c>
      <c r="F9" s="25" t="s">
        <v>79</v>
      </c>
      <c r="G9" s="25" t="s">
        <v>80</v>
      </c>
      <c r="H9" s="25" t="s">
        <v>81</v>
      </c>
      <c r="I9" s="49" t="s">
        <v>82</v>
      </c>
      <c r="J9" s="25" t="s">
        <v>83</v>
      </c>
      <c r="K9" s="65"/>
      <c r="L9" s="49"/>
      <c r="M9" s="25"/>
      <c r="N9" s="25"/>
      <c r="O9" s="25"/>
      <c r="P9" s="25"/>
      <c r="Q9" s="25"/>
      <c r="R9" s="123" t="s">
        <v>84</v>
      </c>
      <c r="S9" s="124"/>
      <c r="T9" s="123" t="s">
        <v>85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1"/>
      <c r="S10" s="31"/>
      <c r="T10" s="36"/>
      <c r="U10" s="52"/>
    </row>
    <row r="11" spans="1:21" s="10" customFormat="1">
      <c r="A11" s="8">
        <v>10</v>
      </c>
      <c r="B11" s="29" t="s">
        <v>0</v>
      </c>
      <c r="C11" s="30"/>
      <c r="D11" s="24" t="s">
        <v>51</v>
      </c>
      <c r="E11" s="27" t="s">
        <v>26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52</v>
      </c>
      <c r="E12" s="26" t="s">
        <v>43</v>
      </c>
      <c r="F12" s="26"/>
      <c r="G12" s="39" t="s">
        <v>86</v>
      </c>
      <c r="H12" s="39" t="s">
        <v>67</v>
      </c>
      <c r="I12" s="8" t="s">
        <v>40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87</v>
      </c>
      <c r="H13" s="39" t="s">
        <v>68</v>
      </c>
      <c r="I13" s="8" t="s">
        <v>40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22"/>
      <c r="B14" s="23"/>
      <c r="C14" s="23"/>
      <c r="D14" s="1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5"/>
      <c r="U15" s="40"/>
    </row>
    <row r="16" spans="1:21" s="10" customFormat="1">
      <c r="A16" s="55"/>
      <c r="U16" s="40"/>
    </row>
    <row r="17" spans="1:21" s="10" customFormat="1">
      <c r="A17" s="55"/>
      <c r="U17" s="40"/>
    </row>
    <row r="18" spans="1:21" s="10" customFormat="1">
      <c r="A18" s="55"/>
      <c r="U18" s="40"/>
    </row>
    <row r="19" spans="1:21" s="10" customFormat="1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1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8735-DE35-4BA3-84C8-89FCBE380791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31</v>
      </c>
      <c r="B1" s="53" t="s">
        <v>31</v>
      </c>
      <c r="C1" s="5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65" t="s">
        <v>72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MSBHB0010</v>
      </c>
      <c r="I2" s="7" t="s">
        <v>33</v>
      </c>
      <c r="J2" s="8" t="s">
        <v>55</v>
      </c>
      <c r="K2" s="7" t="s">
        <v>28</v>
      </c>
      <c r="L2" s="54" t="str">
        <f>IF(LogicCommon!G2="","",LogicCommon!G2)</f>
        <v>MC</v>
      </c>
      <c r="M2" s="5" t="s">
        <v>34</v>
      </c>
      <c r="N2" s="24" t="s">
        <v>66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31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MSBH</v>
      </c>
      <c r="G3" s="7" t="s">
        <v>4</v>
      </c>
      <c r="H3" s="54" t="str">
        <f>IF(LogicCommon!E3="","",LogicCommon!E3)</f>
        <v>MSBHB_PaySchdClBatch</v>
      </c>
      <c r="I3" s="7" t="s">
        <v>35</v>
      </c>
      <c r="J3" s="8" t="s">
        <v>55</v>
      </c>
      <c r="K3" s="7" t="s">
        <v>29</v>
      </c>
      <c r="L3" s="54" t="str">
        <f>IF(LogicCommon!G3="","",LogicCommon!G3)</f>
        <v/>
      </c>
      <c r="M3" s="58"/>
      <c r="N3" s="7"/>
      <c r="O3" s="7" t="s">
        <v>36</v>
      </c>
      <c r="P3" s="8" t="s">
        <v>44</v>
      </c>
      <c r="Q3" s="4"/>
      <c r="R3" s="5"/>
      <c r="S3" s="5"/>
      <c r="T3" s="5"/>
      <c r="U3" s="5"/>
    </row>
    <row r="4" spans="1:21" s="10" customFormat="1">
      <c r="A4" s="55" t="s">
        <v>31</v>
      </c>
      <c r="B4" s="56"/>
      <c r="C4" s="56"/>
      <c r="D4" s="4"/>
      <c r="E4" s="7" t="s">
        <v>12</v>
      </c>
      <c r="F4" s="59" t="s">
        <v>37</v>
      </c>
      <c r="G4" s="7" t="s">
        <v>5</v>
      </c>
      <c r="H4" s="54" t="str">
        <f>IF(LogicCommon!E4="","",LogicCommon!E4)</f>
        <v>支払予定登録バッチ</v>
      </c>
      <c r="I4" s="7" t="s">
        <v>38</v>
      </c>
      <c r="J4" s="8" t="s">
        <v>57</v>
      </c>
      <c r="K4" s="7" t="s">
        <v>6</v>
      </c>
      <c r="L4" s="54" t="str">
        <f>IF(LogicCommon!G4="","",LogicCommon!G4)</f>
        <v>MS.MSUDL5010</v>
      </c>
      <c r="M4" s="60" t="s">
        <v>41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31</v>
      </c>
      <c r="B5" s="53"/>
      <c r="C5" s="53"/>
      <c r="D5" s="21"/>
      <c r="E5" s="7" t="s">
        <v>39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31</v>
      </c>
      <c r="B6" s="56"/>
      <c r="C6" s="56"/>
      <c r="D6" s="4" t="s">
        <v>17</v>
      </c>
      <c r="E6" s="12"/>
      <c r="F6" s="12"/>
      <c r="G6" s="12"/>
      <c r="H6" s="12"/>
      <c r="I6" s="12"/>
      <c r="J6" s="12"/>
      <c r="K6" s="12"/>
      <c r="L6" s="64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6"/>
      <c r="C8" s="67"/>
      <c r="D8" s="25" t="s">
        <v>73</v>
      </c>
      <c r="E8" s="25" t="s">
        <v>74</v>
      </c>
      <c r="F8" s="64"/>
      <c r="G8" s="25" t="s">
        <v>45</v>
      </c>
      <c r="H8" s="25" t="s">
        <v>75</v>
      </c>
      <c r="I8" s="64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76</v>
      </c>
      <c r="U8" s="124"/>
    </row>
    <row r="9" spans="1:21" s="10" customFormat="1" ht="60" customHeight="1">
      <c r="A9" s="8" t="s">
        <v>8</v>
      </c>
      <c r="B9" s="29"/>
      <c r="C9" s="30"/>
      <c r="D9" s="25" t="s">
        <v>77</v>
      </c>
      <c r="E9" s="48" t="s">
        <v>78</v>
      </c>
      <c r="F9" s="25" t="s">
        <v>79</v>
      </c>
      <c r="G9" s="25" t="s">
        <v>80</v>
      </c>
      <c r="H9" s="25" t="s">
        <v>81</v>
      </c>
      <c r="I9" s="49" t="s">
        <v>82</v>
      </c>
      <c r="J9" s="25" t="s">
        <v>83</v>
      </c>
      <c r="K9" s="65"/>
      <c r="L9" s="49"/>
      <c r="M9" s="25"/>
      <c r="N9" s="25"/>
      <c r="O9" s="25"/>
      <c r="P9" s="25"/>
      <c r="Q9" s="25"/>
      <c r="R9" s="123" t="s">
        <v>84</v>
      </c>
      <c r="S9" s="124"/>
      <c r="T9" s="123" t="s">
        <v>85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6"/>
      <c r="I10" s="31"/>
      <c r="J10" s="31"/>
      <c r="K10" s="35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1"/>
      <c r="S10" s="31"/>
      <c r="T10" s="36"/>
      <c r="U10" s="52"/>
    </row>
    <row r="11" spans="1:21" s="10" customFormat="1">
      <c r="A11" s="8">
        <v>10</v>
      </c>
      <c r="B11" s="29" t="s">
        <v>0</v>
      </c>
      <c r="C11" s="30"/>
      <c r="D11" s="24" t="s">
        <v>51</v>
      </c>
      <c r="E11" s="27" t="s">
        <v>15</v>
      </c>
      <c r="F11" s="37"/>
      <c r="G11" s="24" t="s">
        <v>14</v>
      </c>
      <c r="H11" s="42" t="s">
        <v>56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52</v>
      </c>
      <c r="E12" s="26" t="s">
        <v>43</v>
      </c>
      <c r="F12" s="26"/>
      <c r="G12" s="39" t="s">
        <v>86</v>
      </c>
      <c r="H12" s="11" t="s">
        <v>67</v>
      </c>
      <c r="I12" s="8" t="s">
        <v>40</v>
      </c>
      <c r="J12" s="8" t="s">
        <v>63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87</v>
      </c>
      <c r="H13" s="11" t="s">
        <v>68</v>
      </c>
      <c r="I13" s="8" t="s">
        <v>40</v>
      </c>
      <c r="J13" s="8" t="s">
        <v>63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ht="39">
      <c r="A14" s="55"/>
      <c r="L14" s="10" t="s">
        <v>82</v>
      </c>
      <c r="M14" s="10" t="s">
        <v>83</v>
      </c>
      <c r="N14" s="10" t="s">
        <v>82</v>
      </c>
      <c r="O14" s="10" t="s">
        <v>83</v>
      </c>
      <c r="P14" s="10" t="s">
        <v>82</v>
      </c>
      <c r="Q14" s="10" t="s">
        <v>83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58</v>
      </c>
      <c r="E15" s="27" t="s">
        <v>15</v>
      </c>
      <c r="F15" s="37"/>
      <c r="G15" s="24"/>
      <c r="H15" s="42"/>
      <c r="I15" s="38"/>
      <c r="J15" s="34"/>
      <c r="K15" s="34"/>
      <c r="L15" s="27"/>
      <c r="M15" s="27"/>
      <c r="N15" s="27"/>
      <c r="O15" s="27"/>
      <c r="P15" s="27"/>
      <c r="Q15" s="27"/>
      <c r="R15" s="38"/>
      <c r="S15" s="37"/>
      <c r="T15" s="125"/>
      <c r="U15" s="126"/>
    </row>
    <row r="16" spans="1:21" s="10" customFormat="1">
      <c r="A16" s="8">
        <v>20</v>
      </c>
      <c r="B16" s="8"/>
      <c r="C16" s="8"/>
      <c r="D16" s="8" t="s">
        <v>59</v>
      </c>
      <c r="E16" s="26" t="s">
        <v>62</v>
      </c>
      <c r="F16" s="26"/>
      <c r="G16" s="39" t="s">
        <v>88</v>
      </c>
      <c r="H16" s="11" t="s">
        <v>69</v>
      </c>
      <c r="I16" s="8" t="s">
        <v>63</v>
      </c>
      <c r="J16" s="8" t="s">
        <v>40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ht="26">
      <c r="A17" s="8">
        <v>20</v>
      </c>
      <c r="B17" s="8"/>
      <c r="C17" s="8"/>
      <c r="D17" s="8" t="s">
        <v>60</v>
      </c>
      <c r="E17" s="26" t="s">
        <v>62</v>
      </c>
      <c r="F17" s="26"/>
      <c r="G17" s="39" t="s">
        <v>89</v>
      </c>
      <c r="H17" s="11" t="s">
        <v>70</v>
      </c>
      <c r="I17" s="8" t="s">
        <v>63</v>
      </c>
      <c r="J17" s="8" t="s">
        <v>40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>
      <c r="A18" s="8">
        <v>20</v>
      </c>
      <c r="B18" s="8"/>
      <c r="C18" s="8"/>
      <c r="D18" s="8" t="s">
        <v>61</v>
      </c>
      <c r="E18" s="26" t="s">
        <v>62</v>
      </c>
      <c r="F18" s="26"/>
      <c r="G18" s="39" t="s">
        <v>90</v>
      </c>
      <c r="H18" s="11" t="s">
        <v>71</v>
      </c>
      <c r="I18" s="8" t="s">
        <v>63</v>
      </c>
      <c r="J18" s="8" t="s">
        <v>40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>
      <c r="A20" s="55"/>
      <c r="U20" s="40"/>
    </row>
    <row r="21" spans="1:21" s="10" customFormat="1">
      <c r="A21" s="55"/>
      <c r="U21" s="40"/>
    </row>
    <row r="22" spans="1:21" s="10" customFormat="1">
      <c r="A22" s="55"/>
      <c r="U22" s="40"/>
    </row>
    <row r="23" spans="1:21" s="10" customFormat="1">
      <c r="A23" s="55"/>
      <c r="U23" s="40"/>
    </row>
    <row r="24" spans="1:21" s="10" customFormat="1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1"/>
    </row>
  </sheetData>
  <mergeCells count="9">
    <mergeCell ref="T15:U15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68" t="s">
        <v>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1" t="s">
        <v>19</v>
      </c>
      <c r="B3" s="72"/>
      <c r="C3" s="72"/>
      <c r="D3" s="72"/>
      <c r="E3" s="72"/>
      <c r="F3" s="72"/>
      <c r="G3" s="73"/>
      <c r="H3" s="74" t="s">
        <v>20</v>
      </c>
      <c r="I3" s="72"/>
      <c r="J3" s="72"/>
      <c r="K3" s="72"/>
      <c r="L3" s="72"/>
      <c r="M3" s="72"/>
      <c r="N3" s="73"/>
      <c r="O3" s="74" t="s">
        <v>21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22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23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91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92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PaySchdClBatch_Upd01</vt:lpstr>
      <vt:lpstr>PaySchdClBatch_Upd02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2026-03-27T06:00:28Z</dcterms:modified>
  <cp:category/>
</cp:coreProperties>
</file>