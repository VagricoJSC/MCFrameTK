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F\Logic\"/>
    </mc:Choice>
  </mc:AlternateContent>
  <xr:revisionPtr revIDLastSave="0" documentId="13_ncr:1_{1710E156-7DD7-4E7C-94B7-0453608467AF}" xr6:coauthVersionLast="47" xr6:coauthVersionMax="47" xr10:uidLastSave="{00000000-0000-0000-0000-000000000000}"/>
  <bookViews>
    <workbookView xWindow="1710" yWindow="1710" windowWidth="21600" windowHeight="11265" tabRatio="794" firstSheet="7" activeTab="15" xr2:uid="{00000000-000D-0000-FFFF-FFFF00000000}"/>
  </bookViews>
  <sheets>
    <sheet name="LogicCommon" sheetId="3" r:id="rId1"/>
    <sheet name="Lot_Chk01" sheetId="5" r:id="rId2"/>
    <sheet name="Lot_Chk02" sheetId="6" r:id="rId3"/>
    <sheet name="Lot_Chk03" sheetId="7" r:id="rId4"/>
    <sheet name="Lot_Srch01" sheetId="8" r:id="rId5"/>
    <sheet name="Lot_Srch02" sheetId="9" r:id="rId6"/>
    <sheet name="Lot_Upd01" sheetId="10" r:id="rId7"/>
    <sheet name="Lot_Upd02" sheetId="11" r:id="rId8"/>
    <sheet name="Lot_Upd03" sheetId="12" r:id="rId9"/>
    <sheet name="Lot_Upd04" sheetId="13" r:id="rId10"/>
    <sheet name="Lot_Upd05" sheetId="14" r:id="rId11"/>
    <sheet name="Lot_Upd06" sheetId="15" r:id="rId12"/>
    <sheet name="Lot_Upd07" sheetId="16" r:id="rId13"/>
    <sheet name="Lot_Upd08" sheetId="17" r:id="rId14"/>
    <sheet name="Lot_Del01" sheetId="18" r:id="rId15"/>
    <sheet name="来歴" sheetId="4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8" l="1"/>
  <c r="H4" i="18"/>
  <c r="L3" i="18"/>
  <c r="H3" i="18"/>
  <c r="F3" i="18"/>
  <c r="D3" i="18"/>
  <c r="L2" i="18"/>
  <c r="H2" i="18"/>
  <c r="F2" i="18"/>
  <c r="L4" i="17"/>
  <c r="H4" i="17"/>
  <c r="L3" i="17"/>
  <c r="H3" i="17"/>
  <c r="F3" i="17"/>
  <c r="D3" i="17"/>
  <c r="L2" i="17"/>
  <c r="H2" i="17"/>
  <c r="F2" i="17"/>
  <c r="L4" i="16"/>
  <c r="H4" i="16"/>
  <c r="L3" i="16"/>
  <c r="H3" i="16"/>
  <c r="F3" i="16"/>
  <c r="D3" i="16"/>
  <c r="L2" i="16"/>
  <c r="H2" i="16"/>
  <c r="F2" i="16"/>
  <c r="L4" i="15"/>
  <c r="H4" i="15"/>
  <c r="L3" i="15"/>
  <c r="H3" i="15"/>
  <c r="F3" i="15"/>
  <c r="D3" i="15"/>
  <c r="L2" i="15"/>
  <c r="H2" i="15"/>
  <c r="F2" i="15"/>
  <c r="L4" i="14"/>
  <c r="H4" i="14"/>
  <c r="L3" i="14"/>
  <c r="H3" i="14"/>
  <c r="F3" i="14"/>
  <c r="D3" i="14"/>
  <c r="L2" i="14"/>
  <c r="H2" i="14"/>
  <c r="F2" i="14"/>
  <c r="L4" i="13"/>
  <c r="H4" i="13"/>
  <c r="L3" i="13"/>
  <c r="H3" i="13"/>
  <c r="F3" i="13"/>
  <c r="D3" i="13"/>
  <c r="L2" i="13"/>
  <c r="H2" i="13"/>
  <c r="F2" i="13"/>
  <c r="L4" i="12"/>
  <c r="H4" i="12"/>
  <c r="L3" i="12"/>
  <c r="H3" i="12"/>
  <c r="F3" i="12"/>
  <c r="D3" i="12"/>
  <c r="L2" i="12"/>
  <c r="H2" i="12"/>
  <c r="F2" i="12"/>
  <c r="L4" i="11"/>
  <c r="H4" i="11"/>
  <c r="L3" i="11"/>
  <c r="H3" i="11"/>
  <c r="F3" i="11"/>
  <c r="D3" i="11"/>
  <c r="L2" i="11"/>
  <c r="H2" i="11"/>
  <c r="F2" i="11"/>
  <c r="L4" i="10"/>
  <c r="H4" i="10"/>
  <c r="L3" i="10"/>
  <c r="H3" i="10"/>
  <c r="F3" i="10"/>
  <c r="D3" i="10"/>
  <c r="L2" i="10"/>
  <c r="H2" i="10"/>
  <c r="F2" i="10"/>
  <c r="L4" i="9"/>
  <c r="H4" i="9"/>
  <c r="L3" i="9"/>
  <c r="H3" i="9"/>
  <c r="F3" i="9"/>
  <c r="D3" i="9"/>
  <c r="L2" i="9"/>
  <c r="H2" i="9"/>
  <c r="F2" i="9"/>
  <c r="L4" i="8"/>
  <c r="H4" i="8"/>
  <c r="L3" i="8"/>
  <c r="H3" i="8"/>
  <c r="F3" i="8"/>
  <c r="D3" i="8"/>
  <c r="L2" i="8"/>
  <c r="H2" i="8"/>
  <c r="F2" i="8"/>
  <c r="L4" i="7"/>
  <c r="H4" i="7"/>
  <c r="L3" i="7"/>
  <c r="H3" i="7"/>
  <c r="F3" i="7"/>
  <c r="D3" i="7"/>
  <c r="L2" i="7"/>
  <c r="H2" i="7"/>
  <c r="F2" i="7"/>
  <c r="L4" i="6"/>
  <c r="H4" i="6"/>
  <c r="L3" i="6"/>
  <c r="H3" i="6"/>
  <c r="F3" i="6"/>
  <c r="D3" i="6"/>
  <c r="L2" i="6"/>
  <c r="H2" i="6"/>
  <c r="F2" i="6"/>
  <c r="L4" i="5"/>
  <c r="H4" i="5"/>
  <c r="L3" i="5"/>
  <c r="H3" i="5"/>
  <c r="F3" i="5"/>
  <c r="D3" i="5"/>
  <c r="L2" i="5"/>
  <c r="H2" i="5"/>
  <c r="F2" i="5"/>
</calcChain>
</file>

<file path=xl/sharedStrings.xml><?xml version="1.0" encoding="utf-8"?>
<sst xmlns="http://schemas.openxmlformats.org/spreadsheetml/2006/main" count="2172" uniqueCount="593">
  <si>
    <t>ModuleID :</t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</si>
  <si>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</si>
  <si>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</si>
  <si>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</si>
  <si>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</si>
  <si>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SuperLogicID :</t>
    <phoneticPr fontId="2"/>
  </si>
  <si>
    <t>詳細 :</t>
    <rPh sb="0" eb="2">
      <t>ショウサイ</t>
    </rPh>
    <phoneticPr fontId="2"/>
  </si>
  <si>
    <t>オペレーション実装仕様書</t>
    <rPh sb="7" eb="9">
      <t>ジッソウ</t>
    </rPh>
    <rPh sb="9" eb="12">
      <t>シヨウショ</t>
    </rPh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</si>
  <si>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</si>
  <si>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</si>
  <si>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</si>
  <si>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</si>
  <si>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</si>
  <si>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</si>
  <si>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</si>
  <si>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MC</t>
    <phoneticPr fontId="4"/>
  </si>
  <si>
    <t>MS</t>
  </si>
  <si>
    <t>MSBF</t>
  </si>
  <si>
    <t>MSBFL5210</t>
  </si>
  <si>
    <t>MSBFL_LotService</t>
  </si>
  <si>
    <t>Version :</t>
  </si>
  <si>
    <t>#</t>
    <phoneticPr fontId="2"/>
  </si>
  <si>
    <t>U</t>
    <phoneticPr fontId="2"/>
  </si>
  <si>
    <t>K</t>
    <phoneticPr fontId="2"/>
  </si>
  <si>
    <t>o</t>
    <phoneticPr fontId="2"/>
  </si>
  <si>
    <t>TargetName</t>
    <phoneticPr fontId="2"/>
  </si>
  <si>
    <t>*</t>
  </si>
  <si>
    <t>Lot_Chk01</t>
  </si>
  <si>
    <t>ロット削除チェック</t>
  </si>
  <si>
    <t>Lot_Chk01_Cnd</t>
  </si>
  <si>
    <t>peg_no</t>
  </si>
  <si>
    <t>#MA.INT</t>
  </si>
  <si>
    <t>itm_cd</t>
  </si>
  <si>
    <t>#MA.ITM_CD</t>
  </si>
  <si>
    <t>itm_sub1</t>
  </si>
  <si>
    <t>itm_sub2</t>
  </si>
  <si>
    <t>itm_sub3</t>
  </si>
  <si>
    <t>lot_no</t>
  </si>
  <si>
    <t>#MA.LOT_NO</t>
  </si>
  <si>
    <t>sublot_no</t>
  </si>
  <si>
    <t>#MA.SUBLOT_NO</t>
  </si>
  <si>
    <t>L</t>
  </si>
  <si>
    <t>err_flg</t>
  </si>
  <si>
    <t>#MA.FLG</t>
  </si>
  <si>
    <t>Lot_Chk02</t>
  </si>
  <si>
    <t>ロット重複チェック</t>
  </si>
  <si>
    <t>Lot_Chk02_Cnd</t>
  </si>
  <si>
    <t>Lot_Chk03</t>
  </si>
  <si>
    <t>ロット存在チェック</t>
  </si>
  <si>
    <t>Lot_Chk03_Cnd</t>
  </si>
  <si>
    <t>Lot_Srch01</t>
  </si>
  <si>
    <t>期限取得</t>
  </si>
  <si>
    <t>Lot_Srch01_Cnd</t>
  </si>
  <si>
    <t>lmt_dt_frm</t>
  </si>
  <si>
    <t>#MA.DT</t>
  </si>
  <si>
    <t>insp_typ</t>
  </si>
  <si>
    <t>#MS.INSP_TYP</t>
  </si>
  <si>
    <t>src_no1</t>
  </si>
  <si>
    <t>#MA.SRC_NO</t>
  </si>
  <si>
    <t>src_no2</t>
  </si>
  <si>
    <t>src_no3</t>
  </si>
  <si>
    <t>src_no4</t>
  </si>
  <si>
    <t>lmt_dt_frm_typ</t>
  </si>
  <si>
    <t>#MA.LMT_DT_FRM_TYP</t>
  </si>
  <si>
    <t>vld_pd</t>
  </si>
  <si>
    <t>#MA.VLD_PD</t>
  </si>
  <si>
    <t>lmt_pd</t>
  </si>
  <si>
    <t>#MA.LMT_PD</t>
  </si>
  <si>
    <t>calc_pd_typ</t>
  </si>
  <si>
    <t>#MA.CALC_PD_TYP</t>
  </si>
  <si>
    <t>lmt_dt</t>
  </si>
  <si>
    <t>Lot_Srch01_Rslt</t>
    <phoneticPr fontId="4"/>
  </si>
  <si>
    <t>Lot_Srch02</t>
  </si>
  <si>
    <t>期限取得（検査指図単位）</t>
  </si>
  <si>
    <t>Lot_Srch02_Cnd</t>
  </si>
  <si>
    <t>insp_no</t>
  </si>
  <si>
    <t>#MA.INSP_NO</t>
  </si>
  <si>
    <t>Lot_Srch02_Rslt</t>
    <phoneticPr fontId="4"/>
  </si>
  <si>
    <t>Lot_Upd01</t>
  </si>
  <si>
    <t>ロット追加・更新</t>
  </si>
  <si>
    <t>Lot_Upd01_Cnd</t>
  </si>
  <si>
    <t>base_dt</t>
  </si>
  <si>
    <t>Lot_Upd02</t>
  </si>
  <si>
    <t>備考・予備項目更新</t>
  </si>
  <si>
    <t>Lot_Upd02_Cnd</t>
  </si>
  <si>
    <t>Lot_Upd03</t>
  </si>
  <si>
    <t>製造承認状況更新</t>
  </si>
  <si>
    <t>Lot_Upd03_Cnd</t>
  </si>
  <si>
    <t>itm_mfg_inst_no</t>
  </si>
  <si>
    <t>#MA.ITM_MFG_INST_NO</t>
  </si>
  <si>
    <t>Lot_Upd04</t>
  </si>
  <si>
    <t>期限・有効成分更新</t>
  </si>
  <si>
    <t>Lot_Upd04_Cnd</t>
  </si>
  <si>
    <t>Lot_Upd05</t>
  </si>
  <si>
    <t>区分更新</t>
  </si>
  <si>
    <t>Lot_Upd05_Cnd</t>
  </si>
  <si>
    <t>lot_insp_schd_flg</t>
  </si>
  <si>
    <t>insp_inst_flg</t>
  </si>
  <si>
    <t>insp_inst_aprv_flg</t>
  </si>
  <si>
    <t>insp_act_flg</t>
  </si>
  <si>
    <t>insp_judg_flg</t>
  </si>
  <si>
    <t>plnt_aprv_flg</t>
  </si>
  <si>
    <t>mrkt_judg_flg</t>
  </si>
  <si>
    <t>Lot_Upd06</t>
  </si>
  <si>
    <t>期限更新（子品目引継）</t>
  </si>
  <si>
    <t>main_itm_cd</t>
  </si>
  <si>
    <t>main_itm_sub1</t>
  </si>
  <si>
    <t>main_itm_sub2</t>
  </si>
  <si>
    <t>main_itm_sub3</t>
  </si>
  <si>
    <t>main_lot_no</t>
  </si>
  <si>
    <t>main_sublot_no</t>
  </si>
  <si>
    <t>loc_cd</t>
  </si>
  <si>
    <t>#MA.LOC_CD</t>
  </si>
  <si>
    <t>mfg_loc_cd</t>
  </si>
  <si>
    <t>gr_dt</t>
  </si>
  <si>
    <t>Lot_Upd07</t>
  </si>
  <si>
    <t>期限更新（工程実績起算）</t>
  </si>
  <si>
    <t>Lot_Upd07_Cnd</t>
  </si>
  <si>
    <t>data_crud_typ</t>
  </si>
  <si>
    <t>mfg_act_no</t>
  </si>
  <si>
    <t>#MA.MFG_ACT_NO</t>
  </si>
  <si>
    <t>oper_inst_no</t>
  </si>
  <si>
    <t>#MA.OPER_INST_NO</t>
  </si>
  <si>
    <t>Lot_Upd08</t>
  </si>
  <si>
    <t>Lot_Upd08_Cnd</t>
  </si>
  <si>
    <t>site_cd</t>
  </si>
  <si>
    <t>#MA.SITE_CD</t>
  </si>
  <si>
    <t>Lot_Del01</t>
  </si>
  <si>
    <t>ロット削除</t>
  </si>
  <si>
    <t>Lot_Del01_Cnd</t>
  </si>
  <si>
    <t>L</t>
    <phoneticPr fontId="4"/>
  </si>
  <si>
    <t>L</t>
    <phoneticPr fontId="4"/>
  </si>
  <si>
    <t>L</t>
    <phoneticPr fontId="4"/>
  </si>
  <si>
    <t>L</t>
    <phoneticPr fontId="4"/>
  </si>
  <si>
    <t>@</t>
    <phoneticPr fontId="4"/>
  </si>
  <si>
    <t>@</t>
    <phoneticPr fontId="4"/>
  </si>
  <si>
    <t>@</t>
    <phoneticPr fontId="4"/>
  </si>
  <si>
    <t>@</t>
    <phoneticPr fontId="4"/>
  </si>
  <si>
    <t>#MS.MFG_APRV_STS_TYP</t>
    <phoneticPr fontId="4"/>
  </si>
  <si>
    <t>#MA.INSP_BIND_TYP</t>
    <phoneticPr fontId="4"/>
  </si>
  <si>
    <t>itm_cd</t>
    <phoneticPr fontId="4"/>
  </si>
  <si>
    <t>itm_sub1</t>
    <phoneticPr fontId="4"/>
  </si>
  <si>
    <t>#MA.SRC_NO</t>
    <phoneticPr fontId="4"/>
  </si>
  <si>
    <t>#MS.INSP_TYP</t>
    <phoneticPr fontId="4"/>
  </si>
  <si>
    <t>#MA.BP_CD</t>
    <phoneticPr fontId="4"/>
  </si>
  <si>
    <t>#MA.ITM_CD</t>
    <phoneticPr fontId="4"/>
  </si>
  <si>
    <t>#MA.ITM_SUB1</t>
    <phoneticPr fontId="4"/>
  </si>
  <si>
    <t>#MA.ITM_SUB2</t>
  </si>
  <si>
    <t>#MA.ITM_SUB3</t>
  </si>
  <si>
    <t>#MA.LOC_CD</t>
    <phoneticPr fontId="4"/>
  </si>
  <si>
    <t>#MA.SITE_CD</t>
    <phoneticPr fontId="4"/>
  </si>
  <si>
    <t>#MA.DT</t>
    <phoneticPr fontId="4"/>
  </si>
  <si>
    <t>#MA.LMT_DT_FRM_TYP</t>
    <phoneticPr fontId="4"/>
  </si>
  <si>
    <t>#MA.VLD_PD</t>
    <phoneticPr fontId="4"/>
  </si>
  <si>
    <t>#MA.LMT_PD</t>
    <phoneticPr fontId="4"/>
  </si>
  <si>
    <t>#MA.DT</t>
    <phoneticPr fontId="4"/>
  </si>
  <si>
    <t>メーカＣＤ</t>
    <phoneticPr fontId="4"/>
  </si>
  <si>
    <t>#MA.LMT_DT_FRM_TYP</t>
    <phoneticPr fontId="4"/>
  </si>
  <si>
    <t>R</t>
  </si>
  <si>
    <t>lot_p</t>
    <phoneticPr fontId="4"/>
  </si>
  <si>
    <t>DBC:MS.MST_LOT</t>
    <phoneticPr fontId="4"/>
  </si>
  <si>
    <t>lot_p.itm_cd#</t>
    <phoneticPr fontId="4"/>
  </si>
  <si>
    <t>lot_p.itm_sub1#</t>
    <phoneticPr fontId="4"/>
  </si>
  <si>
    <t>lot_p.itm_sub2#</t>
    <phoneticPr fontId="4"/>
  </si>
  <si>
    <t>lot_p.itm_sub3#</t>
    <phoneticPr fontId="4"/>
  </si>
  <si>
    <t>lot_p.lot_no#</t>
    <phoneticPr fontId="4"/>
  </si>
  <si>
    <t>lot_p.sublot_no#</t>
    <phoneticPr fontId="4"/>
  </si>
  <si>
    <t>lot_p.ver_no#</t>
    <phoneticPr fontId="4"/>
  </si>
  <si>
    <t>lot_p.bp_lot_no#</t>
    <phoneticPr fontId="4"/>
  </si>
  <si>
    <t>lot_p.itm_sub1#</t>
    <phoneticPr fontId="4"/>
  </si>
  <si>
    <t>lot_p.itm_sub2#</t>
    <phoneticPr fontId="4"/>
  </si>
  <si>
    <t>lot_p.itm_sub3#</t>
    <phoneticPr fontId="4"/>
  </si>
  <si>
    <t>lot_p.lot_no#</t>
    <phoneticPr fontId="4"/>
  </si>
  <si>
    <t>lot_p.schd_flg#</t>
    <phoneticPr fontId="4"/>
  </si>
  <si>
    <t>lot_p.lot_sub_char1#</t>
    <phoneticPr fontId="4"/>
  </si>
  <si>
    <t>lot_p.lot_sub_char2#</t>
    <phoneticPr fontId="4"/>
  </si>
  <si>
    <t>lot_p.lot_sub_char3#</t>
    <phoneticPr fontId="4"/>
  </si>
  <si>
    <t>lot_p.lot_sub_char4#</t>
    <phoneticPr fontId="4"/>
  </si>
  <si>
    <t>lot_p.lot_sub_char5#</t>
    <phoneticPr fontId="4"/>
  </si>
  <si>
    <t>lot_p.lot_sub_num1#</t>
    <phoneticPr fontId="4"/>
  </si>
  <si>
    <t>lot_p.lot_sub_num2#</t>
    <phoneticPr fontId="4"/>
  </si>
  <si>
    <t>lot_p.lot_sub_num3#</t>
    <phoneticPr fontId="4"/>
  </si>
  <si>
    <t>lot_p.lot_sub_num4#</t>
    <phoneticPr fontId="4"/>
  </si>
  <si>
    <t>lot_p.lot_sub_num5#</t>
    <phoneticPr fontId="4"/>
  </si>
  <si>
    <t>lot_p.lot_sub_dt1#</t>
    <phoneticPr fontId="4"/>
  </si>
  <si>
    <t>lot_p.lot_sub_dt2#</t>
    <phoneticPr fontId="4"/>
  </si>
  <si>
    <t>lot_p.lot_sub_dt3#</t>
    <phoneticPr fontId="4"/>
  </si>
  <si>
    <t>lot_p.lot_sub_dt4#</t>
    <phoneticPr fontId="4"/>
  </si>
  <si>
    <t>lot_p.lot_sub_dt5#</t>
    <phoneticPr fontId="4"/>
  </si>
  <si>
    <t>lot_p.lot_sub_flg1#</t>
    <phoneticPr fontId="4"/>
  </si>
  <si>
    <t>lot_p.lot_sub_flg2#</t>
    <phoneticPr fontId="4"/>
  </si>
  <si>
    <t>lot_p.lot_sub_flg3#</t>
    <phoneticPr fontId="4"/>
  </si>
  <si>
    <t>lot_p.lot_sub_flg4#</t>
    <phoneticPr fontId="4"/>
  </si>
  <si>
    <t>lot_p.lot_sub_flg5#</t>
    <phoneticPr fontId="4"/>
  </si>
  <si>
    <t>#MA.INT</t>
    <phoneticPr fontId="4"/>
  </si>
  <si>
    <t>lot_p</t>
    <phoneticPr fontId="4"/>
  </si>
  <si>
    <t>lot_p.itm_sub1#</t>
    <phoneticPr fontId="4"/>
  </si>
  <si>
    <t>lot_p.itm_sub2#</t>
    <phoneticPr fontId="4"/>
  </si>
  <si>
    <t>lot_p.itm_sub3#</t>
    <phoneticPr fontId="4"/>
  </si>
  <si>
    <t>lot_p.lot_no#</t>
    <phoneticPr fontId="4"/>
  </si>
  <si>
    <t>lot_p.itm_cd#</t>
    <phoneticPr fontId="4"/>
  </si>
  <si>
    <t>lot_p.itm_sub1#</t>
    <phoneticPr fontId="4"/>
  </si>
  <si>
    <t>lot_p.itm_sub2#</t>
    <phoneticPr fontId="4"/>
  </si>
  <si>
    <t>lot_p.itm_sub3#</t>
    <phoneticPr fontId="4"/>
  </si>
  <si>
    <t>lot_p.lot_no#</t>
    <phoneticPr fontId="4"/>
  </si>
  <si>
    <t>lot_p.sublot_no#</t>
    <phoneticPr fontId="4"/>
  </si>
  <si>
    <t>#MA.LOT_MNG_TYP</t>
    <phoneticPr fontId="4"/>
  </si>
  <si>
    <t>#MA.SUBLOT_MNG_TYP</t>
    <phoneticPr fontId="4"/>
  </si>
  <si>
    <t>lot_p.itm_sub1#</t>
    <phoneticPr fontId="4"/>
  </si>
  <si>
    <t>lot_p.itm_sub2#</t>
    <phoneticPr fontId="4"/>
  </si>
  <si>
    <t>lot_p.itm_sub3#</t>
    <phoneticPr fontId="4"/>
  </si>
  <si>
    <t>lot_p.lot_no#</t>
    <phoneticPr fontId="4"/>
  </si>
  <si>
    <t>lot_p.itm_sub1#</t>
    <phoneticPr fontId="4"/>
  </si>
  <si>
    <t>lot_p.itm_sub2#</t>
    <phoneticPr fontId="4"/>
  </si>
  <si>
    <t>lot_p.itm_sub3#</t>
    <phoneticPr fontId="4"/>
  </si>
  <si>
    <t>lot_p.lot_no#</t>
    <phoneticPr fontId="4"/>
  </si>
  <si>
    <t>lot_p.sublot_no#</t>
    <phoneticPr fontId="4"/>
  </si>
  <si>
    <t>lot_p.lmt_dt#</t>
    <phoneticPr fontId="4"/>
  </si>
  <si>
    <t>lot_p.lmt_dt_frm_typ#</t>
    <phoneticPr fontId="4"/>
  </si>
  <si>
    <t>lot_p.lmt_dt_frm#</t>
    <phoneticPr fontId="4"/>
  </si>
  <si>
    <t>lot_p.act_cont_fctr#</t>
    <phoneticPr fontId="4"/>
  </si>
  <si>
    <t>lot_p.base_gr_dt#</t>
    <phoneticPr fontId="4"/>
  </si>
  <si>
    <t>lot_p.vld_dt#</t>
    <phoneticPr fontId="4"/>
  </si>
  <si>
    <t>lot_p.insp_aprv_sts_typ#</t>
    <phoneticPr fontId="4"/>
  </si>
  <si>
    <t>lot_p.itm_sub1#</t>
    <phoneticPr fontId="4"/>
  </si>
  <si>
    <t>lot_p.itm_sub2#</t>
    <phoneticPr fontId="4"/>
  </si>
  <si>
    <t>lot_p.itm_sub3#</t>
    <phoneticPr fontId="4"/>
  </si>
  <si>
    <t>lot_p.lot_no#</t>
    <phoneticPr fontId="4"/>
  </si>
  <si>
    <t>lot_p.sublot_no#</t>
    <phoneticPr fontId="4"/>
  </si>
  <si>
    <t>lot_p.stk_insp_typ#</t>
    <phoneticPr fontId="4"/>
  </si>
  <si>
    <t>lot_p.quality_typ#</t>
    <phoneticPr fontId="4"/>
  </si>
  <si>
    <t>lot_p.plnt_aprv_sts_typ#</t>
    <phoneticPr fontId="4"/>
  </si>
  <si>
    <t>lot_p.unreg_lmt_flg#</t>
    <phoneticPr fontId="4"/>
  </si>
  <si>
    <t>lot_p.itm_sub1#</t>
    <phoneticPr fontId="4"/>
  </si>
  <si>
    <t>lot_p.itm_sub2#</t>
    <phoneticPr fontId="4"/>
  </si>
  <si>
    <t>lot_p.itm_sub3#</t>
    <phoneticPr fontId="4"/>
  </si>
  <si>
    <t>lot_p.lot_no#</t>
    <phoneticPr fontId="4"/>
  </si>
  <si>
    <t>lot_p.sublot_no#</t>
    <phoneticPr fontId="4"/>
  </si>
  <si>
    <t>vld_dt</t>
    <phoneticPr fontId="4"/>
  </si>
  <si>
    <t>vld_dt</t>
    <phoneticPr fontId="4"/>
  </si>
  <si>
    <t>vld_dt_flg</t>
    <phoneticPr fontId="4"/>
  </si>
  <si>
    <t>lot_p.vld_dt#</t>
    <phoneticPr fontId="4"/>
  </si>
  <si>
    <t>lot_p.stk_insp_typ#</t>
    <phoneticPr fontId="4"/>
  </si>
  <si>
    <t>lot_p.quality_typ#</t>
    <phoneticPr fontId="4"/>
  </si>
  <si>
    <t>lot_p.mfg_aprv_sts_typ#</t>
    <phoneticPr fontId="4"/>
  </si>
  <si>
    <t>lot_p.insp_aprv_sts_typ#</t>
    <phoneticPr fontId="4"/>
  </si>
  <si>
    <t>lot_p.plnt_aprv_sts_typ#</t>
    <phoneticPr fontId="4"/>
  </si>
  <si>
    <t>lot_p.mrkt_judg_sts_typ#</t>
    <phoneticPr fontId="4"/>
  </si>
  <si>
    <t>lot_p.act_cont_fctr#</t>
    <phoneticPr fontId="4"/>
  </si>
  <si>
    <t>lot_p.lot_seq#</t>
    <phoneticPr fontId="4"/>
  </si>
  <si>
    <t>lot_p.first_gr_dt#</t>
    <phoneticPr fontId="4"/>
  </si>
  <si>
    <t>err_flg</t>
    <phoneticPr fontId="4"/>
  </si>
  <si>
    <t>#MA.FLG</t>
    <phoneticPr fontId="4"/>
  </si>
  <si>
    <t>from_site_cd</t>
    <phoneticPr fontId="4"/>
  </si>
  <si>
    <t>lot_p.no_del_flg#</t>
    <phoneticPr fontId="4"/>
  </si>
  <si>
    <t>ロット更新（出来高・入荷）</t>
    <phoneticPr fontId="4"/>
  </si>
  <si>
    <t>Lot_Upd06_DtlPar</t>
    <phoneticPr fontId="4"/>
  </si>
  <si>
    <t>Lot_Upd06_DtlChd</t>
    <phoneticPr fontId="4"/>
  </si>
  <si>
    <t>lmt_up_flg</t>
    <phoneticPr fontId="4"/>
  </si>
  <si>
    <t>stk_sublot_no</t>
    <phoneticPr fontId="4"/>
  </si>
  <si>
    <t>#MA.SUBLOT_NO</t>
    <phoneticPr fontId="4"/>
  </si>
  <si>
    <t>mfg_loc_cd</t>
    <phoneticPr fontId="4"/>
  </si>
  <si>
    <t>sppl_cd</t>
    <phoneticPr fontId="4"/>
  </si>
  <si>
    <t>maker_cd</t>
    <phoneticPr fontId="4"/>
  </si>
  <si>
    <t>arr_act_no</t>
    <phoneticPr fontId="4"/>
  </si>
  <si>
    <t>#MA.BP_CD</t>
    <phoneticPr fontId="4"/>
  </si>
  <si>
    <t>#MA.ARR_ACT_NO</t>
    <phoneticPr fontId="4"/>
  </si>
  <si>
    <t>peg_no</t>
    <phoneticPr fontId="4"/>
  </si>
  <si>
    <t>#MA.INT</t>
    <phoneticPr fontId="4"/>
  </si>
  <si>
    <t>insp_typ</t>
    <phoneticPr fontId="4"/>
  </si>
  <si>
    <t>arr_pr_no</t>
    <phoneticPr fontId="4"/>
  </si>
  <si>
    <t>#MA.ARR_PR_NO</t>
    <phoneticPr fontId="4"/>
  </si>
  <si>
    <t>lot_p.sublot_no#</t>
    <phoneticPr fontId="4"/>
  </si>
  <si>
    <t>sublot_no_org</t>
    <phoneticPr fontId="4"/>
  </si>
  <si>
    <t>Pj.ID :</t>
    <phoneticPr fontId="2"/>
  </si>
  <si>
    <t>SuperClassPj.ID :</t>
    <phoneticPr fontId="2"/>
  </si>
  <si>
    <t xml:space="preserve">Ope.Name : </t>
    <phoneticPr fontId="2"/>
  </si>
  <si>
    <t>例外</t>
    <phoneticPr fontId="4"/>
  </si>
  <si>
    <t>枝番１</t>
    <phoneticPr fontId="4"/>
  </si>
  <si>
    <t>枝番３</t>
    <phoneticPr fontId="4"/>
  </si>
  <si>
    <t>ロットＮＯ</t>
    <phoneticPr fontId="4"/>
  </si>
  <si>
    <t>エラーＦＬＧ</t>
    <phoneticPr fontId="4"/>
  </si>
  <si>
    <t>ALL</t>
    <phoneticPr fontId="2"/>
  </si>
  <si>
    <t>ImplOpe.ID:</t>
    <phoneticPr fontId="2"/>
  </si>
  <si>
    <t>super/share</t>
    <phoneticPr fontId="2"/>
  </si>
  <si>
    <t>exception_flg</t>
    <phoneticPr fontId="4"/>
  </si>
  <si>
    <t>#MA.FLG</t>
    <phoneticPr fontId="4"/>
  </si>
  <si>
    <t>RI</t>
    <phoneticPr fontId="4"/>
  </si>
  <si>
    <t>RI</t>
    <phoneticPr fontId="4"/>
  </si>
  <si>
    <t>紐付ＮＯ</t>
    <phoneticPr fontId="4"/>
  </si>
  <si>
    <t>E</t>
    <phoneticPr fontId="4"/>
  </si>
  <si>
    <t>枝番２</t>
    <phoneticPr fontId="4"/>
  </si>
  <si>
    <t>E</t>
    <phoneticPr fontId="2"/>
  </si>
  <si>
    <t>ロット管理区分</t>
    <phoneticPr fontId="4"/>
  </si>
  <si>
    <t>#MA.ITM_SUB2</t>
    <phoneticPr fontId="4"/>
  </si>
  <si>
    <t>#MA.ITM_SUB3</t>
    <phoneticPr fontId="4"/>
  </si>
  <si>
    <t>lot_mng_typ</t>
    <phoneticPr fontId="4"/>
  </si>
  <si>
    <t>sublot_mng_typ</t>
    <phoneticPr fontId="4"/>
  </si>
  <si>
    <t>ACType :</t>
    <phoneticPr fontId="2"/>
  </si>
  <si>
    <t>*</t>
    <phoneticPr fontId="2"/>
  </si>
  <si>
    <t>ID</t>
    <phoneticPr fontId="2"/>
  </si>
  <si>
    <t>ロットシーケンス</t>
    <phoneticPr fontId="4"/>
  </si>
  <si>
    <t>在庫検査区分</t>
    <phoneticPr fontId="4"/>
  </si>
  <si>
    <t>良品区分</t>
    <phoneticPr fontId="4"/>
  </si>
  <si>
    <t>工場出荷承認状況区分</t>
    <phoneticPr fontId="4"/>
  </si>
  <si>
    <t>実際有効成分係数</t>
    <phoneticPr fontId="4"/>
  </si>
  <si>
    <t>エラー</t>
    <phoneticPr fontId="4"/>
  </si>
  <si>
    <t>lot_p.itm_cd#</t>
    <phoneticPr fontId="4"/>
  </si>
  <si>
    <t>RI</t>
    <phoneticPr fontId="4"/>
  </si>
  <si>
    <t>RI</t>
    <phoneticPr fontId="4"/>
  </si>
  <si>
    <t>RI</t>
    <phoneticPr fontId="4"/>
  </si>
  <si>
    <t>lot_p.sublot_no#</t>
    <phoneticPr fontId="4"/>
  </si>
  <si>
    <t>作成元ＮＯ１</t>
    <phoneticPr fontId="4"/>
  </si>
  <si>
    <t>作成元ＮＯ２</t>
    <phoneticPr fontId="4"/>
  </si>
  <si>
    <t>有効期間</t>
    <phoneticPr fontId="4"/>
  </si>
  <si>
    <t>使用期間</t>
    <phoneticPr fontId="4"/>
  </si>
  <si>
    <t>現使用期限</t>
    <phoneticPr fontId="4"/>
  </si>
  <si>
    <t>有効期限</t>
    <phoneticPr fontId="4"/>
  </si>
  <si>
    <t>使用期限</t>
    <phoneticPr fontId="4"/>
  </si>
  <si>
    <t>base_dt</t>
    <phoneticPr fontId="4"/>
  </si>
  <si>
    <t>Ope.ID :</t>
    <phoneticPr fontId="2"/>
  </si>
  <si>
    <t>検査種類区分</t>
    <phoneticPr fontId="4"/>
  </si>
  <si>
    <t>作成元ＮＯ４</t>
    <phoneticPr fontId="4"/>
  </si>
  <si>
    <t>品目ＣＤ</t>
    <phoneticPr fontId="4"/>
  </si>
  <si>
    <t>insp_typ</t>
    <phoneticPr fontId="4"/>
  </si>
  <si>
    <t>src_no1</t>
    <phoneticPr fontId="4"/>
  </si>
  <si>
    <r>
      <t>src_no2</t>
    </r>
    <r>
      <rPr>
        <sz val="11"/>
        <color theme="1"/>
        <rFont val="ＭＳ Ｐゴシック"/>
        <family val="2"/>
        <charset val="128"/>
        <scheme val="minor"/>
      </rPr>
      <t/>
    </r>
  </si>
  <si>
    <r>
      <t>src_no3</t>
    </r>
    <r>
      <rPr>
        <sz val="11"/>
        <color theme="1"/>
        <rFont val="ＭＳ Ｐゴシック"/>
        <family val="2"/>
        <charset val="128"/>
        <scheme val="minor"/>
      </rPr>
      <t/>
    </r>
  </si>
  <si>
    <r>
      <t>src_no4</t>
    </r>
    <r>
      <rPr>
        <sz val="11"/>
        <color theme="1"/>
        <rFont val="ＭＳ Ｐゴシック"/>
        <family val="2"/>
        <charset val="128"/>
        <scheme val="minor"/>
      </rPr>
      <t/>
    </r>
  </si>
  <si>
    <t>sppl_cd</t>
    <phoneticPr fontId="4"/>
  </si>
  <si>
    <t>maker_cd</t>
    <phoneticPr fontId="4"/>
  </si>
  <si>
    <t>mfg_loc_cd</t>
    <phoneticPr fontId="4"/>
  </si>
  <si>
    <t>from_site_cd</t>
    <phoneticPr fontId="4"/>
  </si>
  <si>
    <t>loc_cd</t>
    <phoneticPr fontId="4"/>
  </si>
  <si>
    <t>master_dt</t>
    <phoneticPr fontId="4"/>
  </si>
  <si>
    <t>lmt_dt_frm_typ</t>
    <phoneticPr fontId="4"/>
  </si>
  <si>
    <t>vld_pd</t>
    <phoneticPr fontId="4"/>
  </si>
  <si>
    <t>lmt_pd</t>
    <phoneticPr fontId="4"/>
  </si>
  <si>
    <t>calc_pd_typ</t>
    <phoneticPr fontId="4"/>
  </si>
  <si>
    <t>lmt_dt</t>
    <phoneticPr fontId="4"/>
  </si>
  <si>
    <t>loc_cd</t>
    <phoneticPr fontId="4"/>
  </si>
  <si>
    <t>#MA.LOC_CD</t>
    <phoneticPr fontId="4"/>
  </si>
  <si>
    <t>lot_p.lot_rmrks#</t>
    <phoneticPr fontId="4"/>
  </si>
  <si>
    <t>mfg_aprv_sts_typ</t>
    <phoneticPr fontId="4"/>
  </si>
  <si>
    <t>Ope.Method :</t>
    <phoneticPr fontId="2"/>
  </si>
  <si>
    <t>Gene.Type :</t>
    <phoneticPr fontId="2"/>
  </si>
  <si>
    <t>000000</t>
    <phoneticPr fontId="2"/>
  </si>
  <si>
    <t>lot_p.itm_cd#</t>
    <phoneticPr fontId="4"/>
  </si>
  <si>
    <t>in_prmt_insp_flg</t>
    <phoneticPr fontId="4"/>
  </si>
  <si>
    <t>insp_bind_typ</t>
    <phoneticPr fontId="4"/>
  </si>
  <si>
    <t>peg_no</t>
    <phoneticPr fontId="4"/>
  </si>
  <si>
    <t>#MA.INT</t>
    <phoneticPr fontId="4"/>
  </si>
  <si>
    <t>#MA.ITM_SUB3</t>
    <phoneticPr fontId="4"/>
  </si>
  <si>
    <t>sublot_mng_typ</t>
    <phoneticPr fontId="4"/>
  </si>
  <si>
    <t>vld_dt</t>
    <phoneticPr fontId="4"/>
  </si>
  <si>
    <t>#MA.DT</t>
    <phoneticPr fontId="4"/>
  </si>
  <si>
    <t>lmt_dt_frm</t>
    <phoneticPr fontId="4"/>
  </si>
  <si>
    <t>chd_peg_no</t>
    <phoneticPr fontId="4"/>
  </si>
  <si>
    <t>site_cd</t>
    <phoneticPr fontId="4"/>
  </si>
  <si>
    <t>#MA.SITE_CD</t>
    <phoneticPr fontId="4"/>
  </si>
  <si>
    <t>RI</t>
    <phoneticPr fontId="4"/>
  </si>
  <si>
    <t>#MA.DT</t>
    <phoneticPr fontId="4"/>
  </si>
  <si>
    <t>upd_flg</t>
    <phoneticPr fontId="4"/>
  </si>
  <si>
    <t>#MA.DATA_CRUD_TYP</t>
    <phoneticPr fontId="4"/>
  </si>
  <si>
    <t>RI</t>
    <phoneticPr fontId="4"/>
  </si>
  <si>
    <t>RI</t>
    <phoneticPr fontId="4"/>
  </si>
  <si>
    <t>mfg_loc_cd</t>
    <phoneticPr fontId="4"/>
  </si>
  <si>
    <t>sppl_cd</t>
    <phoneticPr fontId="4"/>
  </si>
  <si>
    <t>#MA.BP_CD</t>
    <phoneticPr fontId="4"/>
  </si>
  <si>
    <t>maker_cd</t>
    <phoneticPr fontId="4"/>
  </si>
  <si>
    <t>#MA.BP_CD</t>
    <phoneticPr fontId="4"/>
  </si>
  <si>
    <t>#MA.SITE_CD</t>
    <phoneticPr fontId="4"/>
  </si>
  <si>
    <t>stk_sublot_no</t>
    <phoneticPr fontId="4"/>
  </si>
  <si>
    <t>#MA.SUBLOT_NO</t>
    <phoneticPr fontId="4"/>
  </si>
  <si>
    <t>peg_no</t>
    <phoneticPr fontId="4"/>
  </si>
  <si>
    <t xml:space="preserve">Ope.Body : </t>
    <phoneticPr fontId="2"/>
  </si>
  <si>
    <t>削除不可ＦＬＧ</t>
    <phoneticPr fontId="4"/>
  </si>
  <si>
    <t>RI</t>
    <phoneticPr fontId="4"/>
  </si>
  <si>
    <t>lot_p.sublot_no#</t>
    <phoneticPr fontId="4"/>
  </si>
  <si>
    <t>peg_no</t>
    <phoneticPr fontId="4"/>
  </si>
  <si>
    <t>ロット情報サービス</t>
    <phoneticPr fontId="4"/>
  </si>
  <si>
    <t>L</t>
    <phoneticPr fontId="2"/>
  </si>
  <si>
    <t>サブロットＮＯ</t>
    <phoneticPr fontId="4"/>
  </si>
  <si>
    <t>サブロット管理区分</t>
    <phoneticPr fontId="4"/>
  </si>
  <si>
    <t>版ＮＯ</t>
    <phoneticPr fontId="4"/>
  </si>
  <si>
    <t>最古入庫日</t>
    <phoneticPr fontId="4"/>
  </si>
  <si>
    <t>製造承認状況区分</t>
    <phoneticPr fontId="4"/>
  </si>
  <si>
    <t>検査承認状況区分</t>
    <phoneticPr fontId="4"/>
  </si>
  <si>
    <t>市場出荷判定状況区分</t>
    <phoneticPr fontId="4"/>
  </si>
  <si>
    <t>起算日</t>
    <phoneticPr fontId="4"/>
  </si>
  <si>
    <t>作成元ＮＯ３</t>
    <phoneticPr fontId="4"/>
  </si>
  <si>
    <t>期限起算日区分</t>
    <phoneticPr fontId="4"/>
  </si>
  <si>
    <t>期間計算区分</t>
    <phoneticPr fontId="4"/>
  </si>
  <si>
    <t>基準日</t>
    <phoneticPr fontId="4"/>
  </si>
  <si>
    <t>検査ＮＯ</t>
    <phoneticPr fontId="4"/>
  </si>
  <si>
    <t>発注先ＣＤ</t>
    <phoneticPr fontId="4"/>
  </si>
  <si>
    <t>製造場所ＣＤ</t>
    <phoneticPr fontId="4"/>
  </si>
  <si>
    <t>出荷元工場・物流倉庫ＣＤ</t>
    <phoneticPr fontId="4"/>
  </si>
  <si>
    <t>場所ＣＤ</t>
    <phoneticPr fontId="4"/>
  </si>
  <si>
    <t>マスタ適用日</t>
    <phoneticPr fontId="4"/>
  </si>
  <si>
    <t>入庫日</t>
    <phoneticPr fontId="4"/>
  </si>
  <si>
    <t>入荷実績ＮＯ</t>
    <phoneticPr fontId="4"/>
  </si>
  <si>
    <t>入荷進捗ＮＯ</t>
    <phoneticPr fontId="4"/>
  </si>
  <si>
    <t>予定ＦＬＧ</t>
    <phoneticPr fontId="4"/>
  </si>
  <si>
    <t>ロット予備（文字列）１</t>
    <phoneticPr fontId="4"/>
  </si>
  <si>
    <t>ロット予備（文字列）２</t>
    <phoneticPr fontId="4"/>
  </si>
  <si>
    <t>ロット予備（文字列）３</t>
    <phoneticPr fontId="4"/>
  </si>
  <si>
    <t>ロット予備（文字列）４</t>
    <phoneticPr fontId="4"/>
  </si>
  <si>
    <t>ロット予備（文字列）５</t>
    <phoneticPr fontId="4"/>
  </si>
  <si>
    <t>ロット予備（数値）１</t>
    <phoneticPr fontId="4"/>
  </si>
  <si>
    <t>ロット予備（数値）２</t>
    <phoneticPr fontId="4"/>
  </si>
  <si>
    <t>ロット予備（数値）３</t>
    <phoneticPr fontId="4"/>
  </si>
  <si>
    <t>ロット予備（数値）４</t>
    <phoneticPr fontId="4"/>
  </si>
  <si>
    <t>ロット予備（数値）５</t>
    <phoneticPr fontId="4"/>
  </si>
  <si>
    <t>ロット予備（日付）１</t>
    <phoneticPr fontId="4"/>
  </si>
  <si>
    <t>ロット予備（日付）２</t>
    <phoneticPr fontId="4"/>
  </si>
  <si>
    <t>ロット予備（日付）３</t>
    <phoneticPr fontId="4"/>
  </si>
  <si>
    <t>ロット予備（日付）４</t>
    <phoneticPr fontId="4"/>
  </si>
  <si>
    <t>ロット予備（日付）５</t>
    <phoneticPr fontId="4"/>
  </si>
  <si>
    <t>ロット予備（ＦＬＧ）１</t>
    <phoneticPr fontId="4"/>
  </si>
  <si>
    <t>ロット予備（ＦＬＧ）２</t>
    <phoneticPr fontId="4"/>
  </si>
  <si>
    <t>ロット予備（ＦＬＧ）３</t>
    <phoneticPr fontId="4"/>
  </si>
  <si>
    <t>ロット予備（ＦＬＧ）４</t>
    <phoneticPr fontId="4"/>
  </si>
  <si>
    <t>ロット予備（ＦＬＧ）５</t>
    <phoneticPr fontId="4"/>
  </si>
  <si>
    <t>紐付けＮＯ</t>
    <phoneticPr fontId="4"/>
  </si>
  <si>
    <t>サブロットＮＯ(呼出元)</t>
    <phoneticPr fontId="4"/>
  </si>
  <si>
    <t>ロット備考</t>
    <phoneticPr fontId="4"/>
  </si>
  <si>
    <t>品目製造指図ＮＯ</t>
    <phoneticPr fontId="4"/>
  </si>
  <si>
    <t>有効期限更新ＦＬＧ</t>
    <phoneticPr fontId="4"/>
  </si>
  <si>
    <t>基準入庫日時</t>
    <phoneticPr fontId="4"/>
  </si>
  <si>
    <t>期限再検査ＦＬＧ</t>
    <phoneticPr fontId="4"/>
  </si>
  <si>
    <t>工場出荷承認区分</t>
    <phoneticPr fontId="4"/>
  </si>
  <si>
    <t>ロット検査予定ＦＬＧ</t>
    <phoneticPr fontId="4"/>
  </si>
  <si>
    <t>検査指図ＦＬＧ</t>
    <phoneticPr fontId="4"/>
  </si>
  <si>
    <t>検査指図承認ＦＬＧ</t>
    <phoneticPr fontId="4"/>
  </si>
  <si>
    <t>検査実績ＦＬＧ</t>
    <phoneticPr fontId="4"/>
  </si>
  <si>
    <t>検査判定ＦＬＧ</t>
    <phoneticPr fontId="4"/>
  </si>
  <si>
    <t>工場出荷承認ＦＬＧ</t>
    <phoneticPr fontId="4"/>
  </si>
  <si>
    <t>市場出荷判定ＦＬＧ</t>
    <phoneticPr fontId="4"/>
  </si>
  <si>
    <t>検査中使用許可ＦＬＧ</t>
    <phoneticPr fontId="4"/>
  </si>
  <si>
    <t>検査実施単位区分</t>
    <phoneticPr fontId="4"/>
  </si>
  <si>
    <t>引継対象品目ＣＤ</t>
    <phoneticPr fontId="4"/>
  </si>
  <si>
    <t>引継対象枝番１</t>
    <phoneticPr fontId="4"/>
  </si>
  <si>
    <t>引継対象枝番２</t>
    <phoneticPr fontId="4"/>
  </si>
  <si>
    <t>引継対象枝番３</t>
    <phoneticPr fontId="4"/>
  </si>
  <si>
    <t>引継対象ロットＮＯ</t>
    <phoneticPr fontId="4"/>
  </si>
  <si>
    <t>引継対象サブロットＮＯ</t>
    <phoneticPr fontId="4"/>
  </si>
  <si>
    <t>引継対象子品目紐付けＮＯ</t>
    <phoneticPr fontId="4"/>
  </si>
  <si>
    <t>格納場所工場・物流倉庫ＣＤ</t>
    <phoneticPr fontId="4"/>
  </si>
  <si>
    <t>期限未設定ＦＬＧ</t>
    <phoneticPr fontId="4"/>
  </si>
  <si>
    <t>更新ＦＬＧ</t>
    <phoneticPr fontId="4"/>
  </si>
  <si>
    <t>データ更新区分</t>
    <phoneticPr fontId="4"/>
  </si>
  <si>
    <t>製造実績ＮＯ</t>
    <phoneticPr fontId="4"/>
  </si>
  <si>
    <t>工程指図ＮＯ</t>
    <phoneticPr fontId="4"/>
  </si>
  <si>
    <t>業者ロットＮＯ</t>
    <phoneticPr fontId="4"/>
  </si>
  <si>
    <t>取引先ＣＤ</t>
    <phoneticPr fontId="4"/>
  </si>
  <si>
    <t>工場・物流倉庫ＣＤ</t>
    <phoneticPr fontId="4"/>
  </si>
  <si>
    <t>在庫サブロットＮＯ</t>
    <phoneticPr fontId="4"/>
  </si>
  <si>
    <t>MS.MSUDL5010</t>
    <phoneticPr fontId="4"/>
  </si>
  <si>
    <t>"mcframe.serverMAUD.MAUDL5010.MAUDL_Operation"</t>
  </si>
  <si>
    <t>ロットの削除前にチェックを行う。</t>
    <phoneticPr fontId="4"/>
  </si>
  <si>
    <t>ロットの重複チェックを行う。</t>
    <phoneticPr fontId="4"/>
  </si>
  <si>
    <t>ロットの存在チェックを行う。</t>
    <phoneticPr fontId="4"/>
  </si>
  <si>
    <t>有効期限・使用期限を取得する。</t>
    <phoneticPr fontId="4"/>
  </si>
  <si>
    <t>検査指図単位で、有効期限・使用期限を取得する。</t>
    <phoneticPr fontId="4"/>
  </si>
  <si>
    <t>ロットの備考・予備項目を更新する。</t>
    <phoneticPr fontId="4"/>
  </si>
  <si>
    <t>ロットの製造承認状況を更新する。</t>
    <phoneticPr fontId="4"/>
  </si>
  <si>
    <t>ロットの有効期限・使用期限・実際有効成分係数を更新する。</t>
    <phoneticPr fontId="4"/>
  </si>
  <si>
    <t>ロットの在庫検査区分・良品区分・工場出荷承認区分を更新する。</t>
    <phoneticPr fontId="4"/>
  </si>
  <si>
    <t>ロットの有効期限・使用期限を更新する（工程着手実績日・終了実績日起算）。</t>
    <phoneticPr fontId="4"/>
  </si>
  <si>
    <t>出来高、入荷実績後にロットを更新する。</t>
    <phoneticPr fontId="4"/>
  </si>
  <si>
    <t>ロットを削除する。</t>
    <phoneticPr fontId="4"/>
  </si>
  <si>
    <t>ロットの追加・更新を行う。</t>
    <phoneticPr fontId="4"/>
  </si>
  <si>
    <t>ロットの有効期限・使用期限を更新する（子品目期限引継ぎ・子品目起算日引継ぎ）。</t>
    <phoneticPr fontId="4"/>
  </si>
  <si>
    <t>lot_not_change_flg</t>
  </si>
  <si>
    <t>E</t>
  </si>
  <si>
    <t>"mcframe.serverMAUD.MAUDL5010.MAUDL_Operation"</t>
    <phoneticPr fontId="4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</si>
  <si>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</si>
  <si>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</si>
  <si>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</si>
  <si>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</si>
  <si>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</si>
  <si>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4"/>
  </si>
  <si>
    <t>型
Type</t>
    <phoneticPr fontId="4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</si>
  <si>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</si>
  <si>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</si>
  <si>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</si>
  <si>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</si>
  <si>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</si>
  <si>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</si>
  <si>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</si>
  <si>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Pegging No.</t>
  </si>
  <si>
    <t>Exception</t>
  </si>
  <si>
    <t>Item cd.</t>
  </si>
  <si>
    <t>Branch No. 1</t>
  </si>
  <si>
    <t>Branch No. 2</t>
  </si>
  <si>
    <t>Branch No. 3</t>
  </si>
  <si>
    <t>Lot No.</t>
  </si>
  <si>
    <t>Sublot No.</t>
  </si>
  <si>
    <t>Error flg.</t>
  </si>
  <si>
    <t>Lot management type</t>
  </si>
  <si>
    <t>Sublot management type</t>
  </si>
  <si>
    <t>Version No.</t>
  </si>
  <si>
    <t>Oldest GR date</t>
  </si>
  <si>
    <t>Expiration date</t>
  </si>
  <si>
    <t>Lot sequence</t>
  </si>
  <si>
    <t>Inventory inspection type</t>
  </si>
  <si>
    <t>Conforming type</t>
  </si>
  <si>
    <t>Mfg. approval status type</t>
  </si>
  <si>
    <t>Inspection approval status type</t>
  </si>
  <si>
    <t>Factory release approval status type</t>
  </si>
  <si>
    <t>Market release decision status type</t>
  </si>
  <si>
    <t>Actual active ingredient coefficient</t>
  </si>
  <si>
    <t>Error</t>
  </si>
  <si>
    <t>Base date</t>
  </si>
  <si>
    <t>Inspection classification type</t>
  </si>
  <si>
    <t>Source No. 1</t>
  </si>
  <si>
    <t>Source No. 2</t>
  </si>
  <si>
    <t>Source No. 3</t>
  </si>
  <si>
    <t>Source No. 4</t>
  </si>
  <si>
    <t>Expiration base date type</t>
  </si>
  <si>
    <t>Valid period</t>
  </si>
  <si>
    <t>Period until expiration</t>
  </si>
  <si>
    <t>Period calculation type</t>
  </si>
  <si>
    <t>Current usage expiration date</t>
  </si>
  <si>
    <t>Usage expiration date</t>
  </si>
  <si>
    <t>Inspection No.</t>
  </si>
  <si>
    <t>Supplier cd.</t>
  </si>
  <si>
    <t>Maker cd.</t>
  </si>
  <si>
    <t>Mfg. location cd.</t>
  </si>
  <si>
    <t>Shipping point factory/distribution warehouse cd.</t>
  </si>
  <si>
    <t>Location cd.</t>
  </si>
  <si>
    <t>Master application date</t>
  </si>
  <si>
    <t>GR date</t>
  </si>
  <si>
    <t>Receipt result No.</t>
  </si>
  <si>
    <t>Receipt progress No.</t>
  </si>
  <si>
    <t>Schedule flg.</t>
  </si>
  <si>
    <t>Lot spare (String) 1</t>
  </si>
  <si>
    <t>Lot spare (String) 2</t>
  </si>
  <si>
    <t>Lot spare (String) 3</t>
  </si>
  <si>
    <t>Lot spare (String) 4</t>
  </si>
  <si>
    <t>Lot spare (String) 5</t>
  </si>
  <si>
    <t>Lot spare (Numerical value) 1</t>
  </si>
  <si>
    <t>Lot spare (Numerical value) 2</t>
  </si>
  <si>
    <t>Lot spare (Numerical value) 3</t>
  </si>
  <si>
    <t>Lot spare (Numerical value) 4</t>
  </si>
  <si>
    <t>Lot spare (Numerical value) 5</t>
  </si>
  <si>
    <t>Lot spare (Date) 1</t>
  </si>
  <si>
    <t>Lot spare (Date) 2</t>
  </si>
  <si>
    <t>Lot spare (Date) 3</t>
  </si>
  <si>
    <t>Lot spare (Date) 4</t>
  </si>
  <si>
    <t>Lot spare (Date) 5</t>
  </si>
  <si>
    <t>Lot spare (flg.) 1</t>
  </si>
  <si>
    <t>Lot spare (flg.) 2</t>
  </si>
  <si>
    <t>Lot spare (flg.) 3</t>
  </si>
  <si>
    <t>Lot spare (flg.) 4</t>
  </si>
  <si>
    <t>Lot spare (flg.) 5</t>
  </si>
  <si>
    <t>Sublot No. (Caller)</t>
  </si>
  <si>
    <t>Lot remarks</t>
  </si>
  <si>
    <t>Item mfg. order No.</t>
  </si>
  <si>
    <t>Expiration date update flg.</t>
  </si>
  <si>
    <t>Base GR date and time</t>
  </si>
  <si>
    <t>Re-inspection for expiration flg.</t>
  </si>
  <si>
    <t>Factory release approval type</t>
  </si>
  <si>
    <t>Lot inspection schedule flg.</t>
  </si>
  <si>
    <t>Inspection order flg.</t>
  </si>
  <si>
    <t>Inspection order approval flg.</t>
  </si>
  <si>
    <t>Inspection result flg.</t>
  </si>
  <si>
    <t>Inspection decision flg.</t>
  </si>
  <si>
    <t>Factory release approval flg.</t>
  </si>
  <si>
    <t>Market release decision flg.</t>
  </si>
  <si>
    <t>Allow inspecting use flg.</t>
  </si>
  <si>
    <t>Inspection implementation unit type</t>
  </si>
  <si>
    <t>Copy-from item cd.</t>
  </si>
  <si>
    <t>Copy-from branch No. 1</t>
  </si>
  <si>
    <t>Copy-from branch No. 2</t>
  </si>
  <si>
    <t>Copy-from branch No. 3</t>
  </si>
  <si>
    <t>Copy-from lot No.</t>
  </si>
  <si>
    <t>Copy-from sublot No.</t>
  </si>
  <si>
    <t>Copy-from child item pegging No.</t>
  </si>
  <si>
    <t>Storage location factory/distribution warehouse cd.</t>
  </si>
  <si>
    <t>Without expiration flg.</t>
  </si>
  <si>
    <t>Update flg.</t>
  </si>
  <si>
    <t>Data update type</t>
  </si>
  <si>
    <t>Mfg. result No.</t>
  </si>
  <si>
    <t>Operation order No.</t>
  </si>
  <si>
    <t>Vendor lot No.</t>
  </si>
  <si>
    <t>BP cd.</t>
  </si>
  <si>
    <t>Factory/Distribution warehouse cd.</t>
  </si>
  <si>
    <t>Inventory sublot No.</t>
  </si>
  <si>
    <t>Undeletable flg.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</si>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</sst>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;\-#,##0;&quot;-&quot;"/>
    <numFmt numFmtId="177" formatCode="0.0_ "/>
    <numFmt numFmtId="178" formatCode="0.00_)"/>
    <numFmt numFmtId="179" formatCode="&quot;$&quot;#,##0_);[Red]\(&quot;$&quot;#,##0\)"/>
  </numFmts>
  <fonts count="50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0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0"/>
      <name val="MS Sans Serif"/>
      <family val="2"/>
    </font>
    <font>
      <sz val="14"/>
      <name val="ＭＳ 明朝"/>
      <family val="1"/>
      <charset val="128"/>
    </font>
    <font>
      <sz val="11"/>
      <name val="ＭＳ 明朝"/>
      <family val="1"/>
      <charset val="128"/>
    </font>
    <font>
      <sz val="10"/>
      <name val="Helv"/>
      <family val="2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8"/>
      <name val="Arial"/>
      <family val="2"/>
    </font>
    <font>
      <b/>
      <i/>
      <sz val="16"/>
      <name val="Helv"/>
      <family val="2"/>
    </font>
    <font>
      <sz val="10"/>
      <name val="MS Sans Serif"/>
      <family val="2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0"/>
      <color theme="1"/>
      <name val="Meiryo UI"/>
      <family val="3"/>
      <charset val="128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11"/>
      <name val="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26"/>
        <bgColor indexed="64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1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indexed="41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01">
    <xf numFmtId="0" fontId="0" fillId="0" borderId="0">
      <alignment vertical="top" wrapText="1"/>
    </xf>
    <xf numFmtId="176" fontId="5" fillId="0" borderId="0" applyFill="0" applyBorder="0" applyAlignment="0"/>
    <xf numFmtId="0" fontId="6" fillId="0" borderId="1" applyNumberFormat="0" applyAlignment="0" applyProtection="0">
      <alignment horizontal="left" vertical="center"/>
    </xf>
    <xf numFmtId="0" fontId="6" fillId="0" borderId="2">
      <alignment horizontal="left" vertical="center"/>
    </xf>
    <xf numFmtId="0" fontId="7" fillId="0" borderId="0"/>
    <xf numFmtId="0" fontId="8" fillId="0" borderId="0">
      <alignment wrapText="1"/>
    </xf>
    <xf numFmtId="0" fontId="9" fillId="0" borderId="0"/>
    <xf numFmtId="0" fontId="10" fillId="0" borderId="0"/>
    <xf numFmtId="0" fontId="11" fillId="0" borderId="0"/>
    <xf numFmtId="0" fontId="3" fillId="0" borderId="0">
      <alignment vertical="top"/>
    </xf>
    <xf numFmtId="0" fontId="18" fillId="0" borderId="0"/>
    <xf numFmtId="0" fontId="18" fillId="0" borderId="0"/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38" fontId="19" fillId="0" borderId="0" applyFont="0" applyFill="0" applyBorder="0" applyAlignment="0" applyProtection="0"/>
    <xf numFmtId="38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38" fontId="28" fillId="4" borderId="0" applyNumberFormat="0" applyBorder="0" applyAlignment="0" applyProtection="0"/>
    <xf numFmtId="10" fontId="28" fillId="17" borderId="5" applyNumberFormat="0" applyBorder="0" applyAlignment="0" applyProtection="0"/>
    <xf numFmtId="178" fontId="29" fillId="0" borderId="0"/>
    <xf numFmtId="10" fontId="7" fillId="0" borderId="0" applyFont="0" applyFill="0" applyBorder="0" applyAlignment="0" applyProtection="0"/>
    <xf numFmtId="0" fontId="30" fillId="0" borderId="0" applyNumberFormat="0" applyFont="0" applyFill="0" applyBorder="0" applyAlignment="0" applyProtection="0">
      <alignment horizontal="left"/>
    </xf>
    <xf numFmtId="0" fontId="16" fillId="0" borderId="12">
      <alignment horizont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1" fillId="21" borderId="33" applyNumberFormat="0" applyAlignment="0" applyProtection="0">
      <alignment vertical="center"/>
    </xf>
    <xf numFmtId="0" fontId="21" fillId="21" borderId="33" applyNumberFormat="0" applyAlignment="0" applyProtection="0">
      <alignment vertical="center"/>
    </xf>
    <xf numFmtId="0" fontId="21" fillId="21" borderId="33" applyNumberFormat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11" fillId="9" borderId="34" applyNumberFormat="0" applyFont="0" applyAlignment="0" applyProtection="0">
      <alignment vertical="center"/>
    </xf>
    <xf numFmtId="0" fontId="11" fillId="9" borderId="34" applyNumberFormat="0" applyFont="0" applyAlignment="0" applyProtection="0">
      <alignment vertical="center"/>
    </xf>
    <xf numFmtId="0" fontId="11" fillId="9" borderId="34" applyNumberFormat="0" applyFont="0" applyAlignment="0" applyProtection="0">
      <alignment vertical="center"/>
    </xf>
    <xf numFmtId="0" fontId="23" fillId="0" borderId="35" applyNumberFormat="0" applyFill="0" applyAlignment="0" applyProtection="0">
      <alignment vertical="center"/>
    </xf>
    <xf numFmtId="0" fontId="23" fillId="0" borderId="35" applyNumberFormat="0" applyFill="0" applyAlignment="0" applyProtection="0">
      <alignment vertical="center"/>
    </xf>
    <xf numFmtId="0" fontId="23" fillId="0" borderId="35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33" fillId="22" borderId="36" applyNumberFormat="0" applyAlignment="0" applyProtection="0">
      <alignment vertical="center"/>
    </xf>
    <xf numFmtId="0" fontId="33" fillId="22" borderId="36" applyNumberFormat="0" applyAlignment="0" applyProtection="0">
      <alignment vertical="center"/>
    </xf>
    <xf numFmtId="0" fontId="33" fillId="22" borderId="36" applyNumberForma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4" fillId="0" borderId="37" applyNumberFormat="0" applyFill="0" applyAlignment="0" applyProtection="0">
      <alignment vertical="center"/>
    </xf>
    <xf numFmtId="0" fontId="34" fillId="0" borderId="37" applyNumberFormat="0" applyFill="0" applyAlignment="0" applyProtection="0">
      <alignment vertical="center"/>
    </xf>
    <xf numFmtId="0" fontId="34" fillId="0" borderId="37" applyNumberFormat="0" applyFill="0" applyAlignment="0" applyProtection="0">
      <alignment vertical="center"/>
    </xf>
    <xf numFmtId="0" fontId="35" fillId="0" borderId="38" applyNumberFormat="0" applyFill="0" applyAlignment="0" applyProtection="0">
      <alignment vertical="center"/>
    </xf>
    <xf numFmtId="0" fontId="35" fillId="0" borderId="38" applyNumberFormat="0" applyFill="0" applyAlignment="0" applyProtection="0">
      <alignment vertical="center"/>
    </xf>
    <xf numFmtId="0" fontId="35" fillId="0" borderId="38" applyNumberFormat="0" applyFill="0" applyAlignment="0" applyProtection="0">
      <alignment vertical="center"/>
    </xf>
    <xf numFmtId="0" fontId="14" fillId="0" borderId="39" applyNumberFormat="0" applyFill="0" applyAlignment="0" applyProtection="0">
      <alignment vertical="center"/>
    </xf>
    <xf numFmtId="0" fontId="14" fillId="0" borderId="39" applyNumberFormat="0" applyFill="0" applyAlignment="0" applyProtection="0">
      <alignment vertical="center"/>
    </xf>
    <xf numFmtId="0" fontId="14" fillId="0" borderId="3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" fillId="0" borderId="0"/>
    <xf numFmtId="0" fontId="3" fillId="0" borderId="0" applyNumberFormat="0"/>
    <xf numFmtId="0" fontId="12" fillId="0" borderId="0" applyBorder="0" applyAlignment="0"/>
    <xf numFmtId="0" fontId="24" fillId="0" borderId="40" applyNumberFormat="0" applyFill="0" applyAlignment="0" applyProtection="0">
      <alignment vertical="center"/>
    </xf>
    <xf numFmtId="0" fontId="24" fillId="0" borderId="40" applyNumberFormat="0" applyFill="0" applyAlignment="0" applyProtection="0">
      <alignment vertical="center"/>
    </xf>
    <xf numFmtId="0" fontId="24" fillId="0" borderId="40" applyNumberFormat="0" applyFill="0" applyAlignment="0" applyProtection="0">
      <alignment vertical="center"/>
    </xf>
    <xf numFmtId="0" fontId="25" fillId="22" borderId="41" applyNumberFormat="0" applyAlignment="0" applyProtection="0">
      <alignment vertical="center"/>
    </xf>
    <xf numFmtId="0" fontId="25" fillId="22" borderId="41" applyNumberFormat="0" applyAlignment="0" applyProtection="0">
      <alignment vertical="center"/>
    </xf>
    <xf numFmtId="0" fontId="25" fillId="22" borderId="41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6" fillId="13" borderId="36" applyNumberFormat="0" applyAlignment="0" applyProtection="0">
      <alignment vertical="center"/>
    </xf>
    <xf numFmtId="0" fontId="26" fillId="13" borderId="36" applyNumberFormat="0" applyAlignment="0" applyProtection="0">
      <alignment vertical="center"/>
    </xf>
    <xf numFmtId="0" fontId="26" fillId="13" borderId="36" applyNumberFormat="0" applyAlignment="0" applyProtection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3" fillId="0" borderId="0">
      <alignment vertical="top"/>
    </xf>
    <xf numFmtId="0" fontId="36" fillId="0" borderId="0"/>
    <xf numFmtId="0" fontId="11" fillId="0" borderId="0"/>
    <xf numFmtId="0" fontId="11" fillId="0" borderId="0"/>
    <xf numFmtId="0" fontId="11" fillId="0" borderId="0"/>
    <xf numFmtId="0" fontId="37" fillId="0" borderId="0">
      <alignment vertical="center"/>
    </xf>
    <xf numFmtId="0" fontId="3" fillId="0" borderId="0" applyNumberFormat="0"/>
    <xf numFmtId="0" fontId="12" fillId="0" borderId="0">
      <alignment vertical="center"/>
    </xf>
    <xf numFmtId="0" fontId="3" fillId="0" borderId="0" applyNumberFormat="0"/>
    <xf numFmtId="0" fontId="17" fillId="0" borderId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11" fillId="0" borderId="0">
      <alignment vertical="center"/>
    </xf>
    <xf numFmtId="0" fontId="13" fillId="23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" fillId="9" borderId="34" applyNumberFormat="0" applyFont="0" applyAlignment="0" applyProtection="0">
      <alignment vertical="center"/>
    </xf>
    <xf numFmtId="0" fontId="40" fillId="0" borderId="42" applyNumberFormat="0" applyFill="0" applyAlignment="0" applyProtection="0">
      <alignment vertical="center"/>
    </xf>
    <xf numFmtId="0" fontId="45" fillId="0" borderId="0"/>
    <xf numFmtId="0" fontId="22" fillId="7" borderId="0" applyNumberFormat="0" applyBorder="0" applyAlignment="0" applyProtection="0">
      <alignment vertical="center"/>
    </xf>
    <xf numFmtId="0" fontId="41" fillId="31" borderId="36" applyNumberFormat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3" fillId="0" borderId="44" applyNumberFormat="0" applyFill="0" applyAlignment="0" applyProtection="0">
      <alignment vertical="center"/>
    </xf>
    <xf numFmtId="0" fontId="44" fillId="0" borderId="45" applyNumberFormat="0" applyFill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24" fillId="0" borderId="46" applyNumberFormat="0" applyFill="0" applyAlignment="0" applyProtection="0">
      <alignment vertical="center"/>
    </xf>
    <xf numFmtId="0" fontId="25" fillId="31" borderId="41" applyNumberFormat="0" applyAlignment="0" applyProtection="0">
      <alignment vertical="center"/>
    </xf>
    <xf numFmtId="0" fontId="26" fillId="11" borderId="36" applyNumberFormat="0" applyAlignment="0" applyProtection="0">
      <alignment vertical="center"/>
    </xf>
    <xf numFmtId="0" fontId="27" fillId="24" borderId="0" applyNumberFormat="0" applyBorder="0" applyAlignment="0" applyProtection="0">
      <alignment vertical="center"/>
    </xf>
  </cellStyleXfs>
  <cellXfs count="132">
    <xf numFmtId="0" fontId="0" fillId="0" borderId="0" xfId="0">
      <alignment vertical="top" wrapText="1"/>
    </xf>
    <xf numFmtId="0" fontId="46" fillId="0" borderId="3" xfId="0" applyFont="1" applyBorder="1" applyAlignment="1">
      <alignment vertical="center"/>
    </xf>
    <xf numFmtId="0" fontId="46" fillId="0" borderId="3" xfId="0" applyFont="1" applyBorder="1" applyAlignment="1">
      <alignment horizontal="left" vertical="top"/>
    </xf>
    <xf numFmtId="0" fontId="46" fillId="0" borderId="3" xfId="0" applyFont="1" applyBorder="1" applyAlignment="1">
      <alignment vertical="top"/>
    </xf>
    <xf numFmtId="0" fontId="46" fillId="0" borderId="0" xfId="0" applyFont="1" applyAlignment="1">
      <alignment vertical="top"/>
    </xf>
    <xf numFmtId="0" fontId="46" fillId="0" borderId="0" xfId="0" applyFont="1" applyAlignment="1">
      <alignment vertical="center"/>
    </xf>
    <xf numFmtId="0" fontId="46" fillId="0" borderId="4" xfId="0" applyFont="1" applyBorder="1" applyAlignment="1">
      <alignment vertical="top"/>
    </xf>
    <xf numFmtId="0" fontId="46" fillId="0" borderId="5" xfId="0" applyFont="1" applyBorder="1" applyAlignment="1">
      <alignment vertical="top"/>
    </xf>
    <xf numFmtId="0" fontId="46" fillId="2" borderId="5" xfId="0" applyFont="1" applyFill="1" applyBorder="1" applyAlignment="1">
      <alignment vertical="top"/>
    </xf>
    <xf numFmtId="0" fontId="46" fillId="0" borderId="0" xfId="0" applyFont="1" applyAlignment="1">
      <alignment vertical="center" wrapText="1"/>
    </xf>
    <xf numFmtId="0" fontId="46" fillId="0" borderId="0" xfId="0" applyFont="1">
      <alignment vertical="top" wrapText="1"/>
    </xf>
    <xf numFmtId="0" fontId="46" fillId="3" borderId="5" xfId="0" applyFont="1" applyFill="1" applyBorder="1" applyAlignment="1">
      <alignment vertical="top"/>
    </xf>
    <xf numFmtId="0" fontId="46" fillId="3" borderId="2" xfId="0" applyFont="1" applyFill="1" applyBorder="1" applyAlignment="1">
      <alignment vertical="top"/>
    </xf>
    <xf numFmtId="0" fontId="46" fillId="3" borderId="2" xfId="0" applyFont="1" applyFill="1" applyBorder="1" applyAlignment="1">
      <alignment horizontal="left" vertical="top"/>
    </xf>
    <xf numFmtId="0" fontId="46" fillId="3" borderId="9" xfId="0" applyFont="1" applyFill="1" applyBorder="1" applyAlignment="1">
      <alignment vertical="top"/>
    </xf>
    <xf numFmtId="0" fontId="46" fillId="0" borderId="3" xfId="0" applyFont="1" applyBorder="1">
      <alignment vertical="top" wrapText="1"/>
    </xf>
    <xf numFmtId="0" fontId="46" fillId="0" borderId="4" xfId="0" applyFont="1" applyBorder="1" applyAlignment="1">
      <alignment vertical="center"/>
    </xf>
    <xf numFmtId="0" fontId="46" fillId="0" borderId="4" xfId="0" applyFont="1" applyBorder="1" applyAlignment="1">
      <alignment horizontal="left" vertical="top"/>
    </xf>
    <xf numFmtId="0" fontId="46" fillId="0" borderId="6" xfId="0" applyFont="1" applyBorder="1" applyAlignment="1">
      <alignment vertical="top"/>
    </xf>
    <xf numFmtId="0" fontId="46" fillId="0" borderId="0" xfId="0" applyFont="1" applyAlignment="1">
      <alignment horizontal="left" vertical="top"/>
    </xf>
    <xf numFmtId="0" fontId="46" fillId="0" borderId="10" xfId="0" applyFont="1" applyBorder="1" applyAlignment="1">
      <alignment vertical="top"/>
    </xf>
    <xf numFmtId="0" fontId="46" fillId="0" borderId="7" xfId="0" applyFont="1" applyBorder="1" applyAlignment="1">
      <alignment vertical="top"/>
    </xf>
    <xf numFmtId="0" fontId="46" fillId="2" borderId="4" xfId="0" applyFont="1" applyFill="1" applyBorder="1" applyAlignment="1">
      <alignment vertical="top"/>
    </xf>
    <xf numFmtId="0" fontId="46" fillId="2" borderId="5" xfId="0" applyFont="1" applyFill="1" applyBorder="1" applyAlignment="1">
      <alignment vertical="center"/>
    </xf>
    <xf numFmtId="0" fontId="46" fillId="0" borderId="5" xfId="0" applyFont="1" applyBorder="1">
      <alignment vertical="top" wrapText="1"/>
    </xf>
    <xf numFmtId="0" fontId="46" fillId="2" borderId="5" xfId="0" applyFont="1" applyFill="1" applyBorder="1">
      <alignment vertical="top" wrapText="1"/>
    </xf>
    <xf numFmtId="0" fontId="46" fillId="2" borderId="5" xfId="0" applyFont="1" applyFill="1" applyBorder="1" applyAlignment="1">
      <alignment wrapText="1"/>
    </xf>
    <xf numFmtId="0" fontId="46" fillId="2" borderId="9" xfId="0" applyFont="1" applyFill="1" applyBorder="1" applyAlignment="1">
      <alignment wrapText="1"/>
    </xf>
    <xf numFmtId="0" fontId="46" fillId="2" borderId="8" xfId="0" applyFont="1" applyFill="1" applyBorder="1" applyAlignment="1">
      <alignment vertical="top"/>
    </xf>
    <xf numFmtId="0" fontId="46" fillId="2" borderId="9" xfId="0" applyFont="1" applyFill="1" applyBorder="1" applyAlignment="1">
      <alignment vertical="top"/>
    </xf>
    <xf numFmtId="0" fontId="46" fillId="0" borderId="4" xfId="0" applyFont="1" applyBorder="1" applyAlignment="1">
      <alignment wrapText="1"/>
    </xf>
    <xf numFmtId="0" fontId="46" fillId="2" borderId="2" xfId="0" applyFont="1" applyFill="1" applyBorder="1" applyAlignment="1">
      <alignment vertical="top"/>
    </xf>
    <xf numFmtId="0" fontId="46" fillId="0" borderId="2" xfId="0" applyFont="1" applyBorder="1">
      <alignment vertical="top" wrapText="1"/>
    </xf>
    <xf numFmtId="0" fontId="46" fillId="0" borderId="2" xfId="0" applyFont="1" applyBorder="1" applyAlignment="1">
      <alignment wrapText="1"/>
    </xf>
    <xf numFmtId="0" fontId="46" fillId="0" borderId="0" xfId="0" applyFont="1" applyAlignment="1">
      <alignment wrapText="1"/>
    </xf>
    <xf numFmtId="0" fontId="46" fillId="0" borderId="2" xfId="0" applyFont="1" applyBorder="1" applyAlignment="1"/>
    <xf numFmtId="0" fontId="46" fillId="0" borderId="9" xfId="0" applyFont="1" applyBorder="1" applyAlignment="1">
      <alignment wrapText="1"/>
    </xf>
    <xf numFmtId="0" fontId="46" fillId="0" borderId="8" xfId="0" applyFont="1" applyBorder="1" applyAlignment="1">
      <alignment wrapText="1"/>
    </xf>
    <xf numFmtId="0" fontId="46" fillId="3" borderId="5" xfId="0" applyFont="1" applyFill="1" applyBorder="1">
      <alignment vertical="top" wrapText="1"/>
    </xf>
    <xf numFmtId="0" fontId="46" fillId="0" borderId="10" xfId="0" applyFont="1" applyBorder="1">
      <alignment vertical="top" wrapText="1"/>
    </xf>
    <xf numFmtId="0" fontId="46" fillId="0" borderId="7" xfId="0" applyFont="1" applyBorder="1">
      <alignment vertical="top" wrapText="1"/>
    </xf>
    <xf numFmtId="0" fontId="46" fillId="0" borderId="7" xfId="0" applyFont="1" applyBorder="1" applyAlignment="1">
      <alignment wrapText="1"/>
    </xf>
    <xf numFmtId="0" fontId="46" fillId="0" borderId="32" xfId="0" applyFont="1" applyBorder="1" applyAlignment="1">
      <alignment wrapText="1"/>
    </xf>
    <xf numFmtId="0" fontId="46" fillId="0" borderId="3" xfId="0" applyFont="1" applyBorder="1" applyAlignment="1">
      <alignment wrapText="1"/>
    </xf>
    <xf numFmtId="0" fontId="49" fillId="0" borderId="0" xfId="6" applyFont="1"/>
    <xf numFmtId="0" fontId="49" fillId="0" borderId="0" xfId="6" applyFont="1" applyAlignment="1">
      <alignment horizontal="center" vertical="center"/>
    </xf>
    <xf numFmtId="0" fontId="49" fillId="0" borderId="0" xfId="6" applyFont="1" applyAlignment="1">
      <alignment horizontal="center"/>
    </xf>
    <xf numFmtId="0" fontId="49" fillId="0" borderId="0" xfId="8" applyFont="1"/>
    <xf numFmtId="0" fontId="49" fillId="0" borderId="0" xfId="8" applyFont="1" applyAlignment="1">
      <alignment horizontal="center"/>
    </xf>
    <xf numFmtId="0" fontId="46" fillId="0" borderId="8" xfId="0" applyFont="1" applyBorder="1">
      <alignment vertical="top" wrapText="1"/>
    </xf>
    <xf numFmtId="0" fontId="46" fillId="0" borderId="9" xfId="0" applyFont="1" applyBorder="1">
      <alignment vertical="top" wrapText="1"/>
    </xf>
    <xf numFmtId="0" fontId="46" fillId="3" borderId="8" xfId="0" applyFont="1" applyFill="1" applyBorder="1" applyAlignment="1">
      <alignment wrapText="1"/>
    </xf>
    <xf numFmtId="0" fontId="46" fillId="3" borderId="9" xfId="0" applyFont="1" applyFill="1" applyBorder="1" applyAlignment="1">
      <alignment wrapText="1"/>
    </xf>
    <xf numFmtId="0" fontId="46" fillId="0" borderId="9" xfId="0" applyFont="1" applyBorder="1" applyAlignment="1"/>
    <xf numFmtId="0" fontId="46" fillId="2" borderId="3" xfId="0" applyFont="1" applyFill="1" applyBorder="1" applyAlignment="1">
      <alignment vertical="top"/>
    </xf>
    <xf numFmtId="0" fontId="46" fillId="2" borderId="30" xfId="0" applyFont="1" applyFill="1" applyBorder="1" applyAlignment="1">
      <alignment vertical="top"/>
    </xf>
    <xf numFmtId="0" fontId="46" fillId="5" borderId="5" xfId="0" applyFont="1" applyFill="1" applyBorder="1" applyAlignment="1">
      <alignment vertical="top"/>
    </xf>
    <xf numFmtId="0" fontId="46" fillId="2" borderId="31" xfId="0" applyFont="1" applyFill="1" applyBorder="1" applyAlignment="1">
      <alignment vertical="top"/>
    </xf>
    <xf numFmtId="0" fontId="46" fillId="2" borderId="0" xfId="0" applyFont="1" applyFill="1" applyAlignment="1">
      <alignment vertical="top"/>
    </xf>
    <xf numFmtId="0" fontId="46" fillId="5" borderId="0" xfId="0" applyFont="1" applyFill="1">
      <alignment vertical="top" wrapText="1"/>
    </xf>
    <xf numFmtId="0" fontId="46" fillId="0" borderId="8" xfId="0" applyFont="1" applyBorder="1" applyAlignment="1">
      <alignment vertical="top"/>
    </xf>
    <xf numFmtId="0" fontId="46" fillId="2" borderId="5" xfId="0" quotePrefix="1" applyFont="1" applyFill="1" applyBorder="1" applyAlignment="1">
      <alignment vertical="top"/>
    </xf>
    <xf numFmtId="0" fontId="46" fillId="0" borderId="5" xfId="0" applyFont="1" applyBorder="1" applyAlignment="1">
      <alignment vertical="center"/>
    </xf>
    <xf numFmtId="0" fontId="46" fillId="0" borderId="0" xfId="0" applyFont="1" applyAlignment="1"/>
    <xf numFmtId="0" fontId="46" fillId="2" borderId="32" xfId="0" applyFont="1" applyFill="1" applyBorder="1" applyAlignment="1">
      <alignment vertical="top"/>
    </xf>
    <xf numFmtId="0" fontId="46" fillId="0" borderId="2" xfId="0" applyFont="1" applyBorder="1" applyAlignment="1">
      <alignment vertical="top"/>
    </xf>
    <xf numFmtId="0" fontId="46" fillId="0" borderId="32" xfId="0" applyFont="1" applyBorder="1" applyAlignment="1">
      <alignment vertical="top"/>
    </xf>
    <xf numFmtId="0" fontId="46" fillId="32" borderId="5" xfId="0" applyFont="1" applyFill="1" applyBorder="1" applyAlignment="1">
      <alignment vertical="top"/>
    </xf>
    <xf numFmtId="0" fontId="46" fillId="32" borderId="8" xfId="0" applyFont="1" applyFill="1" applyBorder="1" applyAlignment="1">
      <alignment vertical="top"/>
    </xf>
    <xf numFmtId="0" fontId="46" fillId="32" borderId="9" xfId="0" applyFont="1" applyFill="1" applyBorder="1" applyAlignment="1">
      <alignment vertical="top"/>
    </xf>
    <xf numFmtId="0" fontId="46" fillId="0" borderId="4" xfId="0" applyFont="1" applyBorder="1">
      <alignment vertical="top" wrapText="1"/>
    </xf>
    <xf numFmtId="0" fontId="46" fillId="2" borderId="8" xfId="0" applyFont="1" applyFill="1" applyBorder="1">
      <alignment vertical="top" wrapText="1"/>
    </xf>
    <xf numFmtId="0" fontId="46" fillId="2" borderId="9" xfId="0" applyFont="1" applyFill="1" applyBorder="1">
      <alignment vertical="top" wrapText="1"/>
    </xf>
    <xf numFmtId="177" fontId="48" fillId="0" borderId="25" xfId="8" applyNumberFormat="1" applyFont="1" applyBorder="1" applyAlignment="1">
      <alignment horizontal="center" vertical="center"/>
    </xf>
    <xf numFmtId="177" fontId="48" fillId="0" borderId="26" xfId="7" applyNumberFormat="1" applyFont="1" applyBorder="1" applyAlignment="1">
      <alignment horizontal="center" vertical="center"/>
    </xf>
    <xf numFmtId="177" fontId="48" fillId="0" borderId="27" xfId="7" applyNumberFormat="1" applyFont="1" applyBorder="1" applyAlignment="1">
      <alignment horizontal="center" vertical="center"/>
    </xf>
    <xf numFmtId="0" fontId="48" fillId="0" borderId="28" xfId="8" applyFont="1" applyBorder="1" applyAlignment="1">
      <alignment horizontal="left" vertical="center" wrapText="1"/>
    </xf>
    <xf numFmtId="0" fontId="48" fillId="0" borderId="26" xfId="7" applyFont="1" applyBorder="1" applyAlignment="1">
      <alignment horizontal="left" vertical="center" wrapText="1"/>
    </xf>
    <xf numFmtId="0" fontId="48" fillId="0" borderId="27" xfId="7" applyFont="1" applyBorder="1" applyAlignment="1">
      <alignment horizontal="left" vertical="center" wrapText="1"/>
    </xf>
    <xf numFmtId="0" fontId="48" fillId="0" borderId="26" xfId="7" applyFont="1" applyBorder="1" applyAlignment="1">
      <alignment vertical="center" wrapText="1"/>
    </xf>
    <xf numFmtId="0" fontId="48" fillId="0" borderId="27" xfId="7" applyFont="1" applyBorder="1" applyAlignment="1">
      <alignment vertical="center" wrapText="1"/>
    </xf>
    <xf numFmtId="0" fontId="48" fillId="0" borderId="28" xfId="8" applyFont="1" applyBorder="1" applyAlignment="1">
      <alignment vertical="center" wrapText="1"/>
    </xf>
    <xf numFmtId="0" fontId="48" fillId="0" borderId="29" xfId="7" applyFont="1" applyBorder="1" applyAlignment="1">
      <alignment vertical="center" wrapText="1"/>
    </xf>
    <xf numFmtId="177" fontId="48" fillId="0" borderId="23" xfId="8" applyNumberFormat="1" applyFont="1" applyBorder="1" applyAlignment="1">
      <alignment horizontal="center" vertical="center"/>
    </xf>
    <xf numFmtId="177" fontId="48" fillId="0" borderId="2" xfId="7" applyNumberFormat="1" applyFont="1" applyBorder="1" applyAlignment="1">
      <alignment horizontal="center" vertical="center"/>
    </xf>
    <xf numFmtId="177" fontId="48" fillId="0" borderId="9" xfId="7" applyNumberFormat="1" applyFont="1" applyBorder="1" applyAlignment="1">
      <alignment horizontal="center" vertical="center"/>
    </xf>
    <xf numFmtId="0" fontId="48" fillId="0" borderId="8" xfId="8" applyFont="1" applyBorder="1" applyAlignment="1">
      <alignment horizontal="left" vertical="center" wrapText="1"/>
    </xf>
    <xf numFmtId="0" fontId="48" fillId="0" borderId="2" xfId="7" applyFont="1" applyBorder="1" applyAlignment="1">
      <alignment horizontal="left" vertical="center" wrapText="1"/>
    </xf>
    <xf numFmtId="0" fontId="48" fillId="0" borderId="9" xfId="7" applyFont="1" applyBorder="1" applyAlignment="1">
      <alignment horizontal="left" vertical="center" wrapText="1"/>
    </xf>
    <xf numFmtId="0" fontId="48" fillId="0" borderId="2" xfId="7" applyFont="1" applyBorder="1" applyAlignment="1">
      <alignment vertical="center" wrapText="1"/>
    </xf>
    <xf numFmtId="0" fontId="48" fillId="0" borderId="9" xfId="7" applyFont="1" applyBorder="1" applyAlignment="1">
      <alignment vertical="center" wrapText="1"/>
    </xf>
    <xf numFmtId="0" fontId="48" fillId="0" borderId="8" xfId="8" applyFont="1" applyBorder="1" applyAlignment="1">
      <alignment vertical="center" wrapText="1"/>
    </xf>
    <xf numFmtId="0" fontId="48" fillId="0" borderId="24" xfId="7" applyFont="1" applyBorder="1" applyAlignment="1">
      <alignment vertical="center" wrapText="1"/>
    </xf>
    <xf numFmtId="0" fontId="48" fillId="0" borderId="8" xfId="8" applyFont="1" applyBorder="1" applyAlignment="1">
      <alignment horizontal="center" vertical="center" wrapText="1"/>
    </xf>
    <xf numFmtId="0" fontId="48" fillId="0" borderId="2" xfId="7" applyFont="1" applyBorder="1" applyAlignment="1">
      <alignment horizontal="center" vertical="center" wrapText="1"/>
    </xf>
    <xf numFmtId="0" fontId="48" fillId="0" borderId="9" xfId="7" applyFont="1" applyBorder="1" applyAlignment="1">
      <alignment horizontal="center" vertical="center" wrapText="1"/>
    </xf>
    <xf numFmtId="0" fontId="48" fillId="0" borderId="2" xfId="8" applyFont="1" applyBorder="1" applyAlignment="1">
      <alignment horizontal="left" vertical="center" wrapText="1"/>
    </xf>
    <xf numFmtId="0" fontId="48" fillId="0" borderId="9" xfId="8" applyFont="1" applyBorder="1" applyAlignment="1">
      <alignment horizontal="left" vertical="center" wrapText="1"/>
    </xf>
    <xf numFmtId="0" fontId="48" fillId="0" borderId="2" xfId="8" applyFont="1" applyBorder="1" applyAlignment="1">
      <alignment vertical="center" wrapText="1"/>
    </xf>
    <xf numFmtId="0" fontId="48" fillId="0" borderId="24" xfId="8" applyFont="1" applyBorder="1" applyAlignment="1">
      <alignment vertical="center" wrapText="1"/>
    </xf>
    <xf numFmtId="0" fontId="48" fillId="0" borderId="8" xfId="8" applyFont="1" applyBorder="1" applyAlignment="1">
      <alignment horizontal="left" vertical="center"/>
    </xf>
    <xf numFmtId="0" fontId="48" fillId="0" borderId="2" xfId="7" applyFont="1" applyBorder="1" applyAlignment="1">
      <alignment horizontal="left" vertical="center"/>
    </xf>
    <xf numFmtId="0" fontId="48" fillId="0" borderId="9" xfId="7" applyFont="1" applyBorder="1" applyAlignment="1">
      <alignment horizontal="left" vertical="center"/>
    </xf>
    <xf numFmtId="0" fontId="48" fillId="0" borderId="8" xfId="8" applyFont="1" applyBorder="1" applyAlignment="1">
      <alignment vertical="center"/>
    </xf>
    <xf numFmtId="0" fontId="48" fillId="0" borderId="2" xfId="7" applyFont="1" applyBorder="1" applyAlignment="1">
      <alignment vertical="center"/>
    </xf>
    <xf numFmtId="0" fontId="48" fillId="0" borderId="24" xfId="7" applyFont="1" applyBorder="1" applyAlignment="1">
      <alignment vertical="center"/>
    </xf>
    <xf numFmtId="0" fontId="47" fillId="3" borderId="11" xfId="6" applyFont="1" applyFill="1" applyBorder="1" applyAlignment="1">
      <alignment horizontal="center" vertical="center"/>
    </xf>
    <xf numFmtId="0" fontId="48" fillId="0" borderId="12" xfId="7" applyFont="1" applyBorder="1" applyAlignment="1">
      <alignment vertical="center"/>
    </xf>
    <xf numFmtId="0" fontId="48" fillId="0" borderId="13" xfId="7" applyFont="1" applyBorder="1" applyAlignment="1">
      <alignment vertical="center"/>
    </xf>
    <xf numFmtId="0" fontId="49" fillId="3" borderId="14" xfId="8" applyFont="1" applyFill="1" applyBorder="1" applyAlignment="1">
      <alignment horizontal="center" vertical="center"/>
    </xf>
    <xf numFmtId="0" fontId="48" fillId="0" borderId="1" xfId="7" applyFont="1" applyBorder="1" applyAlignment="1">
      <alignment horizontal="center" vertical="center"/>
    </xf>
    <xf numFmtId="0" fontId="48" fillId="0" borderId="15" xfId="7" applyFont="1" applyBorder="1" applyAlignment="1">
      <alignment horizontal="center" vertical="center"/>
    </xf>
    <xf numFmtId="0" fontId="49" fillId="3" borderId="16" xfId="8" applyFont="1" applyFill="1" applyBorder="1" applyAlignment="1">
      <alignment horizontal="center" vertical="center"/>
    </xf>
    <xf numFmtId="0" fontId="49" fillId="3" borderId="1" xfId="8" applyFont="1" applyFill="1" applyBorder="1" applyAlignment="1">
      <alignment horizontal="center" vertical="center"/>
    </xf>
    <xf numFmtId="0" fontId="49" fillId="3" borderId="15" xfId="8" applyFont="1" applyFill="1" applyBorder="1" applyAlignment="1">
      <alignment horizontal="center" vertical="center"/>
    </xf>
    <xf numFmtId="0" fontId="49" fillId="3" borderId="16" xfId="7" applyFont="1" applyFill="1" applyBorder="1" applyAlignment="1">
      <alignment horizontal="center" vertical="center"/>
    </xf>
    <xf numFmtId="0" fontId="49" fillId="0" borderId="1" xfId="7" applyFont="1" applyBorder="1" applyAlignment="1">
      <alignment horizontal="center" vertical="center"/>
    </xf>
    <xf numFmtId="0" fontId="49" fillId="0" borderId="17" xfId="7" applyFont="1" applyBorder="1" applyAlignment="1">
      <alignment horizontal="center" vertical="center"/>
    </xf>
    <xf numFmtId="177" fontId="48" fillId="0" borderId="18" xfId="8" applyNumberFormat="1" applyFont="1" applyBorder="1" applyAlignment="1">
      <alignment horizontal="center" vertical="center"/>
    </xf>
    <xf numFmtId="177" fontId="48" fillId="0" borderId="19" xfId="7" applyNumberFormat="1" applyFont="1" applyBorder="1" applyAlignment="1">
      <alignment horizontal="center" vertical="center"/>
    </xf>
    <xf numFmtId="177" fontId="48" fillId="0" borderId="20" xfId="7" applyNumberFormat="1" applyFont="1" applyBorder="1" applyAlignment="1">
      <alignment horizontal="center" vertical="center"/>
    </xf>
    <xf numFmtId="0" fontId="48" fillId="0" borderId="21" xfId="8" applyFont="1" applyBorder="1" applyAlignment="1">
      <alignment horizontal="left" vertical="center" wrapText="1"/>
    </xf>
    <xf numFmtId="0" fontId="48" fillId="0" borderId="19" xfId="7" applyFont="1" applyBorder="1" applyAlignment="1">
      <alignment horizontal="left" vertical="center" wrapText="1"/>
    </xf>
    <xf numFmtId="0" fontId="48" fillId="0" borderId="20" xfId="7" applyFont="1" applyBorder="1" applyAlignment="1">
      <alignment horizontal="left" vertical="center" wrapText="1"/>
    </xf>
    <xf numFmtId="0" fontId="48" fillId="0" borderId="19" xfId="7" applyFont="1" applyBorder="1" applyAlignment="1">
      <alignment vertical="center" wrapText="1"/>
    </xf>
    <xf numFmtId="0" fontId="48" fillId="0" borderId="20" xfId="7" applyFont="1" applyBorder="1" applyAlignment="1">
      <alignment vertical="center" wrapText="1"/>
    </xf>
    <xf numFmtId="0" fontId="48" fillId="0" borderId="21" xfId="8" applyFont="1" applyBorder="1" applyAlignment="1">
      <alignment vertical="center" wrapText="1"/>
    </xf>
    <xf numFmtId="0" fontId="48" fillId="0" borderId="22" xfId="7" applyFont="1" applyBorder="1" applyAlignment="1">
      <alignment vertical="center" wrapText="1"/>
    </xf>
    <xf numFmtId="0" fontId="46" fillId="0" borderId="8" xfId="0" applyFont="1" applyBorder="1">
      <alignment vertical="top" wrapText="1"/>
    </xf>
    <xf numFmtId="0" fontId="46" fillId="0" borderId="9" xfId="0" applyFont="1" applyBorder="1">
      <alignment vertical="top" wrapText="1"/>
    </xf>
    <xf numFmtId="0" fontId="46" fillId="3" borderId="8" xfId="0" applyFont="1" applyFill="1" applyBorder="1" applyAlignment="1">
      <alignment wrapText="1"/>
    </xf>
    <xf numFmtId="0" fontId="46" fillId="3" borderId="9" xfId="0" applyFont="1" applyFill="1" applyBorder="1" applyAlignment="1">
      <alignment wrapText="1"/>
    </xf>
  </cellXfs>
  <cellStyles count="201">
    <cellStyle name="0301" xfId="10" xr:uid="{00000000-0005-0000-0000-000000000000}"/>
    <cellStyle name="0_x0014_標準_F_02?P_Dd080301" xfId="11" xr:uid="{00000000-0005-0000-0000-000001000000}"/>
    <cellStyle name="20% - アクセント 1 2" xfId="12" xr:uid="{00000000-0005-0000-0000-000002000000}"/>
    <cellStyle name="20% - アクセント 1 3" xfId="13" xr:uid="{00000000-0005-0000-0000-000003000000}"/>
    <cellStyle name="20% - アクセント 1 4" xfId="14" xr:uid="{00000000-0005-0000-0000-000004000000}"/>
    <cellStyle name="20% - アクセント 1 5" xfId="165" xr:uid="{00000000-0005-0000-0000-000005000000}"/>
    <cellStyle name="20% - アクセント 2 2" xfId="15" xr:uid="{00000000-0005-0000-0000-000006000000}"/>
    <cellStyle name="20% - アクセント 2 3" xfId="16" xr:uid="{00000000-0005-0000-0000-000007000000}"/>
    <cellStyle name="20% - アクセント 2 4" xfId="17" xr:uid="{00000000-0005-0000-0000-000008000000}"/>
    <cellStyle name="20% - アクセント 2 5" xfId="166" xr:uid="{00000000-0005-0000-0000-000009000000}"/>
    <cellStyle name="20% - アクセント 3 2" xfId="18" xr:uid="{00000000-0005-0000-0000-00000A000000}"/>
    <cellStyle name="20% - アクセント 3 3" xfId="19" xr:uid="{00000000-0005-0000-0000-00000B000000}"/>
    <cellStyle name="20% - アクセント 3 4" xfId="20" xr:uid="{00000000-0005-0000-0000-00000C000000}"/>
    <cellStyle name="20% - アクセント 3 5" xfId="167" xr:uid="{00000000-0005-0000-0000-00000D000000}"/>
    <cellStyle name="20% - アクセント 4 2" xfId="21" xr:uid="{00000000-0005-0000-0000-00000E000000}"/>
    <cellStyle name="20% - アクセント 4 3" xfId="22" xr:uid="{00000000-0005-0000-0000-00000F000000}"/>
    <cellStyle name="20% - アクセント 4 4" xfId="23" xr:uid="{00000000-0005-0000-0000-000010000000}"/>
    <cellStyle name="20% - アクセント 4 5" xfId="168" xr:uid="{00000000-0005-0000-0000-000011000000}"/>
    <cellStyle name="20% - アクセント 5 2" xfId="24" xr:uid="{00000000-0005-0000-0000-000012000000}"/>
    <cellStyle name="20% - アクセント 5 3" xfId="25" xr:uid="{00000000-0005-0000-0000-000013000000}"/>
    <cellStyle name="20% - アクセント 5 4" xfId="26" xr:uid="{00000000-0005-0000-0000-000014000000}"/>
    <cellStyle name="20% - アクセント 6 2" xfId="27" xr:uid="{00000000-0005-0000-0000-000015000000}"/>
    <cellStyle name="20% - アクセント 6 3" xfId="28" xr:uid="{00000000-0005-0000-0000-000016000000}"/>
    <cellStyle name="20% - アクセント 6 4" xfId="29" xr:uid="{00000000-0005-0000-0000-000017000000}"/>
    <cellStyle name="20% - アクセント 6 5" xfId="169" xr:uid="{00000000-0005-0000-0000-000018000000}"/>
    <cellStyle name="40% - アクセント 1 2" xfId="30" xr:uid="{00000000-0005-0000-0000-000019000000}"/>
    <cellStyle name="40% - アクセント 1 3" xfId="31" xr:uid="{00000000-0005-0000-0000-00001A000000}"/>
    <cellStyle name="40% - アクセント 1 4" xfId="32" xr:uid="{00000000-0005-0000-0000-00001B000000}"/>
    <cellStyle name="40% - アクセント 1 5" xfId="170" xr:uid="{00000000-0005-0000-0000-00001C000000}"/>
    <cellStyle name="40% - アクセント 2 2" xfId="33" xr:uid="{00000000-0005-0000-0000-00001D000000}"/>
    <cellStyle name="40% - アクセント 2 3" xfId="34" xr:uid="{00000000-0005-0000-0000-00001E000000}"/>
    <cellStyle name="40% - アクセント 2 4" xfId="35" xr:uid="{00000000-0005-0000-0000-00001F000000}"/>
    <cellStyle name="40% - アクセント 3 2" xfId="36" xr:uid="{00000000-0005-0000-0000-000020000000}"/>
    <cellStyle name="40% - アクセント 3 3" xfId="37" xr:uid="{00000000-0005-0000-0000-000021000000}"/>
    <cellStyle name="40% - アクセント 3 4" xfId="38" xr:uid="{00000000-0005-0000-0000-000022000000}"/>
    <cellStyle name="40% - アクセント 3 5" xfId="171" xr:uid="{00000000-0005-0000-0000-000023000000}"/>
    <cellStyle name="40% - アクセント 4 2" xfId="39" xr:uid="{00000000-0005-0000-0000-000024000000}"/>
    <cellStyle name="40% - アクセント 4 3" xfId="40" xr:uid="{00000000-0005-0000-0000-000025000000}"/>
    <cellStyle name="40% - アクセント 4 4" xfId="41" xr:uid="{00000000-0005-0000-0000-000026000000}"/>
    <cellStyle name="40% - アクセント 4 5" xfId="172" xr:uid="{00000000-0005-0000-0000-000027000000}"/>
    <cellStyle name="40% - アクセント 5 2" xfId="42" xr:uid="{00000000-0005-0000-0000-000028000000}"/>
    <cellStyle name="40% - アクセント 5 3" xfId="43" xr:uid="{00000000-0005-0000-0000-000029000000}"/>
    <cellStyle name="40% - アクセント 5 4" xfId="44" xr:uid="{00000000-0005-0000-0000-00002A000000}"/>
    <cellStyle name="40% - アクセント 5 5" xfId="173" xr:uid="{00000000-0005-0000-0000-00002B000000}"/>
    <cellStyle name="40% - アクセント 6 2" xfId="45" xr:uid="{00000000-0005-0000-0000-00002C000000}"/>
    <cellStyle name="40% - アクセント 6 3" xfId="46" xr:uid="{00000000-0005-0000-0000-00002D000000}"/>
    <cellStyle name="40% - アクセント 6 4" xfId="47" xr:uid="{00000000-0005-0000-0000-00002E000000}"/>
    <cellStyle name="40% - アクセント 6 5" xfId="174" xr:uid="{00000000-0005-0000-0000-00002F000000}"/>
    <cellStyle name="60% - アクセント 1 2" xfId="48" xr:uid="{00000000-0005-0000-0000-000030000000}"/>
    <cellStyle name="60% - アクセント 1 3" xfId="49" xr:uid="{00000000-0005-0000-0000-000031000000}"/>
    <cellStyle name="60% - アクセント 1 4" xfId="50" xr:uid="{00000000-0005-0000-0000-000032000000}"/>
    <cellStyle name="60% - アクセント 1 5" xfId="175" xr:uid="{00000000-0005-0000-0000-000033000000}"/>
    <cellStyle name="60% - アクセント 2 2" xfId="51" xr:uid="{00000000-0005-0000-0000-000034000000}"/>
    <cellStyle name="60% - アクセント 2 3" xfId="52" xr:uid="{00000000-0005-0000-0000-000035000000}"/>
    <cellStyle name="60% - アクセント 2 4" xfId="53" xr:uid="{00000000-0005-0000-0000-000036000000}"/>
    <cellStyle name="60% - アクセント 2 5" xfId="176" xr:uid="{00000000-0005-0000-0000-000037000000}"/>
    <cellStyle name="60% - アクセント 3 2" xfId="54" xr:uid="{00000000-0005-0000-0000-000038000000}"/>
    <cellStyle name="60% - アクセント 3 3" xfId="55" xr:uid="{00000000-0005-0000-0000-000039000000}"/>
    <cellStyle name="60% - アクセント 3 4" xfId="56" xr:uid="{00000000-0005-0000-0000-00003A000000}"/>
    <cellStyle name="60% - アクセント 3 5" xfId="177" xr:uid="{00000000-0005-0000-0000-00003B000000}"/>
    <cellStyle name="60% - アクセント 4 2" xfId="57" xr:uid="{00000000-0005-0000-0000-00003C000000}"/>
    <cellStyle name="60% - アクセント 4 3" xfId="58" xr:uid="{00000000-0005-0000-0000-00003D000000}"/>
    <cellStyle name="60% - アクセント 4 4" xfId="59" xr:uid="{00000000-0005-0000-0000-00003E000000}"/>
    <cellStyle name="60% - アクセント 4 5" xfId="178" xr:uid="{00000000-0005-0000-0000-00003F000000}"/>
    <cellStyle name="60% - アクセント 5 2" xfId="60" xr:uid="{00000000-0005-0000-0000-000040000000}"/>
    <cellStyle name="60% - アクセント 5 3" xfId="61" xr:uid="{00000000-0005-0000-0000-000041000000}"/>
    <cellStyle name="60% - アクセント 5 4" xfId="62" xr:uid="{00000000-0005-0000-0000-000042000000}"/>
    <cellStyle name="60% - アクセント 5 5" xfId="179" xr:uid="{00000000-0005-0000-0000-000043000000}"/>
    <cellStyle name="60% - アクセント 6 2" xfId="63" xr:uid="{00000000-0005-0000-0000-000044000000}"/>
    <cellStyle name="60% - アクセント 6 3" xfId="64" xr:uid="{00000000-0005-0000-0000-000045000000}"/>
    <cellStyle name="60% - アクセント 6 4" xfId="65" xr:uid="{00000000-0005-0000-0000-000046000000}"/>
    <cellStyle name="60% - アクセント 6 5" xfId="180" xr:uid="{00000000-0005-0000-0000-000047000000}"/>
    <cellStyle name="Calc Currency (0)" xfId="1" xr:uid="{00000000-0005-0000-0000-000048000000}"/>
    <cellStyle name="Comma [0]" xfId="66" xr:uid="{00000000-0005-0000-0000-000049000000}"/>
    <cellStyle name="Comma [0] 2" xfId="67" xr:uid="{00000000-0005-0000-0000-00004A000000}"/>
    <cellStyle name="Currency [0]" xfId="68" xr:uid="{00000000-0005-0000-0000-00004B000000}"/>
    <cellStyle name="Grey" xfId="69" xr:uid="{00000000-0005-0000-0000-00004C000000}"/>
    <cellStyle name="Header1" xfId="2" xr:uid="{00000000-0005-0000-0000-00004D000000}"/>
    <cellStyle name="Header2" xfId="3" xr:uid="{00000000-0005-0000-0000-00004E000000}"/>
    <cellStyle name="Input [yellow]" xfId="70" xr:uid="{00000000-0005-0000-0000-00004F000000}"/>
    <cellStyle name="Normal - Style1" xfId="71" xr:uid="{00000000-0005-0000-0000-000050000000}"/>
    <cellStyle name="Normal_#18-Internet" xfId="4" xr:uid="{00000000-0005-0000-0000-000051000000}"/>
    <cellStyle name="Percent [2]" xfId="72" xr:uid="{00000000-0005-0000-0000-000052000000}"/>
    <cellStyle name="PSChar" xfId="73" xr:uid="{00000000-0005-0000-0000-000053000000}"/>
    <cellStyle name="PSHeading" xfId="74" xr:uid="{00000000-0005-0000-0000-000054000000}"/>
    <cellStyle name="u" xfId="5" xr:uid="{00000000-0005-0000-0000-000055000000}"/>
    <cellStyle name="アクセント 1 2" xfId="75" xr:uid="{00000000-0005-0000-0000-000056000000}"/>
    <cellStyle name="アクセント 1 3" xfId="76" xr:uid="{00000000-0005-0000-0000-000057000000}"/>
    <cellStyle name="アクセント 1 4" xfId="77" xr:uid="{00000000-0005-0000-0000-000058000000}"/>
    <cellStyle name="アクセント 1 5" xfId="181" xr:uid="{00000000-0005-0000-0000-000059000000}"/>
    <cellStyle name="アクセント 2 2" xfId="78" xr:uid="{00000000-0005-0000-0000-00005A000000}"/>
    <cellStyle name="アクセント 2 3" xfId="79" xr:uid="{00000000-0005-0000-0000-00005B000000}"/>
    <cellStyle name="アクセント 2 4" xfId="80" xr:uid="{00000000-0005-0000-0000-00005C000000}"/>
    <cellStyle name="アクセント 2 5" xfId="182" xr:uid="{00000000-0005-0000-0000-00005D000000}"/>
    <cellStyle name="アクセント 3 2" xfId="81" xr:uid="{00000000-0005-0000-0000-00005E000000}"/>
    <cellStyle name="アクセント 3 3" xfId="82" xr:uid="{00000000-0005-0000-0000-00005F000000}"/>
    <cellStyle name="アクセント 3 4" xfId="83" xr:uid="{00000000-0005-0000-0000-000060000000}"/>
    <cellStyle name="アクセント 3 5" xfId="183" xr:uid="{00000000-0005-0000-0000-000061000000}"/>
    <cellStyle name="アクセント 4 2" xfId="84" xr:uid="{00000000-0005-0000-0000-000062000000}"/>
    <cellStyle name="アクセント 4 3" xfId="85" xr:uid="{00000000-0005-0000-0000-000063000000}"/>
    <cellStyle name="アクセント 4 4" xfId="86" xr:uid="{00000000-0005-0000-0000-000064000000}"/>
    <cellStyle name="アクセント 4 5" xfId="184" xr:uid="{00000000-0005-0000-0000-000065000000}"/>
    <cellStyle name="アクセント 5 2" xfId="87" xr:uid="{00000000-0005-0000-0000-000066000000}"/>
    <cellStyle name="アクセント 5 3" xfId="88" xr:uid="{00000000-0005-0000-0000-000067000000}"/>
    <cellStyle name="アクセント 5 4" xfId="89" xr:uid="{00000000-0005-0000-0000-000068000000}"/>
    <cellStyle name="アクセント 6 2" xfId="90" xr:uid="{00000000-0005-0000-0000-000069000000}"/>
    <cellStyle name="アクセント 6 3" xfId="91" xr:uid="{00000000-0005-0000-0000-00006A000000}"/>
    <cellStyle name="アクセント 6 4" xfId="92" xr:uid="{00000000-0005-0000-0000-00006B000000}"/>
    <cellStyle name="アクセント 6 5" xfId="185" xr:uid="{00000000-0005-0000-0000-00006C000000}"/>
    <cellStyle name="タイトル 2" xfId="93" xr:uid="{00000000-0005-0000-0000-00006D000000}"/>
    <cellStyle name="タイトル 3" xfId="94" xr:uid="{00000000-0005-0000-0000-00006E000000}"/>
    <cellStyle name="タイトル 4" xfId="95" xr:uid="{00000000-0005-0000-0000-00006F000000}"/>
    <cellStyle name="タイトル 5" xfId="186" xr:uid="{00000000-0005-0000-0000-000070000000}"/>
    <cellStyle name="チェック セル 2" xfId="96" xr:uid="{00000000-0005-0000-0000-000071000000}"/>
    <cellStyle name="チェック セル 3" xfId="97" xr:uid="{00000000-0005-0000-0000-000072000000}"/>
    <cellStyle name="チェック セル 4" xfId="98" xr:uid="{00000000-0005-0000-0000-000073000000}"/>
    <cellStyle name="どちらでもない 2" xfId="99" xr:uid="{00000000-0005-0000-0000-000074000000}"/>
    <cellStyle name="どちらでもない 3" xfId="100" xr:uid="{00000000-0005-0000-0000-000075000000}"/>
    <cellStyle name="どちらでもない 4" xfId="101" xr:uid="{00000000-0005-0000-0000-000076000000}"/>
    <cellStyle name="どちらでもない 5" xfId="187" xr:uid="{00000000-0005-0000-0000-000077000000}"/>
    <cellStyle name="メモ 2" xfId="102" xr:uid="{00000000-0005-0000-0000-000078000000}"/>
    <cellStyle name="メモ 3" xfId="103" xr:uid="{00000000-0005-0000-0000-000079000000}"/>
    <cellStyle name="メモ 4" xfId="104" xr:uid="{00000000-0005-0000-0000-00007A000000}"/>
    <cellStyle name="メモ 5" xfId="188" xr:uid="{00000000-0005-0000-0000-00007B000000}"/>
    <cellStyle name="リンク セル 2" xfId="105" xr:uid="{00000000-0005-0000-0000-00007C000000}"/>
    <cellStyle name="リンク セル 3" xfId="106" xr:uid="{00000000-0005-0000-0000-00007D000000}"/>
    <cellStyle name="リンク セル 4" xfId="107" xr:uid="{00000000-0005-0000-0000-00007E000000}"/>
    <cellStyle name="リンク セル 5" xfId="189" xr:uid="{00000000-0005-0000-0000-00007F000000}"/>
    <cellStyle name="_x001d__x000c_K_x0014__x000d_&gt;V_x0001_&gt;_x0014_n_x001e__x0007__x0001__x0001_" xfId="108" xr:uid="{00000000-0005-0000-0000-000080000000}"/>
    <cellStyle name="_x001d__x000c_K_x0014__x000d_&gt;V_x0001_&gt;_x0014_n_x001e__x0007__x0001__x0001_ 2" xfId="109" xr:uid="{00000000-0005-0000-0000-000081000000}"/>
    <cellStyle name="_x001d__x000c_K_x0014__x000d_&gt;V_x0001_&gt;_x0014_n_x001e__x0007__x0001__x0001_ 3" xfId="110" xr:uid="{00000000-0005-0000-0000-000082000000}"/>
    <cellStyle name="_x001d__x000c_K_x0014__x000d_&gt;V_x0001_&gt;_x0014_n_x001e__x0007__x0001__x0001_ 4" xfId="190" xr:uid="{00000000-0005-0000-0000-000083000000}"/>
    <cellStyle name="悪い 2" xfId="111" xr:uid="{00000000-0005-0000-0000-000084000000}"/>
    <cellStyle name="悪い 3" xfId="112" xr:uid="{00000000-0005-0000-0000-000085000000}"/>
    <cellStyle name="悪い 4" xfId="113" xr:uid="{00000000-0005-0000-0000-000086000000}"/>
    <cellStyle name="悪い 5" xfId="191" xr:uid="{00000000-0005-0000-0000-000087000000}"/>
    <cellStyle name="計算 2" xfId="114" xr:uid="{00000000-0005-0000-0000-000088000000}"/>
    <cellStyle name="計算 3" xfId="115" xr:uid="{00000000-0005-0000-0000-000089000000}"/>
    <cellStyle name="計算 4" xfId="116" xr:uid="{00000000-0005-0000-0000-00008A000000}"/>
    <cellStyle name="計算 5" xfId="192" xr:uid="{00000000-0005-0000-0000-00008B000000}"/>
    <cellStyle name="警告文 2" xfId="117" xr:uid="{00000000-0005-0000-0000-00008C000000}"/>
    <cellStyle name="警告文 3" xfId="118" xr:uid="{00000000-0005-0000-0000-00008D000000}"/>
    <cellStyle name="警告文 4" xfId="119" xr:uid="{00000000-0005-0000-0000-00008E000000}"/>
    <cellStyle name="桁区切り 2" xfId="163" xr:uid="{00000000-0005-0000-0000-00008F000000}"/>
    <cellStyle name="見出し 1 2" xfId="120" xr:uid="{00000000-0005-0000-0000-000090000000}"/>
    <cellStyle name="見出し 1 3" xfId="121" xr:uid="{00000000-0005-0000-0000-000091000000}"/>
    <cellStyle name="見出し 1 4" xfId="122" xr:uid="{00000000-0005-0000-0000-000092000000}"/>
    <cellStyle name="見出し 1 5" xfId="193" xr:uid="{00000000-0005-0000-0000-000093000000}"/>
    <cellStyle name="見出し 2 2" xfId="123" xr:uid="{00000000-0005-0000-0000-000094000000}"/>
    <cellStyle name="見出し 2 3" xfId="124" xr:uid="{00000000-0005-0000-0000-000095000000}"/>
    <cellStyle name="見出し 2 4" xfId="125" xr:uid="{00000000-0005-0000-0000-000096000000}"/>
    <cellStyle name="見出し 2 5" xfId="194" xr:uid="{00000000-0005-0000-0000-000097000000}"/>
    <cellStyle name="見出し 3 2" xfId="126" xr:uid="{00000000-0005-0000-0000-000098000000}"/>
    <cellStyle name="見出し 3 3" xfId="127" xr:uid="{00000000-0005-0000-0000-000099000000}"/>
    <cellStyle name="見出し 3 4" xfId="128" xr:uid="{00000000-0005-0000-0000-00009A000000}"/>
    <cellStyle name="見出し 3 5" xfId="195" xr:uid="{00000000-0005-0000-0000-00009B000000}"/>
    <cellStyle name="見出し 4 2" xfId="129" xr:uid="{00000000-0005-0000-0000-00009C000000}"/>
    <cellStyle name="見出し 4 3" xfId="130" xr:uid="{00000000-0005-0000-0000-00009D000000}"/>
    <cellStyle name="見出し 4 4" xfId="131" xr:uid="{00000000-0005-0000-0000-00009E000000}"/>
    <cellStyle name="見出し 4 5" xfId="196" xr:uid="{00000000-0005-0000-0000-00009F000000}"/>
    <cellStyle name="作業ﾌﾛｰ" xfId="132" xr:uid="{00000000-0005-0000-0000-0000A0000000}"/>
    <cellStyle name="資料" xfId="133" xr:uid="{00000000-0005-0000-0000-0000A1000000}"/>
    <cellStyle name="資料２" xfId="134" xr:uid="{00000000-0005-0000-0000-0000A2000000}"/>
    <cellStyle name="集計 2" xfId="135" xr:uid="{00000000-0005-0000-0000-0000A3000000}"/>
    <cellStyle name="集計 3" xfId="136" xr:uid="{00000000-0005-0000-0000-0000A4000000}"/>
    <cellStyle name="集計 4" xfId="137" xr:uid="{00000000-0005-0000-0000-0000A5000000}"/>
    <cellStyle name="集計 5" xfId="197" xr:uid="{00000000-0005-0000-0000-0000A6000000}"/>
    <cellStyle name="出力 2" xfId="138" xr:uid="{00000000-0005-0000-0000-0000A7000000}"/>
    <cellStyle name="出力 3" xfId="139" xr:uid="{00000000-0005-0000-0000-0000A8000000}"/>
    <cellStyle name="出力 4" xfId="140" xr:uid="{00000000-0005-0000-0000-0000A9000000}"/>
    <cellStyle name="出力 5" xfId="198" xr:uid="{00000000-0005-0000-0000-0000AA000000}"/>
    <cellStyle name="説明文 2" xfId="141" xr:uid="{00000000-0005-0000-0000-0000AB000000}"/>
    <cellStyle name="説明文 3" xfId="142" xr:uid="{00000000-0005-0000-0000-0000AC000000}"/>
    <cellStyle name="説明文 4" xfId="143" xr:uid="{00000000-0005-0000-0000-0000AD000000}"/>
    <cellStyle name="入力 2" xfId="144" xr:uid="{00000000-0005-0000-0000-0000AE000000}"/>
    <cellStyle name="入力 3" xfId="145" xr:uid="{00000000-0005-0000-0000-0000AF000000}"/>
    <cellStyle name="入力 4" xfId="146" xr:uid="{00000000-0005-0000-0000-0000B0000000}"/>
    <cellStyle name="入力 5" xfId="199" xr:uid="{00000000-0005-0000-0000-0000B1000000}"/>
    <cellStyle name="標準" xfId="0" builtinId="0"/>
    <cellStyle name="標準 10" xfId="9" xr:uid="{00000000-0005-0000-0000-0000B3000000}"/>
    <cellStyle name="標準 2" xfId="147" xr:uid="{00000000-0005-0000-0000-0000B4000000}"/>
    <cellStyle name="標準 2 2" xfId="148" xr:uid="{00000000-0005-0000-0000-0000B5000000}"/>
    <cellStyle name="標準 3" xfId="149" xr:uid="{00000000-0005-0000-0000-0000B6000000}"/>
    <cellStyle name="標準 3 2" xfId="150" xr:uid="{00000000-0005-0000-0000-0000B7000000}"/>
    <cellStyle name="標準 4" xfId="151" xr:uid="{00000000-0005-0000-0000-0000B8000000}"/>
    <cellStyle name="標準 5" xfId="152" xr:uid="{00000000-0005-0000-0000-0000B9000000}"/>
    <cellStyle name="標準 6" xfId="153" xr:uid="{00000000-0005-0000-0000-0000BA000000}"/>
    <cellStyle name="標準 7" xfId="154" xr:uid="{00000000-0005-0000-0000-0000BB000000}"/>
    <cellStyle name="標準 8" xfId="155" xr:uid="{00000000-0005-0000-0000-0000BC000000}"/>
    <cellStyle name="標準 9" xfId="164" xr:uid="{00000000-0005-0000-0000-0000BD000000}"/>
    <cellStyle name="標準_02_変更来歴例" xfId="7" xr:uid="{00000000-0005-0000-0000-0000BE000000}"/>
    <cellStyle name="標準_A00200 オーダー状況" xfId="6" xr:uid="{00000000-0005-0000-0000-0000BF000000}"/>
    <cellStyle name="標準_変更来歴_1" xfId="8" xr:uid="{00000000-0005-0000-0000-0000C0000000}"/>
    <cellStyle name="標準2" xfId="156" xr:uid="{00000000-0005-0000-0000-0000C1000000}"/>
    <cellStyle name="標準２" xfId="157" xr:uid="{00000000-0005-0000-0000-0000C2000000}"/>
    <cellStyle name="標準2_DAIICH" xfId="158" xr:uid="{00000000-0005-0000-0000-0000C3000000}"/>
    <cellStyle name="未定義" xfId="159" xr:uid="{00000000-0005-0000-0000-0000C4000000}"/>
    <cellStyle name="良い 2" xfId="160" xr:uid="{00000000-0005-0000-0000-0000C5000000}"/>
    <cellStyle name="良い 3" xfId="161" xr:uid="{00000000-0005-0000-0000-0000C6000000}"/>
    <cellStyle name="良い 4" xfId="162" xr:uid="{00000000-0005-0000-0000-0000C7000000}"/>
    <cellStyle name="良い 5" xfId="200" xr:uid="{00000000-0005-0000-0000-0000C8000000}"/>
  </cellStyles>
  <dxfs count="0"/>
  <tableStyles count="0" defaultTableStyle="TableStyleMedium9" defaultPivotStyle="PivotStyleLight16"/>
  <colors>
    <mruColors>
      <color rgb="FFCCFFFF"/>
      <color rgb="FFCCEC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>
      <c r="A1" s="1"/>
      <c r="B1" s="1"/>
      <c r="C1" s="2"/>
      <c r="D1" s="3"/>
      <c r="E1" s="3"/>
      <c r="F1" s="3"/>
      <c r="G1" s="3"/>
    </row>
    <row r="2" spans="1:13">
      <c r="A2" s="6" t="s">
        <v>7</v>
      </c>
      <c r="B2" s="7" t="s">
        <v>0</v>
      </c>
      <c r="C2" s="8" t="s">
        <v>16</v>
      </c>
      <c r="D2" s="7" t="s">
        <v>1</v>
      </c>
      <c r="E2" s="8" t="s">
        <v>18</v>
      </c>
      <c r="F2" s="7" t="s">
        <v>274</v>
      </c>
      <c r="G2" s="8" t="s">
        <v>15</v>
      </c>
      <c r="H2" s="9"/>
      <c r="I2" s="9"/>
      <c r="J2" s="9"/>
      <c r="K2" s="9"/>
      <c r="L2" s="9"/>
      <c r="M2" s="9"/>
    </row>
    <row r="3" spans="1:13">
      <c r="A3" s="10"/>
      <c r="B3" s="7" t="s">
        <v>2</v>
      </c>
      <c r="C3" s="8" t="s">
        <v>17</v>
      </c>
      <c r="D3" s="7" t="s">
        <v>3</v>
      </c>
      <c r="E3" s="8" t="s">
        <v>19</v>
      </c>
      <c r="F3" s="7" t="s">
        <v>275</v>
      </c>
      <c r="G3" s="8"/>
      <c r="H3" s="5"/>
      <c r="I3" s="5"/>
    </row>
    <row r="4" spans="1:13">
      <c r="A4" s="4"/>
      <c r="B4" s="7"/>
      <c r="C4" s="7"/>
      <c r="D4" s="7" t="s">
        <v>4</v>
      </c>
      <c r="E4" s="11" t="s">
        <v>380</v>
      </c>
      <c r="F4" s="7" t="s">
        <v>5</v>
      </c>
      <c r="G4" s="8" t="s">
        <v>458</v>
      </c>
      <c r="I4" s="5"/>
      <c r="J4" s="4"/>
    </row>
    <row r="5" spans="1:13">
      <c r="A5" s="6" t="s">
        <v>8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>
      <c r="A6" s="16" t="s">
        <v>6</v>
      </c>
      <c r="B6" s="6"/>
      <c r="C6" s="17"/>
      <c r="D6" s="6"/>
      <c r="E6" s="6"/>
      <c r="F6" s="6"/>
      <c r="G6" s="6"/>
      <c r="H6" s="6"/>
      <c r="I6" s="18"/>
    </row>
    <row r="7" spans="1:13" s="9" customFormat="1">
      <c r="A7" s="5"/>
      <c r="B7" s="4"/>
      <c r="C7" s="19"/>
      <c r="D7" s="4"/>
      <c r="E7" s="4"/>
      <c r="F7" s="4"/>
      <c r="G7" s="4"/>
      <c r="H7" s="4"/>
      <c r="I7" s="20"/>
    </row>
    <row r="8" spans="1:13">
      <c r="B8" s="4"/>
      <c r="I8" s="20"/>
    </row>
    <row r="9" spans="1:13">
      <c r="B9" s="4"/>
      <c r="I9" s="20"/>
      <c r="J9" s="4"/>
    </row>
    <row r="10" spans="1:13">
      <c r="B10" s="4"/>
      <c r="I10" s="20"/>
      <c r="J10" s="4"/>
    </row>
    <row r="11" spans="1:13">
      <c r="B11" s="4"/>
      <c r="I11" s="20"/>
      <c r="J11" s="4"/>
    </row>
    <row r="12" spans="1:13">
      <c r="B12" s="4"/>
      <c r="I12" s="20"/>
      <c r="J12" s="4"/>
    </row>
    <row r="13" spans="1:13">
      <c r="B13" s="4"/>
      <c r="I13" s="20"/>
      <c r="J13" s="4"/>
    </row>
    <row r="14" spans="1:13">
      <c r="B14" s="4"/>
      <c r="I14" s="20"/>
      <c r="J14" s="4"/>
    </row>
    <row r="15" spans="1:13">
      <c r="B15" s="4"/>
      <c r="I15" s="20"/>
      <c r="J15" s="4"/>
    </row>
    <row r="16" spans="1:13">
      <c r="B16" s="4"/>
      <c r="I16" s="20"/>
      <c r="J16" s="4"/>
    </row>
    <row r="17" spans="1:10">
      <c r="B17" s="4"/>
      <c r="I17" s="20"/>
      <c r="J17" s="4"/>
    </row>
    <row r="18" spans="1:10">
      <c r="B18" s="4"/>
      <c r="I18" s="20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25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16.08984375" style="4" bestFit="1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4" t="s">
        <v>299</v>
      </c>
      <c r="B1" s="54" t="s">
        <v>299</v>
      </c>
      <c r="C1" s="54"/>
      <c r="D1" s="1" t="s">
        <v>381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55" t="s">
        <v>299</v>
      </c>
      <c r="B2" s="22"/>
      <c r="C2" s="22"/>
      <c r="D2" s="70" t="s">
        <v>477</v>
      </c>
      <c r="E2" s="7" t="s">
        <v>0</v>
      </c>
      <c r="F2" s="56" t="str">
        <f>IF(LogicCommon!C2="","",LogicCommon!C2)</f>
        <v>MS</v>
      </c>
      <c r="G2" s="7" t="s">
        <v>1</v>
      </c>
      <c r="H2" s="56" t="str">
        <f>IF(LogicCommon!E2="","",LogicCommon!E2)</f>
        <v>MSBFL5210</v>
      </c>
      <c r="I2" s="7" t="s">
        <v>320</v>
      </c>
      <c r="J2" s="8" t="s">
        <v>27</v>
      </c>
      <c r="K2" s="7" t="s">
        <v>274</v>
      </c>
      <c r="L2" s="56" t="str">
        <f>IF(LogicCommon!G2="","",LogicCommon!G2)</f>
        <v>MC</v>
      </c>
      <c r="M2" s="5" t="s">
        <v>375</v>
      </c>
      <c r="N2" s="23" t="s">
        <v>459</v>
      </c>
      <c r="O2" s="7"/>
      <c r="P2" s="7"/>
      <c r="Q2" s="4"/>
      <c r="R2" s="5"/>
      <c r="S2" s="5"/>
      <c r="T2" s="5"/>
      <c r="U2" s="5"/>
    </row>
    <row r="3" spans="1:21" s="10" customFormat="1">
      <c r="A3" s="57" t="s">
        <v>299</v>
      </c>
      <c r="B3" s="58"/>
      <c r="C3" s="58"/>
      <c r="D3" s="59" t="str">
        <f>IF(LogicCommon!A3="","",LogicCommon!A3)</f>
        <v/>
      </c>
      <c r="E3" s="7" t="s">
        <v>2</v>
      </c>
      <c r="F3" s="56" t="str">
        <f>IF(LogicCommon!C3="","",LogicCommon!C3)</f>
        <v>MSBF</v>
      </c>
      <c r="G3" s="7" t="s">
        <v>3</v>
      </c>
      <c r="H3" s="56" t="str">
        <f>IF(LogicCommon!E3="","",LogicCommon!E3)</f>
        <v>MSBFL_LotService</v>
      </c>
      <c r="I3" s="7" t="s">
        <v>344</v>
      </c>
      <c r="J3" s="8" t="s">
        <v>134</v>
      </c>
      <c r="K3" s="7" t="s">
        <v>275</v>
      </c>
      <c r="L3" s="56" t="str">
        <f>IF(LogicCommon!G3="","",LogicCommon!G3)</f>
        <v/>
      </c>
      <c r="M3" s="60"/>
      <c r="N3" s="7"/>
      <c r="O3" s="7" t="s">
        <v>345</v>
      </c>
      <c r="P3" s="8" t="s">
        <v>282</v>
      </c>
      <c r="Q3" s="4"/>
      <c r="R3" s="5"/>
      <c r="S3" s="5"/>
      <c r="T3" s="5"/>
      <c r="U3" s="5"/>
    </row>
    <row r="4" spans="1:21" s="10" customFormat="1">
      <c r="A4" s="57" t="s">
        <v>299</v>
      </c>
      <c r="B4" s="58"/>
      <c r="C4" s="58"/>
      <c r="D4" s="4"/>
      <c r="E4" s="7" t="s">
        <v>20</v>
      </c>
      <c r="F4" s="61" t="s">
        <v>346</v>
      </c>
      <c r="G4" s="7" t="s">
        <v>4</v>
      </c>
      <c r="H4" s="56" t="str">
        <f>IF(LogicCommon!E4="","",LogicCommon!E4)</f>
        <v>ロット情報サービス</v>
      </c>
      <c r="I4" s="7" t="s">
        <v>276</v>
      </c>
      <c r="J4" s="8" t="s">
        <v>28</v>
      </c>
      <c r="K4" s="7" t="s">
        <v>5</v>
      </c>
      <c r="L4" s="56" t="str">
        <f>IF(LogicCommon!G4="","",LogicCommon!G4)</f>
        <v>MS.MSUDL5010</v>
      </c>
      <c r="M4" s="62" t="s">
        <v>283</v>
      </c>
      <c r="N4" s="23"/>
      <c r="O4" s="63"/>
      <c r="P4" s="4"/>
      <c r="Q4" s="4"/>
      <c r="R4" s="5"/>
      <c r="S4" s="5"/>
      <c r="T4" s="5"/>
      <c r="U4" s="5"/>
    </row>
    <row r="5" spans="1:21" s="10" customFormat="1">
      <c r="A5" s="64" t="s">
        <v>299</v>
      </c>
      <c r="B5" s="54"/>
      <c r="C5" s="54"/>
      <c r="D5" s="21"/>
      <c r="E5" s="7" t="s">
        <v>298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</row>
    <row r="6" spans="1:21" s="10" customFormat="1">
      <c r="A6" s="57" t="s">
        <v>299</v>
      </c>
      <c r="B6" s="58"/>
      <c r="C6" s="58"/>
      <c r="D6" s="4" t="s">
        <v>8</v>
      </c>
      <c r="E6" s="12" t="s">
        <v>460</v>
      </c>
      <c r="F6" s="12"/>
      <c r="G6" s="12"/>
      <c r="H6" s="12"/>
      <c r="I6" s="12"/>
      <c r="J6" s="12"/>
      <c r="K6" s="12"/>
      <c r="L6" s="66"/>
      <c r="M6" s="15" t="s">
        <v>300</v>
      </c>
      <c r="N6" s="15"/>
      <c r="O6" s="15" t="s">
        <v>300</v>
      </c>
      <c r="P6" s="15"/>
      <c r="Q6" s="15" t="s">
        <v>300</v>
      </c>
      <c r="R6" s="4"/>
      <c r="S6" s="4"/>
      <c r="T6" s="4"/>
      <c r="U6" s="4"/>
    </row>
    <row r="7" spans="1:21" s="10" customFormat="1">
      <c r="A7" s="22" t="s">
        <v>21</v>
      </c>
      <c r="B7" s="22"/>
      <c r="C7" s="22"/>
      <c r="D7" s="6"/>
      <c r="E7" s="6"/>
      <c r="F7" s="6"/>
      <c r="G7" s="6"/>
      <c r="H7" s="6"/>
      <c r="I7" s="6" t="s">
        <v>22</v>
      </c>
      <c r="J7" s="6"/>
      <c r="K7" s="8" t="s">
        <v>23</v>
      </c>
      <c r="L7" s="24" t="s">
        <v>24</v>
      </c>
      <c r="M7" s="25"/>
      <c r="N7" s="24" t="s">
        <v>24</v>
      </c>
      <c r="O7" s="25"/>
      <c r="P7" s="24" t="s">
        <v>24</v>
      </c>
      <c r="Q7" s="25"/>
      <c r="R7" s="4"/>
      <c r="S7" s="4"/>
      <c r="T7" s="4"/>
      <c r="U7" s="4"/>
    </row>
    <row r="8" spans="1:21" s="10" customFormat="1" ht="60" customHeight="1">
      <c r="A8" s="25" t="s">
        <v>21</v>
      </c>
      <c r="B8" s="71"/>
      <c r="C8" s="72"/>
      <c r="D8" s="24" t="s">
        <v>478</v>
      </c>
      <c r="E8" s="24" t="s">
        <v>479</v>
      </c>
      <c r="F8" s="66"/>
      <c r="G8" s="24" t="s">
        <v>284</v>
      </c>
      <c r="H8" s="24" t="s">
        <v>480</v>
      </c>
      <c r="I8" s="66"/>
      <c r="J8" s="3"/>
      <c r="K8" s="8"/>
      <c r="L8" s="24" t="s">
        <v>25</v>
      </c>
      <c r="M8" s="25"/>
      <c r="N8" s="24" t="s">
        <v>25</v>
      </c>
      <c r="O8" s="25"/>
      <c r="P8" s="24" t="s">
        <v>25</v>
      </c>
      <c r="Q8" s="25"/>
      <c r="R8" s="3"/>
      <c r="S8" s="21"/>
      <c r="T8" s="128" t="s">
        <v>481</v>
      </c>
      <c r="U8" s="129"/>
    </row>
    <row r="9" spans="1:21" s="10" customFormat="1" ht="60" customHeight="1">
      <c r="A9" s="8" t="s">
        <v>21</v>
      </c>
      <c r="B9" s="28"/>
      <c r="C9" s="29"/>
      <c r="D9" s="24" t="s">
        <v>482</v>
      </c>
      <c r="E9" s="49" t="s">
        <v>483</v>
      </c>
      <c r="F9" s="24" t="s">
        <v>484</v>
      </c>
      <c r="G9" s="24" t="s">
        <v>485</v>
      </c>
      <c r="H9" s="24" t="s">
        <v>486</v>
      </c>
      <c r="I9" s="50" t="s">
        <v>487</v>
      </c>
      <c r="J9" s="24" t="s">
        <v>488</v>
      </c>
      <c r="K9" s="70"/>
      <c r="L9" s="50"/>
      <c r="M9" s="24"/>
      <c r="N9" s="50"/>
      <c r="O9" s="24"/>
      <c r="P9" s="50"/>
      <c r="Q9" s="24"/>
      <c r="R9" s="128" t="s">
        <v>489</v>
      </c>
      <c r="S9" s="129"/>
      <c r="T9" s="128" t="s">
        <v>490</v>
      </c>
      <c r="U9" s="129"/>
    </row>
    <row r="10" spans="1:21" s="10" customFormat="1" ht="39">
      <c r="A10" s="28" t="s">
        <v>21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487</v>
      </c>
      <c r="M10" s="24" t="s">
        <v>488</v>
      </c>
      <c r="N10" s="24" t="s">
        <v>487</v>
      </c>
      <c r="O10" s="24" t="s">
        <v>488</v>
      </c>
      <c r="P10" s="24" t="s">
        <v>487</v>
      </c>
      <c r="Q10" s="24" t="s">
        <v>488</v>
      </c>
      <c r="R10" s="30"/>
      <c r="S10" s="30"/>
      <c r="T10" s="35"/>
      <c r="U10" s="53"/>
    </row>
    <row r="11" spans="1:21" s="10" customFormat="1">
      <c r="A11" s="8">
        <v>10</v>
      </c>
      <c r="B11" s="28" t="s">
        <v>26</v>
      </c>
      <c r="C11" s="29"/>
      <c r="D11" s="23" t="s">
        <v>29</v>
      </c>
      <c r="E11" s="26" t="s">
        <v>131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30"/>
      <c r="U11" s="131"/>
    </row>
    <row r="12" spans="1:21" s="10" customFormat="1">
      <c r="A12" s="8">
        <v>10</v>
      </c>
      <c r="B12" s="8"/>
      <c r="C12" s="8"/>
      <c r="D12" s="8" t="s">
        <v>30</v>
      </c>
      <c r="E12" s="25" t="s">
        <v>31</v>
      </c>
      <c r="F12" s="25"/>
      <c r="G12" s="38" t="s">
        <v>491</v>
      </c>
      <c r="H12" s="38" t="s">
        <v>289</v>
      </c>
      <c r="I12" s="8" t="s">
        <v>292</v>
      </c>
      <c r="J12" s="8" t="s">
        <v>290</v>
      </c>
      <c r="K12" s="8"/>
      <c r="L12" s="8"/>
      <c r="M12" s="8"/>
      <c r="N12" s="8"/>
      <c r="O12" s="8"/>
      <c r="P12" s="8"/>
      <c r="Q12" s="8"/>
      <c r="R12" s="128"/>
      <c r="S12" s="129"/>
      <c r="T12" s="130"/>
      <c r="U12" s="131"/>
    </row>
    <row r="13" spans="1:21" s="10" customFormat="1">
      <c r="A13" s="8">
        <v>10</v>
      </c>
      <c r="B13" s="8"/>
      <c r="C13" s="8"/>
      <c r="D13" s="8" t="s">
        <v>285</v>
      </c>
      <c r="E13" s="25" t="s">
        <v>286</v>
      </c>
      <c r="F13" s="25"/>
      <c r="G13" s="38" t="s">
        <v>492</v>
      </c>
      <c r="H13" s="38" t="s">
        <v>277</v>
      </c>
      <c r="I13" s="8" t="s">
        <v>290</v>
      </c>
      <c r="J13" s="8"/>
      <c r="K13" s="8"/>
      <c r="L13" s="8"/>
      <c r="M13" s="8"/>
      <c r="N13" s="8"/>
      <c r="O13" s="8"/>
      <c r="P13" s="8"/>
      <c r="Q13" s="8"/>
      <c r="R13" s="49"/>
      <c r="S13" s="50"/>
      <c r="T13" s="51"/>
      <c r="U13" s="52"/>
    </row>
    <row r="14" spans="1:21" s="10" customFormat="1">
      <c r="A14" s="67">
        <v>10</v>
      </c>
      <c r="B14" s="67"/>
      <c r="C14" s="67"/>
      <c r="D14" s="67" t="s">
        <v>159</v>
      </c>
      <c r="E14" s="67" t="s">
        <v>158</v>
      </c>
      <c r="F14" s="67" t="s">
        <v>160</v>
      </c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8"/>
      <c r="S14" s="69"/>
      <c r="T14" s="67"/>
      <c r="U14" s="67"/>
    </row>
    <row r="15" spans="1:21" s="10" customFormat="1">
      <c r="A15" s="67">
        <v>10</v>
      </c>
      <c r="B15" s="8"/>
      <c r="C15" s="8"/>
      <c r="D15" s="8" t="s">
        <v>200</v>
      </c>
      <c r="E15" s="25" t="s">
        <v>287</v>
      </c>
      <c r="F15" s="25"/>
      <c r="G15" s="38" t="s">
        <v>493</v>
      </c>
      <c r="H15" s="38" t="s">
        <v>323</v>
      </c>
      <c r="I15" s="8" t="s">
        <v>292</v>
      </c>
      <c r="J15" s="8"/>
      <c r="K15" s="8"/>
      <c r="L15" s="8"/>
      <c r="M15" s="8"/>
      <c r="N15" s="8"/>
      <c r="O15" s="8"/>
      <c r="P15" s="8"/>
      <c r="Q15" s="8"/>
      <c r="R15" s="128"/>
      <c r="S15" s="129"/>
      <c r="T15" s="130"/>
      <c r="U15" s="131"/>
    </row>
    <row r="16" spans="1:21" s="10" customFormat="1">
      <c r="A16" s="67">
        <v>10</v>
      </c>
      <c r="B16" s="8"/>
      <c r="C16" s="8"/>
      <c r="D16" s="8" t="s">
        <v>201</v>
      </c>
      <c r="E16" s="25" t="s">
        <v>288</v>
      </c>
      <c r="F16" s="25"/>
      <c r="G16" s="38" t="s">
        <v>494</v>
      </c>
      <c r="H16" s="38" t="s">
        <v>278</v>
      </c>
      <c r="I16" s="8" t="s">
        <v>292</v>
      </c>
      <c r="J16" s="8"/>
      <c r="K16" s="8"/>
      <c r="L16" s="8"/>
      <c r="M16" s="8"/>
      <c r="N16" s="8"/>
      <c r="O16" s="8"/>
      <c r="P16" s="8"/>
      <c r="Q16" s="8"/>
      <c r="R16" s="128"/>
      <c r="S16" s="129"/>
      <c r="T16" s="130"/>
      <c r="U16" s="131"/>
    </row>
    <row r="17" spans="1:21" s="10" customFormat="1">
      <c r="A17" s="67">
        <v>10</v>
      </c>
      <c r="B17" s="8"/>
      <c r="C17" s="8"/>
      <c r="D17" s="8" t="s">
        <v>202</v>
      </c>
      <c r="E17" s="25" t="s">
        <v>288</v>
      </c>
      <c r="F17" s="25"/>
      <c r="G17" s="38" t="s">
        <v>495</v>
      </c>
      <c r="H17" s="38" t="s">
        <v>291</v>
      </c>
      <c r="I17" s="8" t="s">
        <v>292</v>
      </c>
      <c r="J17" s="8"/>
      <c r="K17" s="8"/>
      <c r="L17" s="8"/>
      <c r="M17" s="8"/>
      <c r="N17" s="8"/>
      <c r="O17" s="8"/>
      <c r="P17" s="8"/>
      <c r="Q17" s="8"/>
      <c r="R17" s="128"/>
      <c r="S17" s="129"/>
      <c r="T17" s="130"/>
      <c r="U17" s="131"/>
    </row>
    <row r="18" spans="1:21" s="10" customFormat="1">
      <c r="A18" s="67">
        <v>10</v>
      </c>
      <c r="B18" s="8"/>
      <c r="C18" s="8"/>
      <c r="D18" s="8" t="s">
        <v>203</v>
      </c>
      <c r="E18" s="25" t="s">
        <v>287</v>
      </c>
      <c r="F18" s="25"/>
      <c r="G18" s="38" t="s">
        <v>496</v>
      </c>
      <c r="H18" s="38" t="s">
        <v>279</v>
      </c>
      <c r="I18" s="8" t="s">
        <v>292</v>
      </c>
      <c r="J18" s="8"/>
      <c r="K18" s="8"/>
      <c r="L18" s="8"/>
      <c r="M18" s="8"/>
      <c r="N18" s="8"/>
      <c r="O18" s="8"/>
      <c r="P18" s="8"/>
      <c r="Q18" s="8"/>
      <c r="R18" s="128"/>
      <c r="S18" s="129"/>
      <c r="T18" s="130"/>
      <c r="U18" s="131"/>
    </row>
    <row r="19" spans="1:21" s="10" customFormat="1">
      <c r="A19" s="67">
        <v>10</v>
      </c>
      <c r="B19" s="8"/>
      <c r="C19" s="8"/>
      <c r="D19" s="8" t="s">
        <v>204</v>
      </c>
      <c r="E19" s="25" t="s">
        <v>288</v>
      </c>
      <c r="F19" s="25"/>
      <c r="G19" s="38" t="s">
        <v>497</v>
      </c>
      <c r="H19" s="38" t="s">
        <v>280</v>
      </c>
      <c r="I19" s="8" t="s">
        <v>292</v>
      </c>
      <c r="J19" s="8"/>
      <c r="K19" s="8"/>
      <c r="L19" s="8"/>
      <c r="M19" s="8"/>
      <c r="N19" s="8"/>
      <c r="O19" s="8"/>
      <c r="P19" s="8"/>
      <c r="Q19" s="8"/>
      <c r="R19" s="128"/>
      <c r="S19" s="129"/>
      <c r="T19" s="130"/>
      <c r="U19" s="131"/>
    </row>
    <row r="20" spans="1:21" s="10" customFormat="1">
      <c r="A20" s="67">
        <v>10</v>
      </c>
      <c r="B20" s="8"/>
      <c r="C20" s="8"/>
      <c r="D20" s="8" t="s">
        <v>205</v>
      </c>
      <c r="E20" s="25" t="s">
        <v>287</v>
      </c>
      <c r="F20" s="25"/>
      <c r="G20" s="38" t="s">
        <v>498</v>
      </c>
      <c r="H20" s="38" t="s">
        <v>382</v>
      </c>
      <c r="I20" s="8" t="s">
        <v>292</v>
      </c>
      <c r="J20" s="8"/>
      <c r="K20" s="8"/>
      <c r="L20" s="8"/>
      <c r="M20" s="8"/>
      <c r="N20" s="8"/>
      <c r="O20" s="8"/>
      <c r="P20" s="8"/>
      <c r="Q20" s="8"/>
      <c r="R20" s="128"/>
      <c r="S20" s="129"/>
      <c r="T20" s="130"/>
      <c r="U20" s="131"/>
    </row>
    <row r="21" spans="1:21" s="10" customFormat="1">
      <c r="A21" s="8">
        <v>10</v>
      </c>
      <c r="B21" s="8"/>
      <c r="C21" s="8"/>
      <c r="D21" s="8" t="s">
        <v>42</v>
      </c>
      <c r="E21" s="25" t="s">
        <v>43</v>
      </c>
      <c r="F21" s="25"/>
      <c r="G21" s="38" t="s">
        <v>499</v>
      </c>
      <c r="H21" s="38" t="s">
        <v>281</v>
      </c>
      <c r="I21" s="8"/>
      <c r="J21" s="8" t="s">
        <v>290</v>
      </c>
      <c r="K21" s="8"/>
      <c r="L21" s="8"/>
      <c r="M21" s="8"/>
      <c r="N21" s="8"/>
      <c r="O21" s="8"/>
      <c r="P21" s="8"/>
      <c r="Q21" s="8"/>
      <c r="R21" s="128"/>
      <c r="S21" s="129"/>
      <c r="T21" s="130"/>
      <c r="U21" s="131"/>
    </row>
    <row r="22" spans="1:21" s="10" customFormat="1">
      <c r="A22" s="57"/>
      <c r="U22" s="39"/>
    </row>
    <row r="23" spans="1:21" s="10" customFormat="1">
      <c r="A23" s="57"/>
      <c r="U23" s="39"/>
    </row>
    <row r="24" spans="1:21" s="10" customFormat="1">
      <c r="A24" s="57"/>
      <c r="U24" s="39"/>
    </row>
    <row r="25" spans="1:21" s="10" customFormat="1">
      <c r="A25" s="64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40"/>
    </row>
  </sheetData>
  <mergeCells count="20">
    <mergeCell ref="R20:S20"/>
    <mergeCell ref="T20:U20"/>
    <mergeCell ref="R21:S21"/>
    <mergeCell ref="T21:U21"/>
    <mergeCell ref="R17:S17"/>
    <mergeCell ref="T17:U17"/>
    <mergeCell ref="R18:S18"/>
    <mergeCell ref="T18:U18"/>
    <mergeCell ref="R19:S19"/>
    <mergeCell ref="T19:U19"/>
    <mergeCell ref="R15:S15"/>
    <mergeCell ref="T15:U15"/>
    <mergeCell ref="R16:S16"/>
    <mergeCell ref="T16:U16"/>
    <mergeCell ref="T8:U8"/>
    <mergeCell ref="R9:S9"/>
    <mergeCell ref="T9:U9"/>
    <mergeCell ref="T11:U11"/>
    <mergeCell ref="R12:S12"/>
    <mergeCell ref="T12:U1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2">
    <pageSetUpPr fitToPage="1"/>
  </sheetPr>
  <dimension ref="A1:U26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4" t="s">
        <v>299</v>
      </c>
      <c r="B1" s="54" t="s">
        <v>299</v>
      </c>
      <c r="C1" s="54"/>
      <c r="D1" s="1" t="s">
        <v>381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55" t="s">
        <v>299</v>
      </c>
      <c r="B2" s="22"/>
      <c r="C2" s="22"/>
      <c r="D2" s="70" t="s">
        <v>477</v>
      </c>
      <c r="E2" s="7" t="s">
        <v>0</v>
      </c>
      <c r="F2" s="56" t="str">
        <f>IF(LogicCommon!C2="","",LogicCommon!C2)</f>
        <v>MS</v>
      </c>
      <c r="G2" s="7" t="s">
        <v>1</v>
      </c>
      <c r="H2" s="56" t="str">
        <f>IF(LogicCommon!E2="","",LogicCommon!E2)</f>
        <v>MSBFL5210</v>
      </c>
      <c r="I2" s="7" t="s">
        <v>320</v>
      </c>
      <c r="J2" s="8" t="s">
        <v>44</v>
      </c>
      <c r="K2" s="7" t="s">
        <v>274</v>
      </c>
      <c r="L2" s="56" t="str">
        <f>IF(LogicCommon!G2="","",LogicCommon!G2)</f>
        <v>MC</v>
      </c>
      <c r="M2" s="5" t="s">
        <v>375</v>
      </c>
      <c r="N2" s="23" t="s">
        <v>459</v>
      </c>
      <c r="O2" s="7"/>
      <c r="P2" s="7"/>
      <c r="Q2" s="4"/>
      <c r="R2" s="5"/>
      <c r="S2" s="5"/>
      <c r="T2" s="5"/>
      <c r="U2" s="5"/>
    </row>
    <row r="3" spans="1:21" s="10" customFormat="1">
      <c r="A3" s="57" t="s">
        <v>299</v>
      </c>
      <c r="B3" s="58"/>
      <c r="C3" s="58"/>
      <c r="D3" s="59" t="str">
        <f>IF(LogicCommon!A3="","",LogicCommon!A3)</f>
        <v/>
      </c>
      <c r="E3" s="7" t="s">
        <v>2</v>
      </c>
      <c r="F3" s="56" t="str">
        <f>IF(LogicCommon!C3="","",LogicCommon!C3)</f>
        <v>MSBF</v>
      </c>
      <c r="G3" s="7" t="s">
        <v>3</v>
      </c>
      <c r="H3" s="56" t="str">
        <f>IF(LogicCommon!E3="","",LogicCommon!E3)</f>
        <v>MSBFL_LotService</v>
      </c>
      <c r="I3" s="7" t="s">
        <v>344</v>
      </c>
      <c r="J3" s="8" t="s">
        <v>134</v>
      </c>
      <c r="K3" s="7" t="s">
        <v>275</v>
      </c>
      <c r="L3" s="56" t="str">
        <f>IF(LogicCommon!G3="","",LogicCommon!G3)</f>
        <v/>
      </c>
      <c r="M3" s="60"/>
      <c r="N3" s="7"/>
      <c r="O3" s="7" t="s">
        <v>345</v>
      </c>
      <c r="P3" s="8" t="s">
        <v>282</v>
      </c>
      <c r="Q3" s="4"/>
      <c r="R3" s="5"/>
      <c r="S3" s="5"/>
      <c r="T3" s="5"/>
      <c r="U3" s="5"/>
    </row>
    <row r="4" spans="1:21" s="10" customFormat="1">
      <c r="A4" s="57" t="s">
        <v>299</v>
      </c>
      <c r="B4" s="58"/>
      <c r="C4" s="58"/>
      <c r="D4" s="4"/>
      <c r="E4" s="7" t="s">
        <v>20</v>
      </c>
      <c r="F4" s="61" t="s">
        <v>346</v>
      </c>
      <c r="G4" s="7" t="s">
        <v>4</v>
      </c>
      <c r="H4" s="56" t="str">
        <f>IF(LogicCommon!E4="","",LogicCommon!E4)</f>
        <v>ロット情報サービス</v>
      </c>
      <c r="I4" s="7" t="s">
        <v>276</v>
      </c>
      <c r="J4" s="8" t="s">
        <v>45</v>
      </c>
      <c r="K4" s="7" t="s">
        <v>5</v>
      </c>
      <c r="L4" s="56" t="str">
        <f>IF(LogicCommon!G4="","",LogicCommon!G4)</f>
        <v>MS.MSUDL5010</v>
      </c>
      <c r="M4" s="62" t="s">
        <v>283</v>
      </c>
      <c r="N4" s="23"/>
      <c r="O4" s="63"/>
      <c r="P4" s="4"/>
      <c r="Q4" s="4"/>
      <c r="R4" s="5"/>
      <c r="S4" s="5"/>
      <c r="T4" s="5"/>
      <c r="U4" s="5"/>
    </row>
    <row r="5" spans="1:21" s="10" customFormat="1">
      <c r="A5" s="64" t="s">
        <v>299</v>
      </c>
      <c r="B5" s="54"/>
      <c r="C5" s="54"/>
      <c r="D5" s="21"/>
      <c r="E5" s="7" t="s">
        <v>298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</row>
    <row r="6" spans="1:21" s="10" customFormat="1">
      <c r="A6" s="57" t="s">
        <v>299</v>
      </c>
      <c r="B6" s="58"/>
      <c r="C6" s="58"/>
      <c r="D6" s="4" t="s">
        <v>8</v>
      </c>
      <c r="E6" s="12" t="s">
        <v>461</v>
      </c>
      <c r="F6" s="12"/>
      <c r="G6" s="12"/>
      <c r="H6" s="12"/>
      <c r="I6" s="12"/>
      <c r="J6" s="12"/>
      <c r="K6" s="12"/>
      <c r="L6" s="66"/>
      <c r="M6" s="15" t="s">
        <v>300</v>
      </c>
      <c r="N6" s="15"/>
      <c r="O6" s="15" t="s">
        <v>300</v>
      </c>
      <c r="P6" s="15"/>
      <c r="Q6" s="15" t="s">
        <v>300</v>
      </c>
      <c r="R6" s="4"/>
      <c r="S6" s="4"/>
      <c r="T6" s="4"/>
      <c r="U6" s="4"/>
    </row>
    <row r="7" spans="1:21" s="10" customFormat="1">
      <c r="A7" s="22" t="s">
        <v>21</v>
      </c>
      <c r="B7" s="22"/>
      <c r="C7" s="22"/>
      <c r="D7" s="6"/>
      <c r="E7" s="6"/>
      <c r="F7" s="6"/>
      <c r="G7" s="6"/>
      <c r="H7" s="6"/>
      <c r="I7" s="6" t="s">
        <v>22</v>
      </c>
      <c r="J7" s="6"/>
      <c r="K7" s="8" t="s">
        <v>23</v>
      </c>
      <c r="L7" s="24" t="s">
        <v>24</v>
      </c>
      <c r="M7" s="25"/>
      <c r="N7" s="24" t="s">
        <v>24</v>
      </c>
      <c r="O7" s="25"/>
      <c r="P7" s="24" t="s">
        <v>24</v>
      </c>
      <c r="Q7" s="25"/>
      <c r="R7" s="4"/>
      <c r="S7" s="4"/>
      <c r="T7" s="4"/>
      <c r="U7" s="4"/>
    </row>
    <row r="8" spans="1:21" s="10" customFormat="1" ht="60" customHeight="1">
      <c r="A8" s="25" t="s">
        <v>21</v>
      </c>
      <c r="B8" s="71"/>
      <c r="C8" s="72"/>
      <c r="D8" s="24" t="s">
        <v>478</v>
      </c>
      <c r="E8" s="24" t="s">
        <v>479</v>
      </c>
      <c r="F8" s="66"/>
      <c r="G8" s="24" t="s">
        <v>284</v>
      </c>
      <c r="H8" s="24" t="s">
        <v>480</v>
      </c>
      <c r="I8" s="66"/>
      <c r="J8" s="3"/>
      <c r="K8" s="8"/>
      <c r="L8" s="24" t="s">
        <v>25</v>
      </c>
      <c r="M8" s="25"/>
      <c r="N8" s="24" t="s">
        <v>25</v>
      </c>
      <c r="O8" s="25"/>
      <c r="P8" s="24" t="s">
        <v>25</v>
      </c>
      <c r="Q8" s="25"/>
      <c r="R8" s="3"/>
      <c r="S8" s="21"/>
      <c r="T8" s="128" t="s">
        <v>481</v>
      </c>
      <c r="U8" s="129"/>
    </row>
    <row r="9" spans="1:21" s="10" customFormat="1" ht="60" customHeight="1">
      <c r="A9" s="8" t="s">
        <v>21</v>
      </c>
      <c r="B9" s="28"/>
      <c r="C9" s="29"/>
      <c r="D9" s="24" t="s">
        <v>482</v>
      </c>
      <c r="E9" s="49" t="s">
        <v>483</v>
      </c>
      <c r="F9" s="24" t="s">
        <v>484</v>
      </c>
      <c r="G9" s="24" t="s">
        <v>485</v>
      </c>
      <c r="H9" s="24" t="s">
        <v>486</v>
      </c>
      <c r="I9" s="50" t="s">
        <v>487</v>
      </c>
      <c r="J9" s="24" t="s">
        <v>488</v>
      </c>
      <c r="K9" s="70"/>
      <c r="L9" s="50"/>
      <c r="M9" s="24"/>
      <c r="N9" s="50"/>
      <c r="O9" s="24"/>
      <c r="P9" s="50"/>
      <c r="Q9" s="24"/>
      <c r="R9" s="128" t="s">
        <v>489</v>
      </c>
      <c r="S9" s="129"/>
      <c r="T9" s="128" t="s">
        <v>490</v>
      </c>
      <c r="U9" s="129"/>
    </row>
    <row r="10" spans="1:21" s="10" customFormat="1" ht="39">
      <c r="A10" s="28" t="s">
        <v>21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487</v>
      </c>
      <c r="M10" s="24" t="s">
        <v>488</v>
      </c>
      <c r="N10" s="24" t="s">
        <v>487</v>
      </c>
      <c r="O10" s="24" t="s">
        <v>488</v>
      </c>
      <c r="P10" s="24" t="s">
        <v>487</v>
      </c>
      <c r="Q10" s="24" t="s">
        <v>488</v>
      </c>
      <c r="R10" s="30"/>
      <c r="S10" s="30"/>
      <c r="T10" s="35"/>
      <c r="U10" s="53"/>
    </row>
    <row r="11" spans="1:21" s="10" customFormat="1">
      <c r="A11" s="8">
        <v>10</v>
      </c>
      <c r="B11" s="28" t="s">
        <v>26</v>
      </c>
      <c r="C11" s="29"/>
      <c r="D11" s="23" t="s">
        <v>46</v>
      </c>
      <c r="E11" s="26" t="s">
        <v>132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30"/>
      <c r="U11" s="131"/>
    </row>
    <row r="12" spans="1:21" s="10" customFormat="1">
      <c r="A12" s="8">
        <v>10</v>
      </c>
      <c r="B12" s="8"/>
      <c r="C12" s="8"/>
      <c r="D12" s="8" t="s">
        <v>30</v>
      </c>
      <c r="E12" s="25" t="s">
        <v>31</v>
      </c>
      <c r="F12" s="25"/>
      <c r="G12" s="38" t="s">
        <v>491</v>
      </c>
      <c r="H12" s="38" t="s">
        <v>289</v>
      </c>
      <c r="I12" s="8" t="s">
        <v>292</v>
      </c>
      <c r="J12" s="8" t="s">
        <v>290</v>
      </c>
      <c r="K12" s="8"/>
      <c r="L12" s="8"/>
      <c r="M12" s="8"/>
      <c r="N12" s="8"/>
      <c r="O12" s="8"/>
      <c r="P12" s="8"/>
      <c r="Q12" s="8"/>
      <c r="R12" s="128"/>
      <c r="S12" s="129"/>
      <c r="T12" s="130"/>
      <c r="U12" s="131"/>
    </row>
    <row r="13" spans="1:21" s="10" customFormat="1">
      <c r="A13" s="8">
        <v>10</v>
      </c>
      <c r="B13" s="8"/>
      <c r="C13" s="8"/>
      <c r="D13" s="8" t="s">
        <v>32</v>
      </c>
      <c r="E13" s="25" t="s">
        <v>33</v>
      </c>
      <c r="F13" s="25"/>
      <c r="G13" s="38" t="s">
        <v>493</v>
      </c>
      <c r="H13" s="38" t="s">
        <v>323</v>
      </c>
      <c r="I13" s="8" t="s">
        <v>292</v>
      </c>
      <c r="J13" s="8"/>
      <c r="K13" s="8"/>
      <c r="L13" s="8"/>
      <c r="M13" s="8"/>
      <c r="N13" s="8"/>
      <c r="O13" s="8"/>
      <c r="P13" s="8"/>
      <c r="Q13" s="8"/>
      <c r="R13" s="128"/>
      <c r="S13" s="129"/>
      <c r="T13" s="130"/>
      <c r="U13" s="131"/>
    </row>
    <row r="14" spans="1:21" s="10" customFormat="1">
      <c r="A14" s="8">
        <v>10</v>
      </c>
      <c r="B14" s="8"/>
      <c r="C14" s="8"/>
      <c r="D14" s="8" t="s">
        <v>34</v>
      </c>
      <c r="E14" s="25" t="s">
        <v>146</v>
      </c>
      <c r="F14" s="25"/>
      <c r="G14" s="38" t="s">
        <v>494</v>
      </c>
      <c r="H14" s="38" t="s">
        <v>278</v>
      </c>
      <c r="I14" s="8" t="s">
        <v>292</v>
      </c>
      <c r="J14" s="8"/>
      <c r="K14" s="8"/>
      <c r="L14" s="8"/>
      <c r="M14" s="8"/>
      <c r="N14" s="8"/>
      <c r="O14" s="8"/>
      <c r="P14" s="8"/>
      <c r="Q14" s="8"/>
      <c r="R14" s="128"/>
      <c r="S14" s="129"/>
      <c r="T14" s="130"/>
      <c r="U14" s="131"/>
    </row>
    <row r="15" spans="1:21" s="10" customFormat="1">
      <c r="A15" s="8">
        <v>10</v>
      </c>
      <c r="B15" s="8"/>
      <c r="C15" s="8"/>
      <c r="D15" s="8" t="s">
        <v>35</v>
      </c>
      <c r="E15" s="25" t="s">
        <v>294</v>
      </c>
      <c r="F15" s="25"/>
      <c r="G15" s="38" t="s">
        <v>495</v>
      </c>
      <c r="H15" s="38" t="s">
        <v>291</v>
      </c>
      <c r="I15" s="8" t="s">
        <v>292</v>
      </c>
      <c r="J15" s="8"/>
      <c r="K15" s="8"/>
      <c r="L15" s="8"/>
      <c r="M15" s="8"/>
      <c r="N15" s="8"/>
      <c r="O15" s="8"/>
      <c r="P15" s="8"/>
      <c r="Q15" s="8"/>
      <c r="R15" s="128"/>
      <c r="S15" s="129"/>
      <c r="T15" s="130"/>
      <c r="U15" s="131"/>
    </row>
    <row r="16" spans="1:21" s="10" customFormat="1">
      <c r="A16" s="8">
        <v>10</v>
      </c>
      <c r="B16" s="8"/>
      <c r="C16" s="8"/>
      <c r="D16" s="8" t="s">
        <v>36</v>
      </c>
      <c r="E16" s="25" t="s">
        <v>295</v>
      </c>
      <c r="F16" s="25"/>
      <c r="G16" s="38" t="s">
        <v>496</v>
      </c>
      <c r="H16" s="38" t="s">
        <v>279</v>
      </c>
      <c r="I16" s="8" t="s">
        <v>292</v>
      </c>
      <c r="J16" s="8"/>
      <c r="K16" s="8"/>
      <c r="L16" s="8"/>
      <c r="M16" s="8"/>
      <c r="N16" s="8"/>
      <c r="O16" s="8"/>
      <c r="P16" s="8"/>
      <c r="Q16" s="8"/>
      <c r="R16" s="128"/>
      <c r="S16" s="129"/>
      <c r="T16" s="130"/>
      <c r="U16" s="131"/>
    </row>
    <row r="17" spans="1:21" s="10" customFormat="1">
      <c r="A17" s="8">
        <v>10</v>
      </c>
      <c r="B17" s="8"/>
      <c r="C17" s="8"/>
      <c r="D17" s="8" t="s">
        <v>37</v>
      </c>
      <c r="E17" s="25" t="s">
        <v>38</v>
      </c>
      <c r="F17" s="25"/>
      <c r="G17" s="38" t="s">
        <v>497</v>
      </c>
      <c r="H17" s="38" t="s">
        <v>280</v>
      </c>
      <c r="I17" s="8" t="s">
        <v>292</v>
      </c>
      <c r="J17" s="8"/>
      <c r="K17" s="8"/>
      <c r="L17" s="8"/>
      <c r="M17" s="8"/>
      <c r="N17" s="8"/>
      <c r="O17" s="8"/>
      <c r="P17" s="8"/>
      <c r="Q17" s="8"/>
      <c r="R17" s="128"/>
      <c r="S17" s="129"/>
      <c r="T17" s="130"/>
      <c r="U17" s="131"/>
    </row>
    <row r="18" spans="1:21" s="10" customFormat="1">
      <c r="A18" s="8">
        <v>10</v>
      </c>
      <c r="B18" s="8"/>
      <c r="C18" s="8"/>
      <c r="D18" s="8" t="s">
        <v>39</v>
      </c>
      <c r="E18" s="25" t="s">
        <v>40</v>
      </c>
      <c r="F18" s="25"/>
      <c r="G18" s="38" t="s">
        <v>498</v>
      </c>
      <c r="H18" s="38" t="s">
        <v>382</v>
      </c>
      <c r="I18" s="8" t="s">
        <v>292</v>
      </c>
      <c r="J18" s="8"/>
      <c r="K18" s="8"/>
      <c r="L18" s="8"/>
      <c r="M18" s="8"/>
      <c r="N18" s="8"/>
      <c r="O18" s="8"/>
      <c r="P18" s="8"/>
      <c r="Q18" s="8"/>
      <c r="R18" s="128"/>
      <c r="S18" s="129"/>
      <c r="T18" s="130"/>
      <c r="U18" s="131"/>
    </row>
    <row r="19" spans="1:21" s="10" customFormat="1">
      <c r="A19" s="8">
        <v>10</v>
      </c>
      <c r="B19" s="8"/>
      <c r="C19" s="8"/>
      <c r="D19" s="8" t="s">
        <v>296</v>
      </c>
      <c r="E19" s="25" t="s">
        <v>206</v>
      </c>
      <c r="F19" s="25"/>
      <c r="G19" s="38" t="s">
        <v>500</v>
      </c>
      <c r="H19" s="38" t="s">
        <v>293</v>
      </c>
      <c r="I19" s="8"/>
      <c r="J19" s="8"/>
      <c r="K19" s="8"/>
      <c r="L19" s="8"/>
      <c r="M19" s="8"/>
      <c r="N19" s="8"/>
      <c r="O19" s="8"/>
      <c r="P19" s="8"/>
      <c r="Q19" s="8"/>
      <c r="R19" s="49"/>
      <c r="S19" s="50"/>
      <c r="T19" s="51"/>
      <c r="U19" s="52"/>
    </row>
    <row r="20" spans="1:21" s="10" customFormat="1">
      <c r="A20" s="8">
        <v>10</v>
      </c>
      <c r="B20" s="8"/>
      <c r="C20" s="8"/>
      <c r="D20" s="8" t="s">
        <v>297</v>
      </c>
      <c r="E20" s="25" t="s">
        <v>207</v>
      </c>
      <c r="F20" s="25"/>
      <c r="G20" s="38" t="s">
        <v>501</v>
      </c>
      <c r="H20" s="38" t="s">
        <v>383</v>
      </c>
      <c r="I20" s="8"/>
      <c r="J20" s="8"/>
      <c r="K20" s="8"/>
      <c r="L20" s="8"/>
      <c r="M20" s="8"/>
      <c r="N20" s="8"/>
      <c r="O20" s="8"/>
      <c r="P20" s="8"/>
      <c r="Q20" s="8"/>
      <c r="R20" s="49"/>
      <c r="S20" s="50"/>
      <c r="T20" s="51"/>
      <c r="U20" s="52"/>
    </row>
    <row r="21" spans="1:21" s="10" customFormat="1">
      <c r="A21" s="8">
        <v>10</v>
      </c>
      <c r="B21" s="8"/>
      <c r="C21" s="8"/>
      <c r="D21" s="8" t="s">
        <v>474</v>
      </c>
      <c r="E21" s="25" t="s">
        <v>43</v>
      </c>
      <c r="F21" s="25"/>
      <c r="G21" s="38"/>
      <c r="H21" s="38"/>
      <c r="I21" s="8" t="s">
        <v>475</v>
      </c>
      <c r="J21" s="8"/>
      <c r="K21" s="8"/>
      <c r="L21" s="8"/>
      <c r="M21" s="8"/>
      <c r="N21" s="8"/>
      <c r="O21" s="8"/>
      <c r="P21" s="8"/>
      <c r="Q21" s="8"/>
      <c r="R21" s="128"/>
      <c r="S21" s="129"/>
      <c r="T21" s="130"/>
      <c r="U21" s="131"/>
    </row>
    <row r="22" spans="1:21" s="10" customFormat="1">
      <c r="A22" s="8">
        <v>10</v>
      </c>
      <c r="B22" s="8"/>
      <c r="C22" s="8"/>
      <c r="D22" s="8" t="s">
        <v>42</v>
      </c>
      <c r="E22" s="25" t="s">
        <v>43</v>
      </c>
      <c r="F22" s="25"/>
      <c r="G22" s="38" t="s">
        <v>499</v>
      </c>
      <c r="H22" s="38" t="s">
        <v>281</v>
      </c>
      <c r="I22" s="8"/>
      <c r="J22" s="8" t="s">
        <v>290</v>
      </c>
      <c r="K22" s="8"/>
      <c r="L22" s="8"/>
      <c r="M22" s="8"/>
      <c r="N22" s="8"/>
      <c r="O22" s="8"/>
      <c r="P22" s="8"/>
      <c r="Q22" s="8"/>
      <c r="R22" s="128"/>
      <c r="S22" s="129"/>
      <c r="T22" s="130"/>
      <c r="U22" s="131"/>
    </row>
    <row r="23" spans="1:21" s="10" customFormat="1">
      <c r="A23" s="57"/>
      <c r="U23" s="39"/>
    </row>
    <row r="24" spans="1:21" s="10" customFormat="1">
      <c r="A24" s="57"/>
      <c r="U24" s="39"/>
    </row>
    <row r="25" spans="1:21" s="10" customFormat="1">
      <c r="A25" s="57"/>
      <c r="U25" s="39"/>
    </row>
    <row r="26" spans="1:21" s="10" customFormat="1">
      <c r="A26" s="64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40"/>
    </row>
  </sheetData>
  <mergeCells count="22">
    <mergeCell ref="R18:S18"/>
    <mergeCell ref="T18:U18"/>
    <mergeCell ref="R22:S22"/>
    <mergeCell ref="T22:U22"/>
    <mergeCell ref="R15:S15"/>
    <mergeCell ref="T15:U15"/>
    <mergeCell ref="R16:S16"/>
    <mergeCell ref="T16:U16"/>
    <mergeCell ref="R17:S17"/>
    <mergeCell ref="T17:U17"/>
    <mergeCell ref="R21:S21"/>
    <mergeCell ref="T21:U21"/>
    <mergeCell ref="R13:S13"/>
    <mergeCell ref="T13:U13"/>
    <mergeCell ref="R14:S14"/>
    <mergeCell ref="T14:U14"/>
    <mergeCell ref="T8:U8"/>
    <mergeCell ref="R9:S9"/>
    <mergeCell ref="T9:U9"/>
    <mergeCell ref="T11:U11"/>
    <mergeCell ref="R12:S12"/>
    <mergeCell ref="T12:U1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3">
    <pageSetUpPr fitToPage="1"/>
  </sheetPr>
  <dimension ref="A1:U35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4" t="s">
        <v>299</v>
      </c>
      <c r="B1" s="54" t="s">
        <v>299</v>
      </c>
      <c r="C1" s="54"/>
      <c r="D1" s="1" t="s">
        <v>381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55" t="s">
        <v>299</v>
      </c>
      <c r="B2" s="22"/>
      <c r="C2" s="22"/>
      <c r="D2" s="70" t="s">
        <v>477</v>
      </c>
      <c r="E2" s="7" t="s">
        <v>0</v>
      </c>
      <c r="F2" s="56" t="str">
        <f>IF(LogicCommon!C2="","",LogicCommon!C2)</f>
        <v>MS</v>
      </c>
      <c r="G2" s="7" t="s">
        <v>1</v>
      </c>
      <c r="H2" s="56" t="str">
        <f>IF(LogicCommon!E2="","",LogicCommon!E2)</f>
        <v>MSBFL5210</v>
      </c>
      <c r="I2" s="7" t="s">
        <v>320</v>
      </c>
      <c r="J2" s="8" t="s">
        <v>47</v>
      </c>
      <c r="K2" s="7" t="s">
        <v>274</v>
      </c>
      <c r="L2" s="56" t="str">
        <f>IF(LogicCommon!G2="","",LogicCommon!G2)</f>
        <v>MC</v>
      </c>
      <c r="M2" s="5" t="s">
        <v>375</v>
      </c>
      <c r="N2" s="23" t="s">
        <v>459</v>
      </c>
      <c r="O2" s="7"/>
      <c r="P2" s="7"/>
      <c r="Q2" s="4"/>
      <c r="R2" s="5"/>
      <c r="S2" s="5"/>
      <c r="T2" s="5"/>
      <c r="U2" s="5"/>
    </row>
    <row r="3" spans="1:21" s="10" customFormat="1">
      <c r="A3" s="57" t="s">
        <v>299</v>
      </c>
      <c r="B3" s="58"/>
      <c r="C3" s="58"/>
      <c r="D3" s="59" t="str">
        <f>IF(LogicCommon!A3="","",LogicCommon!A3)</f>
        <v/>
      </c>
      <c r="E3" s="7" t="s">
        <v>2</v>
      </c>
      <c r="F3" s="56" t="str">
        <f>IF(LogicCommon!C3="","",LogicCommon!C3)</f>
        <v>MSBF</v>
      </c>
      <c r="G3" s="7" t="s">
        <v>3</v>
      </c>
      <c r="H3" s="56" t="str">
        <f>IF(LogicCommon!E3="","",LogicCommon!E3)</f>
        <v>MSBFL_LotService</v>
      </c>
      <c r="I3" s="7" t="s">
        <v>344</v>
      </c>
      <c r="J3" s="8" t="s">
        <v>134</v>
      </c>
      <c r="K3" s="7" t="s">
        <v>275</v>
      </c>
      <c r="L3" s="56" t="str">
        <f>IF(LogicCommon!G3="","",LogicCommon!G3)</f>
        <v/>
      </c>
      <c r="M3" s="60"/>
      <c r="N3" s="7"/>
      <c r="O3" s="7" t="s">
        <v>345</v>
      </c>
      <c r="P3" s="8" t="s">
        <v>282</v>
      </c>
      <c r="Q3" s="4"/>
      <c r="R3" s="5"/>
      <c r="S3" s="5"/>
      <c r="T3" s="5"/>
      <c r="U3" s="5"/>
    </row>
    <row r="4" spans="1:21" s="10" customFormat="1">
      <c r="A4" s="57" t="s">
        <v>299</v>
      </c>
      <c r="B4" s="58"/>
      <c r="C4" s="58"/>
      <c r="D4" s="4"/>
      <c r="E4" s="7" t="s">
        <v>20</v>
      </c>
      <c r="F4" s="61" t="s">
        <v>346</v>
      </c>
      <c r="G4" s="7" t="s">
        <v>4</v>
      </c>
      <c r="H4" s="56" t="str">
        <f>IF(LogicCommon!E4="","",LogicCommon!E4)</f>
        <v>ロット情報サービス</v>
      </c>
      <c r="I4" s="7" t="s">
        <v>276</v>
      </c>
      <c r="J4" s="8" t="s">
        <v>48</v>
      </c>
      <c r="K4" s="7" t="s">
        <v>5</v>
      </c>
      <c r="L4" s="56" t="str">
        <f>IF(LogicCommon!G4="","",LogicCommon!G4)</f>
        <v>MS.MSUDL5010</v>
      </c>
      <c r="M4" s="62" t="s">
        <v>283</v>
      </c>
      <c r="N4" s="23"/>
      <c r="O4" s="63"/>
      <c r="P4" s="4"/>
      <c r="Q4" s="4"/>
      <c r="R4" s="5"/>
      <c r="S4" s="5"/>
      <c r="T4" s="5"/>
      <c r="U4" s="5"/>
    </row>
    <row r="5" spans="1:21" s="10" customFormat="1">
      <c r="A5" s="64" t="s">
        <v>299</v>
      </c>
      <c r="B5" s="54"/>
      <c r="C5" s="54"/>
      <c r="D5" s="21"/>
      <c r="E5" s="7" t="s">
        <v>298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</row>
    <row r="6" spans="1:21" s="10" customFormat="1">
      <c r="A6" s="57" t="s">
        <v>299</v>
      </c>
      <c r="B6" s="58"/>
      <c r="C6" s="58"/>
      <c r="D6" s="4" t="s">
        <v>8</v>
      </c>
      <c r="E6" s="12" t="s">
        <v>462</v>
      </c>
      <c r="F6" s="12"/>
      <c r="G6" s="12"/>
      <c r="H6" s="12"/>
      <c r="I6" s="12"/>
      <c r="J6" s="12"/>
      <c r="K6" s="12"/>
      <c r="L6" s="66"/>
      <c r="M6" s="15" t="s">
        <v>300</v>
      </c>
      <c r="N6" s="15"/>
      <c r="O6" s="15" t="s">
        <v>300</v>
      </c>
      <c r="P6" s="15"/>
      <c r="Q6" s="15" t="s">
        <v>300</v>
      </c>
      <c r="R6" s="4"/>
      <c r="S6" s="4"/>
      <c r="T6" s="4"/>
      <c r="U6" s="4"/>
    </row>
    <row r="7" spans="1:21" s="10" customFormat="1">
      <c r="A7" s="22" t="s">
        <v>21</v>
      </c>
      <c r="B7" s="22"/>
      <c r="C7" s="22"/>
      <c r="D7" s="6"/>
      <c r="E7" s="6"/>
      <c r="F7" s="6"/>
      <c r="G7" s="6"/>
      <c r="H7" s="6"/>
      <c r="I7" s="6" t="s">
        <v>22</v>
      </c>
      <c r="J7" s="6"/>
      <c r="K7" s="8" t="s">
        <v>23</v>
      </c>
      <c r="L7" s="24" t="s">
        <v>24</v>
      </c>
      <c r="M7" s="25"/>
      <c r="N7" s="24" t="s">
        <v>24</v>
      </c>
      <c r="O7" s="25"/>
      <c r="P7" s="24" t="s">
        <v>24</v>
      </c>
      <c r="Q7" s="25"/>
      <c r="R7" s="4"/>
      <c r="S7" s="4"/>
      <c r="T7" s="4"/>
      <c r="U7" s="4"/>
    </row>
    <row r="8" spans="1:21" s="10" customFormat="1" ht="60" customHeight="1">
      <c r="A8" s="25" t="s">
        <v>21</v>
      </c>
      <c r="B8" s="71"/>
      <c r="C8" s="72"/>
      <c r="D8" s="24" t="s">
        <v>478</v>
      </c>
      <c r="E8" s="24" t="s">
        <v>479</v>
      </c>
      <c r="F8" s="66"/>
      <c r="G8" s="24" t="s">
        <v>284</v>
      </c>
      <c r="H8" s="24" t="s">
        <v>480</v>
      </c>
      <c r="I8" s="66"/>
      <c r="J8" s="3"/>
      <c r="K8" s="8"/>
      <c r="L8" s="24" t="s">
        <v>25</v>
      </c>
      <c r="M8" s="25"/>
      <c r="N8" s="24" t="s">
        <v>25</v>
      </c>
      <c r="O8" s="25"/>
      <c r="P8" s="24" t="s">
        <v>25</v>
      </c>
      <c r="Q8" s="25"/>
      <c r="R8" s="3"/>
      <c r="S8" s="21"/>
      <c r="T8" s="128" t="s">
        <v>481</v>
      </c>
      <c r="U8" s="129"/>
    </row>
    <row r="9" spans="1:21" s="10" customFormat="1" ht="60" customHeight="1">
      <c r="A9" s="8" t="s">
        <v>21</v>
      </c>
      <c r="B9" s="28"/>
      <c r="C9" s="29"/>
      <c r="D9" s="24" t="s">
        <v>482</v>
      </c>
      <c r="E9" s="49" t="s">
        <v>483</v>
      </c>
      <c r="F9" s="24" t="s">
        <v>484</v>
      </c>
      <c r="G9" s="24" t="s">
        <v>485</v>
      </c>
      <c r="H9" s="24" t="s">
        <v>486</v>
      </c>
      <c r="I9" s="50" t="s">
        <v>487</v>
      </c>
      <c r="J9" s="24" t="s">
        <v>488</v>
      </c>
      <c r="K9" s="70"/>
      <c r="L9" s="50"/>
      <c r="M9" s="24"/>
      <c r="N9" s="50"/>
      <c r="O9" s="24"/>
      <c r="P9" s="50"/>
      <c r="Q9" s="24"/>
      <c r="R9" s="128" t="s">
        <v>489</v>
      </c>
      <c r="S9" s="129"/>
      <c r="T9" s="128" t="s">
        <v>490</v>
      </c>
      <c r="U9" s="129"/>
    </row>
    <row r="10" spans="1:21" s="10" customFormat="1" ht="39">
      <c r="A10" s="28" t="s">
        <v>21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487</v>
      </c>
      <c r="M10" s="24" t="s">
        <v>488</v>
      </c>
      <c r="N10" s="24" t="s">
        <v>487</v>
      </c>
      <c r="O10" s="24" t="s">
        <v>488</v>
      </c>
      <c r="P10" s="24" t="s">
        <v>487</v>
      </c>
      <c r="Q10" s="24" t="s">
        <v>488</v>
      </c>
      <c r="R10" s="30"/>
      <c r="S10" s="30"/>
      <c r="T10" s="35"/>
      <c r="U10" s="53"/>
    </row>
    <row r="11" spans="1:21" s="10" customFormat="1">
      <c r="A11" s="8">
        <v>10</v>
      </c>
      <c r="B11" s="28" t="s">
        <v>26</v>
      </c>
      <c r="C11" s="29"/>
      <c r="D11" s="23" t="s">
        <v>49</v>
      </c>
      <c r="E11" s="26" t="s">
        <v>133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30"/>
      <c r="U11" s="131"/>
    </row>
    <row r="12" spans="1:21" s="10" customFormat="1">
      <c r="A12" s="8">
        <v>10</v>
      </c>
      <c r="B12" s="8"/>
      <c r="C12" s="8"/>
      <c r="D12" s="8" t="s">
        <v>30</v>
      </c>
      <c r="E12" s="25" t="s">
        <v>31</v>
      </c>
      <c r="F12" s="25"/>
      <c r="G12" s="38" t="s">
        <v>491</v>
      </c>
      <c r="H12" s="38" t="s">
        <v>289</v>
      </c>
      <c r="I12" s="8" t="s">
        <v>292</v>
      </c>
      <c r="J12" s="8" t="s">
        <v>290</v>
      </c>
      <c r="K12" s="8"/>
      <c r="L12" s="8"/>
      <c r="M12" s="8"/>
      <c r="N12" s="8"/>
      <c r="O12" s="8"/>
      <c r="P12" s="8"/>
      <c r="Q12" s="8"/>
      <c r="R12" s="128"/>
      <c r="S12" s="129"/>
      <c r="T12" s="130"/>
      <c r="U12" s="131"/>
    </row>
    <row r="13" spans="1:21" s="10" customFormat="1">
      <c r="A13" s="67">
        <v>10</v>
      </c>
      <c r="B13" s="67"/>
      <c r="C13" s="67"/>
      <c r="D13" s="67" t="s">
        <v>159</v>
      </c>
      <c r="E13" s="67" t="s">
        <v>158</v>
      </c>
      <c r="F13" s="67" t="s">
        <v>160</v>
      </c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8"/>
      <c r="S13" s="69"/>
      <c r="T13" s="67"/>
      <c r="U13" s="67"/>
    </row>
    <row r="14" spans="1:21" s="10" customFormat="1">
      <c r="A14" s="67">
        <v>10</v>
      </c>
      <c r="B14" s="8"/>
      <c r="C14" s="8"/>
      <c r="D14" s="8" t="s">
        <v>307</v>
      </c>
      <c r="E14" s="25" t="s">
        <v>308</v>
      </c>
      <c r="F14" s="25"/>
      <c r="G14" s="38" t="s">
        <v>493</v>
      </c>
      <c r="H14" s="38" t="s">
        <v>323</v>
      </c>
      <c r="I14" s="8" t="s">
        <v>292</v>
      </c>
      <c r="J14" s="8"/>
      <c r="K14" s="8"/>
      <c r="L14" s="8"/>
      <c r="M14" s="8"/>
      <c r="N14" s="8"/>
      <c r="O14" s="8"/>
      <c r="P14" s="8"/>
      <c r="Q14" s="8"/>
      <c r="R14" s="128"/>
      <c r="S14" s="129"/>
      <c r="T14" s="130"/>
      <c r="U14" s="131"/>
    </row>
    <row r="15" spans="1:21" s="10" customFormat="1">
      <c r="A15" s="67">
        <v>10</v>
      </c>
      <c r="B15" s="8"/>
      <c r="C15" s="8"/>
      <c r="D15" s="8" t="s">
        <v>208</v>
      </c>
      <c r="E15" s="25" t="s">
        <v>308</v>
      </c>
      <c r="F15" s="25"/>
      <c r="G15" s="38" t="s">
        <v>494</v>
      </c>
      <c r="H15" s="38" t="s">
        <v>278</v>
      </c>
      <c r="I15" s="8" t="s">
        <v>292</v>
      </c>
      <c r="J15" s="8"/>
      <c r="K15" s="8"/>
      <c r="L15" s="8"/>
      <c r="M15" s="8"/>
      <c r="N15" s="8"/>
      <c r="O15" s="8"/>
      <c r="P15" s="8"/>
      <c r="Q15" s="8"/>
      <c r="R15" s="128"/>
      <c r="S15" s="129"/>
      <c r="T15" s="130"/>
      <c r="U15" s="131"/>
    </row>
    <row r="16" spans="1:21" s="10" customFormat="1">
      <c r="A16" s="67">
        <v>10</v>
      </c>
      <c r="B16" s="8"/>
      <c r="C16" s="8"/>
      <c r="D16" s="8" t="s">
        <v>209</v>
      </c>
      <c r="E16" s="25" t="s">
        <v>309</v>
      </c>
      <c r="F16" s="25"/>
      <c r="G16" s="38" t="s">
        <v>495</v>
      </c>
      <c r="H16" s="38" t="s">
        <v>291</v>
      </c>
      <c r="I16" s="8" t="s">
        <v>292</v>
      </c>
      <c r="J16" s="8"/>
      <c r="K16" s="8"/>
      <c r="L16" s="8"/>
      <c r="M16" s="8"/>
      <c r="N16" s="8"/>
      <c r="O16" s="8"/>
      <c r="P16" s="8"/>
      <c r="Q16" s="8"/>
      <c r="R16" s="128"/>
      <c r="S16" s="129"/>
      <c r="T16" s="130"/>
      <c r="U16" s="131"/>
    </row>
    <row r="17" spans="1:21" s="10" customFormat="1">
      <c r="A17" s="67">
        <v>10</v>
      </c>
      <c r="B17" s="8"/>
      <c r="C17" s="8"/>
      <c r="D17" s="8" t="s">
        <v>210</v>
      </c>
      <c r="E17" s="25" t="s">
        <v>310</v>
      </c>
      <c r="F17" s="25"/>
      <c r="G17" s="38" t="s">
        <v>496</v>
      </c>
      <c r="H17" s="38" t="s">
        <v>279</v>
      </c>
      <c r="I17" s="8" t="s">
        <v>292</v>
      </c>
      <c r="J17" s="8"/>
      <c r="K17" s="8"/>
      <c r="L17" s="8"/>
      <c r="M17" s="8"/>
      <c r="N17" s="8"/>
      <c r="O17" s="8"/>
      <c r="P17" s="8"/>
      <c r="Q17" s="8"/>
      <c r="R17" s="128"/>
      <c r="S17" s="129"/>
      <c r="T17" s="130"/>
      <c r="U17" s="131"/>
    </row>
    <row r="18" spans="1:21" s="10" customFormat="1">
      <c r="A18" s="67">
        <v>10</v>
      </c>
      <c r="B18" s="8"/>
      <c r="C18" s="8"/>
      <c r="D18" s="8" t="s">
        <v>211</v>
      </c>
      <c r="E18" s="25" t="s">
        <v>308</v>
      </c>
      <c r="F18" s="25"/>
      <c r="G18" s="38" t="s">
        <v>497</v>
      </c>
      <c r="H18" s="38" t="s">
        <v>280</v>
      </c>
      <c r="I18" s="8" t="s">
        <v>292</v>
      </c>
      <c r="J18" s="8"/>
      <c r="K18" s="8"/>
      <c r="L18" s="8"/>
      <c r="M18" s="8"/>
      <c r="N18" s="8"/>
      <c r="O18" s="8"/>
      <c r="P18" s="8"/>
      <c r="Q18" s="8"/>
      <c r="R18" s="128"/>
      <c r="S18" s="129"/>
      <c r="T18" s="130"/>
      <c r="U18" s="131"/>
    </row>
    <row r="19" spans="1:21" s="10" customFormat="1">
      <c r="A19" s="67">
        <v>10</v>
      </c>
      <c r="B19" s="8"/>
      <c r="C19" s="8"/>
      <c r="D19" s="8" t="s">
        <v>311</v>
      </c>
      <c r="E19" s="25" t="s">
        <v>308</v>
      </c>
      <c r="F19" s="25"/>
      <c r="G19" s="38" t="s">
        <v>498</v>
      </c>
      <c r="H19" s="38" t="s">
        <v>382</v>
      </c>
      <c r="I19" s="8" t="s">
        <v>292</v>
      </c>
      <c r="J19" s="8"/>
      <c r="K19" s="8"/>
      <c r="L19" s="8"/>
      <c r="M19" s="8"/>
      <c r="N19" s="8"/>
      <c r="O19" s="8"/>
      <c r="P19" s="8"/>
      <c r="Q19" s="8"/>
      <c r="R19" s="128"/>
      <c r="S19" s="129"/>
      <c r="T19" s="130"/>
      <c r="U19" s="131"/>
    </row>
    <row r="20" spans="1:21" s="10" customFormat="1">
      <c r="A20" s="67">
        <v>10</v>
      </c>
      <c r="B20" s="8"/>
      <c r="C20" s="8"/>
      <c r="D20" s="8" t="s">
        <v>167</v>
      </c>
      <c r="E20" s="25" t="s">
        <v>309</v>
      </c>
      <c r="F20" s="25"/>
      <c r="G20" s="38" t="s">
        <v>502</v>
      </c>
      <c r="H20" s="38" t="s">
        <v>384</v>
      </c>
      <c r="I20" s="8" t="s">
        <v>292</v>
      </c>
      <c r="J20" s="8" t="s">
        <v>290</v>
      </c>
      <c r="K20" s="8"/>
      <c r="L20" s="8"/>
      <c r="M20" s="8"/>
      <c r="N20" s="8"/>
      <c r="O20" s="8"/>
      <c r="P20" s="8"/>
      <c r="Q20" s="8"/>
      <c r="R20" s="49"/>
      <c r="S20" s="50"/>
      <c r="T20" s="51"/>
      <c r="U20" s="52"/>
    </row>
    <row r="21" spans="1:21" s="10" customFormat="1">
      <c r="A21" s="67">
        <v>10</v>
      </c>
      <c r="B21" s="8"/>
      <c r="C21" s="8"/>
      <c r="D21" s="8" t="s">
        <v>250</v>
      </c>
      <c r="E21" s="25" t="s">
        <v>308</v>
      </c>
      <c r="F21" s="25"/>
      <c r="G21" s="38" t="s">
        <v>503</v>
      </c>
      <c r="H21" s="38" t="s">
        <v>385</v>
      </c>
      <c r="I21" s="8"/>
      <c r="J21" s="8" t="s">
        <v>290</v>
      </c>
      <c r="K21" s="8"/>
      <c r="L21" s="8"/>
      <c r="M21" s="8"/>
      <c r="N21" s="8"/>
      <c r="O21" s="8"/>
      <c r="P21" s="8"/>
      <c r="Q21" s="8"/>
      <c r="R21" s="49"/>
      <c r="S21" s="50"/>
      <c r="T21" s="51"/>
      <c r="U21" s="52"/>
    </row>
    <row r="22" spans="1:21" s="10" customFormat="1">
      <c r="A22" s="67">
        <v>10</v>
      </c>
      <c r="B22" s="8"/>
      <c r="C22" s="8"/>
      <c r="D22" s="8" t="s">
        <v>241</v>
      </c>
      <c r="E22" s="25" t="s">
        <v>288</v>
      </c>
      <c r="F22" s="25"/>
      <c r="G22" s="38" t="s">
        <v>504</v>
      </c>
      <c r="H22" s="38" t="s">
        <v>317</v>
      </c>
      <c r="I22" s="8"/>
      <c r="J22" s="8" t="s">
        <v>290</v>
      </c>
      <c r="K22" s="8"/>
      <c r="L22" s="8"/>
      <c r="M22" s="8"/>
      <c r="N22" s="8"/>
      <c r="O22" s="8"/>
      <c r="P22" s="8"/>
      <c r="Q22" s="8"/>
      <c r="R22" s="49"/>
      <c r="S22" s="50"/>
      <c r="T22" s="51"/>
      <c r="U22" s="52"/>
    </row>
    <row r="23" spans="1:21" s="10" customFormat="1">
      <c r="A23" s="67">
        <v>10</v>
      </c>
      <c r="B23" s="8"/>
      <c r="C23" s="8"/>
      <c r="D23" s="8" t="s">
        <v>249</v>
      </c>
      <c r="E23" s="25" t="s">
        <v>308</v>
      </c>
      <c r="F23" s="25"/>
      <c r="G23" s="38" t="s">
        <v>505</v>
      </c>
      <c r="H23" s="38" t="s">
        <v>301</v>
      </c>
      <c r="I23" s="8"/>
      <c r="J23" s="8" t="s">
        <v>290</v>
      </c>
      <c r="K23" s="8"/>
      <c r="L23" s="8"/>
      <c r="M23" s="8"/>
      <c r="N23" s="8"/>
      <c r="O23" s="8"/>
      <c r="P23" s="8"/>
      <c r="Q23" s="8"/>
      <c r="R23" s="49"/>
      <c r="S23" s="50"/>
      <c r="T23" s="51"/>
      <c r="U23" s="52"/>
    </row>
    <row r="24" spans="1:21" s="10" customFormat="1">
      <c r="A24" s="67">
        <v>10</v>
      </c>
      <c r="B24" s="8"/>
      <c r="C24" s="8"/>
      <c r="D24" s="8" t="s">
        <v>242</v>
      </c>
      <c r="E24" s="25" t="s">
        <v>310</v>
      </c>
      <c r="F24" s="25"/>
      <c r="G24" s="38" t="s">
        <v>506</v>
      </c>
      <c r="H24" s="38" t="s">
        <v>302</v>
      </c>
      <c r="I24" s="8"/>
      <c r="J24" s="8" t="s">
        <v>290</v>
      </c>
      <c r="K24" s="8"/>
      <c r="L24" s="8"/>
      <c r="M24" s="8"/>
      <c r="N24" s="8"/>
      <c r="O24" s="8"/>
      <c r="P24" s="8"/>
      <c r="Q24" s="8"/>
      <c r="R24" s="49"/>
      <c r="S24" s="50"/>
      <c r="T24" s="51"/>
      <c r="U24" s="52"/>
    </row>
    <row r="25" spans="1:21" s="10" customFormat="1">
      <c r="A25" s="67">
        <v>10</v>
      </c>
      <c r="B25" s="8"/>
      <c r="C25" s="8"/>
      <c r="D25" s="8" t="s">
        <v>243</v>
      </c>
      <c r="E25" s="25" t="s">
        <v>308</v>
      </c>
      <c r="F25" s="25"/>
      <c r="G25" s="38" t="s">
        <v>507</v>
      </c>
      <c r="H25" s="38" t="s">
        <v>303</v>
      </c>
      <c r="I25" s="8"/>
      <c r="J25" s="8" t="s">
        <v>290</v>
      </c>
      <c r="K25" s="8"/>
      <c r="L25" s="8"/>
      <c r="M25" s="8"/>
      <c r="N25" s="8"/>
      <c r="O25" s="8"/>
      <c r="P25" s="8"/>
      <c r="Q25" s="8"/>
      <c r="R25" s="49"/>
      <c r="S25" s="50"/>
      <c r="T25" s="51"/>
      <c r="U25" s="52"/>
    </row>
    <row r="26" spans="1:21" s="10" customFormat="1">
      <c r="A26" s="67">
        <v>10</v>
      </c>
      <c r="B26" s="8"/>
      <c r="C26" s="8"/>
      <c r="D26" s="8" t="s">
        <v>244</v>
      </c>
      <c r="E26" s="25" t="s">
        <v>288</v>
      </c>
      <c r="F26" s="25"/>
      <c r="G26" s="38" t="s">
        <v>508</v>
      </c>
      <c r="H26" s="38" t="s">
        <v>386</v>
      </c>
      <c r="I26" s="8"/>
      <c r="J26" s="8" t="s">
        <v>290</v>
      </c>
      <c r="K26" s="8"/>
      <c r="L26" s="8"/>
      <c r="M26" s="8"/>
      <c r="N26" s="8"/>
      <c r="O26" s="8"/>
      <c r="P26" s="8"/>
      <c r="Q26" s="8"/>
      <c r="R26" s="49"/>
      <c r="S26" s="50"/>
      <c r="T26" s="51"/>
      <c r="U26" s="52"/>
    </row>
    <row r="27" spans="1:21" s="10" customFormat="1" ht="26">
      <c r="A27" s="67">
        <v>10</v>
      </c>
      <c r="B27" s="8"/>
      <c r="C27" s="8"/>
      <c r="D27" s="8" t="s">
        <v>245</v>
      </c>
      <c r="E27" s="25" t="s">
        <v>288</v>
      </c>
      <c r="F27" s="25"/>
      <c r="G27" s="38" t="s">
        <v>509</v>
      </c>
      <c r="H27" s="38" t="s">
        <v>387</v>
      </c>
      <c r="I27" s="8"/>
      <c r="J27" s="8" t="s">
        <v>290</v>
      </c>
      <c r="K27" s="8"/>
      <c r="L27" s="8"/>
      <c r="M27" s="8"/>
      <c r="N27" s="8"/>
      <c r="O27" s="8"/>
      <c r="P27" s="8"/>
      <c r="Q27" s="8"/>
      <c r="R27" s="49"/>
      <c r="S27" s="50"/>
      <c r="T27" s="51"/>
      <c r="U27" s="52"/>
    </row>
    <row r="28" spans="1:21" s="10" customFormat="1" ht="26">
      <c r="A28" s="67">
        <v>10</v>
      </c>
      <c r="B28" s="8"/>
      <c r="C28" s="8"/>
      <c r="D28" s="8" t="s">
        <v>246</v>
      </c>
      <c r="E28" s="25" t="s">
        <v>308</v>
      </c>
      <c r="F28" s="25"/>
      <c r="G28" s="38" t="s">
        <v>510</v>
      </c>
      <c r="H28" s="38" t="s">
        <v>304</v>
      </c>
      <c r="I28" s="8"/>
      <c r="J28" s="8" t="s">
        <v>290</v>
      </c>
      <c r="K28" s="8"/>
      <c r="L28" s="8"/>
      <c r="M28" s="8"/>
      <c r="N28" s="8"/>
      <c r="O28" s="8"/>
      <c r="P28" s="8"/>
      <c r="Q28" s="8"/>
      <c r="R28" s="49"/>
      <c r="S28" s="50"/>
      <c r="T28" s="51"/>
      <c r="U28" s="52"/>
    </row>
    <row r="29" spans="1:21" s="10" customFormat="1" ht="26">
      <c r="A29" s="67">
        <v>10</v>
      </c>
      <c r="B29" s="8"/>
      <c r="C29" s="8"/>
      <c r="D29" s="8" t="s">
        <v>247</v>
      </c>
      <c r="E29" s="25" t="s">
        <v>308</v>
      </c>
      <c r="F29" s="25"/>
      <c r="G29" s="38" t="s">
        <v>511</v>
      </c>
      <c r="H29" s="38" t="s">
        <v>388</v>
      </c>
      <c r="I29" s="8"/>
      <c r="J29" s="8" t="s">
        <v>290</v>
      </c>
      <c r="K29" s="8"/>
      <c r="L29" s="8"/>
      <c r="M29" s="8"/>
      <c r="N29" s="8"/>
      <c r="O29" s="8"/>
      <c r="P29" s="8"/>
      <c r="Q29" s="8"/>
      <c r="R29" s="49"/>
      <c r="S29" s="50"/>
      <c r="T29" s="51"/>
      <c r="U29" s="52"/>
    </row>
    <row r="30" spans="1:21" s="10" customFormat="1" ht="26">
      <c r="A30" s="67">
        <v>10</v>
      </c>
      <c r="B30" s="8"/>
      <c r="C30" s="8"/>
      <c r="D30" s="8" t="s">
        <v>248</v>
      </c>
      <c r="E30" s="25" t="s">
        <v>308</v>
      </c>
      <c r="F30" s="25"/>
      <c r="G30" s="38" t="s">
        <v>512</v>
      </c>
      <c r="H30" s="38" t="s">
        <v>305</v>
      </c>
      <c r="I30" s="8"/>
      <c r="J30" s="8" t="s">
        <v>290</v>
      </c>
      <c r="K30" s="8"/>
      <c r="L30" s="8"/>
      <c r="M30" s="8"/>
      <c r="N30" s="8"/>
      <c r="O30" s="8"/>
      <c r="P30" s="8"/>
      <c r="Q30" s="8"/>
      <c r="R30" s="49"/>
      <c r="S30" s="50"/>
      <c r="T30" s="51"/>
      <c r="U30" s="52"/>
    </row>
    <row r="31" spans="1:21" s="10" customFormat="1">
      <c r="A31" s="8">
        <v>10</v>
      </c>
      <c r="B31" s="8"/>
      <c r="C31" s="8"/>
      <c r="D31" s="8" t="s">
        <v>42</v>
      </c>
      <c r="E31" s="25" t="s">
        <v>43</v>
      </c>
      <c r="F31" s="25"/>
      <c r="G31" s="38" t="s">
        <v>513</v>
      </c>
      <c r="H31" s="38" t="s">
        <v>306</v>
      </c>
      <c r="I31" s="8"/>
      <c r="J31" s="8" t="s">
        <v>290</v>
      </c>
      <c r="K31" s="8"/>
      <c r="L31" s="8"/>
      <c r="M31" s="8"/>
      <c r="N31" s="8"/>
      <c r="O31" s="8"/>
      <c r="P31" s="8"/>
      <c r="Q31" s="8"/>
      <c r="R31" s="128"/>
      <c r="S31" s="129"/>
      <c r="T31" s="130"/>
      <c r="U31" s="131"/>
    </row>
    <row r="32" spans="1:21" s="10" customFormat="1">
      <c r="A32" s="57"/>
      <c r="U32" s="39"/>
    </row>
    <row r="33" spans="1:21" s="10" customFormat="1">
      <c r="A33" s="57"/>
      <c r="U33" s="39"/>
    </row>
    <row r="34" spans="1:21" s="10" customFormat="1">
      <c r="A34" s="57"/>
      <c r="U34" s="39"/>
    </row>
    <row r="35" spans="1:21" s="10" customFormat="1">
      <c r="A35" s="64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40"/>
    </row>
  </sheetData>
  <mergeCells count="20">
    <mergeCell ref="R19:S19"/>
    <mergeCell ref="T19:U19"/>
    <mergeCell ref="R31:S31"/>
    <mergeCell ref="T31:U31"/>
    <mergeCell ref="R16:S16"/>
    <mergeCell ref="T16:U16"/>
    <mergeCell ref="R17:S17"/>
    <mergeCell ref="T17:U17"/>
    <mergeCell ref="R18:S18"/>
    <mergeCell ref="T18:U18"/>
    <mergeCell ref="R14:S14"/>
    <mergeCell ref="T14:U14"/>
    <mergeCell ref="R15:S15"/>
    <mergeCell ref="T15:U15"/>
    <mergeCell ref="T8:U8"/>
    <mergeCell ref="R9:S9"/>
    <mergeCell ref="T9:U9"/>
    <mergeCell ref="T11:U11"/>
    <mergeCell ref="R12:S12"/>
    <mergeCell ref="T12:U1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4">
    <pageSetUpPr fitToPage="1"/>
  </sheetPr>
  <dimension ref="A1:U30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4" t="s">
        <v>299</v>
      </c>
      <c r="B1" s="54" t="s">
        <v>299</v>
      </c>
      <c r="C1" s="54"/>
      <c r="D1" s="1" t="s">
        <v>381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55" t="s">
        <v>299</v>
      </c>
      <c r="B2" s="22"/>
      <c r="C2" s="22"/>
      <c r="D2" s="70" t="s">
        <v>477</v>
      </c>
      <c r="E2" s="7" t="s">
        <v>0</v>
      </c>
      <c r="F2" s="56" t="str">
        <f>IF(LogicCommon!C2="","",LogicCommon!C2)</f>
        <v>MS</v>
      </c>
      <c r="G2" s="7" t="s">
        <v>1</v>
      </c>
      <c r="H2" s="56" t="str">
        <f>IF(LogicCommon!E2="","",LogicCommon!E2)</f>
        <v>MSBFL5210</v>
      </c>
      <c r="I2" s="7" t="s">
        <v>320</v>
      </c>
      <c r="J2" s="8" t="s">
        <v>50</v>
      </c>
      <c r="K2" s="7" t="s">
        <v>274</v>
      </c>
      <c r="L2" s="56" t="str">
        <f>IF(LogicCommon!G2="","",LogicCommon!G2)</f>
        <v>MC</v>
      </c>
      <c r="M2" s="5" t="s">
        <v>375</v>
      </c>
      <c r="N2" s="23" t="s">
        <v>476</v>
      </c>
      <c r="O2" s="7"/>
      <c r="P2" s="7"/>
      <c r="Q2" s="4"/>
      <c r="R2" s="5"/>
      <c r="S2" s="5"/>
      <c r="T2" s="5"/>
      <c r="U2" s="5"/>
    </row>
    <row r="3" spans="1:21" s="10" customFormat="1">
      <c r="A3" s="57" t="s">
        <v>299</v>
      </c>
      <c r="B3" s="58"/>
      <c r="C3" s="58"/>
      <c r="D3" s="59" t="str">
        <f>IF(LogicCommon!A3="","",LogicCommon!A3)</f>
        <v/>
      </c>
      <c r="E3" s="7" t="s">
        <v>2</v>
      </c>
      <c r="F3" s="56" t="str">
        <f>IF(LogicCommon!C3="","",LogicCommon!C3)</f>
        <v>MSBF</v>
      </c>
      <c r="G3" s="7" t="s">
        <v>3</v>
      </c>
      <c r="H3" s="56" t="str">
        <f>IF(LogicCommon!E3="","",LogicCommon!E3)</f>
        <v>MSBFL_LotService</v>
      </c>
      <c r="I3" s="7" t="s">
        <v>344</v>
      </c>
      <c r="J3" s="8" t="s">
        <v>135</v>
      </c>
      <c r="K3" s="7" t="s">
        <v>275</v>
      </c>
      <c r="L3" s="56" t="str">
        <f>IF(LogicCommon!G3="","",LogicCommon!G3)</f>
        <v/>
      </c>
      <c r="M3" s="60"/>
      <c r="N3" s="7"/>
      <c r="O3" s="7" t="s">
        <v>345</v>
      </c>
      <c r="P3" s="8" t="s">
        <v>282</v>
      </c>
      <c r="Q3" s="4"/>
      <c r="R3" s="5"/>
      <c r="S3" s="5"/>
      <c r="T3" s="5"/>
      <c r="U3" s="5"/>
    </row>
    <row r="4" spans="1:21" s="10" customFormat="1">
      <c r="A4" s="57" t="s">
        <v>299</v>
      </c>
      <c r="B4" s="58"/>
      <c r="C4" s="58"/>
      <c r="D4" s="4"/>
      <c r="E4" s="7" t="s">
        <v>20</v>
      </c>
      <c r="F4" s="61" t="s">
        <v>346</v>
      </c>
      <c r="G4" s="7" t="s">
        <v>4</v>
      </c>
      <c r="H4" s="56" t="str">
        <f>IF(LogicCommon!E4="","",LogicCommon!E4)</f>
        <v>ロット情報サービス</v>
      </c>
      <c r="I4" s="7" t="s">
        <v>276</v>
      </c>
      <c r="J4" s="8" t="s">
        <v>51</v>
      </c>
      <c r="K4" s="7" t="s">
        <v>5</v>
      </c>
      <c r="L4" s="56" t="str">
        <f>IF(LogicCommon!G4="","",LogicCommon!G4)</f>
        <v>MS.MSUDL5010</v>
      </c>
      <c r="M4" s="62" t="s">
        <v>283</v>
      </c>
      <c r="N4" s="23"/>
      <c r="O4" s="63"/>
      <c r="P4" s="4"/>
      <c r="Q4" s="4"/>
      <c r="R4" s="5"/>
      <c r="S4" s="5"/>
      <c r="T4" s="5"/>
      <c r="U4" s="5"/>
    </row>
    <row r="5" spans="1:21" s="10" customFormat="1">
      <c r="A5" s="64" t="s">
        <v>299</v>
      </c>
      <c r="B5" s="54"/>
      <c r="C5" s="54"/>
      <c r="D5" s="21"/>
      <c r="E5" s="7" t="s">
        <v>298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</row>
    <row r="6" spans="1:21" s="10" customFormat="1">
      <c r="A6" s="57" t="s">
        <v>299</v>
      </c>
      <c r="B6" s="58"/>
      <c r="C6" s="58"/>
      <c r="D6" s="4" t="s">
        <v>8</v>
      </c>
      <c r="E6" s="12" t="s">
        <v>463</v>
      </c>
      <c r="F6" s="12"/>
      <c r="G6" s="12"/>
      <c r="H6" s="12"/>
      <c r="I6" s="12"/>
      <c r="J6" s="12"/>
      <c r="K6" s="12"/>
      <c r="L6" s="66"/>
      <c r="M6" s="15" t="s">
        <v>300</v>
      </c>
      <c r="N6" s="15"/>
      <c r="O6" s="15" t="s">
        <v>300</v>
      </c>
      <c r="P6" s="15"/>
      <c r="Q6" s="15" t="s">
        <v>300</v>
      </c>
      <c r="R6" s="4"/>
      <c r="S6" s="4"/>
      <c r="T6" s="4"/>
      <c r="U6" s="4"/>
    </row>
    <row r="7" spans="1:21" s="10" customFormat="1">
      <c r="A7" s="22" t="s">
        <v>21</v>
      </c>
      <c r="B7" s="22"/>
      <c r="C7" s="22"/>
      <c r="D7" s="6"/>
      <c r="E7" s="6"/>
      <c r="F7" s="6"/>
      <c r="G7" s="6"/>
      <c r="H7" s="6"/>
      <c r="I7" s="6" t="s">
        <v>22</v>
      </c>
      <c r="J7" s="6"/>
      <c r="K7" s="8" t="s">
        <v>23</v>
      </c>
      <c r="L7" s="24" t="s">
        <v>24</v>
      </c>
      <c r="M7" s="25"/>
      <c r="N7" s="24" t="s">
        <v>24</v>
      </c>
      <c r="O7" s="25"/>
      <c r="P7" s="24" t="s">
        <v>24</v>
      </c>
      <c r="Q7" s="25"/>
      <c r="R7" s="4"/>
      <c r="S7" s="4"/>
      <c r="T7" s="4"/>
      <c r="U7" s="4"/>
    </row>
    <row r="8" spans="1:21" s="10" customFormat="1" ht="60" customHeight="1">
      <c r="A8" s="25" t="s">
        <v>21</v>
      </c>
      <c r="B8" s="71"/>
      <c r="C8" s="72"/>
      <c r="D8" s="24" t="s">
        <v>478</v>
      </c>
      <c r="E8" s="24" t="s">
        <v>479</v>
      </c>
      <c r="F8" s="66"/>
      <c r="G8" s="24" t="s">
        <v>284</v>
      </c>
      <c r="H8" s="24" t="s">
        <v>480</v>
      </c>
      <c r="I8" s="66"/>
      <c r="J8" s="3"/>
      <c r="K8" s="8"/>
      <c r="L8" s="24" t="s">
        <v>25</v>
      </c>
      <c r="M8" s="25"/>
      <c r="N8" s="24" t="s">
        <v>25</v>
      </c>
      <c r="O8" s="25"/>
      <c r="P8" s="24" t="s">
        <v>25</v>
      </c>
      <c r="Q8" s="25"/>
      <c r="R8" s="3"/>
      <c r="S8" s="21"/>
      <c r="T8" s="128" t="s">
        <v>481</v>
      </c>
      <c r="U8" s="129"/>
    </row>
    <row r="9" spans="1:21" s="10" customFormat="1" ht="60" customHeight="1">
      <c r="A9" s="8" t="s">
        <v>21</v>
      </c>
      <c r="B9" s="28"/>
      <c r="C9" s="29"/>
      <c r="D9" s="24" t="s">
        <v>482</v>
      </c>
      <c r="E9" s="49" t="s">
        <v>483</v>
      </c>
      <c r="F9" s="24" t="s">
        <v>484</v>
      </c>
      <c r="G9" s="24" t="s">
        <v>485</v>
      </c>
      <c r="H9" s="24" t="s">
        <v>486</v>
      </c>
      <c r="I9" s="50" t="s">
        <v>487</v>
      </c>
      <c r="J9" s="24" t="s">
        <v>488</v>
      </c>
      <c r="K9" s="70"/>
      <c r="L9" s="50"/>
      <c r="M9" s="24"/>
      <c r="N9" s="50"/>
      <c r="O9" s="24"/>
      <c r="P9" s="50"/>
      <c r="Q9" s="24"/>
      <c r="R9" s="128" t="s">
        <v>489</v>
      </c>
      <c r="S9" s="129"/>
      <c r="T9" s="128" t="s">
        <v>490</v>
      </c>
      <c r="U9" s="129"/>
    </row>
    <row r="10" spans="1:21" s="10" customFormat="1" ht="39">
      <c r="A10" s="28" t="s">
        <v>21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487</v>
      </c>
      <c r="M10" s="24" t="s">
        <v>488</v>
      </c>
      <c r="N10" s="24" t="s">
        <v>487</v>
      </c>
      <c r="O10" s="24" t="s">
        <v>488</v>
      </c>
      <c r="P10" s="24" t="s">
        <v>487</v>
      </c>
      <c r="Q10" s="24" t="s">
        <v>488</v>
      </c>
      <c r="R10" s="30"/>
      <c r="S10" s="30"/>
      <c r="T10" s="35"/>
      <c r="U10" s="53"/>
    </row>
    <row r="11" spans="1:21" s="10" customFormat="1">
      <c r="A11" s="8">
        <v>10</v>
      </c>
      <c r="B11" s="28" t="s">
        <v>26</v>
      </c>
      <c r="C11" s="29"/>
      <c r="D11" s="23" t="s">
        <v>52</v>
      </c>
      <c r="E11" s="26" t="s">
        <v>132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30"/>
      <c r="U11" s="131"/>
    </row>
    <row r="12" spans="1:21" s="10" customFormat="1">
      <c r="A12" s="8">
        <v>10</v>
      </c>
      <c r="B12" s="8"/>
      <c r="C12" s="8"/>
      <c r="D12" s="8" t="s">
        <v>30</v>
      </c>
      <c r="E12" s="25" t="s">
        <v>31</v>
      </c>
      <c r="F12" s="25"/>
      <c r="G12" s="38" t="s">
        <v>491</v>
      </c>
      <c r="H12" s="38" t="s">
        <v>289</v>
      </c>
      <c r="I12" s="8" t="s">
        <v>292</v>
      </c>
      <c r="J12" s="8"/>
      <c r="K12" s="8"/>
      <c r="L12" s="8"/>
      <c r="M12" s="8"/>
      <c r="N12" s="8"/>
      <c r="O12" s="8"/>
      <c r="P12" s="8"/>
      <c r="Q12" s="8"/>
      <c r="R12" s="128"/>
      <c r="S12" s="129"/>
      <c r="T12" s="130"/>
      <c r="U12" s="131"/>
    </row>
    <row r="13" spans="1:21" s="10" customFormat="1">
      <c r="A13" s="8">
        <v>10</v>
      </c>
      <c r="B13" s="8"/>
      <c r="C13" s="8"/>
      <c r="D13" s="8" t="s">
        <v>53</v>
      </c>
      <c r="E13" s="25" t="s">
        <v>54</v>
      </c>
      <c r="F13" s="25"/>
      <c r="G13" s="38" t="s">
        <v>514</v>
      </c>
      <c r="H13" s="38" t="s">
        <v>389</v>
      </c>
      <c r="I13" s="8" t="s">
        <v>292</v>
      </c>
      <c r="J13" s="8"/>
      <c r="K13" s="8"/>
      <c r="L13" s="8"/>
      <c r="M13" s="8"/>
      <c r="N13" s="8"/>
      <c r="O13" s="8"/>
      <c r="P13" s="8"/>
      <c r="Q13" s="8"/>
      <c r="R13" s="128"/>
      <c r="S13" s="129"/>
      <c r="T13" s="130"/>
      <c r="U13" s="131"/>
    </row>
    <row r="14" spans="1:21" s="10" customFormat="1">
      <c r="A14" s="8">
        <v>10</v>
      </c>
      <c r="B14" s="8"/>
      <c r="C14" s="8"/>
      <c r="D14" s="8" t="s">
        <v>55</v>
      </c>
      <c r="E14" s="25" t="s">
        <v>56</v>
      </c>
      <c r="F14" s="25"/>
      <c r="G14" s="38" t="s">
        <v>515</v>
      </c>
      <c r="H14" s="38" t="s">
        <v>321</v>
      </c>
      <c r="I14" s="8" t="s">
        <v>292</v>
      </c>
      <c r="J14" s="8"/>
      <c r="K14" s="8"/>
      <c r="L14" s="8"/>
      <c r="M14" s="8"/>
      <c r="N14" s="8"/>
      <c r="O14" s="8"/>
      <c r="P14" s="8"/>
      <c r="Q14" s="8"/>
      <c r="R14" s="128"/>
      <c r="S14" s="129"/>
      <c r="T14" s="130"/>
      <c r="U14" s="131"/>
    </row>
    <row r="15" spans="1:21" s="10" customFormat="1">
      <c r="A15" s="8">
        <v>10</v>
      </c>
      <c r="B15" s="8"/>
      <c r="C15" s="8"/>
      <c r="D15" s="8" t="s">
        <v>57</v>
      </c>
      <c r="E15" s="25" t="s">
        <v>58</v>
      </c>
      <c r="F15" s="25"/>
      <c r="G15" s="38" t="s">
        <v>516</v>
      </c>
      <c r="H15" s="38" t="s">
        <v>312</v>
      </c>
      <c r="I15" s="8" t="s">
        <v>292</v>
      </c>
      <c r="J15" s="8"/>
      <c r="K15" s="8"/>
      <c r="L15" s="8"/>
      <c r="M15" s="8"/>
      <c r="N15" s="8"/>
      <c r="O15" s="8"/>
      <c r="P15" s="8"/>
      <c r="Q15" s="8"/>
      <c r="R15" s="128"/>
      <c r="S15" s="129"/>
      <c r="T15" s="130"/>
      <c r="U15" s="131"/>
    </row>
    <row r="16" spans="1:21" s="10" customFormat="1">
      <c r="A16" s="8">
        <v>10</v>
      </c>
      <c r="B16" s="8"/>
      <c r="C16" s="8"/>
      <c r="D16" s="8" t="s">
        <v>59</v>
      </c>
      <c r="E16" s="25" t="s">
        <v>58</v>
      </c>
      <c r="F16" s="25"/>
      <c r="G16" s="38" t="s">
        <v>517</v>
      </c>
      <c r="H16" s="38" t="s">
        <v>313</v>
      </c>
      <c r="I16" s="8" t="s">
        <v>292</v>
      </c>
      <c r="J16" s="8"/>
      <c r="K16" s="8"/>
      <c r="L16" s="8"/>
      <c r="M16" s="8"/>
      <c r="N16" s="8"/>
      <c r="O16" s="8"/>
      <c r="P16" s="8"/>
      <c r="Q16" s="8"/>
      <c r="R16" s="128"/>
      <c r="S16" s="129"/>
      <c r="T16" s="130"/>
      <c r="U16" s="131"/>
    </row>
    <row r="17" spans="1:21" s="10" customFormat="1">
      <c r="A17" s="8">
        <v>10</v>
      </c>
      <c r="B17" s="8"/>
      <c r="C17" s="8"/>
      <c r="D17" s="8" t="s">
        <v>60</v>
      </c>
      <c r="E17" s="25" t="s">
        <v>58</v>
      </c>
      <c r="F17" s="25"/>
      <c r="G17" s="38" t="s">
        <v>518</v>
      </c>
      <c r="H17" s="38" t="s">
        <v>390</v>
      </c>
      <c r="I17" s="8" t="s">
        <v>292</v>
      </c>
      <c r="J17" s="8"/>
      <c r="K17" s="8"/>
      <c r="L17" s="8"/>
      <c r="M17" s="8"/>
      <c r="N17" s="8"/>
      <c r="O17" s="8"/>
      <c r="P17" s="8"/>
      <c r="Q17" s="8"/>
      <c r="R17" s="128"/>
      <c r="S17" s="129"/>
      <c r="T17" s="130"/>
      <c r="U17" s="131"/>
    </row>
    <row r="18" spans="1:21" s="10" customFormat="1">
      <c r="A18" s="8">
        <v>10</v>
      </c>
      <c r="B18" s="8"/>
      <c r="C18" s="8"/>
      <c r="D18" s="8" t="s">
        <v>61</v>
      </c>
      <c r="E18" s="25" t="s">
        <v>58</v>
      </c>
      <c r="F18" s="25"/>
      <c r="G18" s="38" t="s">
        <v>519</v>
      </c>
      <c r="H18" s="38" t="s">
        <v>322</v>
      </c>
      <c r="I18" s="8" t="s">
        <v>292</v>
      </c>
      <c r="J18" s="8"/>
      <c r="K18" s="8"/>
      <c r="L18" s="8"/>
      <c r="M18" s="8"/>
      <c r="N18" s="8"/>
      <c r="O18" s="8"/>
      <c r="P18" s="8"/>
      <c r="Q18" s="8"/>
      <c r="R18" s="128"/>
      <c r="S18" s="129"/>
      <c r="T18" s="130"/>
      <c r="U18" s="131"/>
    </row>
    <row r="19" spans="1:21" s="10" customFormat="1" ht="12.75" customHeight="1">
      <c r="A19" s="8">
        <v>10</v>
      </c>
      <c r="B19" s="8"/>
      <c r="C19" s="8"/>
      <c r="D19" s="8" t="s">
        <v>62</v>
      </c>
      <c r="E19" s="25" t="s">
        <v>63</v>
      </c>
      <c r="F19" s="25"/>
      <c r="G19" s="38" t="s">
        <v>520</v>
      </c>
      <c r="H19" s="38" t="s">
        <v>391</v>
      </c>
      <c r="I19" s="8" t="s">
        <v>292</v>
      </c>
      <c r="J19" s="8"/>
      <c r="K19" s="8"/>
      <c r="L19" s="8"/>
      <c r="M19" s="8"/>
      <c r="N19" s="8"/>
      <c r="O19" s="8"/>
      <c r="P19" s="8"/>
      <c r="Q19" s="8"/>
      <c r="R19" s="128"/>
      <c r="S19" s="129"/>
      <c r="T19" s="130"/>
      <c r="U19" s="131"/>
    </row>
    <row r="20" spans="1:21" s="10" customFormat="1">
      <c r="A20" s="8">
        <v>10</v>
      </c>
      <c r="B20" s="8"/>
      <c r="C20" s="8"/>
      <c r="D20" s="8" t="s">
        <v>64</v>
      </c>
      <c r="E20" s="25" t="s">
        <v>65</v>
      </c>
      <c r="F20" s="25"/>
      <c r="G20" s="38" t="s">
        <v>521</v>
      </c>
      <c r="H20" s="38" t="s">
        <v>314</v>
      </c>
      <c r="I20" s="8" t="s">
        <v>292</v>
      </c>
      <c r="J20" s="8"/>
      <c r="K20" s="8"/>
      <c r="L20" s="8"/>
      <c r="M20" s="8"/>
      <c r="N20" s="8"/>
      <c r="O20" s="8"/>
      <c r="P20" s="8"/>
      <c r="Q20" s="8"/>
      <c r="R20" s="128"/>
      <c r="S20" s="129"/>
      <c r="T20" s="130"/>
      <c r="U20" s="131"/>
    </row>
    <row r="21" spans="1:21" s="10" customFormat="1">
      <c r="A21" s="8">
        <v>10</v>
      </c>
      <c r="B21" s="8"/>
      <c r="C21" s="8"/>
      <c r="D21" s="8" t="s">
        <v>66</v>
      </c>
      <c r="E21" s="25" t="s">
        <v>67</v>
      </c>
      <c r="F21" s="25"/>
      <c r="G21" s="38" t="s">
        <v>522</v>
      </c>
      <c r="H21" s="38" t="s">
        <v>315</v>
      </c>
      <c r="I21" s="8" t="s">
        <v>292</v>
      </c>
      <c r="J21" s="8"/>
      <c r="K21" s="8"/>
      <c r="L21" s="8"/>
      <c r="M21" s="8"/>
      <c r="N21" s="8"/>
      <c r="O21" s="8"/>
      <c r="P21" s="8"/>
      <c r="Q21" s="8"/>
      <c r="R21" s="128"/>
      <c r="S21" s="129"/>
      <c r="T21" s="130"/>
      <c r="U21" s="131"/>
    </row>
    <row r="22" spans="1:21" s="10" customFormat="1">
      <c r="A22" s="8">
        <v>10</v>
      </c>
      <c r="B22" s="8"/>
      <c r="C22" s="8"/>
      <c r="D22" s="8" t="s">
        <v>68</v>
      </c>
      <c r="E22" s="25" t="s">
        <v>69</v>
      </c>
      <c r="F22" s="25"/>
      <c r="G22" s="38" t="s">
        <v>523</v>
      </c>
      <c r="H22" s="38" t="s">
        <v>392</v>
      </c>
      <c r="I22" s="8" t="s">
        <v>292</v>
      </c>
      <c r="J22" s="8"/>
      <c r="K22" s="8"/>
      <c r="L22" s="8"/>
      <c r="M22" s="8"/>
      <c r="N22" s="8"/>
      <c r="O22" s="8"/>
      <c r="P22" s="8"/>
      <c r="Q22" s="8"/>
      <c r="R22" s="128"/>
      <c r="S22" s="129"/>
      <c r="T22" s="130"/>
      <c r="U22" s="131"/>
    </row>
    <row r="23" spans="1:21" s="10" customFormat="1">
      <c r="A23" s="8">
        <v>10</v>
      </c>
      <c r="B23" s="8"/>
      <c r="C23" s="8"/>
      <c r="D23" s="8" t="s">
        <v>70</v>
      </c>
      <c r="E23" s="25" t="s">
        <v>54</v>
      </c>
      <c r="F23" s="25"/>
      <c r="G23" s="38" t="s">
        <v>524</v>
      </c>
      <c r="H23" s="38" t="s">
        <v>316</v>
      </c>
      <c r="I23" s="8" t="s">
        <v>292</v>
      </c>
      <c r="J23" s="8"/>
      <c r="K23" s="8"/>
      <c r="L23" s="8"/>
      <c r="M23" s="8"/>
      <c r="N23" s="8"/>
      <c r="O23" s="8"/>
      <c r="P23" s="8"/>
      <c r="Q23" s="8"/>
      <c r="R23" s="128"/>
      <c r="S23" s="129"/>
      <c r="T23" s="130"/>
      <c r="U23" s="131"/>
    </row>
    <row r="24" spans="1:21" s="10" customFormat="1">
      <c r="A24" s="8">
        <v>10</v>
      </c>
      <c r="B24" s="8"/>
      <c r="C24" s="8"/>
      <c r="D24" s="8" t="s">
        <v>319</v>
      </c>
      <c r="E24" s="25" t="s">
        <v>54</v>
      </c>
      <c r="F24" s="25"/>
      <c r="G24" s="38" t="s">
        <v>514</v>
      </c>
      <c r="H24" s="38" t="s">
        <v>393</v>
      </c>
      <c r="I24" s="8" t="s">
        <v>292</v>
      </c>
      <c r="J24" s="8"/>
      <c r="K24" s="8"/>
      <c r="L24" s="8"/>
      <c r="M24" s="8"/>
      <c r="N24" s="8"/>
      <c r="O24" s="8"/>
      <c r="P24" s="8"/>
      <c r="Q24" s="8"/>
      <c r="R24" s="128"/>
      <c r="S24" s="129"/>
      <c r="T24" s="130"/>
      <c r="U24" s="131"/>
    </row>
    <row r="25" spans="1:21" s="10" customFormat="1">
      <c r="A25" s="57"/>
      <c r="U25" s="39"/>
    </row>
    <row r="26" spans="1:21" s="10" customFormat="1">
      <c r="A26" s="8">
        <v>20</v>
      </c>
      <c r="B26" s="28" t="s">
        <v>26</v>
      </c>
      <c r="C26" s="29"/>
      <c r="D26" s="23" t="s">
        <v>71</v>
      </c>
      <c r="E26" s="26" t="s">
        <v>41</v>
      </c>
      <c r="F26" s="41"/>
      <c r="G26" s="23"/>
      <c r="H26" s="27"/>
      <c r="I26" s="42"/>
      <c r="J26" s="43"/>
      <c r="K26" s="43"/>
      <c r="L26" s="26"/>
      <c r="M26" s="26"/>
      <c r="N26" s="26"/>
      <c r="O26" s="26"/>
      <c r="P26" s="26"/>
      <c r="Q26" s="26"/>
      <c r="R26" s="37"/>
      <c r="S26" s="36"/>
      <c r="T26" s="130"/>
      <c r="U26" s="131"/>
    </row>
    <row r="27" spans="1:21" s="10" customFormat="1">
      <c r="A27" s="8">
        <v>20</v>
      </c>
      <c r="B27" s="8"/>
      <c r="C27" s="8"/>
      <c r="D27" s="8" t="s">
        <v>30</v>
      </c>
      <c r="E27" s="25" t="s">
        <v>31</v>
      </c>
      <c r="F27" s="25"/>
      <c r="G27" s="38" t="s">
        <v>491</v>
      </c>
      <c r="H27" s="38" t="s">
        <v>289</v>
      </c>
      <c r="I27" s="8"/>
      <c r="J27" s="8" t="s">
        <v>290</v>
      </c>
      <c r="K27" s="8"/>
      <c r="L27" s="8"/>
      <c r="M27" s="8"/>
      <c r="N27" s="8"/>
      <c r="O27" s="8"/>
      <c r="P27" s="8"/>
      <c r="Q27" s="8"/>
      <c r="R27" s="128"/>
      <c r="S27" s="129"/>
      <c r="T27" s="130"/>
      <c r="U27" s="131"/>
    </row>
    <row r="28" spans="1:21" s="10" customFormat="1">
      <c r="A28" s="8">
        <v>20</v>
      </c>
      <c r="B28" s="8"/>
      <c r="C28" s="8"/>
      <c r="D28" s="8" t="s">
        <v>53</v>
      </c>
      <c r="E28" s="25" t="s">
        <v>54</v>
      </c>
      <c r="F28" s="25"/>
      <c r="G28" s="38" t="s">
        <v>514</v>
      </c>
      <c r="H28" s="38" t="s">
        <v>389</v>
      </c>
      <c r="I28" s="8"/>
      <c r="J28" s="8" t="s">
        <v>290</v>
      </c>
      <c r="K28" s="8"/>
      <c r="L28" s="8"/>
      <c r="M28" s="8"/>
      <c r="N28" s="8"/>
      <c r="O28" s="8"/>
      <c r="P28" s="8"/>
      <c r="Q28" s="8"/>
      <c r="R28" s="128"/>
      <c r="S28" s="129"/>
      <c r="T28" s="130"/>
      <c r="U28" s="131"/>
    </row>
    <row r="29" spans="1:21" s="10" customFormat="1">
      <c r="A29" s="8">
        <v>20</v>
      </c>
      <c r="B29" s="8"/>
      <c r="C29" s="8"/>
      <c r="D29" s="8" t="s">
        <v>238</v>
      </c>
      <c r="E29" s="25" t="s">
        <v>54</v>
      </c>
      <c r="F29" s="25"/>
      <c r="G29" s="38" t="s">
        <v>504</v>
      </c>
      <c r="H29" s="38" t="s">
        <v>317</v>
      </c>
      <c r="I29" s="8"/>
      <c r="J29" s="8" t="s">
        <v>290</v>
      </c>
      <c r="K29" s="8"/>
      <c r="L29" s="8"/>
      <c r="M29" s="8"/>
      <c r="N29" s="8"/>
      <c r="O29" s="8"/>
      <c r="P29" s="8"/>
      <c r="Q29" s="8"/>
      <c r="R29" s="128"/>
      <c r="S29" s="129"/>
      <c r="T29" s="130"/>
      <c r="U29" s="131"/>
    </row>
    <row r="30" spans="1:21" s="10" customFormat="1">
      <c r="A30" s="8">
        <v>20</v>
      </c>
      <c r="B30" s="8"/>
      <c r="C30" s="8"/>
      <c r="D30" s="8" t="s">
        <v>70</v>
      </c>
      <c r="E30" s="25" t="s">
        <v>54</v>
      </c>
      <c r="F30" s="25"/>
      <c r="G30" s="38" t="s">
        <v>525</v>
      </c>
      <c r="H30" s="38" t="s">
        <v>318</v>
      </c>
      <c r="I30" s="8"/>
      <c r="J30" s="8" t="s">
        <v>290</v>
      </c>
      <c r="K30" s="8"/>
      <c r="L30" s="8"/>
      <c r="M30" s="8"/>
      <c r="N30" s="8"/>
      <c r="O30" s="8"/>
      <c r="P30" s="8"/>
      <c r="Q30" s="8"/>
      <c r="R30" s="128"/>
      <c r="S30" s="129"/>
      <c r="T30" s="130"/>
      <c r="U30" s="131"/>
    </row>
  </sheetData>
  <mergeCells count="39">
    <mergeCell ref="R22:S22"/>
    <mergeCell ref="T22:U22"/>
    <mergeCell ref="R23:S23"/>
    <mergeCell ref="T23:U23"/>
    <mergeCell ref="R30:S30"/>
    <mergeCell ref="T30:U30"/>
    <mergeCell ref="T26:U26"/>
    <mergeCell ref="R27:S27"/>
    <mergeCell ref="T27:U27"/>
    <mergeCell ref="R28:S28"/>
    <mergeCell ref="T28:U28"/>
    <mergeCell ref="R29:S29"/>
    <mergeCell ref="T29:U29"/>
    <mergeCell ref="R24:S24"/>
    <mergeCell ref="T24:U24"/>
    <mergeCell ref="R19:S19"/>
    <mergeCell ref="T19:U19"/>
    <mergeCell ref="R20:S20"/>
    <mergeCell ref="T20:U20"/>
    <mergeCell ref="R21:S21"/>
    <mergeCell ref="T21:U21"/>
    <mergeCell ref="R16:S16"/>
    <mergeCell ref="T16:U16"/>
    <mergeCell ref="R17:S17"/>
    <mergeCell ref="T17:U17"/>
    <mergeCell ref="R18:S18"/>
    <mergeCell ref="T18:U18"/>
    <mergeCell ref="R13:S13"/>
    <mergeCell ref="T13:U13"/>
    <mergeCell ref="R14:S14"/>
    <mergeCell ref="T14:U14"/>
    <mergeCell ref="R15:S15"/>
    <mergeCell ref="T15:U15"/>
    <mergeCell ref="T8:U8"/>
    <mergeCell ref="R9:S9"/>
    <mergeCell ref="T9:U9"/>
    <mergeCell ref="T11:U11"/>
    <mergeCell ref="R12:S12"/>
    <mergeCell ref="T12:U1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5">
    <pageSetUpPr fitToPage="1"/>
  </sheetPr>
  <dimension ref="A1:U47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4" t="s">
        <v>299</v>
      </c>
      <c r="B1" s="54" t="s">
        <v>299</v>
      </c>
      <c r="C1" s="54"/>
      <c r="D1" s="1" t="s">
        <v>381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55" t="s">
        <v>299</v>
      </c>
      <c r="B2" s="22"/>
      <c r="C2" s="22"/>
      <c r="D2" s="70" t="s">
        <v>477</v>
      </c>
      <c r="E2" s="7" t="s">
        <v>0</v>
      </c>
      <c r="F2" s="56" t="str">
        <f>IF(LogicCommon!C2="","",LogicCommon!C2)</f>
        <v>MS</v>
      </c>
      <c r="G2" s="7" t="s">
        <v>1</v>
      </c>
      <c r="H2" s="56" t="str">
        <f>IF(LogicCommon!E2="","",LogicCommon!E2)</f>
        <v>MSBFL5210</v>
      </c>
      <c r="I2" s="7" t="s">
        <v>320</v>
      </c>
      <c r="J2" s="8" t="s">
        <v>72</v>
      </c>
      <c r="K2" s="7" t="s">
        <v>274</v>
      </c>
      <c r="L2" s="56" t="str">
        <f>IF(LogicCommon!G2="","",LogicCommon!G2)</f>
        <v>MC</v>
      </c>
      <c r="M2" s="5" t="s">
        <v>375</v>
      </c>
      <c r="N2" s="23" t="s">
        <v>476</v>
      </c>
      <c r="O2" s="7"/>
      <c r="P2" s="7"/>
      <c r="Q2" s="4"/>
      <c r="R2" s="5"/>
      <c r="S2" s="5"/>
      <c r="T2" s="5"/>
      <c r="U2" s="5"/>
    </row>
    <row r="3" spans="1:21" s="10" customFormat="1">
      <c r="A3" s="57" t="s">
        <v>299</v>
      </c>
      <c r="B3" s="58"/>
      <c r="C3" s="58"/>
      <c r="D3" s="59" t="str">
        <f>IF(LogicCommon!A3="","",LogicCommon!A3)</f>
        <v/>
      </c>
      <c r="E3" s="7" t="s">
        <v>2</v>
      </c>
      <c r="F3" s="56" t="str">
        <f>IF(LogicCommon!C3="","",LogicCommon!C3)</f>
        <v>MSBF</v>
      </c>
      <c r="G3" s="7" t="s">
        <v>3</v>
      </c>
      <c r="H3" s="56" t="str">
        <f>IF(LogicCommon!E3="","",LogicCommon!E3)</f>
        <v>MSBFL_LotService</v>
      </c>
      <c r="I3" s="7" t="s">
        <v>344</v>
      </c>
      <c r="J3" s="8" t="s">
        <v>134</v>
      </c>
      <c r="K3" s="7" t="s">
        <v>275</v>
      </c>
      <c r="L3" s="56" t="str">
        <f>IF(LogicCommon!G3="","",LogicCommon!G3)</f>
        <v/>
      </c>
      <c r="M3" s="60"/>
      <c r="N3" s="7"/>
      <c r="O3" s="7" t="s">
        <v>345</v>
      </c>
      <c r="P3" s="8" t="s">
        <v>282</v>
      </c>
      <c r="Q3" s="4"/>
      <c r="R3" s="5"/>
      <c r="S3" s="5"/>
      <c r="T3" s="5"/>
      <c r="U3" s="5"/>
    </row>
    <row r="4" spans="1:21" s="10" customFormat="1">
      <c r="A4" s="57" t="s">
        <v>299</v>
      </c>
      <c r="B4" s="58"/>
      <c r="C4" s="58"/>
      <c r="D4" s="4"/>
      <c r="E4" s="7" t="s">
        <v>20</v>
      </c>
      <c r="F4" s="61" t="s">
        <v>346</v>
      </c>
      <c r="G4" s="7" t="s">
        <v>4</v>
      </c>
      <c r="H4" s="56" t="str">
        <f>IF(LogicCommon!E4="","",LogicCommon!E4)</f>
        <v>ロット情報サービス</v>
      </c>
      <c r="I4" s="7" t="s">
        <v>276</v>
      </c>
      <c r="J4" s="8" t="s">
        <v>73</v>
      </c>
      <c r="K4" s="7" t="s">
        <v>5</v>
      </c>
      <c r="L4" s="56" t="str">
        <f>IF(LogicCommon!G4="","",LogicCommon!G4)</f>
        <v>MS.MSUDL5010</v>
      </c>
      <c r="M4" s="62" t="s">
        <v>283</v>
      </c>
      <c r="N4" s="23"/>
      <c r="O4" s="63"/>
      <c r="P4" s="4"/>
      <c r="Q4" s="4"/>
      <c r="R4" s="5"/>
      <c r="S4" s="5"/>
      <c r="T4" s="5"/>
      <c r="U4" s="5"/>
    </row>
    <row r="5" spans="1:21" s="10" customFormat="1">
      <c r="A5" s="64" t="s">
        <v>299</v>
      </c>
      <c r="B5" s="54"/>
      <c r="C5" s="54"/>
      <c r="D5" s="21"/>
      <c r="E5" s="7" t="s">
        <v>298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</row>
    <row r="6" spans="1:21" s="10" customFormat="1">
      <c r="A6" s="57" t="s">
        <v>299</v>
      </c>
      <c r="B6" s="58"/>
      <c r="C6" s="58"/>
      <c r="D6" s="4" t="s">
        <v>8</v>
      </c>
      <c r="E6" s="12" t="s">
        <v>464</v>
      </c>
      <c r="F6" s="12"/>
      <c r="G6" s="12"/>
      <c r="H6" s="12"/>
      <c r="I6" s="12"/>
      <c r="J6" s="12"/>
      <c r="K6" s="12"/>
      <c r="L6" s="66"/>
      <c r="M6" s="15" t="s">
        <v>300</v>
      </c>
      <c r="N6" s="15"/>
      <c r="O6" s="15" t="s">
        <v>300</v>
      </c>
      <c r="P6" s="15"/>
      <c r="Q6" s="15" t="s">
        <v>300</v>
      </c>
      <c r="R6" s="4"/>
      <c r="S6" s="4"/>
      <c r="T6" s="4"/>
      <c r="U6" s="4"/>
    </row>
    <row r="7" spans="1:21" s="10" customFormat="1">
      <c r="A7" s="22" t="s">
        <v>21</v>
      </c>
      <c r="B7" s="22"/>
      <c r="C7" s="22"/>
      <c r="D7" s="6"/>
      <c r="E7" s="6"/>
      <c r="F7" s="6"/>
      <c r="G7" s="6"/>
      <c r="H7" s="6"/>
      <c r="I7" s="6" t="s">
        <v>22</v>
      </c>
      <c r="J7" s="6"/>
      <c r="K7" s="8" t="s">
        <v>23</v>
      </c>
      <c r="L7" s="24" t="s">
        <v>24</v>
      </c>
      <c r="M7" s="25"/>
      <c r="N7" s="24" t="s">
        <v>24</v>
      </c>
      <c r="O7" s="25"/>
      <c r="P7" s="24" t="s">
        <v>24</v>
      </c>
      <c r="Q7" s="25"/>
      <c r="R7" s="4"/>
      <c r="S7" s="4"/>
      <c r="T7" s="4"/>
      <c r="U7" s="4"/>
    </row>
    <row r="8" spans="1:21" s="10" customFormat="1" ht="60" customHeight="1">
      <c r="A8" s="25" t="s">
        <v>21</v>
      </c>
      <c r="B8" s="71"/>
      <c r="C8" s="72"/>
      <c r="D8" s="24" t="s">
        <v>478</v>
      </c>
      <c r="E8" s="24" t="s">
        <v>479</v>
      </c>
      <c r="F8" s="66"/>
      <c r="G8" s="24" t="s">
        <v>284</v>
      </c>
      <c r="H8" s="24" t="s">
        <v>480</v>
      </c>
      <c r="I8" s="66"/>
      <c r="J8" s="3"/>
      <c r="K8" s="8"/>
      <c r="L8" s="24" t="s">
        <v>25</v>
      </c>
      <c r="M8" s="25"/>
      <c r="N8" s="24" t="s">
        <v>25</v>
      </c>
      <c r="O8" s="25"/>
      <c r="P8" s="24" t="s">
        <v>25</v>
      </c>
      <c r="Q8" s="25"/>
      <c r="R8" s="3"/>
      <c r="S8" s="21"/>
      <c r="T8" s="128" t="s">
        <v>481</v>
      </c>
      <c r="U8" s="129"/>
    </row>
    <row r="9" spans="1:21" s="10" customFormat="1" ht="60" customHeight="1">
      <c r="A9" s="8" t="s">
        <v>21</v>
      </c>
      <c r="B9" s="28"/>
      <c r="C9" s="29"/>
      <c r="D9" s="24" t="s">
        <v>482</v>
      </c>
      <c r="E9" s="49" t="s">
        <v>483</v>
      </c>
      <c r="F9" s="24" t="s">
        <v>484</v>
      </c>
      <c r="G9" s="24" t="s">
        <v>485</v>
      </c>
      <c r="H9" s="24" t="s">
        <v>486</v>
      </c>
      <c r="I9" s="50" t="s">
        <v>487</v>
      </c>
      <c r="J9" s="24" t="s">
        <v>488</v>
      </c>
      <c r="K9" s="70"/>
      <c r="L9" s="50"/>
      <c r="M9" s="24"/>
      <c r="N9" s="50"/>
      <c r="O9" s="24"/>
      <c r="P9" s="50"/>
      <c r="Q9" s="24"/>
      <c r="R9" s="128" t="s">
        <v>489</v>
      </c>
      <c r="S9" s="129"/>
      <c r="T9" s="128" t="s">
        <v>490</v>
      </c>
      <c r="U9" s="129"/>
    </row>
    <row r="10" spans="1:21" s="10" customFormat="1" ht="39">
      <c r="A10" s="28" t="s">
        <v>21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487</v>
      </c>
      <c r="M10" s="24" t="s">
        <v>488</v>
      </c>
      <c r="N10" s="24" t="s">
        <v>487</v>
      </c>
      <c r="O10" s="24" t="s">
        <v>488</v>
      </c>
      <c r="P10" s="24" t="s">
        <v>487</v>
      </c>
      <c r="Q10" s="24" t="s">
        <v>488</v>
      </c>
      <c r="R10" s="30"/>
      <c r="S10" s="30"/>
      <c r="T10" s="35"/>
      <c r="U10" s="53"/>
    </row>
    <row r="11" spans="1:21" s="10" customFormat="1">
      <c r="A11" s="8">
        <v>10</v>
      </c>
      <c r="B11" s="28" t="s">
        <v>26</v>
      </c>
      <c r="C11" s="29"/>
      <c r="D11" s="23" t="s">
        <v>74</v>
      </c>
      <c r="E11" s="26" t="s">
        <v>133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30"/>
      <c r="U11" s="131"/>
    </row>
    <row r="12" spans="1:21" s="10" customFormat="1">
      <c r="A12" s="8">
        <v>10</v>
      </c>
      <c r="B12" s="8"/>
      <c r="C12" s="8"/>
      <c r="D12" s="8" t="s">
        <v>30</v>
      </c>
      <c r="E12" s="25" t="s">
        <v>31</v>
      </c>
      <c r="F12" s="25"/>
      <c r="G12" s="38" t="s">
        <v>491</v>
      </c>
      <c r="H12" s="38" t="s">
        <v>289</v>
      </c>
      <c r="I12" s="8" t="s">
        <v>292</v>
      </c>
      <c r="J12" s="8"/>
      <c r="K12" s="8"/>
      <c r="L12" s="8"/>
      <c r="M12" s="8"/>
      <c r="N12" s="8"/>
      <c r="O12" s="8"/>
      <c r="P12" s="8"/>
      <c r="Q12" s="8"/>
      <c r="R12" s="128"/>
      <c r="S12" s="129"/>
      <c r="T12" s="130"/>
      <c r="U12" s="131"/>
    </row>
    <row r="13" spans="1:21" s="10" customFormat="1">
      <c r="A13" s="8">
        <v>10</v>
      </c>
      <c r="B13" s="8"/>
      <c r="C13" s="8"/>
      <c r="D13" s="8" t="s">
        <v>75</v>
      </c>
      <c r="E13" s="25" t="s">
        <v>76</v>
      </c>
      <c r="F13" s="25"/>
      <c r="G13" s="38" t="s">
        <v>526</v>
      </c>
      <c r="H13" s="38" t="s">
        <v>394</v>
      </c>
      <c r="I13" s="8" t="s">
        <v>292</v>
      </c>
      <c r="J13" s="8"/>
      <c r="K13" s="8"/>
      <c r="L13" s="8"/>
      <c r="M13" s="8"/>
      <c r="N13" s="8"/>
      <c r="O13" s="8"/>
      <c r="P13" s="8"/>
      <c r="Q13" s="8"/>
      <c r="R13" s="128"/>
      <c r="S13" s="129"/>
      <c r="T13" s="130"/>
      <c r="U13" s="131"/>
    </row>
    <row r="14" spans="1:21" s="10" customFormat="1">
      <c r="A14" s="8">
        <v>10</v>
      </c>
      <c r="B14" s="8"/>
      <c r="C14" s="8"/>
      <c r="D14" s="8" t="s">
        <v>53</v>
      </c>
      <c r="E14" s="25" t="s">
        <v>54</v>
      </c>
      <c r="F14" s="25"/>
      <c r="G14" s="38" t="s">
        <v>514</v>
      </c>
      <c r="H14" s="38" t="s">
        <v>389</v>
      </c>
      <c r="I14" s="8" t="s">
        <v>292</v>
      </c>
      <c r="J14" s="8"/>
      <c r="K14" s="8"/>
      <c r="L14" s="8"/>
      <c r="M14" s="8"/>
      <c r="N14" s="8"/>
      <c r="O14" s="8"/>
      <c r="P14" s="8"/>
      <c r="Q14" s="8"/>
      <c r="R14" s="128"/>
      <c r="S14" s="129"/>
      <c r="T14" s="130"/>
      <c r="U14" s="131"/>
    </row>
    <row r="15" spans="1:21" s="10" customFormat="1">
      <c r="A15" s="8">
        <v>10</v>
      </c>
      <c r="B15" s="8"/>
      <c r="C15" s="8"/>
      <c r="D15" s="8" t="s">
        <v>324</v>
      </c>
      <c r="E15" s="25" t="s">
        <v>143</v>
      </c>
      <c r="F15" s="25"/>
      <c r="G15" s="38" t="s">
        <v>515</v>
      </c>
      <c r="H15" s="38" t="s">
        <v>321</v>
      </c>
      <c r="I15" s="8"/>
      <c r="J15" s="8"/>
      <c r="K15" s="8"/>
      <c r="L15" s="8"/>
      <c r="M15" s="8"/>
      <c r="N15" s="8"/>
      <c r="O15" s="8"/>
      <c r="P15" s="8"/>
      <c r="Q15" s="8"/>
      <c r="R15" s="49"/>
      <c r="S15" s="50"/>
      <c r="T15" s="51"/>
      <c r="U15" s="52"/>
    </row>
    <row r="16" spans="1:21" s="10" customFormat="1">
      <c r="A16" s="8">
        <v>10</v>
      </c>
      <c r="B16" s="8"/>
      <c r="C16" s="8"/>
      <c r="D16" s="8" t="s">
        <v>325</v>
      </c>
      <c r="E16" s="25" t="s">
        <v>142</v>
      </c>
      <c r="F16" s="25"/>
      <c r="G16" s="38" t="s">
        <v>516</v>
      </c>
      <c r="H16" s="38" t="s">
        <v>312</v>
      </c>
      <c r="I16" s="8"/>
      <c r="J16" s="8"/>
      <c r="K16" s="8"/>
      <c r="L16" s="8"/>
      <c r="M16" s="8"/>
      <c r="N16" s="8"/>
      <c r="O16" s="8"/>
      <c r="P16" s="8"/>
      <c r="Q16" s="8"/>
      <c r="R16" s="49"/>
      <c r="S16" s="50"/>
      <c r="T16" s="51"/>
      <c r="U16" s="52"/>
    </row>
    <row r="17" spans="1:21" s="10" customFormat="1">
      <c r="A17" s="8">
        <v>10</v>
      </c>
      <c r="B17" s="8"/>
      <c r="C17" s="8"/>
      <c r="D17" s="8" t="s">
        <v>326</v>
      </c>
      <c r="E17" s="25" t="s">
        <v>142</v>
      </c>
      <c r="F17" s="25"/>
      <c r="G17" s="38" t="s">
        <v>517</v>
      </c>
      <c r="H17" s="38" t="s">
        <v>313</v>
      </c>
      <c r="I17" s="8"/>
      <c r="J17" s="8"/>
      <c r="K17" s="8"/>
      <c r="L17" s="8"/>
      <c r="M17" s="8"/>
      <c r="N17" s="8"/>
      <c r="O17" s="8"/>
      <c r="P17" s="8"/>
      <c r="Q17" s="8"/>
      <c r="R17" s="49"/>
      <c r="S17" s="50"/>
      <c r="T17" s="51"/>
      <c r="U17" s="52"/>
    </row>
    <row r="18" spans="1:21" s="10" customFormat="1">
      <c r="A18" s="8">
        <v>10</v>
      </c>
      <c r="B18" s="8"/>
      <c r="C18" s="8"/>
      <c r="D18" s="8" t="s">
        <v>327</v>
      </c>
      <c r="E18" s="25" t="s">
        <v>142</v>
      </c>
      <c r="F18" s="25"/>
      <c r="G18" s="38" t="s">
        <v>518</v>
      </c>
      <c r="H18" s="38" t="s">
        <v>390</v>
      </c>
      <c r="I18" s="8"/>
      <c r="J18" s="8"/>
      <c r="K18" s="8"/>
      <c r="L18" s="8"/>
      <c r="M18" s="8"/>
      <c r="N18" s="8"/>
      <c r="O18" s="8"/>
      <c r="P18" s="8"/>
      <c r="Q18" s="8"/>
      <c r="R18" s="49"/>
      <c r="S18" s="50"/>
      <c r="T18" s="51"/>
      <c r="U18" s="52"/>
    </row>
    <row r="19" spans="1:21" s="10" customFormat="1">
      <c r="A19" s="8">
        <v>10</v>
      </c>
      <c r="B19" s="8"/>
      <c r="C19" s="8"/>
      <c r="D19" s="8" t="s">
        <v>328</v>
      </c>
      <c r="E19" s="25" t="s">
        <v>142</v>
      </c>
      <c r="F19" s="25"/>
      <c r="G19" s="38" t="s">
        <v>519</v>
      </c>
      <c r="H19" s="38" t="s">
        <v>322</v>
      </c>
      <c r="I19" s="8"/>
      <c r="J19" s="8"/>
      <c r="K19" s="8"/>
      <c r="L19" s="8"/>
      <c r="M19" s="8"/>
      <c r="N19" s="8"/>
      <c r="O19" s="8"/>
      <c r="P19" s="8"/>
      <c r="Q19" s="8"/>
      <c r="R19" s="49"/>
      <c r="S19" s="50"/>
      <c r="T19" s="51"/>
      <c r="U19" s="52"/>
    </row>
    <row r="20" spans="1:21" s="10" customFormat="1">
      <c r="A20" s="8">
        <v>10</v>
      </c>
      <c r="B20" s="8"/>
      <c r="C20" s="8"/>
      <c r="D20" s="8" t="s">
        <v>140</v>
      </c>
      <c r="E20" s="25" t="s">
        <v>145</v>
      </c>
      <c r="F20" s="25"/>
      <c r="G20" s="38" t="s">
        <v>493</v>
      </c>
      <c r="H20" s="38" t="s">
        <v>323</v>
      </c>
      <c r="I20" s="8"/>
      <c r="J20" s="8"/>
      <c r="K20" s="8"/>
      <c r="L20" s="8"/>
      <c r="M20" s="8"/>
      <c r="N20" s="8"/>
      <c r="O20" s="8"/>
      <c r="P20" s="8"/>
      <c r="Q20" s="8"/>
      <c r="R20" s="49"/>
      <c r="S20" s="50"/>
      <c r="T20" s="51"/>
      <c r="U20" s="52"/>
    </row>
    <row r="21" spans="1:21" s="10" customFormat="1">
      <c r="A21" s="8">
        <v>10</v>
      </c>
      <c r="B21" s="8"/>
      <c r="C21" s="8"/>
      <c r="D21" s="8" t="s">
        <v>141</v>
      </c>
      <c r="E21" s="25" t="s">
        <v>146</v>
      </c>
      <c r="F21" s="25"/>
      <c r="G21" s="38" t="s">
        <v>494</v>
      </c>
      <c r="H21" s="38" t="s">
        <v>278</v>
      </c>
      <c r="I21" s="8"/>
      <c r="J21" s="8"/>
      <c r="K21" s="8"/>
      <c r="L21" s="8"/>
      <c r="M21" s="8"/>
      <c r="N21" s="8"/>
      <c r="O21" s="8"/>
      <c r="P21" s="8"/>
      <c r="Q21" s="8"/>
      <c r="R21" s="49"/>
      <c r="S21" s="50"/>
      <c r="T21" s="51"/>
      <c r="U21" s="52"/>
    </row>
    <row r="22" spans="1:21" s="10" customFormat="1">
      <c r="A22" s="8">
        <v>10</v>
      </c>
      <c r="B22" s="8"/>
      <c r="C22" s="8"/>
      <c r="D22" s="8" t="s">
        <v>35</v>
      </c>
      <c r="E22" s="25" t="s">
        <v>147</v>
      </c>
      <c r="F22" s="25"/>
      <c r="G22" s="38" t="s">
        <v>495</v>
      </c>
      <c r="H22" s="38" t="s">
        <v>291</v>
      </c>
      <c r="I22" s="8"/>
      <c r="J22" s="8"/>
      <c r="K22" s="8"/>
      <c r="L22" s="8"/>
      <c r="M22" s="8"/>
      <c r="N22" s="8"/>
      <c r="O22" s="8"/>
      <c r="P22" s="8"/>
      <c r="Q22" s="8"/>
      <c r="R22" s="49"/>
      <c r="S22" s="50"/>
      <c r="T22" s="51"/>
      <c r="U22" s="52"/>
    </row>
    <row r="23" spans="1:21" s="10" customFormat="1">
      <c r="A23" s="8">
        <v>10</v>
      </c>
      <c r="B23" s="8"/>
      <c r="C23" s="8"/>
      <c r="D23" s="8" t="s">
        <v>36</v>
      </c>
      <c r="E23" s="25" t="s">
        <v>148</v>
      </c>
      <c r="F23" s="25"/>
      <c r="G23" s="38" t="s">
        <v>496</v>
      </c>
      <c r="H23" s="38" t="s">
        <v>279</v>
      </c>
      <c r="I23" s="8"/>
      <c r="J23" s="8"/>
      <c r="K23" s="8"/>
      <c r="L23" s="8"/>
      <c r="M23" s="8"/>
      <c r="N23" s="8"/>
      <c r="O23" s="8"/>
      <c r="P23" s="8"/>
      <c r="Q23" s="8"/>
      <c r="R23" s="49"/>
      <c r="S23" s="50"/>
      <c r="T23" s="51"/>
      <c r="U23" s="52"/>
    </row>
    <row r="24" spans="1:21" s="10" customFormat="1">
      <c r="A24" s="8">
        <v>10</v>
      </c>
      <c r="B24" s="8"/>
      <c r="C24" s="8"/>
      <c r="D24" s="8" t="s">
        <v>329</v>
      </c>
      <c r="E24" s="25" t="s">
        <v>144</v>
      </c>
      <c r="F24" s="25"/>
      <c r="G24" s="38" t="s">
        <v>527</v>
      </c>
      <c r="H24" s="38" t="s">
        <v>395</v>
      </c>
      <c r="I24" s="8"/>
      <c r="J24" s="8"/>
      <c r="K24" s="8"/>
      <c r="L24" s="8"/>
      <c r="M24" s="8"/>
      <c r="N24" s="8"/>
      <c r="O24" s="8"/>
      <c r="P24" s="8"/>
      <c r="Q24" s="8"/>
      <c r="R24" s="49"/>
      <c r="S24" s="50"/>
      <c r="T24" s="51"/>
      <c r="U24" s="52"/>
    </row>
    <row r="25" spans="1:21" s="10" customFormat="1">
      <c r="A25" s="8">
        <v>10</v>
      </c>
      <c r="B25" s="8"/>
      <c r="C25" s="8"/>
      <c r="D25" s="8" t="s">
        <v>330</v>
      </c>
      <c r="E25" s="25" t="s">
        <v>144</v>
      </c>
      <c r="F25" s="25"/>
      <c r="G25" s="38" t="s">
        <v>528</v>
      </c>
      <c r="H25" s="38" t="s">
        <v>156</v>
      </c>
      <c r="I25" s="8"/>
      <c r="J25" s="8"/>
      <c r="K25" s="8"/>
      <c r="L25" s="8"/>
      <c r="M25" s="8"/>
      <c r="N25" s="8"/>
      <c r="O25" s="8"/>
      <c r="P25" s="8"/>
      <c r="Q25" s="8"/>
      <c r="R25" s="49"/>
      <c r="S25" s="50"/>
      <c r="T25" s="51"/>
      <c r="U25" s="52"/>
    </row>
    <row r="26" spans="1:21" s="10" customFormat="1">
      <c r="A26" s="8">
        <v>10</v>
      </c>
      <c r="B26" s="8"/>
      <c r="C26" s="8"/>
      <c r="D26" s="8" t="s">
        <v>331</v>
      </c>
      <c r="E26" s="25" t="s">
        <v>149</v>
      </c>
      <c r="F26" s="25"/>
      <c r="G26" s="38" t="s">
        <v>529</v>
      </c>
      <c r="H26" s="38" t="s">
        <v>396</v>
      </c>
      <c r="I26" s="8"/>
      <c r="J26" s="8"/>
      <c r="K26" s="8"/>
      <c r="L26" s="8"/>
      <c r="M26" s="8"/>
      <c r="N26" s="8"/>
      <c r="O26" s="8"/>
      <c r="P26" s="8"/>
      <c r="Q26" s="8"/>
      <c r="R26" s="49"/>
      <c r="S26" s="50"/>
      <c r="T26" s="51"/>
      <c r="U26" s="52"/>
    </row>
    <row r="27" spans="1:21" s="10" customFormat="1" ht="39">
      <c r="A27" s="8">
        <v>10</v>
      </c>
      <c r="B27" s="8"/>
      <c r="C27" s="8"/>
      <c r="D27" s="8" t="s">
        <v>332</v>
      </c>
      <c r="E27" s="25" t="s">
        <v>150</v>
      </c>
      <c r="F27" s="25"/>
      <c r="G27" s="38" t="s">
        <v>530</v>
      </c>
      <c r="H27" s="38" t="s">
        <v>397</v>
      </c>
      <c r="I27" s="8"/>
      <c r="J27" s="8"/>
      <c r="K27" s="8"/>
      <c r="L27" s="8"/>
      <c r="M27" s="8"/>
      <c r="N27" s="8"/>
      <c r="O27" s="8"/>
      <c r="P27" s="8"/>
      <c r="Q27" s="8"/>
      <c r="R27" s="49"/>
      <c r="S27" s="50"/>
      <c r="T27" s="51"/>
      <c r="U27" s="52"/>
    </row>
    <row r="28" spans="1:21" s="10" customFormat="1">
      <c r="A28" s="8">
        <v>10</v>
      </c>
      <c r="B28" s="8"/>
      <c r="C28" s="8"/>
      <c r="D28" s="8" t="s">
        <v>333</v>
      </c>
      <c r="E28" s="25" t="s">
        <v>149</v>
      </c>
      <c r="F28" s="25"/>
      <c r="G28" s="38" t="s">
        <v>531</v>
      </c>
      <c r="H28" s="38" t="s">
        <v>398</v>
      </c>
      <c r="I28" s="8"/>
      <c r="J28" s="8"/>
      <c r="K28" s="8"/>
      <c r="L28" s="8"/>
      <c r="M28" s="8"/>
      <c r="N28" s="8"/>
      <c r="O28" s="8"/>
      <c r="P28" s="8"/>
      <c r="Q28" s="8"/>
      <c r="R28" s="49"/>
      <c r="S28" s="50"/>
      <c r="T28" s="51"/>
      <c r="U28" s="52"/>
    </row>
    <row r="29" spans="1:21" s="10" customFormat="1">
      <c r="A29" s="8">
        <v>10</v>
      </c>
      <c r="B29" s="8"/>
      <c r="C29" s="8"/>
      <c r="D29" s="8" t="s">
        <v>334</v>
      </c>
      <c r="E29" s="25" t="s">
        <v>151</v>
      </c>
      <c r="F29" s="25"/>
      <c r="G29" s="38" t="s">
        <v>532</v>
      </c>
      <c r="H29" s="38" t="s">
        <v>399</v>
      </c>
      <c r="I29" s="8"/>
      <c r="J29" s="8"/>
      <c r="K29" s="8"/>
      <c r="L29" s="8"/>
      <c r="M29" s="8"/>
      <c r="N29" s="8"/>
      <c r="O29" s="8"/>
      <c r="P29" s="8"/>
      <c r="Q29" s="8"/>
      <c r="R29" s="49"/>
      <c r="S29" s="50"/>
      <c r="T29" s="51"/>
      <c r="U29" s="52"/>
    </row>
    <row r="30" spans="1:21" s="10" customFormat="1">
      <c r="A30" s="8">
        <v>10</v>
      </c>
      <c r="B30" s="8"/>
      <c r="C30" s="8"/>
      <c r="D30" s="8" t="s">
        <v>335</v>
      </c>
      <c r="E30" s="25" t="s">
        <v>152</v>
      </c>
      <c r="F30" s="25"/>
      <c r="G30" s="38" t="s">
        <v>520</v>
      </c>
      <c r="H30" s="38" t="s">
        <v>391</v>
      </c>
      <c r="I30" s="8"/>
      <c r="J30" s="8"/>
      <c r="K30" s="8"/>
      <c r="L30" s="8"/>
      <c r="M30" s="8"/>
      <c r="N30" s="8"/>
      <c r="O30" s="8"/>
      <c r="P30" s="8"/>
      <c r="Q30" s="8"/>
      <c r="R30" s="49"/>
      <c r="S30" s="50"/>
      <c r="T30" s="51"/>
      <c r="U30" s="52"/>
    </row>
    <row r="31" spans="1:21" s="10" customFormat="1">
      <c r="A31" s="8">
        <v>10</v>
      </c>
      <c r="B31" s="8"/>
      <c r="C31" s="8"/>
      <c r="D31" s="8" t="s">
        <v>336</v>
      </c>
      <c r="E31" s="25" t="s">
        <v>153</v>
      </c>
      <c r="F31" s="25"/>
      <c r="G31" s="38" t="s">
        <v>521</v>
      </c>
      <c r="H31" s="38" t="s">
        <v>314</v>
      </c>
      <c r="I31" s="8"/>
      <c r="J31" s="8"/>
      <c r="K31" s="8"/>
      <c r="L31" s="8"/>
      <c r="M31" s="8"/>
      <c r="N31" s="8"/>
      <c r="O31" s="8"/>
      <c r="P31" s="8"/>
      <c r="Q31" s="8"/>
      <c r="R31" s="49"/>
      <c r="S31" s="50"/>
      <c r="T31" s="51"/>
      <c r="U31" s="52"/>
    </row>
    <row r="32" spans="1:21" s="10" customFormat="1">
      <c r="A32" s="8">
        <v>10</v>
      </c>
      <c r="B32" s="8"/>
      <c r="C32" s="8"/>
      <c r="D32" s="8" t="s">
        <v>337</v>
      </c>
      <c r="E32" s="25" t="s">
        <v>154</v>
      </c>
      <c r="F32" s="25"/>
      <c r="G32" s="38" t="s">
        <v>522</v>
      </c>
      <c r="H32" s="38" t="s">
        <v>315</v>
      </c>
      <c r="I32" s="8"/>
      <c r="J32" s="8"/>
      <c r="K32" s="8"/>
      <c r="L32" s="8"/>
      <c r="M32" s="8"/>
      <c r="N32" s="8"/>
      <c r="O32" s="8"/>
      <c r="P32" s="8"/>
      <c r="Q32" s="8"/>
      <c r="R32" s="49"/>
      <c r="S32" s="50"/>
      <c r="T32" s="51"/>
      <c r="U32" s="52"/>
    </row>
    <row r="33" spans="1:21" s="10" customFormat="1">
      <c r="A33" s="8">
        <v>10</v>
      </c>
      <c r="B33" s="8"/>
      <c r="C33" s="8"/>
      <c r="D33" s="8" t="s">
        <v>338</v>
      </c>
      <c r="E33" s="25" t="s">
        <v>69</v>
      </c>
      <c r="F33" s="25"/>
      <c r="G33" s="38" t="s">
        <v>523</v>
      </c>
      <c r="H33" s="38" t="s">
        <v>392</v>
      </c>
      <c r="I33" s="8"/>
      <c r="J33" s="8"/>
      <c r="K33" s="8"/>
      <c r="L33" s="8"/>
      <c r="M33" s="8"/>
      <c r="N33" s="8"/>
      <c r="O33" s="8"/>
      <c r="P33" s="8"/>
      <c r="Q33" s="8"/>
      <c r="R33" s="49"/>
      <c r="S33" s="50"/>
      <c r="T33" s="51"/>
      <c r="U33" s="52"/>
    </row>
    <row r="34" spans="1:21" s="10" customFormat="1">
      <c r="A34" s="8">
        <v>10</v>
      </c>
      <c r="B34" s="8"/>
      <c r="C34" s="8"/>
      <c r="D34" s="8" t="s">
        <v>339</v>
      </c>
      <c r="E34" s="25" t="s">
        <v>155</v>
      </c>
      <c r="F34" s="25"/>
      <c r="G34" s="38" t="s">
        <v>525</v>
      </c>
      <c r="H34" s="38" t="s">
        <v>318</v>
      </c>
      <c r="I34" s="8"/>
      <c r="J34" s="8"/>
      <c r="K34" s="8"/>
      <c r="L34" s="8"/>
      <c r="M34" s="8"/>
      <c r="N34" s="8"/>
      <c r="O34" s="8"/>
      <c r="P34" s="8"/>
      <c r="Q34" s="8"/>
      <c r="R34" s="128"/>
      <c r="S34" s="129"/>
      <c r="T34" s="130"/>
      <c r="U34" s="131"/>
    </row>
    <row r="35" spans="1:21" s="10" customFormat="1">
      <c r="A35" s="57"/>
      <c r="U35" s="39"/>
    </row>
    <row r="36" spans="1:21" s="10" customFormat="1">
      <c r="A36" s="8">
        <v>20</v>
      </c>
      <c r="B36" s="28" t="s">
        <v>26</v>
      </c>
      <c r="C36" s="29"/>
      <c r="D36" s="23" t="s">
        <v>77</v>
      </c>
      <c r="E36" s="26" t="s">
        <v>41</v>
      </c>
      <c r="F36" s="41"/>
      <c r="G36" s="23"/>
      <c r="H36" s="27"/>
      <c r="I36" s="42"/>
      <c r="J36" s="43"/>
      <c r="K36" s="43"/>
      <c r="L36" s="26"/>
      <c r="M36" s="26"/>
      <c r="N36" s="26"/>
      <c r="O36" s="26"/>
      <c r="P36" s="26"/>
      <c r="Q36" s="26"/>
      <c r="R36" s="37"/>
      <c r="S36" s="36"/>
      <c r="T36" s="130"/>
      <c r="U36" s="131"/>
    </row>
    <row r="37" spans="1:21" s="10" customFormat="1">
      <c r="A37" s="8">
        <v>20</v>
      </c>
      <c r="B37" s="8"/>
      <c r="C37" s="8"/>
      <c r="D37" s="8" t="s">
        <v>30</v>
      </c>
      <c r="E37" s="25" t="s">
        <v>31</v>
      </c>
      <c r="F37" s="25"/>
      <c r="G37" s="38" t="s">
        <v>491</v>
      </c>
      <c r="H37" s="38" t="s">
        <v>289</v>
      </c>
      <c r="I37" s="8"/>
      <c r="J37" s="8" t="s">
        <v>290</v>
      </c>
      <c r="K37" s="8"/>
      <c r="L37" s="8"/>
      <c r="M37" s="8"/>
      <c r="N37" s="8"/>
      <c r="O37" s="8"/>
      <c r="P37" s="8"/>
      <c r="Q37" s="8"/>
      <c r="R37" s="128"/>
      <c r="S37" s="129"/>
      <c r="T37" s="130"/>
      <c r="U37" s="131"/>
    </row>
    <row r="38" spans="1:21" s="10" customFormat="1">
      <c r="A38" s="8">
        <v>20</v>
      </c>
      <c r="B38" s="8"/>
      <c r="C38" s="8"/>
      <c r="D38" s="8" t="s">
        <v>335</v>
      </c>
      <c r="E38" s="25" t="s">
        <v>157</v>
      </c>
      <c r="F38" s="25"/>
      <c r="G38" s="38" t="s">
        <v>520</v>
      </c>
      <c r="H38" s="38" t="s">
        <v>391</v>
      </c>
      <c r="I38" s="8"/>
      <c r="J38" s="8" t="s">
        <v>290</v>
      </c>
      <c r="K38" s="8"/>
      <c r="L38" s="8"/>
      <c r="M38" s="8"/>
      <c r="N38" s="8"/>
      <c r="O38" s="8"/>
      <c r="P38" s="8"/>
      <c r="Q38" s="8"/>
      <c r="R38" s="49"/>
      <c r="S38" s="50"/>
      <c r="T38" s="51"/>
      <c r="U38" s="52"/>
    </row>
    <row r="39" spans="1:21" s="10" customFormat="1">
      <c r="A39" s="8">
        <v>20</v>
      </c>
      <c r="B39" s="8"/>
      <c r="C39" s="8"/>
      <c r="D39" s="8" t="s">
        <v>53</v>
      </c>
      <c r="E39" s="25" t="s">
        <v>54</v>
      </c>
      <c r="F39" s="25"/>
      <c r="G39" s="38" t="s">
        <v>514</v>
      </c>
      <c r="H39" s="38" t="s">
        <v>389</v>
      </c>
      <c r="I39" s="8"/>
      <c r="J39" s="8" t="s">
        <v>290</v>
      </c>
      <c r="K39" s="8"/>
      <c r="L39" s="8"/>
      <c r="M39" s="8"/>
      <c r="N39" s="8"/>
      <c r="O39" s="8"/>
      <c r="P39" s="8"/>
      <c r="Q39" s="8"/>
      <c r="R39" s="128"/>
      <c r="S39" s="129"/>
      <c r="T39" s="130"/>
      <c r="U39" s="131"/>
    </row>
    <row r="40" spans="1:21" s="10" customFormat="1">
      <c r="A40" s="8">
        <v>20</v>
      </c>
      <c r="B40" s="8"/>
      <c r="C40" s="8"/>
      <c r="D40" s="8" t="s">
        <v>239</v>
      </c>
      <c r="E40" s="25" t="s">
        <v>54</v>
      </c>
      <c r="F40" s="25"/>
      <c r="G40" s="38" t="s">
        <v>504</v>
      </c>
      <c r="H40" s="38" t="s">
        <v>317</v>
      </c>
      <c r="I40" s="8"/>
      <c r="J40" s="8" t="s">
        <v>290</v>
      </c>
      <c r="K40" s="8"/>
      <c r="L40" s="8"/>
      <c r="M40" s="8"/>
      <c r="N40" s="8"/>
      <c r="O40" s="8"/>
      <c r="P40" s="8"/>
      <c r="Q40" s="8"/>
      <c r="R40" s="128"/>
      <c r="S40" s="129"/>
      <c r="T40" s="130"/>
      <c r="U40" s="131"/>
    </row>
    <row r="41" spans="1:21" s="10" customFormat="1">
      <c r="A41" s="8">
        <v>20</v>
      </c>
      <c r="B41" s="8"/>
      <c r="C41" s="8"/>
      <c r="D41" s="8" t="s">
        <v>70</v>
      </c>
      <c r="E41" s="25" t="s">
        <v>54</v>
      </c>
      <c r="F41" s="25"/>
      <c r="G41" s="38" t="s">
        <v>525</v>
      </c>
      <c r="H41" s="38" t="s">
        <v>318</v>
      </c>
      <c r="I41" s="8"/>
      <c r="J41" s="8" t="s">
        <v>290</v>
      </c>
      <c r="K41" s="8"/>
      <c r="L41" s="8"/>
      <c r="M41" s="8"/>
      <c r="N41" s="8"/>
      <c r="O41" s="8"/>
      <c r="P41" s="8"/>
      <c r="Q41" s="8"/>
      <c r="R41" s="128"/>
      <c r="S41" s="129"/>
      <c r="T41" s="130"/>
      <c r="U41" s="131"/>
    </row>
    <row r="42" spans="1:21" s="10" customFormat="1">
      <c r="A42" s="57"/>
      <c r="U42" s="39"/>
    </row>
    <row r="43" spans="1:21" s="10" customFormat="1">
      <c r="A43" s="57"/>
      <c r="U43" s="39"/>
    </row>
    <row r="44" spans="1:21" s="10" customFormat="1">
      <c r="A44" s="57"/>
      <c r="U44" s="39"/>
    </row>
    <row r="45" spans="1:21" s="10" customFormat="1">
      <c r="A45" s="57"/>
      <c r="U45" s="39"/>
    </row>
    <row r="46" spans="1:21" s="10" customFormat="1">
      <c r="A46" s="57"/>
      <c r="U46" s="39"/>
    </row>
    <row r="47" spans="1:21" s="10" customFormat="1">
      <c r="A47" s="64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40"/>
    </row>
  </sheetData>
  <mergeCells count="21">
    <mergeCell ref="R13:S13"/>
    <mergeCell ref="T13:U13"/>
    <mergeCell ref="R14:S14"/>
    <mergeCell ref="T14:U14"/>
    <mergeCell ref="R41:S41"/>
    <mergeCell ref="T41:U41"/>
    <mergeCell ref="T36:U36"/>
    <mergeCell ref="R37:S37"/>
    <mergeCell ref="T37:U37"/>
    <mergeCell ref="R39:S39"/>
    <mergeCell ref="T39:U39"/>
    <mergeCell ref="R40:S40"/>
    <mergeCell ref="T40:U40"/>
    <mergeCell ref="R34:S34"/>
    <mergeCell ref="T34:U34"/>
    <mergeCell ref="T8:U8"/>
    <mergeCell ref="R9:S9"/>
    <mergeCell ref="T9:U9"/>
    <mergeCell ref="T11:U11"/>
    <mergeCell ref="R12:S12"/>
    <mergeCell ref="T12:U1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6">
    <pageSetUpPr fitToPage="1"/>
  </sheetPr>
  <dimension ref="A1:U49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4" t="s">
        <v>299</v>
      </c>
      <c r="B1" s="54" t="s">
        <v>299</v>
      </c>
      <c r="C1" s="54"/>
      <c r="D1" s="1" t="s">
        <v>381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55" t="s">
        <v>299</v>
      </c>
      <c r="B2" s="22"/>
      <c r="C2" s="22"/>
      <c r="D2" s="70" t="s">
        <v>477</v>
      </c>
      <c r="E2" s="7" t="s">
        <v>0</v>
      </c>
      <c r="F2" s="56" t="str">
        <f>IF(LogicCommon!C2="","",LogicCommon!C2)</f>
        <v>MS</v>
      </c>
      <c r="G2" s="7" t="s">
        <v>1</v>
      </c>
      <c r="H2" s="56" t="str">
        <f>IF(LogicCommon!E2="","",LogicCommon!E2)</f>
        <v>MSBFL5210</v>
      </c>
      <c r="I2" s="7" t="s">
        <v>320</v>
      </c>
      <c r="J2" s="8" t="s">
        <v>78</v>
      </c>
      <c r="K2" s="7" t="s">
        <v>274</v>
      </c>
      <c r="L2" s="56" t="str">
        <f>IF(LogicCommon!G2="","",LogicCommon!G2)</f>
        <v>MC</v>
      </c>
      <c r="M2" s="5" t="s">
        <v>375</v>
      </c>
      <c r="N2" s="23" t="s">
        <v>459</v>
      </c>
      <c r="O2" s="7"/>
      <c r="P2" s="7"/>
      <c r="Q2" s="4"/>
      <c r="R2" s="5"/>
      <c r="S2" s="5"/>
      <c r="T2" s="5"/>
      <c r="U2" s="5"/>
    </row>
    <row r="3" spans="1:21" s="10" customFormat="1">
      <c r="A3" s="57" t="s">
        <v>299</v>
      </c>
      <c r="B3" s="58"/>
      <c r="C3" s="58"/>
      <c r="D3" s="59" t="str">
        <f>IF(LogicCommon!A3="","",LogicCommon!A3)</f>
        <v/>
      </c>
      <c r="E3" s="7" t="s">
        <v>2</v>
      </c>
      <c r="F3" s="56" t="str">
        <f>IF(LogicCommon!C3="","",LogicCommon!C3)</f>
        <v>MSBF</v>
      </c>
      <c r="G3" s="7" t="s">
        <v>3</v>
      </c>
      <c r="H3" s="56" t="str">
        <f>IF(LogicCommon!E3="","",LogicCommon!E3)</f>
        <v>MSBFL_LotService</v>
      </c>
      <c r="I3" s="7" t="s">
        <v>344</v>
      </c>
      <c r="J3" s="8" t="s">
        <v>136</v>
      </c>
      <c r="K3" s="7" t="s">
        <v>275</v>
      </c>
      <c r="L3" s="56" t="str">
        <f>IF(LogicCommon!G3="","",LogicCommon!G3)</f>
        <v/>
      </c>
      <c r="M3" s="60"/>
      <c r="N3" s="7"/>
      <c r="O3" s="7" t="s">
        <v>345</v>
      </c>
      <c r="P3" s="8" t="s">
        <v>282</v>
      </c>
      <c r="Q3" s="4"/>
      <c r="R3" s="5"/>
      <c r="S3" s="5"/>
      <c r="T3" s="5"/>
      <c r="U3" s="5"/>
    </row>
    <row r="4" spans="1:21" s="10" customFormat="1">
      <c r="A4" s="57" t="s">
        <v>299</v>
      </c>
      <c r="B4" s="58"/>
      <c r="C4" s="58"/>
      <c r="D4" s="4"/>
      <c r="E4" s="7" t="s">
        <v>20</v>
      </c>
      <c r="F4" s="61" t="s">
        <v>346</v>
      </c>
      <c r="G4" s="7" t="s">
        <v>4</v>
      </c>
      <c r="H4" s="56" t="str">
        <f>IF(LogicCommon!E4="","",LogicCommon!E4)</f>
        <v>ロット情報サービス</v>
      </c>
      <c r="I4" s="7" t="s">
        <v>276</v>
      </c>
      <c r="J4" s="8" t="s">
        <v>79</v>
      </c>
      <c r="K4" s="7" t="s">
        <v>5</v>
      </c>
      <c r="L4" s="56" t="str">
        <f>IF(LogicCommon!G4="","",LogicCommon!G4)</f>
        <v>MS.MSUDL5010</v>
      </c>
      <c r="M4" s="62" t="s">
        <v>283</v>
      </c>
      <c r="N4" s="23"/>
      <c r="O4" s="63"/>
      <c r="P4" s="4"/>
      <c r="Q4" s="4"/>
      <c r="R4" s="5"/>
      <c r="S4" s="5"/>
      <c r="T4" s="5"/>
      <c r="U4" s="5"/>
    </row>
    <row r="5" spans="1:21" s="10" customFormat="1">
      <c r="A5" s="64" t="s">
        <v>299</v>
      </c>
      <c r="B5" s="54"/>
      <c r="C5" s="54"/>
      <c r="D5" s="21"/>
      <c r="E5" s="7" t="s">
        <v>298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</row>
    <row r="6" spans="1:21" s="10" customFormat="1">
      <c r="A6" s="57" t="s">
        <v>299</v>
      </c>
      <c r="B6" s="58"/>
      <c r="C6" s="58"/>
      <c r="D6" s="4" t="s">
        <v>8</v>
      </c>
      <c r="E6" s="12" t="s">
        <v>472</v>
      </c>
      <c r="F6" s="12"/>
      <c r="G6" s="12"/>
      <c r="H6" s="12"/>
      <c r="I6" s="12"/>
      <c r="J6" s="12"/>
      <c r="K6" s="12"/>
      <c r="L6" s="66"/>
      <c r="M6" s="15" t="s">
        <v>300</v>
      </c>
      <c r="N6" s="15"/>
      <c r="O6" s="15" t="s">
        <v>300</v>
      </c>
      <c r="P6" s="15"/>
      <c r="Q6" s="15" t="s">
        <v>300</v>
      </c>
      <c r="R6" s="4"/>
      <c r="S6" s="4"/>
      <c r="T6" s="4"/>
      <c r="U6" s="4"/>
    </row>
    <row r="7" spans="1:21" s="10" customFormat="1">
      <c r="A7" s="22" t="s">
        <v>21</v>
      </c>
      <c r="B7" s="22"/>
      <c r="C7" s="22"/>
      <c r="D7" s="6"/>
      <c r="E7" s="6"/>
      <c r="F7" s="6"/>
      <c r="G7" s="6"/>
      <c r="H7" s="6"/>
      <c r="I7" s="6" t="s">
        <v>22</v>
      </c>
      <c r="J7" s="6"/>
      <c r="K7" s="8" t="s">
        <v>23</v>
      </c>
      <c r="L7" s="24" t="s">
        <v>24</v>
      </c>
      <c r="M7" s="25"/>
      <c r="N7" s="24" t="s">
        <v>24</v>
      </c>
      <c r="O7" s="25"/>
      <c r="P7" s="24" t="s">
        <v>24</v>
      </c>
      <c r="Q7" s="25"/>
      <c r="R7" s="4"/>
      <c r="S7" s="4"/>
      <c r="T7" s="4"/>
      <c r="U7" s="4"/>
    </row>
    <row r="8" spans="1:21" s="10" customFormat="1" ht="60" customHeight="1">
      <c r="A8" s="25" t="s">
        <v>21</v>
      </c>
      <c r="B8" s="71"/>
      <c r="C8" s="72"/>
      <c r="D8" s="24" t="s">
        <v>478</v>
      </c>
      <c r="E8" s="24" t="s">
        <v>479</v>
      </c>
      <c r="F8" s="66"/>
      <c r="G8" s="24" t="s">
        <v>284</v>
      </c>
      <c r="H8" s="24" t="s">
        <v>480</v>
      </c>
      <c r="I8" s="66"/>
      <c r="J8" s="3"/>
      <c r="K8" s="8"/>
      <c r="L8" s="24" t="s">
        <v>25</v>
      </c>
      <c r="M8" s="25"/>
      <c r="N8" s="24" t="s">
        <v>25</v>
      </c>
      <c r="O8" s="25"/>
      <c r="P8" s="24" t="s">
        <v>25</v>
      </c>
      <c r="Q8" s="25"/>
      <c r="R8" s="3"/>
      <c r="S8" s="21"/>
      <c r="T8" s="128" t="s">
        <v>481</v>
      </c>
      <c r="U8" s="129"/>
    </row>
    <row r="9" spans="1:21" s="10" customFormat="1" ht="60" customHeight="1">
      <c r="A9" s="8" t="s">
        <v>21</v>
      </c>
      <c r="B9" s="28"/>
      <c r="C9" s="29"/>
      <c r="D9" s="24" t="s">
        <v>482</v>
      </c>
      <c r="E9" s="49" t="s">
        <v>483</v>
      </c>
      <c r="F9" s="24" t="s">
        <v>484</v>
      </c>
      <c r="G9" s="24" t="s">
        <v>485</v>
      </c>
      <c r="H9" s="24" t="s">
        <v>486</v>
      </c>
      <c r="I9" s="50" t="s">
        <v>487</v>
      </c>
      <c r="J9" s="24" t="s">
        <v>488</v>
      </c>
      <c r="K9" s="70"/>
      <c r="L9" s="50"/>
      <c r="M9" s="24"/>
      <c r="N9" s="50"/>
      <c r="O9" s="24"/>
      <c r="P9" s="50"/>
      <c r="Q9" s="24"/>
      <c r="R9" s="128" t="s">
        <v>489</v>
      </c>
      <c r="S9" s="129"/>
      <c r="T9" s="128" t="s">
        <v>490</v>
      </c>
      <c r="U9" s="129"/>
    </row>
    <row r="10" spans="1:21" s="10" customFormat="1" ht="39">
      <c r="A10" s="28" t="s">
        <v>21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487</v>
      </c>
      <c r="M10" s="24" t="s">
        <v>488</v>
      </c>
      <c r="N10" s="24" t="s">
        <v>487</v>
      </c>
      <c r="O10" s="24" t="s">
        <v>488</v>
      </c>
      <c r="P10" s="24" t="s">
        <v>487</v>
      </c>
      <c r="Q10" s="24" t="s">
        <v>488</v>
      </c>
      <c r="R10" s="30"/>
      <c r="S10" s="30"/>
      <c r="T10" s="35"/>
      <c r="U10" s="53"/>
    </row>
    <row r="11" spans="1:21" s="10" customFormat="1">
      <c r="A11" s="8">
        <v>10</v>
      </c>
      <c r="B11" s="28" t="s">
        <v>26</v>
      </c>
      <c r="C11" s="29"/>
      <c r="D11" s="23" t="s">
        <v>80</v>
      </c>
      <c r="E11" s="26" t="s">
        <v>132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30"/>
      <c r="U11" s="131"/>
    </row>
    <row r="12" spans="1:21" s="10" customFormat="1">
      <c r="A12" s="8">
        <v>10</v>
      </c>
      <c r="B12" s="8"/>
      <c r="C12" s="8"/>
      <c r="D12" s="8" t="s">
        <v>81</v>
      </c>
      <c r="E12" s="25" t="s">
        <v>54</v>
      </c>
      <c r="F12" s="25"/>
      <c r="G12" s="38" t="s">
        <v>533</v>
      </c>
      <c r="H12" s="38" t="s">
        <v>400</v>
      </c>
      <c r="I12" s="8" t="s">
        <v>292</v>
      </c>
      <c r="J12" s="8"/>
      <c r="K12" s="8"/>
      <c r="L12" s="8"/>
      <c r="M12" s="8"/>
      <c r="N12" s="8"/>
      <c r="O12" s="8"/>
      <c r="P12" s="8"/>
      <c r="Q12" s="8"/>
      <c r="R12" s="128"/>
      <c r="S12" s="129"/>
      <c r="T12" s="130"/>
      <c r="U12" s="131"/>
    </row>
    <row r="13" spans="1:21" s="10" customFormat="1">
      <c r="A13" s="8">
        <v>10</v>
      </c>
      <c r="B13" s="8"/>
      <c r="C13" s="8"/>
      <c r="D13" s="8" t="s">
        <v>340</v>
      </c>
      <c r="E13" s="25" t="s">
        <v>341</v>
      </c>
      <c r="F13" s="25"/>
      <c r="G13" s="38" t="s">
        <v>531</v>
      </c>
      <c r="H13" s="38" t="s">
        <v>398</v>
      </c>
      <c r="I13" s="8" t="s">
        <v>292</v>
      </c>
      <c r="J13" s="8"/>
      <c r="K13" s="8"/>
      <c r="L13" s="8"/>
      <c r="M13" s="8"/>
      <c r="N13" s="8"/>
      <c r="O13" s="8"/>
      <c r="P13" s="8"/>
      <c r="Q13" s="8"/>
      <c r="R13" s="128"/>
      <c r="S13" s="129"/>
      <c r="T13" s="130"/>
      <c r="U13" s="131"/>
    </row>
    <row r="14" spans="1:21" s="10" customFormat="1">
      <c r="A14" s="8">
        <v>10</v>
      </c>
      <c r="B14" s="8"/>
      <c r="C14" s="8"/>
      <c r="D14" s="8" t="s">
        <v>261</v>
      </c>
      <c r="E14" s="25" t="s">
        <v>341</v>
      </c>
      <c r="F14" s="25"/>
      <c r="G14" s="38" t="s">
        <v>529</v>
      </c>
      <c r="H14" s="38" t="s">
        <v>396</v>
      </c>
      <c r="I14" s="8" t="s">
        <v>292</v>
      </c>
      <c r="J14" s="8"/>
      <c r="K14" s="8"/>
      <c r="L14" s="8"/>
      <c r="M14" s="8"/>
      <c r="N14" s="8"/>
      <c r="O14" s="8"/>
      <c r="P14" s="8"/>
      <c r="Q14" s="8"/>
      <c r="R14" s="128"/>
      <c r="S14" s="129"/>
      <c r="T14" s="130"/>
      <c r="U14" s="131"/>
    </row>
    <row r="15" spans="1:21" s="10" customFormat="1">
      <c r="A15" s="8">
        <v>10</v>
      </c>
      <c r="B15" s="8"/>
      <c r="C15" s="8"/>
      <c r="D15" s="8" t="s">
        <v>262</v>
      </c>
      <c r="E15" s="25" t="s">
        <v>265</v>
      </c>
      <c r="F15" s="25"/>
      <c r="G15" s="38" t="s">
        <v>527</v>
      </c>
      <c r="H15" s="38" t="s">
        <v>395</v>
      </c>
      <c r="I15" s="8" t="s">
        <v>290</v>
      </c>
      <c r="J15" s="8"/>
      <c r="K15" s="8"/>
      <c r="L15" s="8"/>
      <c r="M15" s="8"/>
      <c r="N15" s="8"/>
      <c r="O15" s="8"/>
      <c r="P15" s="8"/>
      <c r="Q15" s="8"/>
      <c r="R15" s="49"/>
      <c r="S15" s="50"/>
      <c r="T15" s="51"/>
      <c r="U15" s="52"/>
    </row>
    <row r="16" spans="1:21" s="10" customFormat="1">
      <c r="A16" s="8">
        <v>10</v>
      </c>
      <c r="B16" s="8"/>
      <c r="C16" s="8"/>
      <c r="D16" s="8" t="s">
        <v>263</v>
      </c>
      <c r="E16" s="25" t="s">
        <v>265</v>
      </c>
      <c r="F16" s="25"/>
      <c r="G16" s="38" t="s">
        <v>528</v>
      </c>
      <c r="H16" s="38" t="s">
        <v>156</v>
      </c>
      <c r="I16" s="8" t="s">
        <v>290</v>
      </c>
      <c r="J16" s="8"/>
      <c r="K16" s="8"/>
      <c r="L16" s="8"/>
      <c r="M16" s="8"/>
      <c r="N16" s="8"/>
      <c r="O16" s="8"/>
      <c r="P16" s="8"/>
      <c r="Q16" s="8"/>
      <c r="R16" s="49"/>
      <c r="S16" s="50"/>
      <c r="T16" s="51"/>
      <c r="U16" s="52"/>
    </row>
    <row r="17" spans="1:21" s="10" customFormat="1">
      <c r="A17" s="8">
        <v>10</v>
      </c>
      <c r="B17" s="8"/>
      <c r="C17" s="8"/>
      <c r="D17" s="8" t="s">
        <v>264</v>
      </c>
      <c r="E17" s="25" t="s">
        <v>266</v>
      </c>
      <c r="F17" s="25"/>
      <c r="G17" s="38" t="s">
        <v>534</v>
      </c>
      <c r="H17" s="38" t="s">
        <v>401</v>
      </c>
      <c r="I17" s="8" t="s">
        <v>290</v>
      </c>
      <c r="J17" s="8"/>
      <c r="K17" s="8"/>
      <c r="L17" s="8"/>
      <c r="M17" s="8"/>
      <c r="N17" s="8"/>
      <c r="O17" s="8"/>
      <c r="P17" s="8"/>
      <c r="Q17" s="8"/>
      <c r="R17" s="49"/>
      <c r="S17" s="50"/>
      <c r="T17" s="51"/>
      <c r="U17" s="52"/>
    </row>
    <row r="18" spans="1:21" s="10" customFormat="1">
      <c r="A18" s="8">
        <v>10</v>
      </c>
      <c r="B18" s="8"/>
      <c r="C18" s="8"/>
      <c r="D18" s="8" t="s">
        <v>270</v>
      </c>
      <c r="E18" s="25" t="s">
        <v>271</v>
      </c>
      <c r="F18" s="25"/>
      <c r="G18" s="38" t="s">
        <v>535</v>
      </c>
      <c r="H18" s="38" t="s">
        <v>402</v>
      </c>
      <c r="I18" s="8" t="s">
        <v>290</v>
      </c>
      <c r="J18" s="8"/>
      <c r="K18" s="8"/>
      <c r="L18" s="8"/>
      <c r="M18" s="8"/>
      <c r="N18" s="8"/>
      <c r="O18" s="8"/>
      <c r="P18" s="8"/>
      <c r="Q18" s="8"/>
      <c r="R18" s="49"/>
      <c r="S18" s="50"/>
      <c r="T18" s="51"/>
      <c r="U18" s="52"/>
    </row>
    <row r="19" spans="1:21" s="10" customFormat="1">
      <c r="A19" s="67">
        <v>10</v>
      </c>
      <c r="B19" s="67"/>
      <c r="C19" s="67"/>
      <c r="D19" s="67" t="s">
        <v>159</v>
      </c>
      <c r="E19" s="67" t="s">
        <v>158</v>
      </c>
      <c r="F19" s="67" t="s">
        <v>160</v>
      </c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8"/>
      <c r="S19" s="69"/>
      <c r="T19" s="67"/>
      <c r="U19" s="67"/>
    </row>
    <row r="20" spans="1:21" s="10" customFormat="1">
      <c r="A20" s="67">
        <v>10</v>
      </c>
      <c r="B20" s="8"/>
      <c r="C20" s="8"/>
      <c r="D20" s="8" t="s">
        <v>307</v>
      </c>
      <c r="E20" s="25" t="s">
        <v>308</v>
      </c>
      <c r="F20" s="25"/>
      <c r="G20" s="38" t="s">
        <v>493</v>
      </c>
      <c r="H20" s="38" t="s">
        <v>323</v>
      </c>
      <c r="I20" s="8" t="s">
        <v>292</v>
      </c>
      <c r="J20" s="8"/>
      <c r="K20" s="8"/>
      <c r="L20" s="8"/>
      <c r="M20" s="8"/>
      <c r="N20" s="8"/>
      <c r="O20" s="8"/>
      <c r="P20" s="8"/>
      <c r="Q20" s="8"/>
      <c r="R20" s="128"/>
      <c r="S20" s="129"/>
      <c r="T20" s="130"/>
      <c r="U20" s="131"/>
    </row>
    <row r="21" spans="1:21" s="10" customFormat="1">
      <c r="A21" s="67">
        <v>10</v>
      </c>
      <c r="B21" s="8"/>
      <c r="C21" s="8"/>
      <c r="D21" s="8" t="s">
        <v>169</v>
      </c>
      <c r="E21" s="25" t="s">
        <v>308</v>
      </c>
      <c r="F21" s="25"/>
      <c r="G21" s="38" t="s">
        <v>494</v>
      </c>
      <c r="H21" s="38" t="s">
        <v>278</v>
      </c>
      <c r="I21" s="8" t="s">
        <v>292</v>
      </c>
      <c r="J21" s="8"/>
      <c r="K21" s="8"/>
      <c r="L21" s="8"/>
      <c r="M21" s="8"/>
      <c r="N21" s="8"/>
      <c r="O21" s="8"/>
      <c r="P21" s="8"/>
      <c r="Q21" s="8"/>
      <c r="R21" s="128"/>
      <c r="S21" s="129"/>
      <c r="T21" s="130"/>
      <c r="U21" s="131"/>
    </row>
    <row r="22" spans="1:21" s="10" customFormat="1">
      <c r="A22" s="67">
        <v>10</v>
      </c>
      <c r="B22" s="8"/>
      <c r="C22" s="8"/>
      <c r="D22" s="8" t="s">
        <v>170</v>
      </c>
      <c r="E22" s="25" t="s">
        <v>308</v>
      </c>
      <c r="F22" s="25"/>
      <c r="G22" s="38" t="s">
        <v>495</v>
      </c>
      <c r="H22" s="38" t="s">
        <v>291</v>
      </c>
      <c r="I22" s="8" t="s">
        <v>292</v>
      </c>
      <c r="J22" s="8"/>
      <c r="K22" s="8"/>
      <c r="L22" s="8"/>
      <c r="M22" s="8"/>
      <c r="N22" s="8"/>
      <c r="O22" s="8"/>
      <c r="P22" s="8"/>
      <c r="Q22" s="8"/>
      <c r="R22" s="128"/>
      <c r="S22" s="129"/>
      <c r="T22" s="130"/>
      <c r="U22" s="131"/>
    </row>
    <row r="23" spans="1:21" s="10" customFormat="1">
      <c r="A23" s="67">
        <v>10</v>
      </c>
      <c r="B23" s="8"/>
      <c r="C23" s="8"/>
      <c r="D23" s="8" t="s">
        <v>171</v>
      </c>
      <c r="E23" s="25" t="s">
        <v>288</v>
      </c>
      <c r="F23" s="25"/>
      <c r="G23" s="38" t="s">
        <v>496</v>
      </c>
      <c r="H23" s="38" t="s">
        <v>279</v>
      </c>
      <c r="I23" s="8" t="s">
        <v>292</v>
      </c>
      <c r="J23" s="8"/>
      <c r="K23" s="8"/>
      <c r="L23" s="8"/>
      <c r="M23" s="8"/>
      <c r="N23" s="8"/>
      <c r="O23" s="8"/>
      <c r="P23" s="8"/>
      <c r="Q23" s="8"/>
      <c r="R23" s="128"/>
      <c r="S23" s="129"/>
      <c r="T23" s="130"/>
      <c r="U23" s="131"/>
    </row>
    <row r="24" spans="1:21" s="10" customFormat="1">
      <c r="A24" s="67">
        <v>10</v>
      </c>
      <c r="B24" s="8"/>
      <c r="C24" s="8"/>
      <c r="D24" s="8" t="s">
        <v>172</v>
      </c>
      <c r="E24" s="25" t="s">
        <v>308</v>
      </c>
      <c r="F24" s="25"/>
      <c r="G24" s="38" t="s">
        <v>497</v>
      </c>
      <c r="H24" s="38" t="s">
        <v>280</v>
      </c>
      <c r="I24" s="8" t="s">
        <v>292</v>
      </c>
      <c r="J24" s="8"/>
      <c r="K24" s="8"/>
      <c r="L24" s="8"/>
      <c r="M24" s="8"/>
      <c r="N24" s="8"/>
      <c r="O24" s="8"/>
      <c r="P24" s="8"/>
      <c r="Q24" s="8"/>
      <c r="R24" s="128"/>
      <c r="S24" s="129"/>
      <c r="T24" s="130"/>
      <c r="U24" s="131"/>
    </row>
    <row r="25" spans="1:21" s="10" customFormat="1">
      <c r="A25" s="67">
        <v>10</v>
      </c>
      <c r="B25" s="8"/>
      <c r="C25" s="8"/>
      <c r="D25" s="8" t="s">
        <v>272</v>
      </c>
      <c r="E25" s="25" t="s">
        <v>288</v>
      </c>
      <c r="F25" s="25"/>
      <c r="G25" s="38" t="s">
        <v>498</v>
      </c>
      <c r="H25" s="38" t="s">
        <v>382</v>
      </c>
      <c r="I25" s="8" t="s">
        <v>292</v>
      </c>
      <c r="J25" s="8"/>
      <c r="K25" s="8"/>
      <c r="L25" s="8"/>
      <c r="M25" s="8"/>
      <c r="N25" s="8"/>
      <c r="O25" s="8"/>
      <c r="P25" s="8"/>
      <c r="Q25" s="8"/>
      <c r="R25" s="128"/>
      <c r="S25" s="129"/>
      <c r="T25" s="130"/>
      <c r="U25" s="131"/>
    </row>
    <row r="26" spans="1:21" s="10" customFormat="1">
      <c r="A26" s="67">
        <v>10</v>
      </c>
      <c r="B26" s="8"/>
      <c r="C26" s="8"/>
      <c r="D26" s="8" t="s">
        <v>173</v>
      </c>
      <c r="E26" s="25" t="s">
        <v>308</v>
      </c>
      <c r="F26" s="25"/>
      <c r="G26" s="38" t="s">
        <v>536</v>
      </c>
      <c r="H26" s="38" t="s">
        <v>403</v>
      </c>
      <c r="I26" s="8" t="s">
        <v>292</v>
      </c>
      <c r="J26" s="8"/>
      <c r="K26" s="8"/>
      <c r="L26" s="8"/>
      <c r="M26" s="8"/>
      <c r="N26" s="8"/>
      <c r="O26" s="8"/>
      <c r="P26" s="8"/>
      <c r="Q26" s="8"/>
      <c r="R26" s="128"/>
      <c r="S26" s="129"/>
      <c r="T26" s="130"/>
      <c r="U26" s="131"/>
    </row>
    <row r="27" spans="1:21" s="10" customFormat="1" ht="12.75" customHeight="1">
      <c r="A27" s="67">
        <v>10</v>
      </c>
      <c r="B27" s="8"/>
      <c r="C27" s="8"/>
      <c r="D27" s="8" t="s">
        <v>174</v>
      </c>
      <c r="E27" s="25" t="s">
        <v>288</v>
      </c>
      <c r="F27" s="25"/>
      <c r="G27" s="38" t="s">
        <v>537</v>
      </c>
      <c r="H27" s="38" t="s">
        <v>404</v>
      </c>
      <c r="I27" s="8" t="s">
        <v>292</v>
      </c>
      <c r="J27" s="8"/>
      <c r="K27" s="8"/>
      <c r="L27" s="8"/>
      <c r="M27" s="8"/>
      <c r="N27" s="8"/>
      <c r="O27" s="8"/>
      <c r="P27" s="8"/>
      <c r="Q27" s="8"/>
      <c r="R27" s="128"/>
      <c r="S27" s="129"/>
      <c r="T27" s="130"/>
      <c r="U27" s="131"/>
    </row>
    <row r="28" spans="1:21" s="10" customFormat="1" ht="12.75" customHeight="1">
      <c r="A28" s="67">
        <v>10</v>
      </c>
      <c r="B28" s="8"/>
      <c r="C28" s="8"/>
      <c r="D28" s="8" t="s">
        <v>175</v>
      </c>
      <c r="E28" s="25" t="s">
        <v>308</v>
      </c>
      <c r="F28" s="25"/>
      <c r="G28" s="38" t="s">
        <v>538</v>
      </c>
      <c r="H28" s="38" t="s">
        <v>405</v>
      </c>
      <c r="I28" s="8" t="s">
        <v>292</v>
      </c>
      <c r="J28" s="8"/>
      <c r="K28" s="8"/>
      <c r="L28" s="8"/>
      <c r="M28" s="8"/>
      <c r="N28" s="8"/>
      <c r="O28" s="8"/>
      <c r="P28" s="8"/>
      <c r="Q28" s="8"/>
      <c r="R28" s="128"/>
      <c r="S28" s="129"/>
      <c r="T28" s="130"/>
      <c r="U28" s="131"/>
    </row>
    <row r="29" spans="1:21" s="10" customFormat="1" ht="12.75" customHeight="1">
      <c r="A29" s="67">
        <v>10</v>
      </c>
      <c r="B29" s="8"/>
      <c r="C29" s="8"/>
      <c r="D29" s="8" t="s">
        <v>176</v>
      </c>
      <c r="E29" s="25" t="s">
        <v>288</v>
      </c>
      <c r="F29" s="25"/>
      <c r="G29" s="38" t="s">
        <v>539</v>
      </c>
      <c r="H29" s="38" t="s">
        <v>406</v>
      </c>
      <c r="I29" s="8" t="s">
        <v>292</v>
      </c>
      <c r="J29" s="8"/>
      <c r="K29" s="8"/>
      <c r="L29" s="8"/>
      <c r="M29" s="8"/>
      <c r="N29" s="8"/>
      <c r="O29" s="8"/>
      <c r="P29" s="8"/>
      <c r="Q29" s="8"/>
      <c r="R29" s="128"/>
      <c r="S29" s="129"/>
      <c r="T29" s="130"/>
      <c r="U29" s="131"/>
    </row>
    <row r="30" spans="1:21" s="10" customFormat="1" ht="12.75" customHeight="1">
      <c r="A30" s="67">
        <v>10</v>
      </c>
      <c r="B30" s="8"/>
      <c r="C30" s="8"/>
      <c r="D30" s="8" t="s">
        <v>177</v>
      </c>
      <c r="E30" s="25" t="s">
        <v>308</v>
      </c>
      <c r="F30" s="25"/>
      <c r="G30" s="38" t="s">
        <v>540</v>
      </c>
      <c r="H30" s="38" t="s">
        <v>407</v>
      </c>
      <c r="I30" s="8" t="s">
        <v>292</v>
      </c>
      <c r="J30" s="8"/>
      <c r="K30" s="8"/>
      <c r="L30" s="8"/>
      <c r="M30" s="8"/>
      <c r="N30" s="8"/>
      <c r="O30" s="8"/>
      <c r="P30" s="8"/>
      <c r="Q30" s="8"/>
      <c r="R30" s="128"/>
      <c r="S30" s="129"/>
      <c r="T30" s="130"/>
      <c r="U30" s="131"/>
    </row>
    <row r="31" spans="1:21" s="10" customFormat="1" ht="12.75" customHeight="1">
      <c r="A31" s="67">
        <v>10</v>
      </c>
      <c r="B31" s="8"/>
      <c r="C31" s="8"/>
      <c r="D31" s="8" t="s">
        <v>178</v>
      </c>
      <c r="E31" s="25" t="s">
        <v>288</v>
      </c>
      <c r="F31" s="25"/>
      <c r="G31" s="38" t="s">
        <v>541</v>
      </c>
      <c r="H31" s="38" t="s">
        <v>408</v>
      </c>
      <c r="I31" s="8" t="s">
        <v>292</v>
      </c>
      <c r="J31" s="8"/>
      <c r="K31" s="8"/>
      <c r="L31" s="8"/>
      <c r="M31" s="8"/>
      <c r="N31" s="8"/>
      <c r="O31" s="8"/>
      <c r="P31" s="8"/>
      <c r="Q31" s="8"/>
      <c r="R31" s="128"/>
      <c r="S31" s="129"/>
      <c r="T31" s="130"/>
      <c r="U31" s="131"/>
    </row>
    <row r="32" spans="1:21" s="10" customFormat="1">
      <c r="A32" s="67">
        <v>10</v>
      </c>
      <c r="B32" s="8"/>
      <c r="C32" s="8"/>
      <c r="D32" s="8" t="s">
        <v>179</v>
      </c>
      <c r="E32" s="25" t="s">
        <v>308</v>
      </c>
      <c r="F32" s="25"/>
      <c r="G32" s="38" t="s">
        <v>542</v>
      </c>
      <c r="H32" s="38" t="s">
        <v>409</v>
      </c>
      <c r="I32" s="8" t="s">
        <v>292</v>
      </c>
      <c r="J32" s="8"/>
      <c r="K32" s="8"/>
      <c r="L32" s="8"/>
      <c r="M32" s="8"/>
      <c r="N32" s="8"/>
      <c r="O32" s="8"/>
      <c r="P32" s="8"/>
      <c r="Q32" s="8"/>
      <c r="R32" s="128"/>
      <c r="S32" s="129"/>
      <c r="T32" s="130"/>
      <c r="U32" s="131"/>
    </row>
    <row r="33" spans="1:21" s="10" customFormat="1">
      <c r="A33" s="67">
        <v>10</v>
      </c>
      <c r="B33" s="8"/>
      <c r="C33" s="8"/>
      <c r="D33" s="8" t="s">
        <v>180</v>
      </c>
      <c r="E33" s="25" t="s">
        <v>308</v>
      </c>
      <c r="F33" s="25"/>
      <c r="G33" s="38" t="s">
        <v>543</v>
      </c>
      <c r="H33" s="38" t="s">
        <v>410</v>
      </c>
      <c r="I33" s="8" t="s">
        <v>292</v>
      </c>
      <c r="J33" s="8"/>
      <c r="K33" s="8"/>
      <c r="L33" s="8"/>
      <c r="M33" s="8"/>
      <c r="N33" s="8"/>
      <c r="O33" s="8"/>
      <c r="P33" s="8"/>
      <c r="Q33" s="8"/>
      <c r="R33" s="128"/>
      <c r="S33" s="129"/>
      <c r="T33" s="130"/>
      <c r="U33" s="131"/>
    </row>
    <row r="34" spans="1:21" s="10" customFormat="1">
      <c r="A34" s="67">
        <v>10</v>
      </c>
      <c r="B34" s="8"/>
      <c r="C34" s="8"/>
      <c r="D34" s="8" t="s">
        <v>181</v>
      </c>
      <c r="E34" s="25" t="s">
        <v>288</v>
      </c>
      <c r="F34" s="25"/>
      <c r="G34" s="38" t="s">
        <v>544</v>
      </c>
      <c r="H34" s="38" t="s">
        <v>411</v>
      </c>
      <c r="I34" s="8" t="s">
        <v>292</v>
      </c>
      <c r="J34" s="8"/>
      <c r="K34" s="8"/>
      <c r="L34" s="8"/>
      <c r="M34" s="8"/>
      <c r="N34" s="8"/>
      <c r="O34" s="8"/>
      <c r="P34" s="8"/>
      <c r="Q34" s="8"/>
      <c r="R34" s="128"/>
      <c r="S34" s="129"/>
      <c r="T34" s="130"/>
      <c r="U34" s="131"/>
    </row>
    <row r="35" spans="1:21" s="10" customFormat="1">
      <c r="A35" s="67">
        <v>10</v>
      </c>
      <c r="B35" s="8"/>
      <c r="C35" s="8"/>
      <c r="D35" s="8" t="s">
        <v>182</v>
      </c>
      <c r="E35" s="25" t="s">
        <v>288</v>
      </c>
      <c r="F35" s="25"/>
      <c r="G35" s="38" t="s">
        <v>545</v>
      </c>
      <c r="H35" s="38" t="s">
        <v>412</v>
      </c>
      <c r="I35" s="8" t="s">
        <v>292</v>
      </c>
      <c r="J35" s="8"/>
      <c r="K35" s="8"/>
      <c r="L35" s="8"/>
      <c r="M35" s="8"/>
      <c r="N35" s="8"/>
      <c r="O35" s="8"/>
      <c r="P35" s="8"/>
      <c r="Q35" s="8"/>
      <c r="R35" s="128"/>
      <c r="S35" s="129"/>
      <c r="T35" s="130"/>
      <c r="U35" s="131"/>
    </row>
    <row r="36" spans="1:21" s="10" customFormat="1">
      <c r="A36" s="67">
        <v>10</v>
      </c>
      <c r="B36" s="8"/>
      <c r="C36" s="8"/>
      <c r="D36" s="8" t="s">
        <v>183</v>
      </c>
      <c r="E36" s="25" t="s">
        <v>308</v>
      </c>
      <c r="F36" s="25"/>
      <c r="G36" s="38" t="s">
        <v>546</v>
      </c>
      <c r="H36" s="38" t="s">
        <v>413</v>
      </c>
      <c r="I36" s="8" t="s">
        <v>292</v>
      </c>
      <c r="J36" s="8"/>
      <c r="K36" s="8"/>
      <c r="L36" s="8"/>
      <c r="M36" s="8"/>
      <c r="N36" s="8"/>
      <c r="O36" s="8"/>
      <c r="P36" s="8"/>
      <c r="Q36" s="8"/>
      <c r="R36" s="128"/>
      <c r="S36" s="129"/>
      <c r="T36" s="130"/>
      <c r="U36" s="131"/>
    </row>
    <row r="37" spans="1:21" s="10" customFormat="1">
      <c r="A37" s="67">
        <v>10</v>
      </c>
      <c r="B37" s="8"/>
      <c r="C37" s="8"/>
      <c r="D37" s="8" t="s">
        <v>184</v>
      </c>
      <c r="E37" s="25" t="s">
        <v>308</v>
      </c>
      <c r="F37" s="25"/>
      <c r="G37" s="38" t="s">
        <v>547</v>
      </c>
      <c r="H37" s="38" t="s">
        <v>414</v>
      </c>
      <c r="I37" s="8" t="s">
        <v>292</v>
      </c>
      <c r="J37" s="8"/>
      <c r="K37" s="8"/>
      <c r="L37" s="8"/>
      <c r="M37" s="8"/>
      <c r="N37" s="8"/>
      <c r="O37" s="8"/>
      <c r="P37" s="8"/>
      <c r="Q37" s="8"/>
      <c r="R37" s="128"/>
      <c r="S37" s="129"/>
      <c r="T37" s="130"/>
      <c r="U37" s="131"/>
    </row>
    <row r="38" spans="1:21" s="10" customFormat="1">
      <c r="A38" s="67">
        <v>10</v>
      </c>
      <c r="B38" s="8"/>
      <c r="C38" s="8"/>
      <c r="D38" s="8" t="s">
        <v>185</v>
      </c>
      <c r="E38" s="25" t="s">
        <v>288</v>
      </c>
      <c r="F38" s="25"/>
      <c r="G38" s="38" t="s">
        <v>548</v>
      </c>
      <c r="H38" s="38" t="s">
        <v>415</v>
      </c>
      <c r="I38" s="8" t="s">
        <v>292</v>
      </c>
      <c r="J38" s="8"/>
      <c r="K38" s="8"/>
      <c r="L38" s="8"/>
      <c r="M38" s="8"/>
      <c r="N38" s="8"/>
      <c r="O38" s="8"/>
      <c r="P38" s="8"/>
      <c r="Q38" s="8"/>
      <c r="R38" s="128"/>
      <c r="S38" s="129"/>
      <c r="T38" s="130"/>
      <c r="U38" s="131"/>
    </row>
    <row r="39" spans="1:21" s="10" customFormat="1">
      <c r="A39" s="67">
        <v>10</v>
      </c>
      <c r="B39" s="8"/>
      <c r="C39" s="8"/>
      <c r="D39" s="8" t="s">
        <v>186</v>
      </c>
      <c r="E39" s="25" t="s">
        <v>288</v>
      </c>
      <c r="F39" s="25"/>
      <c r="G39" s="38" t="s">
        <v>549</v>
      </c>
      <c r="H39" s="38" t="s">
        <v>416</v>
      </c>
      <c r="I39" s="8" t="s">
        <v>292</v>
      </c>
      <c r="J39" s="8"/>
      <c r="K39" s="8"/>
      <c r="L39" s="8"/>
      <c r="M39" s="8"/>
      <c r="N39" s="8"/>
      <c r="O39" s="8"/>
      <c r="P39" s="8"/>
      <c r="Q39" s="8"/>
      <c r="R39" s="128"/>
      <c r="S39" s="129"/>
      <c r="T39" s="130"/>
      <c r="U39" s="131"/>
    </row>
    <row r="40" spans="1:21" s="10" customFormat="1">
      <c r="A40" s="67">
        <v>10</v>
      </c>
      <c r="B40" s="8"/>
      <c r="C40" s="8"/>
      <c r="D40" s="8" t="s">
        <v>187</v>
      </c>
      <c r="E40" s="25" t="s">
        <v>288</v>
      </c>
      <c r="F40" s="25"/>
      <c r="G40" s="38" t="s">
        <v>550</v>
      </c>
      <c r="H40" s="38" t="s">
        <v>417</v>
      </c>
      <c r="I40" s="8" t="s">
        <v>292</v>
      </c>
      <c r="J40" s="8"/>
      <c r="K40" s="8"/>
      <c r="L40" s="8"/>
      <c r="M40" s="8"/>
      <c r="N40" s="8"/>
      <c r="O40" s="8"/>
      <c r="P40" s="8"/>
      <c r="Q40" s="8"/>
      <c r="R40" s="128"/>
      <c r="S40" s="129"/>
      <c r="T40" s="130"/>
      <c r="U40" s="131"/>
    </row>
    <row r="41" spans="1:21" s="10" customFormat="1">
      <c r="A41" s="67">
        <v>10</v>
      </c>
      <c r="B41" s="8"/>
      <c r="C41" s="8"/>
      <c r="D41" s="8" t="s">
        <v>188</v>
      </c>
      <c r="E41" s="25" t="s">
        <v>308</v>
      </c>
      <c r="F41" s="25"/>
      <c r="G41" s="38" t="s">
        <v>551</v>
      </c>
      <c r="H41" s="38" t="s">
        <v>418</v>
      </c>
      <c r="I41" s="8" t="s">
        <v>292</v>
      </c>
      <c r="J41" s="8"/>
      <c r="K41" s="8"/>
      <c r="L41" s="8"/>
      <c r="M41" s="8"/>
      <c r="N41" s="8"/>
      <c r="O41" s="8"/>
      <c r="P41" s="8"/>
      <c r="Q41" s="8"/>
      <c r="R41" s="128"/>
      <c r="S41" s="129"/>
      <c r="T41" s="130"/>
      <c r="U41" s="131"/>
    </row>
    <row r="42" spans="1:21" s="10" customFormat="1" ht="12.75" customHeight="1">
      <c r="A42" s="67">
        <v>10</v>
      </c>
      <c r="B42" s="8"/>
      <c r="C42" s="8"/>
      <c r="D42" s="8" t="s">
        <v>189</v>
      </c>
      <c r="E42" s="25" t="s">
        <v>308</v>
      </c>
      <c r="F42" s="25"/>
      <c r="G42" s="38" t="s">
        <v>552</v>
      </c>
      <c r="H42" s="38" t="s">
        <v>419</v>
      </c>
      <c r="I42" s="8" t="s">
        <v>292</v>
      </c>
      <c r="J42" s="8"/>
      <c r="K42" s="8"/>
      <c r="L42" s="8"/>
      <c r="M42" s="8"/>
      <c r="N42" s="8"/>
      <c r="O42" s="8"/>
      <c r="P42" s="8"/>
      <c r="Q42" s="8"/>
      <c r="R42" s="128"/>
      <c r="S42" s="129"/>
      <c r="T42" s="130"/>
      <c r="U42" s="131"/>
    </row>
    <row r="43" spans="1:21" s="10" customFormat="1" ht="12.75" customHeight="1">
      <c r="A43" s="67">
        <v>10</v>
      </c>
      <c r="B43" s="8"/>
      <c r="C43" s="8"/>
      <c r="D43" s="8" t="s">
        <v>190</v>
      </c>
      <c r="E43" s="25" t="s">
        <v>288</v>
      </c>
      <c r="F43" s="25"/>
      <c r="G43" s="38" t="s">
        <v>553</v>
      </c>
      <c r="H43" s="38" t="s">
        <v>420</v>
      </c>
      <c r="I43" s="8" t="s">
        <v>292</v>
      </c>
      <c r="J43" s="8"/>
      <c r="K43" s="8"/>
      <c r="L43" s="8"/>
      <c r="M43" s="8"/>
      <c r="N43" s="8"/>
      <c r="O43" s="8"/>
      <c r="P43" s="8"/>
      <c r="Q43" s="8"/>
      <c r="R43" s="128"/>
      <c r="S43" s="129"/>
      <c r="T43" s="130"/>
      <c r="U43" s="131"/>
    </row>
    <row r="44" spans="1:21" s="10" customFormat="1" ht="12.75" customHeight="1">
      <c r="A44" s="67">
        <v>10</v>
      </c>
      <c r="B44" s="8"/>
      <c r="C44" s="8"/>
      <c r="D44" s="8" t="s">
        <v>191</v>
      </c>
      <c r="E44" s="25" t="s">
        <v>308</v>
      </c>
      <c r="F44" s="25"/>
      <c r="G44" s="38" t="s">
        <v>554</v>
      </c>
      <c r="H44" s="38" t="s">
        <v>421</v>
      </c>
      <c r="I44" s="8" t="s">
        <v>292</v>
      </c>
      <c r="J44" s="8"/>
      <c r="K44" s="8"/>
      <c r="L44" s="8"/>
      <c r="M44" s="8"/>
      <c r="N44" s="8"/>
      <c r="O44" s="8"/>
      <c r="P44" s="8"/>
      <c r="Q44" s="8"/>
      <c r="R44" s="128"/>
      <c r="S44" s="129"/>
      <c r="T44" s="130"/>
      <c r="U44" s="131"/>
    </row>
    <row r="45" spans="1:21" s="10" customFormat="1" ht="12.75" customHeight="1">
      <c r="A45" s="67">
        <v>10</v>
      </c>
      <c r="B45" s="8"/>
      <c r="C45" s="8"/>
      <c r="D45" s="8" t="s">
        <v>192</v>
      </c>
      <c r="E45" s="25" t="s">
        <v>288</v>
      </c>
      <c r="F45" s="25"/>
      <c r="G45" s="38" t="s">
        <v>555</v>
      </c>
      <c r="H45" s="38" t="s">
        <v>422</v>
      </c>
      <c r="I45" s="8" t="s">
        <v>292</v>
      </c>
      <c r="J45" s="8"/>
      <c r="K45" s="8"/>
      <c r="L45" s="8"/>
      <c r="M45" s="8"/>
      <c r="N45" s="8"/>
      <c r="O45" s="8"/>
      <c r="P45" s="8"/>
      <c r="Q45" s="8"/>
      <c r="R45" s="128"/>
      <c r="S45" s="129"/>
      <c r="T45" s="130"/>
      <c r="U45" s="131"/>
    </row>
    <row r="46" spans="1:21" s="10" customFormat="1" ht="12.75" customHeight="1">
      <c r="A46" s="67">
        <v>10</v>
      </c>
      <c r="B46" s="8"/>
      <c r="C46" s="8"/>
      <c r="D46" s="8" t="s">
        <v>193</v>
      </c>
      <c r="E46" s="25" t="s">
        <v>308</v>
      </c>
      <c r="F46" s="25"/>
      <c r="G46" s="38" t="s">
        <v>556</v>
      </c>
      <c r="H46" s="38" t="s">
        <v>423</v>
      </c>
      <c r="I46" s="8" t="s">
        <v>292</v>
      </c>
      <c r="J46" s="8"/>
      <c r="K46" s="8"/>
      <c r="L46" s="8"/>
      <c r="M46" s="8"/>
      <c r="N46" s="8"/>
      <c r="O46" s="8"/>
      <c r="P46" s="8"/>
      <c r="Q46" s="8"/>
      <c r="R46" s="128"/>
      <c r="S46" s="129"/>
      <c r="T46" s="130"/>
      <c r="U46" s="131"/>
    </row>
    <row r="47" spans="1:21" s="10" customFormat="1">
      <c r="A47" s="8">
        <v>10</v>
      </c>
      <c r="B47" s="8"/>
      <c r="C47" s="8"/>
      <c r="D47" s="8" t="s">
        <v>267</v>
      </c>
      <c r="E47" s="25" t="s">
        <v>268</v>
      </c>
      <c r="F47" s="25"/>
      <c r="G47" s="38" t="s">
        <v>491</v>
      </c>
      <c r="H47" s="38" t="s">
        <v>424</v>
      </c>
      <c r="I47" s="8"/>
      <c r="J47" s="8"/>
      <c r="K47" s="8"/>
      <c r="L47" s="8"/>
      <c r="M47" s="8"/>
      <c r="N47" s="8"/>
      <c r="O47" s="8"/>
      <c r="P47" s="8"/>
      <c r="Q47" s="8"/>
      <c r="R47" s="49"/>
      <c r="S47" s="50"/>
      <c r="T47" s="51"/>
      <c r="U47" s="52"/>
    </row>
    <row r="48" spans="1:21" s="10" customFormat="1">
      <c r="A48" s="8">
        <v>10</v>
      </c>
      <c r="B48" s="8"/>
      <c r="C48" s="8"/>
      <c r="D48" s="8" t="s">
        <v>269</v>
      </c>
      <c r="E48" s="25" t="s">
        <v>143</v>
      </c>
      <c r="F48" s="25"/>
      <c r="G48" s="38" t="s">
        <v>515</v>
      </c>
      <c r="H48" s="38" t="s">
        <v>321</v>
      </c>
      <c r="I48" s="8"/>
      <c r="J48" s="8"/>
      <c r="K48" s="8"/>
      <c r="L48" s="8"/>
      <c r="M48" s="8"/>
      <c r="N48" s="8"/>
      <c r="O48" s="8"/>
      <c r="P48" s="8"/>
      <c r="Q48" s="8"/>
      <c r="R48" s="49"/>
      <c r="S48" s="50"/>
      <c r="T48" s="51"/>
      <c r="U48" s="52"/>
    </row>
    <row r="49" spans="1:21" s="10" customFormat="1" ht="26">
      <c r="A49" s="8">
        <v>10</v>
      </c>
      <c r="B49" s="8"/>
      <c r="C49" s="8"/>
      <c r="D49" s="8" t="s">
        <v>273</v>
      </c>
      <c r="E49" s="25" t="s">
        <v>40</v>
      </c>
      <c r="F49" s="25"/>
      <c r="G49" s="38" t="s">
        <v>557</v>
      </c>
      <c r="H49" s="38" t="s">
        <v>425</v>
      </c>
      <c r="I49" s="8"/>
      <c r="J49" s="8"/>
      <c r="K49" s="8"/>
      <c r="L49" s="8"/>
      <c r="M49" s="8"/>
      <c r="N49" s="8"/>
      <c r="O49" s="8"/>
      <c r="P49" s="8"/>
      <c r="Q49" s="8"/>
      <c r="R49" s="49"/>
      <c r="S49" s="50"/>
      <c r="T49" s="51"/>
      <c r="U49" s="52"/>
    </row>
  </sheetData>
  <mergeCells count="64">
    <mergeCell ref="R41:S41"/>
    <mergeCell ref="T41:U41"/>
    <mergeCell ref="R42:S42"/>
    <mergeCell ref="T42:U42"/>
    <mergeCell ref="R46:S46"/>
    <mergeCell ref="T46:U46"/>
    <mergeCell ref="R43:S43"/>
    <mergeCell ref="T43:U43"/>
    <mergeCell ref="R44:S44"/>
    <mergeCell ref="T44:U44"/>
    <mergeCell ref="R45:S45"/>
    <mergeCell ref="T45:U45"/>
    <mergeCell ref="R38:S38"/>
    <mergeCell ref="T38:U38"/>
    <mergeCell ref="R39:S39"/>
    <mergeCell ref="T39:U39"/>
    <mergeCell ref="R40:S40"/>
    <mergeCell ref="T40:U40"/>
    <mergeCell ref="R35:S35"/>
    <mergeCell ref="T35:U35"/>
    <mergeCell ref="R36:S36"/>
    <mergeCell ref="T36:U36"/>
    <mergeCell ref="R37:S37"/>
    <mergeCell ref="T37:U37"/>
    <mergeCell ref="R32:S32"/>
    <mergeCell ref="T32:U32"/>
    <mergeCell ref="R33:S33"/>
    <mergeCell ref="T33:U33"/>
    <mergeCell ref="R34:S34"/>
    <mergeCell ref="T34:U34"/>
    <mergeCell ref="R29:S29"/>
    <mergeCell ref="T29:U29"/>
    <mergeCell ref="R30:S30"/>
    <mergeCell ref="T30:U30"/>
    <mergeCell ref="R31:S31"/>
    <mergeCell ref="T31:U31"/>
    <mergeCell ref="R26:S26"/>
    <mergeCell ref="T26:U26"/>
    <mergeCell ref="R27:S27"/>
    <mergeCell ref="T27:U27"/>
    <mergeCell ref="R28:S28"/>
    <mergeCell ref="T28:U28"/>
    <mergeCell ref="R23:S23"/>
    <mergeCell ref="T23:U23"/>
    <mergeCell ref="R24:S24"/>
    <mergeCell ref="T24:U24"/>
    <mergeCell ref="R25:S25"/>
    <mergeCell ref="T25:U25"/>
    <mergeCell ref="R21:S21"/>
    <mergeCell ref="T21:U21"/>
    <mergeCell ref="R22:S22"/>
    <mergeCell ref="T22:U22"/>
    <mergeCell ref="T8:U8"/>
    <mergeCell ref="R9:S9"/>
    <mergeCell ref="T9:U9"/>
    <mergeCell ref="T11:U11"/>
    <mergeCell ref="R12:S12"/>
    <mergeCell ref="T12:U12"/>
    <mergeCell ref="R13:S13"/>
    <mergeCell ref="T13:U13"/>
    <mergeCell ref="R14:S14"/>
    <mergeCell ref="T14:U14"/>
    <mergeCell ref="R20:S20"/>
    <mergeCell ref="T20:U20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7">
    <pageSetUpPr fitToPage="1"/>
  </sheetPr>
  <dimension ref="A1:U19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4" t="s">
        <v>299</v>
      </c>
      <c r="B1" s="54" t="s">
        <v>299</v>
      </c>
      <c r="C1" s="54"/>
      <c r="D1" s="1" t="s">
        <v>381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55" t="s">
        <v>299</v>
      </c>
      <c r="B2" s="22"/>
      <c r="C2" s="22"/>
      <c r="D2" s="70" t="s">
        <v>477</v>
      </c>
      <c r="E2" s="7" t="s">
        <v>0</v>
      </c>
      <c r="F2" s="56" t="str">
        <f>IF(LogicCommon!C2="","",LogicCommon!C2)</f>
        <v>MS</v>
      </c>
      <c r="G2" s="7" t="s">
        <v>1</v>
      </c>
      <c r="H2" s="56" t="str">
        <f>IF(LogicCommon!E2="","",LogicCommon!E2)</f>
        <v>MSBFL5210</v>
      </c>
      <c r="I2" s="7" t="s">
        <v>320</v>
      </c>
      <c r="J2" s="8" t="s">
        <v>82</v>
      </c>
      <c r="K2" s="7" t="s">
        <v>274</v>
      </c>
      <c r="L2" s="56" t="str">
        <f>IF(LogicCommon!G2="","",LogicCommon!G2)</f>
        <v>MC</v>
      </c>
      <c r="M2" s="5" t="s">
        <v>375</v>
      </c>
      <c r="N2" s="23" t="s">
        <v>459</v>
      </c>
      <c r="O2" s="7"/>
      <c r="P2" s="7"/>
      <c r="Q2" s="4"/>
      <c r="R2" s="5"/>
      <c r="S2" s="5"/>
      <c r="T2" s="5"/>
      <c r="U2" s="5"/>
    </row>
    <row r="3" spans="1:21" s="10" customFormat="1">
      <c r="A3" s="57" t="s">
        <v>299</v>
      </c>
      <c r="B3" s="58"/>
      <c r="C3" s="58"/>
      <c r="D3" s="59" t="str">
        <f>IF(LogicCommon!A3="","",LogicCommon!A3)</f>
        <v/>
      </c>
      <c r="E3" s="7" t="s">
        <v>2</v>
      </c>
      <c r="F3" s="56" t="str">
        <f>IF(LogicCommon!C3="","",LogicCommon!C3)</f>
        <v>MSBF</v>
      </c>
      <c r="G3" s="7" t="s">
        <v>3</v>
      </c>
      <c r="H3" s="56" t="str">
        <f>IF(LogicCommon!E3="","",LogicCommon!E3)</f>
        <v>MSBFL_LotService</v>
      </c>
      <c r="I3" s="7" t="s">
        <v>344</v>
      </c>
      <c r="J3" s="8" t="s">
        <v>137</v>
      </c>
      <c r="K3" s="7" t="s">
        <v>275</v>
      </c>
      <c r="L3" s="56" t="str">
        <f>IF(LogicCommon!G3="","",LogicCommon!G3)</f>
        <v/>
      </c>
      <c r="M3" s="60"/>
      <c r="N3" s="7"/>
      <c r="O3" s="7" t="s">
        <v>345</v>
      </c>
      <c r="P3" s="8" t="s">
        <v>282</v>
      </c>
      <c r="Q3" s="4"/>
      <c r="R3" s="5"/>
      <c r="S3" s="5"/>
      <c r="T3" s="5"/>
      <c r="U3" s="5"/>
    </row>
    <row r="4" spans="1:21" s="10" customFormat="1">
      <c r="A4" s="57" t="s">
        <v>299</v>
      </c>
      <c r="B4" s="58"/>
      <c r="C4" s="58"/>
      <c r="D4" s="4"/>
      <c r="E4" s="7" t="s">
        <v>20</v>
      </c>
      <c r="F4" s="61" t="s">
        <v>346</v>
      </c>
      <c r="G4" s="7" t="s">
        <v>4</v>
      </c>
      <c r="H4" s="56" t="str">
        <f>IF(LogicCommon!E4="","",LogicCommon!E4)</f>
        <v>ロット情報サービス</v>
      </c>
      <c r="I4" s="7" t="s">
        <v>276</v>
      </c>
      <c r="J4" s="8" t="s">
        <v>83</v>
      </c>
      <c r="K4" s="7" t="s">
        <v>5</v>
      </c>
      <c r="L4" s="56" t="str">
        <f>IF(LogicCommon!G4="","",LogicCommon!G4)</f>
        <v>MS.MSUDL5010</v>
      </c>
      <c r="M4" s="62" t="s">
        <v>283</v>
      </c>
      <c r="N4" s="23"/>
      <c r="O4" s="63"/>
      <c r="P4" s="4"/>
      <c r="Q4" s="4"/>
      <c r="R4" s="5"/>
      <c r="S4" s="5"/>
      <c r="T4" s="5"/>
      <c r="U4" s="5"/>
    </row>
    <row r="5" spans="1:21" s="10" customFormat="1">
      <c r="A5" s="64" t="s">
        <v>299</v>
      </c>
      <c r="B5" s="54"/>
      <c r="C5" s="54"/>
      <c r="D5" s="21"/>
      <c r="E5" s="7" t="s">
        <v>298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</row>
    <row r="6" spans="1:21" s="10" customFormat="1">
      <c r="A6" s="57" t="s">
        <v>299</v>
      </c>
      <c r="B6" s="58"/>
      <c r="C6" s="58"/>
      <c r="D6" s="4" t="s">
        <v>8</v>
      </c>
      <c r="E6" s="12" t="s">
        <v>465</v>
      </c>
      <c r="F6" s="12"/>
      <c r="G6" s="12"/>
      <c r="H6" s="12"/>
      <c r="I6" s="12"/>
      <c r="J6" s="12"/>
      <c r="K6" s="12"/>
      <c r="L6" s="66"/>
      <c r="M6" s="15" t="s">
        <v>300</v>
      </c>
      <c r="N6" s="15"/>
      <c r="O6" s="15" t="s">
        <v>300</v>
      </c>
      <c r="P6" s="15"/>
      <c r="Q6" s="15" t="s">
        <v>300</v>
      </c>
      <c r="R6" s="4"/>
      <c r="S6" s="4"/>
      <c r="T6" s="4"/>
      <c r="U6" s="4"/>
    </row>
    <row r="7" spans="1:21" s="10" customFormat="1">
      <c r="A7" s="22" t="s">
        <v>21</v>
      </c>
      <c r="B7" s="22"/>
      <c r="C7" s="22"/>
      <c r="D7" s="6"/>
      <c r="E7" s="6"/>
      <c r="F7" s="6"/>
      <c r="G7" s="6"/>
      <c r="H7" s="6"/>
      <c r="I7" s="6" t="s">
        <v>22</v>
      </c>
      <c r="J7" s="6"/>
      <c r="K7" s="8" t="s">
        <v>23</v>
      </c>
      <c r="L7" s="24" t="s">
        <v>24</v>
      </c>
      <c r="M7" s="25"/>
      <c r="N7" s="24" t="s">
        <v>24</v>
      </c>
      <c r="O7" s="25"/>
      <c r="P7" s="24" t="s">
        <v>24</v>
      </c>
      <c r="Q7" s="25"/>
      <c r="R7" s="4"/>
      <c r="S7" s="4"/>
      <c r="T7" s="4"/>
      <c r="U7" s="4"/>
    </row>
    <row r="8" spans="1:21" s="10" customFormat="1" ht="60" customHeight="1">
      <c r="A8" s="25" t="s">
        <v>21</v>
      </c>
      <c r="B8" s="71"/>
      <c r="C8" s="72"/>
      <c r="D8" s="24" t="s">
        <v>478</v>
      </c>
      <c r="E8" s="24" t="s">
        <v>479</v>
      </c>
      <c r="F8" s="66"/>
      <c r="G8" s="24" t="s">
        <v>284</v>
      </c>
      <c r="H8" s="24" t="s">
        <v>480</v>
      </c>
      <c r="I8" s="66"/>
      <c r="J8" s="3"/>
      <c r="K8" s="8"/>
      <c r="L8" s="24" t="s">
        <v>25</v>
      </c>
      <c r="M8" s="25"/>
      <c r="N8" s="24" t="s">
        <v>25</v>
      </c>
      <c r="O8" s="25"/>
      <c r="P8" s="24" t="s">
        <v>25</v>
      </c>
      <c r="Q8" s="25"/>
      <c r="R8" s="3"/>
      <c r="S8" s="21"/>
      <c r="T8" s="128" t="s">
        <v>481</v>
      </c>
      <c r="U8" s="129"/>
    </row>
    <row r="9" spans="1:21" s="10" customFormat="1" ht="60" customHeight="1">
      <c r="A9" s="8" t="s">
        <v>21</v>
      </c>
      <c r="B9" s="28"/>
      <c r="C9" s="29"/>
      <c r="D9" s="24" t="s">
        <v>482</v>
      </c>
      <c r="E9" s="49" t="s">
        <v>483</v>
      </c>
      <c r="F9" s="24" t="s">
        <v>484</v>
      </c>
      <c r="G9" s="24" t="s">
        <v>485</v>
      </c>
      <c r="H9" s="24" t="s">
        <v>486</v>
      </c>
      <c r="I9" s="50" t="s">
        <v>487</v>
      </c>
      <c r="J9" s="24" t="s">
        <v>488</v>
      </c>
      <c r="K9" s="70"/>
      <c r="L9" s="50"/>
      <c r="M9" s="24"/>
      <c r="N9" s="50"/>
      <c r="O9" s="24"/>
      <c r="P9" s="50"/>
      <c r="Q9" s="24"/>
      <c r="R9" s="128" t="s">
        <v>489</v>
      </c>
      <c r="S9" s="129"/>
      <c r="T9" s="128" t="s">
        <v>490</v>
      </c>
      <c r="U9" s="129"/>
    </row>
    <row r="10" spans="1:21" s="10" customFormat="1" ht="39">
      <c r="A10" s="28" t="s">
        <v>21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487</v>
      </c>
      <c r="M10" s="24" t="s">
        <v>488</v>
      </c>
      <c r="N10" s="24" t="s">
        <v>487</v>
      </c>
      <c r="O10" s="24" t="s">
        <v>488</v>
      </c>
      <c r="P10" s="24" t="s">
        <v>487</v>
      </c>
      <c r="Q10" s="24" t="s">
        <v>488</v>
      </c>
      <c r="R10" s="30"/>
      <c r="S10" s="30"/>
      <c r="T10" s="35"/>
      <c r="U10" s="53"/>
    </row>
    <row r="11" spans="1:21" s="10" customFormat="1">
      <c r="A11" s="8">
        <v>10</v>
      </c>
      <c r="B11" s="28" t="s">
        <v>26</v>
      </c>
      <c r="C11" s="29"/>
      <c r="D11" s="23" t="s">
        <v>84</v>
      </c>
      <c r="E11" s="26" t="s">
        <v>132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30"/>
      <c r="U11" s="131"/>
    </row>
    <row r="12" spans="1:21" s="10" customFormat="1">
      <c r="A12" s="67">
        <v>10</v>
      </c>
      <c r="B12" s="67"/>
      <c r="C12" s="67"/>
      <c r="D12" s="67" t="s">
        <v>159</v>
      </c>
      <c r="E12" s="67" t="s">
        <v>158</v>
      </c>
      <c r="F12" s="67" t="s">
        <v>160</v>
      </c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8"/>
      <c r="S12" s="69"/>
      <c r="T12" s="67"/>
      <c r="U12" s="67"/>
    </row>
    <row r="13" spans="1:21" s="10" customFormat="1">
      <c r="A13" s="67">
        <v>10</v>
      </c>
      <c r="B13" s="8"/>
      <c r="C13" s="8"/>
      <c r="D13" s="8" t="s">
        <v>307</v>
      </c>
      <c r="E13" s="25" t="s">
        <v>308</v>
      </c>
      <c r="F13" s="25"/>
      <c r="G13" s="38" t="s">
        <v>493</v>
      </c>
      <c r="H13" s="38" t="s">
        <v>323</v>
      </c>
      <c r="I13" s="8" t="s">
        <v>292</v>
      </c>
      <c r="J13" s="8"/>
      <c r="K13" s="8"/>
      <c r="L13" s="8"/>
      <c r="M13" s="8"/>
      <c r="N13" s="8"/>
      <c r="O13" s="8"/>
      <c r="P13" s="8"/>
      <c r="Q13" s="8"/>
      <c r="R13" s="128"/>
      <c r="S13" s="129"/>
      <c r="T13" s="130"/>
      <c r="U13" s="131"/>
    </row>
    <row r="14" spans="1:21" s="10" customFormat="1">
      <c r="A14" s="67">
        <v>10</v>
      </c>
      <c r="B14" s="8"/>
      <c r="C14" s="8"/>
      <c r="D14" s="8" t="s">
        <v>162</v>
      </c>
      <c r="E14" s="25" t="s">
        <v>288</v>
      </c>
      <c r="F14" s="25"/>
      <c r="G14" s="38" t="s">
        <v>494</v>
      </c>
      <c r="H14" s="38" t="s">
        <v>278</v>
      </c>
      <c r="I14" s="8" t="s">
        <v>292</v>
      </c>
      <c r="J14" s="8"/>
      <c r="K14" s="8"/>
      <c r="L14" s="8"/>
      <c r="M14" s="8"/>
      <c r="N14" s="8"/>
      <c r="O14" s="8"/>
      <c r="P14" s="8"/>
      <c r="Q14" s="8"/>
      <c r="R14" s="128"/>
      <c r="S14" s="129"/>
      <c r="T14" s="130"/>
      <c r="U14" s="131"/>
    </row>
    <row r="15" spans="1:21" s="10" customFormat="1">
      <c r="A15" s="67">
        <v>10</v>
      </c>
      <c r="B15" s="8"/>
      <c r="C15" s="8"/>
      <c r="D15" s="8" t="s">
        <v>163</v>
      </c>
      <c r="E15" s="25" t="s">
        <v>308</v>
      </c>
      <c r="F15" s="25"/>
      <c r="G15" s="38" t="s">
        <v>495</v>
      </c>
      <c r="H15" s="38" t="s">
        <v>291</v>
      </c>
      <c r="I15" s="8" t="s">
        <v>292</v>
      </c>
      <c r="J15" s="8"/>
      <c r="K15" s="8"/>
      <c r="L15" s="8"/>
      <c r="M15" s="8"/>
      <c r="N15" s="8"/>
      <c r="O15" s="8"/>
      <c r="P15" s="8"/>
      <c r="Q15" s="8"/>
      <c r="R15" s="128"/>
      <c r="S15" s="129"/>
      <c r="T15" s="130"/>
      <c r="U15" s="131"/>
    </row>
    <row r="16" spans="1:21" s="10" customFormat="1">
      <c r="A16" s="67">
        <v>10</v>
      </c>
      <c r="B16" s="8"/>
      <c r="C16" s="8"/>
      <c r="D16" s="8" t="s">
        <v>164</v>
      </c>
      <c r="E16" s="25" t="s">
        <v>288</v>
      </c>
      <c r="F16" s="25"/>
      <c r="G16" s="38" t="s">
        <v>496</v>
      </c>
      <c r="H16" s="38" t="s">
        <v>279</v>
      </c>
      <c r="I16" s="8" t="s">
        <v>292</v>
      </c>
      <c r="J16" s="8"/>
      <c r="K16" s="8"/>
      <c r="L16" s="8"/>
      <c r="M16" s="8"/>
      <c r="N16" s="8"/>
      <c r="O16" s="8"/>
      <c r="P16" s="8"/>
      <c r="Q16" s="8"/>
      <c r="R16" s="128"/>
      <c r="S16" s="129"/>
      <c r="T16" s="130"/>
      <c r="U16" s="131"/>
    </row>
    <row r="17" spans="1:21" s="10" customFormat="1">
      <c r="A17" s="67">
        <v>10</v>
      </c>
      <c r="B17" s="8"/>
      <c r="C17" s="8"/>
      <c r="D17" s="8" t="s">
        <v>165</v>
      </c>
      <c r="E17" s="25" t="s">
        <v>288</v>
      </c>
      <c r="F17" s="25"/>
      <c r="G17" s="38" t="s">
        <v>497</v>
      </c>
      <c r="H17" s="38" t="s">
        <v>280</v>
      </c>
      <c r="I17" s="8" t="s">
        <v>292</v>
      </c>
      <c r="J17" s="8"/>
      <c r="K17" s="8"/>
      <c r="L17" s="8"/>
      <c r="M17" s="8"/>
      <c r="N17" s="8"/>
      <c r="O17" s="8"/>
      <c r="P17" s="8"/>
      <c r="Q17" s="8"/>
      <c r="R17" s="128"/>
      <c r="S17" s="129"/>
      <c r="T17" s="130"/>
      <c r="U17" s="131"/>
    </row>
    <row r="18" spans="1:21" s="10" customFormat="1">
      <c r="A18" s="67">
        <v>10</v>
      </c>
      <c r="B18" s="8"/>
      <c r="C18" s="8"/>
      <c r="D18" s="8" t="s">
        <v>166</v>
      </c>
      <c r="E18" s="25" t="s">
        <v>308</v>
      </c>
      <c r="F18" s="25"/>
      <c r="G18" s="38" t="s">
        <v>498</v>
      </c>
      <c r="H18" s="38" t="s">
        <v>382</v>
      </c>
      <c r="I18" s="8" t="s">
        <v>292</v>
      </c>
      <c r="J18" s="8"/>
      <c r="K18" s="8"/>
      <c r="L18" s="8"/>
      <c r="M18" s="8"/>
      <c r="N18" s="8"/>
      <c r="O18" s="8"/>
      <c r="P18" s="8"/>
      <c r="Q18" s="8"/>
      <c r="R18" s="128"/>
      <c r="S18" s="129"/>
      <c r="T18" s="130"/>
      <c r="U18" s="131"/>
    </row>
    <row r="19" spans="1:21" s="10" customFormat="1">
      <c r="A19" s="67">
        <v>10</v>
      </c>
      <c r="B19" s="8"/>
      <c r="C19" s="8"/>
      <c r="D19" s="8" t="s">
        <v>342</v>
      </c>
      <c r="E19" s="25" t="s">
        <v>308</v>
      </c>
      <c r="F19" s="25"/>
      <c r="G19" s="38" t="s">
        <v>558</v>
      </c>
      <c r="H19" s="38" t="s">
        <v>426</v>
      </c>
      <c r="I19" s="8" t="s">
        <v>292</v>
      </c>
      <c r="J19" s="8"/>
      <c r="K19" s="8"/>
      <c r="L19" s="8"/>
      <c r="M19" s="8"/>
      <c r="N19" s="8"/>
      <c r="O19" s="8"/>
      <c r="P19" s="8"/>
      <c r="Q19" s="8"/>
      <c r="R19" s="128"/>
      <c r="S19" s="129"/>
      <c r="T19" s="130"/>
      <c r="U19" s="131"/>
    </row>
  </sheetData>
  <mergeCells count="18">
    <mergeCell ref="R17:S17"/>
    <mergeCell ref="T17:U17"/>
    <mergeCell ref="R18:S18"/>
    <mergeCell ref="T18:U18"/>
    <mergeCell ref="R19:S19"/>
    <mergeCell ref="T19:U19"/>
    <mergeCell ref="R14:S14"/>
    <mergeCell ref="T14:U14"/>
    <mergeCell ref="R15:S15"/>
    <mergeCell ref="T15:U15"/>
    <mergeCell ref="R16:S16"/>
    <mergeCell ref="T16:U16"/>
    <mergeCell ref="T8:U8"/>
    <mergeCell ref="R9:S9"/>
    <mergeCell ref="T9:U9"/>
    <mergeCell ref="T11:U11"/>
    <mergeCell ref="R13:S13"/>
    <mergeCell ref="T13:U13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8">
    <pageSetUpPr fitToPage="1"/>
  </sheetPr>
  <dimension ref="A1:U26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4" t="s">
        <v>299</v>
      </c>
      <c r="B1" s="54" t="s">
        <v>299</v>
      </c>
      <c r="C1" s="54"/>
      <c r="D1" s="1" t="s">
        <v>381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55" t="s">
        <v>299</v>
      </c>
      <c r="B2" s="22"/>
      <c r="C2" s="22"/>
      <c r="D2" s="70" t="s">
        <v>477</v>
      </c>
      <c r="E2" s="7" t="s">
        <v>0</v>
      </c>
      <c r="F2" s="56" t="str">
        <f>IF(LogicCommon!C2="","",LogicCommon!C2)</f>
        <v>MS</v>
      </c>
      <c r="G2" s="7" t="s">
        <v>1</v>
      </c>
      <c r="H2" s="56" t="str">
        <f>IF(LogicCommon!E2="","",LogicCommon!E2)</f>
        <v>MSBFL5210</v>
      </c>
      <c r="I2" s="7" t="s">
        <v>320</v>
      </c>
      <c r="J2" s="8" t="s">
        <v>85</v>
      </c>
      <c r="K2" s="7" t="s">
        <v>274</v>
      </c>
      <c r="L2" s="56" t="str">
        <f>IF(LogicCommon!G2="","",LogicCommon!G2)</f>
        <v>MC</v>
      </c>
      <c r="M2" s="5" t="s">
        <v>375</v>
      </c>
      <c r="N2" s="23" t="s">
        <v>459</v>
      </c>
      <c r="O2" s="7"/>
      <c r="P2" s="7"/>
      <c r="Q2" s="4"/>
      <c r="R2" s="5"/>
      <c r="S2" s="5"/>
      <c r="T2" s="5"/>
      <c r="U2" s="5"/>
    </row>
    <row r="3" spans="1:21" s="10" customFormat="1">
      <c r="A3" s="57" t="s">
        <v>299</v>
      </c>
      <c r="B3" s="58"/>
      <c r="C3" s="58"/>
      <c r="D3" s="59" t="str">
        <f>IF(LogicCommon!A3="","",LogicCommon!A3)</f>
        <v/>
      </c>
      <c r="E3" s="7" t="s">
        <v>2</v>
      </c>
      <c r="F3" s="56" t="str">
        <f>IF(LogicCommon!C3="","",LogicCommon!C3)</f>
        <v>MSBF</v>
      </c>
      <c r="G3" s="7" t="s">
        <v>3</v>
      </c>
      <c r="H3" s="56" t="str">
        <f>IF(LogicCommon!E3="","",LogicCommon!E3)</f>
        <v>MSBFL_LotService</v>
      </c>
      <c r="I3" s="7" t="s">
        <v>344</v>
      </c>
      <c r="J3" s="8" t="s">
        <v>134</v>
      </c>
      <c r="K3" s="7" t="s">
        <v>275</v>
      </c>
      <c r="L3" s="56" t="str">
        <f>IF(LogicCommon!G3="","",LogicCommon!G3)</f>
        <v/>
      </c>
      <c r="M3" s="60"/>
      <c r="N3" s="7"/>
      <c r="O3" s="7" t="s">
        <v>345</v>
      </c>
      <c r="P3" s="8" t="s">
        <v>282</v>
      </c>
      <c r="Q3" s="4"/>
      <c r="R3" s="5"/>
      <c r="S3" s="5"/>
      <c r="T3" s="5"/>
      <c r="U3" s="5"/>
    </row>
    <row r="4" spans="1:21" s="10" customFormat="1">
      <c r="A4" s="57" t="s">
        <v>299</v>
      </c>
      <c r="B4" s="58"/>
      <c r="C4" s="58"/>
      <c r="D4" s="4"/>
      <c r="E4" s="7" t="s">
        <v>20</v>
      </c>
      <c r="F4" s="61" t="s">
        <v>346</v>
      </c>
      <c r="G4" s="7" t="s">
        <v>4</v>
      </c>
      <c r="H4" s="56" t="str">
        <f>IF(LogicCommon!E4="","",LogicCommon!E4)</f>
        <v>ロット情報サービス</v>
      </c>
      <c r="I4" s="7" t="s">
        <v>276</v>
      </c>
      <c r="J4" s="8" t="s">
        <v>86</v>
      </c>
      <c r="K4" s="7" t="s">
        <v>5</v>
      </c>
      <c r="L4" s="56" t="str">
        <f>IF(LogicCommon!G4="","",LogicCommon!G4)</f>
        <v>MS.MSUDL5010</v>
      </c>
      <c r="M4" s="62" t="s">
        <v>283</v>
      </c>
      <c r="N4" s="23"/>
      <c r="O4" s="63"/>
      <c r="P4" s="4"/>
      <c r="Q4" s="4"/>
      <c r="R4" s="5"/>
      <c r="S4" s="5"/>
      <c r="T4" s="5"/>
      <c r="U4" s="5"/>
    </row>
    <row r="5" spans="1:21" s="10" customFormat="1">
      <c r="A5" s="64" t="s">
        <v>299</v>
      </c>
      <c r="B5" s="54"/>
      <c r="C5" s="54"/>
      <c r="D5" s="21"/>
      <c r="E5" s="7" t="s">
        <v>298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</row>
    <row r="6" spans="1:21" s="10" customFormat="1">
      <c r="A6" s="57" t="s">
        <v>299</v>
      </c>
      <c r="B6" s="58"/>
      <c r="C6" s="58"/>
      <c r="D6" s="4" t="s">
        <v>8</v>
      </c>
      <c r="E6" s="12" t="s">
        <v>466</v>
      </c>
      <c r="F6" s="12"/>
      <c r="G6" s="12"/>
      <c r="H6" s="12"/>
      <c r="I6" s="12"/>
      <c r="J6" s="12"/>
      <c r="K6" s="12"/>
      <c r="L6" s="66"/>
      <c r="M6" s="15" t="s">
        <v>300</v>
      </c>
      <c r="N6" s="15"/>
      <c r="O6" s="15" t="s">
        <v>300</v>
      </c>
      <c r="P6" s="15"/>
      <c r="Q6" s="15" t="s">
        <v>300</v>
      </c>
      <c r="R6" s="4"/>
      <c r="S6" s="4"/>
      <c r="T6" s="4"/>
      <c r="U6" s="4"/>
    </row>
    <row r="7" spans="1:21" s="10" customFormat="1">
      <c r="A7" s="22" t="s">
        <v>21</v>
      </c>
      <c r="B7" s="22"/>
      <c r="C7" s="22"/>
      <c r="D7" s="6"/>
      <c r="E7" s="6"/>
      <c r="F7" s="6"/>
      <c r="G7" s="6"/>
      <c r="H7" s="6"/>
      <c r="I7" s="6" t="s">
        <v>22</v>
      </c>
      <c r="J7" s="6"/>
      <c r="K7" s="8" t="s">
        <v>23</v>
      </c>
      <c r="L7" s="24" t="s">
        <v>24</v>
      </c>
      <c r="M7" s="25"/>
      <c r="N7" s="24" t="s">
        <v>24</v>
      </c>
      <c r="O7" s="25"/>
      <c r="P7" s="24" t="s">
        <v>24</v>
      </c>
      <c r="Q7" s="25"/>
      <c r="R7" s="4"/>
      <c r="S7" s="4"/>
      <c r="T7" s="4"/>
      <c r="U7" s="4"/>
    </row>
    <row r="8" spans="1:21" s="10" customFormat="1" ht="60" customHeight="1">
      <c r="A8" s="25" t="s">
        <v>21</v>
      </c>
      <c r="B8" s="71"/>
      <c r="C8" s="72"/>
      <c r="D8" s="24" t="s">
        <v>478</v>
      </c>
      <c r="E8" s="24" t="s">
        <v>479</v>
      </c>
      <c r="F8" s="66"/>
      <c r="G8" s="24" t="s">
        <v>284</v>
      </c>
      <c r="H8" s="24" t="s">
        <v>480</v>
      </c>
      <c r="I8" s="66"/>
      <c r="J8" s="3"/>
      <c r="K8" s="8"/>
      <c r="L8" s="24" t="s">
        <v>25</v>
      </c>
      <c r="M8" s="25"/>
      <c r="N8" s="24" t="s">
        <v>25</v>
      </c>
      <c r="O8" s="25"/>
      <c r="P8" s="24" t="s">
        <v>25</v>
      </c>
      <c r="Q8" s="25"/>
      <c r="R8" s="3"/>
      <c r="S8" s="21"/>
      <c r="T8" s="128" t="s">
        <v>481</v>
      </c>
      <c r="U8" s="129"/>
    </row>
    <row r="9" spans="1:21" s="10" customFormat="1" ht="60" customHeight="1">
      <c r="A9" s="8" t="s">
        <v>21</v>
      </c>
      <c r="B9" s="28"/>
      <c r="C9" s="29"/>
      <c r="D9" s="24" t="s">
        <v>482</v>
      </c>
      <c r="E9" s="49" t="s">
        <v>483</v>
      </c>
      <c r="F9" s="24" t="s">
        <v>484</v>
      </c>
      <c r="G9" s="24" t="s">
        <v>485</v>
      </c>
      <c r="H9" s="24" t="s">
        <v>486</v>
      </c>
      <c r="I9" s="50" t="s">
        <v>487</v>
      </c>
      <c r="J9" s="24" t="s">
        <v>488</v>
      </c>
      <c r="K9" s="70"/>
      <c r="L9" s="50"/>
      <c r="M9" s="24"/>
      <c r="N9" s="50"/>
      <c r="O9" s="24"/>
      <c r="P9" s="50"/>
      <c r="Q9" s="24"/>
      <c r="R9" s="128" t="s">
        <v>489</v>
      </c>
      <c r="S9" s="129"/>
      <c r="T9" s="128" t="s">
        <v>490</v>
      </c>
      <c r="U9" s="129"/>
    </row>
    <row r="10" spans="1:21" s="10" customFormat="1" ht="39">
      <c r="A10" s="28" t="s">
        <v>21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487</v>
      </c>
      <c r="M10" s="24" t="s">
        <v>488</v>
      </c>
      <c r="N10" s="24" t="s">
        <v>487</v>
      </c>
      <c r="O10" s="24" t="s">
        <v>488</v>
      </c>
      <c r="P10" s="24" t="s">
        <v>487</v>
      </c>
      <c r="Q10" s="24" t="s">
        <v>488</v>
      </c>
      <c r="R10" s="30"/>
      <c r="S10" s="30"/>
      <c r="T10" s="35"/>
      <c r="U10" s="53"/>
    </row>
    <row r="11" spans="1:21" s="10" customFormat="1">
      <c r="A11" s="8">
        <v>10</v>
      </c>
      <c r="B11" s="28" t="s">
        <v>26</v>
      </c>
      <c r="C11" s="29"/>
      <c r="D11" s="23" t="s">
        <v>87</v>
      </c>
      <c r="E11" s="26" t="s">
        <v>133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30"/>
      <c r="U11" s="131"/>
    </row>
    <row r="12" spans="1:21" s="10" customFormat="1" ht="12.75" customHeight="1">
      <c r="A12" s="8">
        <v>10</v>
      </c>
      <c r="B12" s="8"/>
      <c r="C12" s="8"/>
      <c r="D12" s="8" t="s">
        <v>88</v>
      </c>
      <c r="E12" s="25" t="s">
        <v>89</v>
      </c>
      <c r="F12" s="25"/>
      <c r="G12" s="38" t="s">
        <v>559</v>
      </c>
      <c r="H12" s="38" t="s">
        <v>427</v>
      </c>
      <c r="I12" s="8" t="s">
        <v>292</v>
      </c>
      <c r="J12" s="8"/>
      <c r="K12" s="8"/>
      <c r="L12" s="8"/>
      <c r="M12" s="8"/>
      <c r="N12" s="8"/>
      <c r="O12" s="8"/>
      <c r="P12" s="8"/>
      <c r="Q12" s="8"/>
      <c r="R12" s="128"/>
      <c r="S12" s="129"/>
      <c r="T12" s="130"/>
      <c r="U12" s="131"/>
    </row>
    <row r="13" spans="1:21" s="10" customFormat="1">
      <c r="A13" s="8">
        <v>10</v>
      </c>
      <c r="B13" s="8"/>
      <c r="C13" s="8"/>
      <c r="D13" s="8" t="s">
        <v>343</v>
      </c>
      <c r="E13" s="25" t="s">
        <v>138</v>
      </c>
      <c r="F13" s="25"/>
      <c r="G13" s="38" t="s">
        <v>508</v>
      </c>
      <c r="H13" s="38" t="s">
        <v>386</v>
      </c>
      <c r="I13" s="8"/>
      <c r="J13" s="8"/>
      <c r="K13" s="8"/>
      <c r="L13" s="8"/>
      <c r="M13" s="8"/>
      <c r="N13" s="8"/>
      <c r="O13" s="8"/>
      <c r="P13" s="8"/>
      <c r="Q13" s="8"/>
      <c r="R13" s="128"/>
      <c r="S13" s="129"/>
      <c r="T13" s="130"/>
      <c r="U13" s="131"/>
    </row>
    <row r="14" spans="1:21" s="10" customFormat="1">
      <c r="A14" s="57"/>
      <c r="U14" s="39"/>
    </row>
    <row r="15" spans="1:21" s="10" customFormat="1">
      <c r="A15" s="57"/>
      <c r="U15" s="39"/>
    </row>
    <row r="16" spans="1:21" s="10" customFormat="1">
      <c r="A16" s="57"/>
      <c r="U16" s="39"/>
    </row>
    <row r="17" spans="1:21" s="10" customFormat="1">
      <c r="A17" s="57"/>
      <c r="U17" s="39"/>
    </row>
    <row r="18" spans="1:21" s="10" customFormat="1">
      <c r="A18" s="57"/>
      <c r="U18" s="39"/>
    </row>
    <row r="19" spans="1:21" s="10" customFormat="1">
      <c r="A19" s="57"/>
      <c r="U19" s="39"/>
    </row>
    <row r="20" spans="1:21" s="10" customFormat="1">
      <c r="A20" s="57"/>
      <c r="U20" s="39"/>
    </row>
    <row r="21" spans="1:21" s="10" customFormat="1">
      <c r="A21" s="57"/>
      <c r="U21" s="39"/>
    </row>
    <row r="22" spans="1:21" s="10" customFormat="1">
      <c r="A22" s="57"/>
      <c r="U22" s="39"/>
    </row>
    <row r="23" spans="1:21" s="10" customFormat="1">
      <c r="A23" s="57"/>
      <c r="U23" s="39"/>
    </row>
    <row r="24" spans="1:21" s="10" customFormat="1">
      <c r="A24" s="57"/>
      <c r="U24" s="39"/>
    </row>
    <row r="25" spans="1:21" s="10" customFormat="1">
      <c r="A25" s="57"/>
      <c r="U25" s="39"/>
    </row>
    <row r="26" spans="1:21" s="10" customFormat="1">
      <c r="A26" s="64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40"/>
    </row>
  </sheetData>
  <mergeCells count="8">
    <mergeCell ref="T8:U8"/>
    <mergeCell ref="R9:S9"/>
    <mergeCell ref="T9:U9"/>
    <mergeCell ref="T11:U11"/>
    <mergeCell ref="R13:S13"/>
    <mergeCell ref="T13:U13"/>
    <mergeCell ref="R12:S12"/>
    <mergeCell ref="T12:U1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9">
    <pageSetUpPr fitToPage="1"/>
  </sheetPr>
  <dimension ref="A1:U27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4" t="s">
        <v>299</v>
      </c>
      <c r="B1" s="54" t="s">
        <v>299</v>
      </c>
      <c r="C1" s="54"/>
      <c r="D1" s="1" t="s">
        <v>381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55" t="s">
        <v>299</v>
      </c>
      <c r="B2" s="22"/>
      <c r="C2" s="22"/>
      <c r="D2" s="70" t="s">
        <v>477</v>
      </c>
      <c r="E2" s="7" t="s">
        <v>0</v>
      </c>
      <c r="F2" s="56" t="str">
        <f>IF(LogicCommon!C2="","",LogicCommon!C2)</f>
        <v>MS</v>
      </c>
      <c r="G2" s="7" t="s">
        <v>1</v>
      </c>
      <c r="H2" s="56" t="str">
        <f>IF(LogicCommon!E2="","",LogicCommon!E2)</f>
        <v>MSBFL5210</v>
      </c>
      <c r="I2" s="7" t="s">
        <v>320</v>
      </c>
      <c r="J2" s="8" t="s">
        <v>90</v>
      </c>
      <c r="K2" s="7" t="s">
        <v>274</v>
      </c>
      <c r="L2" s="56" t="str">
        <f>IF(LogicCommon!G2="","",LogicCommon!G2)</f>
        <v>MC</v>
      </c>
      <c r="M2" s="5" t="s">
        <v>375</v>
      </c>
      <c r="N2" s="23" t="s">
        <v>459</v>
      </c>
      <c r="O2" s="7"/>
      <c r="P2" s="7"/>
      <c r="Q2" s="4"/>
      <c r="R2" s="5"/>
      <c r="S2" s="5"/>
      <c r="T2" s="5"/>
      <c r="U2" s="5"/>
    </row>
    <row r="3" spans="1:21" s="10" customFormat="1">
      <c r="A3" s="57" t="s">
        <v>299</v>
      </c>
      <c r="B3" s="58"/>
      <c r="C3" s="58"/>
      <c r="D3" s="59" t="str">
        <f>IF(LogicCommon!A3="","",LogicCommon!A3)</f>
        <v/>
      </c>
      <c r="E3" s="7" t="s">
        <v>2</v>
      </c>
      <c r="F3" s="56" t="str">
        <f>IF(LogicCommon!C3="","",LogicCommon!C3)</f>
        <v>MSBF</v>
      </c>
      <c r="G3" s="7" t="s">
        <v>3</v>
      </c>
      <c r="H3" s="56" t="str">
        <f>IF(LogicCommon!E3="","",LogicCommon!E3)</f>
        <v>MSBFL_LotService</v>
      </c>
      <c r="I3" s="7" t="s">
        <v>344</v>
      </c>
      <c r="J3" s="8" t="s">
        <v>134</v>
      </c>
      <c r="K3" s="7" t="s">
        <v>275</v>
      </c>
      <c r="L3" s="56" t="str">
        <f>IF(LogicCommon!G3="","",LogicCommon!G3)</f>
        <v/>
      </c>
      <c r="M3" s="60"/>
      <c r="N3" s="7"/>
      <c r="O3" s="7" t="s">
        <v>345</v>
      </c>
      <c r="P3" s="8" t="s">
        <v>282</v>
      </c>
      <c r="Q3" s="4"/>
      <c r="R3" s="5"/>
      <c r="S3" s="5"/>
      <c r="T3" s="5"/>
      <c r="U3" s="5"/>
    </row>
    <row r="4" spans="1:21" s="10" customFormat="1">
      <c r="A4" s="57" t="s">
        <v>299</v>
      </c>
      <c r="B4" s="58"/>
      <c r="C4" s="58"/>
      <c r="D4" s="4"/>
      <c r="E4" s="7" t="s">
        <v>20</v>
      </c>
      <c r="F4" s="61" t="s">
        <v>346</v>
      </c>
      <c r="G4" s="7" t="s">
        <v>4</v>
      </c>
      <c r="H4" s="56" t="str">
        <f>IF(LogicCommon!E4="","",LogicCommon!E4)</f>
        <v>ロット情報サービス</v>
      </c>
      <c r="I4" s="7" t="s">
        <v>276</v>
      </c>
      <c r="J4" s="8" t="s">
        <v>91</v>
      </c>
      <c r="K4" s="7" t="s">
        <v>5</v>
      </c>
      <c r="L4" s="56" t="str">
        <f>IF(LogicCommon!G4="","",LogicCommon!G4)</f>
        <v>MS.MSUDL5010</v>
      </c>
      <c r="M4" s="62" t="s">
        <v>283</v>
      </c>
      <c r="N4" s="23"/>
      <c r="O4" s="63"/>
      <c r="P4" s="4"/>
      <c r="Q4" s="4"/>
      <c r="R4" s="5"/>
      <c r="S4" s="5"/>
      <c r="T4" s="5"/>
      <c r="U4" s="5"/>
    </row>
    <row r="5" spans="1:21" s="10" customFormat="1">
      <c r="A5" s="64" t="s">
        <v>299</v>
      </c>
      <c r="B5" s="54"/>
      <c r="C5" s="54"/>
      <c r="D5" s="21"/>
      <c r="E5" s="7" t="s">
        <v>298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</row>
    <row r="6" spans="1:21" s="10" customFormat="1">
      <c r="A6" s="57" t="s">
        <v>299</v>
      </c>
      <c r="B6" s="58"/>
      <c r="C6" s="58"/>
      <c r="D6" s="4" t="s">
        <v>8</v>
      </c>
      <c r="E6" s="12" t="s">
        <v>467</v>
      </c>
      <c r="F6" s="12"/>
      <c r="G6" s="12"/>
      <c r="H6" s="12"/>
      <c r="I6" s="12"/>
      <c r="J6" s="12"/>
      <c r="K6" s="12"/>
      <c r="L6" s="66"/>
      <c r="M6" s="15" t="s">
        <v>300</v>
      </c>
      <c r="N6" s="15"/>
      <c r="O6" s="15" t="s">
        <v>300</v>
      </c>
      <c r="P6" s="15"/>
      <c r="Q6" s="15" t="s">
        <v>300</v>
      </c>
      <c r="R6" s="4"/>
      <c r="S6" s="4"/>
      <c r="T6" s="4"/>
      <c r="U6" s="4"/>
    </row>
    <row r="7" spans="1:21" s="10" customFormat="1">
      <c r="A7" s="22" t="s">
        <v>21</v>
      </c>
      <c r="B7" s="22"/>
      <c r="C7" s="22"/>
      <c r="D7" s="6"/>
      <c r="E7" s="6"/>
      <c r="F7" s="6"/>
      <c r="G7" s="6"/>
      <c r="H7" s="6"/>
      <c r="I7" s="6" t="s">
        <v>22</v>
      </c>
      <c r="J7" s="6"/>
      <c r="K7" s="8" t="s">
        <v>23</v>
      </c>
      <c r="L7" s="24" t="s">
        <v>24</v>
      </c>
      <c r="M7" s="25"/>
      <c r="N7" s="24" t="s">
        <v>24</v>
      </c>
      <c r="O7" s="25"/>
      <c r="P7" s="24" t="s">
        <v>24</v>
      </c>
      <c r="Q7" s="25"/>
      <c r="R7" s="4"/>
      <c r="S7" s="4"/>
      <c r="T7" s="4"/>
      <c r="U7" s="4"/>
    </row>
    <row r="8" spans="1:21" s="10" customFormat="1" ht="60" customHeight="1">
      <c r="A8" s="25" t="s">
        <v>21</v>
      </c>
      <c r="B8" s="71"/>
      <c r="C8" s="72"/>
      <c r="D8" s="24" t="s">
        <v>478</v>
      </c>
      <c r="E8" s="24" t="s">
        <v>479</v>
      </c>
      <c r="F8" s="66"/>
      <c r="G8" s="24" t="s">
        <v>284</v>
      </c>
      <c r="H8" s="24" t="s">
        <v>480</v>
      </c>
      <c r="I8" s="66"/>
      <c r="J8" s="3"/>
      <c r="K8" s="8"/>
      <c r="L8" s="24" t="s">
        <v>25</v>
      </c>
      <c r="M8" s="25"/>
      <c r="N8" s="24" t="s">
        <v>25</v>
      </c>
      <c r="O8" s="25"/>
      <c r="P8" s="24" t="s">
        <v>25</v>
      </c>
      <c r="Q8" s="25"/>
      <c r="R8" s="3"/>
      <c r="S8" s="21"/>
      <c r="T8" s="128" t="s">
        <v>481</v>
      </c>
      <c r="U8" s="129"/>
    </row>
    <row r="9" spans="1:21" s="10" customFormat="1" ht="60" customHeight="1">
      <c r="A9" s="8" t="s">
        <v>21</v>
      </c>
      <c r="B9" s="28"/>
      <c r="C9" s="29"/>
      <c r="D9" s="24" t="s">
        <v>482</v>
      </c>
      <c r="E9" s="49" t="s">
        <v>483</v>
      </c>
      <c r="F9" s="24" t="s">
        <v>484</v>
      </c>
      <c r="G9" s="24" t="s">
        <v>485</v>
      </c>
      <c r="H9" s="24" t="s">
        <v>486</v>
      </c>
      <c r="I9" s="50" t="s">
        <v>487</v>
      </c>
      <c r="J9" s="24" t="s">
        <v>488</v>
      </c>
      <c r="K9" s="70"/>
      <c r="L9" s="50"/>
      <c r="M9" s="24"/>
      <c r="N9" s="50"/>
      <c r="O9" s="24"/>
      <c r="P9" s="50"/>
      <c r="Q9" s="24"/>
      <c r="R9" s="128" t="s">
        <v>489</v>
      </c>
      <c r="S9" s="129"/>
      <c r="T9" s="128" t="s">
        <v>490</v>
      </c>
      <c r="U9" s="129"/>
    </row>
    <row r="10" spans="1:21" s="10" customFormat="1" ht="39">
      <c r="A10" s="28" t="s">
        <v>21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487</v>
      </c>
      <c r="M10" s="24" t="s">
        <v>488</v>
      </c>
      <c r="N10" s="24" t="s">
        <v>487</v>
      </c>
      <c r="O10" s="24" t="s">
        <v>488</v>
      </c>
      <c r="P10" s="24" t="s">
        <v>487</v>
      </c>
      <c r="Q10" s="24" t="s">
        <v>488</v>
      </c>
      <c r="R10" s="30"/>
      <c r="S10" s="30"/>
      <c r="T10" s="35"/>
      <c r="U10" s="53"/>
    </row>
    <row r="11" spans="1:21" s="10" customFormat="1">
      <c r="A11" s="8">
        <v>10</v>
      </c>
      <c r="B11" s="28" t="s">
        <v>26</v>
      </c>
      <c r="C11" s="29"/>
      <c r="D11" s="23" t="s">
        <v>92</v>
      </c>
      <c r="E11" s="26" t="s">
        <v>131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30"/>
      <c r="U11" s="131"/>
    </row>
    <row r="12" spans="1:21" s="10" customFormat="1">
      <c r="A12" s="8">
        <v>10</v>
      </c>
      <c r="B12" s="8"/>
      <c r="C12" s="8"/>
      <c r="D12" s="8" t="s">
        <v>55</v>
      </c>
      <c r="E12" s="25" t="s">
        <v>56</v>
      </c>
      <c r="F12" s="25"/>
      <c r="G12" s="38" t="s">
        <v>515</v>
      </c>
      <c r="H12" s="38" t="s">
        <v>321</v>
      </c>
      <c r="I12" s="8" t="s">
        <v>292</v>
      </c>
      <c r="J12" s="8"/>
      <c r="K12" s="8"/>
      <c r="L12" s="8"/>
      <c r="M12" s="8"/>
      <c r="N12" s="8"/>
      <c r="O12" s="8"/>
      <c r="P12" s="8"/>
      <c r="Q12" s="8"/>
      <c r="R12" s="128"/>
      <c r="S12" s="129"/>
      <c r="T12" s="130"/>
      <c r="U12" s="131"/>
    </row>
    <row r="13" spans="1:21" s="10" customFormat="1">
      <c r="A13" s="8">
        <v>10</v>
      </c>
      <c r="B13" s="8"/>
      <c r="C13" s="8"/>
      <c r="D13" s="8" t="s">
        <v>240</v>
      </c>
      <c r="E13" s="25" t="s">
        <v>43</v>
      </c>
      <c r="F13" s="25"/>
      <c r="G13" s="38" t="s">
        <v>560</v>
      </c>
      <c r="H13" s="38" t="s">
        <v>428</v>
      </c>
      <c r="I13" s="8" t="s">
        <v>292</v>
      </c>
      <c r="J13" s="8"/>
      <c r="K13" s="8"/>
      <c r="L13" s="8"/>
      <c r="M13" s="8"/>
      <c r="N13" s="8"/>
      <c r="O13" s="8"/>
      <c r="P13" s="8"/>
      <c r="Q13" s="8"/>
      <c r="R13" s="128"/>
      <c r="S13" s="129"/>
      <c r="T13" s="130"/>
      <c r="U13" s="131"/>
    </row>
    <row r="14" spans="1:21" s="10" customFormat="1">
      <c r="A14" s="67">
        <v>10</v>
      </c>
      <c r="B14" s="67"/>
      <c r="C14" s="67"/>
      <c r="D14" s="67" t="s">
        <v>159</v>
      </c>
      <c r="E14" s="67" t="s">
        <v>158</v>
      </c>
      <c r="F14" s="67" t="s">
        <v>160</v>
      </c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8"/>
      <c r="S14" s="69"/>
      <c r="T14" s="67"/>
      <c r="U14" s="67"/>
    </row>
    <row r="15" spans="1:21" s="10" customFormat="1">
      <c r="A15" s="67">
        <v>10</v>
      </c>
      <c r="B15" s="8"/>
      <c r="C15" s="8"/>
      <c r="D15" s="8" t="s">
        <v>347</v>
      </c>
      <c r="E15" s="25" t="s">
        <v>288</v>
      </c>
      <c r="F15" s="25"/>
      <c r="G15" s="38" t="s">
        <v>493</v>
      </c>
      <c r="H15" s="38" t="s">
        <v>323</v>
      </c>
      <c r="I15" s="8" t="s">
        <v>292</v>
      </c>
      <c r="J15" s="8"/>
      <c r="K15" s="8"/>
      <c r="L15" s="8"/>
      <c r="M15" s="8"/>
      <c r="N15" s="8"/>
      <c r="O15" s="8"/>
      <c r="P15" s="8"/>
      <c r="Q15" s="8"/>
      <c r="R15" s="128"/>
      <c r="S15" s="129"/>
      <c r="T15" s="130"/>
      <c r="U15" s="131"/>
    </row>
    <row r="16" spans="1:21" s="10" customFormat="1">
      <c r="A16" s="67">
        <v>10</v>
      </c>
      <c r="B16" s="8"/>
      <c r="C16" s="8"/>
      <c r="D16" s="8" t="s">
        <v>212</v>
      </c>
      <c r="E16" s="25" t="s">
        <v>288</v>
      </c>
      <c r="F16" s="25"/>
      <c r="G16" s="38" t="s">
        <v>494</v>
      </c>
      <c r="H16" s="38" t="s">
        <v>278</v>
      </c>
      <c r="I16" s="8" t="s">
        <v>292</v>
      </c>
      <c r="J16" s="8"/>
      <c r="K16" s="8"/>
      <c r="L16" s="8"/>
      <c r="M16" s="8"/>
      <c r="N16" s="8"/>
      <c r="O16" s="8"/>
      <c r="P16" s="8"/>
      <c r="Q16" s="8"/>
      <c r="R16" s="128"/>
      <c r="S16" s="129"/>
      <c r="T16" s="130"/>
      <c r="U16" s="131"/>
    </row>
    <row r="17" spans="1:21" s="10" customFormat="1">
      <c r="A17" s="67">
        <v>10</v>
      </c>
      <c r="B17" s="8"/>
      <c r="C17" s="8"/>
      <c r="D17" s="8" t="s">
        <v>213</v>
      </c>
      <c r="E17" s="25" t="s">
        <v>288</v>
      </c>
      <c r="F17" s="25"/>
      <c r="G17" s="38" t="s">
        <v>495</v>
      </c>
      <c r="H17" s="38" t="s">
        <v>291</v>
      </c>
      <c r="I17" s="8" t="s">
        <v>292</v>
      </c>
      <c r="J17" s="8"/>
      <c r="K17" s="8"/>
      <c r="L17" s="8"/>
      <c r="M17" s="8"/>
      <c r="N17" s="8"/>
      <c r="O17" s="8"/>
      <c r="P17" s="8"/>
      <c r="Q17" s="8"/>
      <c r="R17" s="128"/>
      <c r="S17" s="129"/>
      <c r="T17" s="130"/>
      <c r="U17" s="131"/>
    </row>
    <row r="18" spans="1:21" s="10" customFormat="1">
      <c r="A18" s="67">
        <v>10</v>
      </c>
      <c r="B18" s="8"/>
      <c r="C18" s="8"/>
      <c r="D18" s="8" t="s">
        <v>214</v>
      </c>
      <c r="E18" s="25" t="s">
        <v>288</v>
      </c>
      <c r="F18" s="25"/>
      <c r="G18" s="38" t="s">
        <v>496</v>
      </c>
      <c r="H18" s="38" t="s">
        <v>279</v>
      </c>
      <c r="I18" s="8" t="s">
        <v>292</v>
      </c>
      <c r="J18" s="8"/>
      <c r="K18" s="8"/>
      <c r="L18" s="8"/>
      <c r="M18" s="8"/>
      <c r="N18" s="8"/>
      <c r="O18" s="8"/>
      <c r="P18" s="8"/>
      <c r="Q18" s="8"/>
      <c r="R18" s="128"/>
      <c r="S18" s="129"/>
      <c r="T18" s="130"/>
      <c r="U18" s="131"/>
    </row>
    <row r="19" spans="1:21" s="10" customFormat="1">
      <c r="A19" s="67">
        <v>10</v>
      </c>
      <c r="B19" s="8"/>
      <c r="C19" s="8"/>
      <c r="D19" s="8" t="s">
        <v>215</v>
      </c>
      <c r="E19" s="25" t="s">
        <v>288</v>
      </c>
      <c r="F19" s="25"/>
      <c r="G19" s="38" t="s">
        <v>497</v>
      </c>
      <c r="H19" s="38" t="s">
        <v>280</v>
      </c>
      <c r="I19" s="8" t="s">
        <v>292</v>
      </c>
      <c r="J19" s="8"/>
      <c r="K19" s="8"/>
      <c r="L19" s="8"/>
      <c r="M19" s="8"/>
      <c r="N19" s="8"/>
      <c r="O19" s="8"/>
      <c r="P19" s="8"/>
      <c r="Q19" s="8"/>
      <c r="R19" s="128"/>
      <c r="S19" s="129"/>
      <c r="T19" s="130"/>
      <c r="U19" s="131"/>
    </row>
    <row r="20" spans="1:21" s="10" customFormat="1">
      <c r="A20" s="67">
        <v>10</v>
      </c>
      <c r="B20" s="8"/>
      <c r="C20" s="8"/>
      <c r="D20" s="8" t="s">
        <v>216</v>
      </c>
      <c r="E20" s="25" t="s">
        <v>288</v>
      </c>
      <c r="F20" s="25"/>
      <c r="G20" s="38" t="s">
        <v>498</v>
      </c>
      <c r="H20" s="38" t="s">
        <v>382</v>
      </c>
      <c r="I20" s="8" t="s">
        <v>292</v>
      </c>
      <c r="J20" s="8"/>
      <c r="K20" s="8"/>
      <c r="L20" s="8"/>
      <c r="M20" s="8"/>
      <c r="N20" s="8"/>
      <c r="O20" s="8"/>
      <c r="P20" s="8"/>
      <c r="Q20" s="8"/>
      <c r="R20" s="128"/>
      <c r="S20" s="129"/>
      <c r="T20" s="130"/>
      <c r="U20" s="131"/>
    </row>
    <row r="21" spans="1:21" s="10" customFormat="1">
      <c r="A21" s="67">
        <v>10</v>
      </c>
      <c r="B21" s="8"/>
      <c r="C21" s="8"/>
      <c r="D21" s="8" t="s">
        <v>222</v>
      </c>
      <c r="E21" s="25" t="s">
        <v>288</v>
      </c>
      <c r="F21" s="25"/>
      <c r="G21" s="38" t="s">
        <v>504</v>
      </c>
      <c r="H21" s="38" t="s">
        <v>317</v>
      </c>
      <c r="I21" s="8" t="s">
        <v>292</v>
      </c>
      <c r="J21" s="8"/>
      <c r="K21" s="8"/>
      <c r="L21" s="8"/>
      <c r="M21" s="8"/>
      <c r="N21" s="8"/>
      <c r="O21" s="8"/>
      <c r="P21" s="8"/>
      <c r="Q21" s="8"/>
      <c r="R21" s="128"/>
      <c r="S21" s="129"/>
      <c r="T21" s="130"/>
      <c r="U21" s="131"/>
    </row>
    <row r="22" spans="1:21" s="10" customFormat="1">
      <c r="A22" s="67">
        <v>10</v>
      </c>
      <c r="B22" s="8"/>
      <c r="C22" s="8"/>
      <c r="D22" s="8" t="s">
        <v>217</v>
      </c>
      <c r="E22" s="25" t="s">
        <v>288</v>
      </c>
      <c r="F22" s="25"/>
      <c r="G22" s="38" t="s">
        <v>525</v>
      </c>
      <c r="H22" s="38" t="s">
        <v>318</v>
      </c>
      <c r="I22" s="8" t="s">
        <v>292</v>
      </c>
      <c r="J22" s="8"/>
      <c r="K22" s="8"/>
      <c r="L22" s="8"/>
      <c r="M22" s="8"/>
      <c r="N22" s="8"/>
      <c r="O22" s="8"/>
      <c r="P22" s="8"/>
      <c r="Q22" s="8"/>
      <c r="R22" s="128"/>
      <c r="S22" s="129"/>
      <c r="T22" s="130"/>
      <c r="U22" s="131"/>
    </row>
    <row r="23" spans="1:21" s="10" customFormat="1" ht="13.5" customHeight="1">
      <c r="A23" s="67">
        <v>10</v>
      </c>
      <c r="B23" s="8"/>
      <c r="C23" s="8"/>
      <c r="D23" s="8" t="s">
        <v>218</v>
      </c>
      <c r="E23" s="25" t="s">
        <v>288</v>
      </c>
      <c r="F23" s="25"/>
      <c r="G23" s="38" t="s">
        <v>520</v>
      </c>
      <c r="H23" s="38" t="s">
        <v>391</v>
      </c>
      <c r="I23" s="8" t="s">
        <v>292</v>
      </c>
      <c r="J23" s="8"/>
      <c r="K23" s="8"/>
      <c r="L23" s="8"/>
      <c r="M23" s="8"/>
      <c r="N23" s="8"/>
      <c r="O23" s="8"/>
      <c r="P23" s="8"/>
      <c r="Q23" s="8"/>
      <c r="R23" s="128"/>
      <c r="S23" s="129"/>
      <c r="T23" s="130"/>
      <c r="U23" s="131"/>
    </row>
    <row r="24" spans="1:21" s="10" customFormat="1">
      <c r="A24" s="67">
        <v>10</v>
      </c>
      <c r="B24" s="8"/>
      <c r="C24" s="8"/>
      <c r="D24" s="8" t="s">
        <v>219</v>
      </c>
      <c r="E24" s="25" t="s">
        <v>288</v>
      </c>
      <c r="F24" s="25"/>
      <c r="G24" s="38" t="s">
        <v>514</v>
      </c>
      <c r="H24" s="38" t="s">
        <v>389</v>
      </c>
      <c r="I24" s="8" t="s">
        <v>292</v>
      </c>
      <c r="J24" s="8"/>
      <c r="K24" s="8"/>
      <c r="L24" s="8"/>
      <c r="M24" s="8"/>
      <c r="N24" s="8"/>
      <c r="O24" s="8"/>
      <c r="P24" s="8"/>
      <c r="Q24" s="8"/>
      <c r="R24" s="128"/>
      <c r="S24" s="129"/>
      <c r="T24" s="130"/>
      <c r="U24" s="131"/>
    </row>
    <row r="25" spans="1:21" s="10" customFormat="1" ht="26">
      <c r="A25" s="67">
        <v>10</v>
      </c>
      <c r="B25" s="8"/>
      <c r="C25" s="8"/>
      <c r="D25" s="8" t="s">
        <v>220</v>
      </c>
      <c r="E25" s="25" t="s">
        <v>288</v>
      </c>
      <c r="F25" s="25"/>
      <c r="G25" s="38" t="s">
        <v>512</v>
      </c>
      <c r="H25" s="38" t="s">
        <v>305</v>
      </c>
      <c r="I25" s="8" t="s">
        <v>292</v>
      </c>
      <c r="J25" s="8"/>
      <c r="K25" s="8"/>
      <c r="L25" s="8"/>
      <c r="M25" s="8"/>
      <c r="N25" s="8"/>
      <c r="O25" s="8"/>
      <c r="P25" s="8"/>
      <c r="Q25" s="8"/>
      <c r="R25" s="128"/>
      <c r="S25" s="129"/>
      <c r="T25" s="130"/>
      <c r="U25" s="131"/>
    </row>
    <row r="26" spans="1:21" s="10" customFormat="1">
      <c r="A26" s="67">
        <v>10</v>
      </c>
      <c r="B26" s="8"/>
      <c r="C26" s="8"/>
      <c r="D26" s="8" t="s">
        <v>221</v>
      </c>
      <c r="E26" s="25" t="s">
        <v>288</v>
      </c>
      <c r="F26" s="25"/>
      <c r="G26" s="38" t="s">
        <v>561</v>
      </c>
      <c r="H26" s="38" t="s">
        <v>429</v>
      </c>
      <c r="I26" s="8" t="s">
        <v>292</v>
      </c>
      <c r="J26" s="8"/>
      <c r="K26" s="8"/>
      <c r="L26" s="8"/>
      <c r="M26" s="8"/>
      <c r="N26" s="8"/>
      <c r="O26" s="8"/>
      <c r="P26" s="8"/>
      <c r="Q26" s="8"/>
      <c r="R26" s="128"/>
      <c r="S26" s="129"/>
      <c r="T26" s="130"/>
      <c r="U26" s="131"/>
    </row>
    <row r="27" spans="1:21" s="10" customFormat="1">
      <c r="A27" s="64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40"/>
    </row>
  </sheetData>
  <mergeCells count="32">
    <mergeCell ref="R26:S26"/>
    <mergeCell ref="T26:U26"/>
    <mergeCell ref="R22:S22"/>
    <mergeCell ref="T22:U22"/>
    <mergeCell ref="R23:S23"/>
    <mergeCell ref="T23:U23"/>
    <mergeCell ref="R24:S24"/>
    <mergeCell ref="T24:U24"/>
    <mergeCell ref="R20:S20"/>
    <mergeCell ref="T20:U20"/>
    <mergeCell ref="R21:S21"/>
    <mergeCell ref="T21:U21"/>
    <mergeCell ref="R25:S25"/>
    <mergeCell ref="T25:U25"/>
    <mergeCell ref="R17:S17"/>
    <mergeCell ref="T17:U17"/>
    <mergeCell ref="R18:S18"/>
    <mergeCell ref="T18:U18"/>
    <mergeCell ref="R19:S19"/>
    <mergeCell ref="T19:U19"/>
    <mergeCell ref="R13:S13"/>
    <mergeCell ref="T13:U13"/>
    <mergeCell ref="R15:S15"/>
    <mergeCell ref="T15:U15"/>
    <mergeCell ref="R16:S16"/>
    <mergeCell ref="T16:U16"/>
    <mergeCell ref="T8:U8"/>
    <mergeCell ref="R9:S9"/>
    <mergeCell ref="T9:U9"/>
    <mergeCell ref="T11:U11"/>
    <mergeCell ref="R12:S12"/>
    <mergeCell ref="T12:U1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20">
    <pageSetUpPr fitToPage="1"/>
  </sheetPr>
  <dimension ref="A1:U35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4" t="s">
        <v>299</v>
      </c>
      <c r="B1" s="54" t="s">
        <v>299</v>
      </c>
      <c r="C1" s="54"/>
      <c r="D1" s="1" t="s">
        <v>381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55" t="s">
        <v>299</v>
      </c>
      <c r="B2" s="22"/>
      <c r="C2" s="22"/>
      <c r="D2" s="70" t="s">
        <v>477</v>
      </c>
      <c r="E2" s="7" t="s">
        <v>0</v>
      </c>
      <c r="F2" s="56" t="str">
        <f>IF(LogicCommon!C2="","",LogicCommon!C2)</f>
        <v>MS</v>
      </c>
      <c r="G2" s="7" t="s">
        <v>1</v>
      </c>
      <c r="H2" s="56" t="str">
        <f>IF(LogicCommon!E2="","",LogicCommon!E2)</f>
        <v>MSBFL5210</v>
      </c>
      <c r="I2" s="7" t="s">
        <v>320</v>
      </c>
      <c r="J2" s="8" t="s">
        <v>93</v>
      </c>
      <c r="K2" s="7" t="s">
        <v>274</v>
      </c>
      <c r="L2" s="56" t="str">
        <f>IF(LogicCommon!G2="","",LogicCommon!G2)</f>
        <v>MC</v>
      </c>
      <c r="M2" s="5" t="s">
        <v>375</v>
      </c>
      <c r="N2" s="23" t="s">
        <v>459</v>
      </c>
      <c r="O2" s="7"/>
      <c r="P2" s="7"/>
      <c r="Q2" s="4"/>
      <c r="R2" s="5"/>
      <c r="S2" s="5"/>
      <c r="T2" s="5"/>
      <c r="U2" s="5"/>
    </row>
    <row r="3" spans="1:21" s="10" customFormat="1">
      <c r="A3" s="57" t="s">
        <v>299</v>
      </c>
      <c r="B3" s="58"/>
      <c r="C3" s="58"/>
      <c r="D3" s="59" t="str">
        <f>IF(LogicCommon!A3="","",LogicCommon!A3)</f>
        <v/>
      </c>
      <c r="E3" s="7" t="s">
        <v>2</v>
      </c>
      <c r="F3" s="56" t="str">
        <f>IF(LogicCommon!C3="","",LogicCommon!C3)</f>
        <v>MSBF</v>
      </c>
      <c r="G3" s="7" t="s">
        <v>3</v>
      </c>
      <c r="H3" s="56" t="str">
        <f>IF(LogicCommon!E3="","",LogicCommon!E3)</f>
        <v>MSBFL_LotService</v>
      </c>
      <c r="I3" s="7" t="s">
        <v>344</v>
      </c>
      <c r="J3" s="8" t="s">
        <v>134</v>
      </c>
      <c r="K3" s="7" t="s">
        <v>275</v>
      </c>
      <c r="L3" s="56" t="str">
        <f>IF(LogicCommon!G3="","",LogicCommon!G3)</f>
        <v/>
      </c>
      <c r="M3" s="60"/>
      <c r="N3" s="7"/>
      <c r="O3" s="7" t="s">
        <v>345</v>
      </c>
      <c r="P3" s="8" t="s">
        <v>282</v>
      </c>
      <c r="Q3" s="4"/>
      <c r="R3" s="5"/>
      <c r="S3" s="5"/>
      <c r="T3" s="5"/>
      <c r="U3" s="5"/>
    </row>
    <row r="4" spans="1:21" s="10" customFormat="1">
      <c r="A4" s="57" t="s">
        <v>299</v>
      </c>
      <c r="B4" s="58"/>
      <c r="C4" s="58"/>
      <c r="D4" s="4"/>
      <c r="E4" s="7" t="s">
        <v>20</v>
      </c>
      <c r="F4" s="61" t="s">
        <v>346</v>
      </c>
      <c r="G4" s="7" t="s">
        <v>4</v>
      </c>
      <c r="H4" s="56" t="str">
        <f>IF(LogicCommon!E4="","",LogicCommon!E4)</f>
        <v>ロット情報サービス</v>
      </c>
      <c r="I4" s="7" t="s">
        <v>276</v>
      </c>
      <c r="J4" s="8" t="s">
        <v>94</v>
      </c>
      <c r="K4" s="7" t="s">
        <v>5</v>
      </c>
      <c r="L4" s="56" t="str">
        <f>IF(LogicCommon!G4="","",LogicCommon!G4)</f>
        <v>MS.MSUDL5010</v>
      </c>
      <c r="M4" s="62" t="s">
        <v>283</v>
      </c>
      <c r="N4" s="23"/>
      <c r="O4" s="63"/>
      <c r="P4" s="4"/>
      <c r="Q4" s="4"/>
      <c r="R4" s="5"/>
      <c r="S4" s="5"/>
      <c r="T4" s="5"/>
      <c r="U4" s="5"/>
    </row>
    <row r="5" spans="1:21" s="10" customFormat="1">
      <c r="A5" s="64" t="s">
        <v>299</v>
      </c>
      <c r="B5" s="54"/>
      <c r="C5" s="54"/>
      <c r="D5" s="21"/>
      <c r="E5" s="7" t="s">
        <v>298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</row>
    <row r="6" spans="1:21" s="10" customFormat="1">
      <c r="A6" s="57" t="s">
        <v>299</v>
      </c>
      <c r="B6" s="58"/>
      <c r="C6" s="58"/>
      <c r="D6" s="4" t="s">
        <v>8</v>
      </c>
      <c r="E6" s="12" t="s">
        <v>468</v>
      </c>
      <c r="F6" s="12"/>
      <c r="G6" s="12"/>
      <c r="H6" s="12"/>
      <c r="I6" s="12"/>
      <c r="J6" s="12"/>
      <c r="K6" s="12"/>
      <c r="L6" s="66"/>
      <c r="M6" s="15" t="s">
        <v>300</v>
      </c>
      <c r="N6" s="15"/>
      <c r="O6" s="15" t="s">
        <v>300</v>
      </c>
      <c r="P6" s="15"/>
      <c r="Q6" s="15" t="s">
        <v>300</v>
      </c>
      <c r="R6" s="4"/>
      <c r="S6" s="4"/>
      <c r="T6" s="4"/>
      <c r="U6" s="4"/>
    </row>
    <row r="7" spans="1:21" s="10" customFormat="1">
      <c r="A7" s="22" t="s">
        <v>21</v>
      </c>
      <c r="B7" s="22"/>
      <c r="C7" s="22"/>
      <c r="D7" s="6"/>
      <c r="E7" s="6"/>
      <c r="F7" s="6"/>
      <c r="G7" s="6"/>
      <c r="H7" s="6"/>
      <c r="I7" s="6" t="s">
        <v>22</v>
      </c>
      <c r="J7" s="6"/>
      <c r="K7" s="8" t="s">
        <v>23</v>
      </c>
      <c r="L7" s="24" t="s">
        <v>24</v>
      </c>
      <c r="M7" s="25"/>
      <c r="N7" s="24" t="s">
        <v>24</v>
      </c>
      <c r="O7" s="25"/>
      <c r="P7" s="24" t="s">
        <v>24</v>
      </c>
      <c r="Q7" s="25"/>
      <c r="R7" s="4"/>
      <c r="S7" s="4"/>
      <c r="T7" s="4"/>
      <c r="U7" s="4"/>
    </row>
    <row r="8" spans="1:21" s="10" customFormat="1" ht="60" customHeight="1">
      <c r="A8" s="25" t="s">
        <v>21</v>
      </c>
      <c r="B8" s="71"/>
      <c r="C8" s="72"/>
      <c r="D8" s="24" t="s">
        <v>478</v>
      </c>
      <c r="E8" s="24" t="s">
        <v>479</v>
      </c>
      <c r="F8" s="66"/>
      <c r="G8" s="24" t="s">
        <v>284</v>
      </c>
      <c r="H8" s="24" t="s">
        <v>480</v>
      </c>
      <c r="I8" s="66"/>
      <c r="J8" s="3"/>
      <c r="K8" s="8"/>
      <c r="L8" s="24" t="s">
        <v>25</v>
      </c>
      <c r="M8" s="25"/>
      <c r="N8" s="24" t="s">
        <v>25</v>
      </c>
      <c r="O8" s="25"/>
      <c r="P8" s="24" t="s">
        <v>25</v>
      </c>
      <c r="Q8" s="25"/>
      <c r="R8" s="3"/>
      <c r="S8" s="21"/>
      <c r="T8" s="128" t="s">
        <v>481</v>
      </c>
      <c r="U8" s="129"/>
    </row>
    <row r="9" spans="1:21" s="10" customFormat="1" ht="60" customHeight="1">
      <c r="A9" s="8" t="s">
        <v>21</v>
      </c>
      <c r="B9" s="28"/>
      <c r="C9" s="29"/>
      <c r="D9" s="24" t="s">
        <v>482</v>
      </c>
      <c r="E9" s="49" t="s">
        <v>483</v>
      </c>
      <c r="F9" s="24" t="s">
        <v>484</v>
      </c>
      <c r="G9" s="24" t="s">
        <v>485</v>
      </c>
      <c r="H9" s="24" t="s">
        <v>486</v>
      </c>
      <c r="I9" s="50" t="s">
        <v>487</v>
      </c>
      <c r="J9" s="24" t="s">
        <v>488</v>
      </c>
      <c r="K9" s="70"/>
      <c r="L9" s="50"/>
      <c r="M9" s="24"/>
      <c r="N9" s="50"/>
      <c r="O9" s="24"/>
      <c r="P9" s="50"/>
      <c r="Q9" s="24"/>
      <c r="R9" s="128" t="s">
        <v>489</v>
      </c>
      <c r="S9" s="129"/>
      <c r="T9" s="128" t="s">
        <v>490</v>
      </c>
      <c r="U9" s="129"/>
    </row>
    <row r="10" spans="1:21" s="10" customFormat="1" ht="39">
      <c r="A10" s="28" t="s">
        <v>21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487</v>
      </c>
      <c r="M10" s="24" t="s">
        <v>488</v>
      </c>
      <c r="N10" s="24" t="s">
        <v>487</v>
      </c>
      <c r="O10" s="24" t="s">
        <v>488</v>
      </c>
      <c r="P10" s="24" t="s">
        <v>487</v>
      </c>
      <c r="Q10" s="24" t="s">
        <v>488</v>
      </c>
      <c r="R10" s="30"/>
      <c r="S10" s="30"/>
      <c r="T10" s="35"/>
      <c r="U10" s="53"/>
    </row>
    <row r="11" spans="1:21" s="10" customFormat="1">
      <c r="A11" s="8">
        <v>10</v>
      </c>
      <c r="B11" s="28" t="s">
        <v>26</v>
      </c>
      <c r="C11" s="29"/>
      <c r="D11" s="23" t="s">
        <v>95</v>
      </c>
      <c r="E11" s="26" t="s">
        <v>133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30"/>
      <c r="U11" s="131"/>
    </row>
    <row r="12" spans="1:21" s="10" customFormat="1">
      <c r="A12" s="8">
        <v>10</v>
      </c>
      <c r="B12" s="8"/>
      <c r="C12" s="8"/>
      <c r="D12" s="8" t="s">
        <v>75</v>
      </c>
      <c r="E12" s="25" t="s">
        <v>76</v>
      </c>
      <c r="F12" s="25"/>
      <c r="G12" s="38" t="s">
        <v>526</v>
      </c>
      <c r="H12" s="38" t="s">
        <v>394</v>
      </c>
      <c r="I12" s="8" t="s">
        <v>292</v>
      </c>
      <c r="J12" s="8"/>
      <c r="K12" s="8"/>
      <c r="L12" s="8"/>
      <c r="M12" s="8"/>
      <c r="N12" s="8"/>
      <c r="O12" s="8"/>
      <c r="P12" s="8"/>
      <c r="Q12" s="8"/>
      <c r="R12" s="128"/>
      <c r="S12" s="129"/>
      <c r="T12" s="130"/>
      <c r="U12" s="131"/>
    </row>
    <row r="13" spans="1:21" s="10" customFormat="1">
      <c r="A13" s="8">
        <v>10</v>
      </c>
      <c r="B13" s="8"/>
      <c r="C13" s="8"/>
      <c r="D13" s="8" t="s">
        <v>55</v>
      </c>
      <c r="E13" s="25" t="s">
        <v>56</v>
      </c>
      <c r="F13" s="25"/>
      <c r="G13" s="38" t="s">
        <v>515</v>
      </c>
      <c r="H13" s="38" t="s">
        <v>321</v>
      </c>
      <c r="I13" s="8" t="s">
        <v>292</v>
      </c>
      <c r="J13" s="8"/>
      <c r="K13" s="8"/>
      <c r="L13" s="8"/>
      <c r="M13" s="8"/>
      <c r="N13" s="8"/>
      <c r="O13" s="8"/>
      <c r="P13" s="8"/>
      <c r="Q13" s="8"/>
      <c r="R13" s="128"/>
      <c r="S13" s="129"/>
      <c r="T13" s="130"/>
      <c r="U13" s="131"/>
    </row>
    <row r="14" spans="1:21" s="10" customFormat="1" ht="26">
      <c r="A14" s="8">
        <v>10</v>
      </c>
      <c r="B14" s="8"/>
      <c r="C14" s="8"/>
      <c r="D14" s="8" t="s">
        <v>258</v>
      </c>
      <c r="E14" s="25" t="s">
        <v>43</v>
      </c>
      <c r="F14" s="25"/>
      <c r="G14" s="38" t="s">
        <v>562</v>
      </c>
      <c r="H14" s="38" t="s">
        <v>430</v>
      </c>
      <c r="I14" s="8" t="s">
        <v>292</v>
      </c>
      <c r="J14" s="8"/>
      <c r="K14" s="8"/>
      <c r="L14" s="8"/>
      <c r="M14" s="8"/>
      <c r="N14" s="8"/>
      <c r="O14" s="8"/>
      <c r="P14" s="8"/>
      <c r="Q14" s="8"/>
      <c r="R14" s="128"/>
      <c r="S14" s="129"/>
      <c r="T14" s="130"/>
      <c r="U14" s="131"/>
    </row>
    <row r="15" spans="1:21" s="10" customFormat="1">
      <c r="A15" s="67">
        <v>10</v>
      </c>
      <c r="B15" s="67"/>
      <c r="C15" s="67"/>
      <c r="D15" s="67" t="s">
        <v>159</v>
      </c>
      <c r="E15" s="67" t="s">
        <v>158</v>
      </c>
      <c r="F15" s="67" t="s">
        <v>160</v>
      </c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8"/>
      <c r="S15" s="69"/>
      <c r="T15" s="67"/>
      <c r="U15" s="67"/>
    </row>
    <row r="16" spans="1:21" s="10" customFormat="1">
      <c r="A16" s="67">
        <v>10</v>
      </c>
      <c r="B16" s="8"/>
      <c r="C16" s="8"/>
      <c r="D16" s="8" t="s">
        <v>347</v>
      </c>
      <c r="E16" s="25" t="s">
        <v>288</v>
      </c>
      <c r="F16" s="25"/>
      <c r="G16" s="38" t="s">
        <v>493</v>
      </c>
      <c r="H16" s="38" t="s">
        <v>323</v>
      </c>
      <c r="I16" s="8" t="s">
        <v>292</v>
      </c>
      <c r="J16" s="8"/>
      <c r="K16" s="8"/>
      <c r="L16" s="8"/>
      <c r="M16" s="8"/>
      <c r="N16" s="8"/>
      <c r="O16" s="8"/>
      <c r="P16" s="8"/>
      <c r="Q16" s="8"/>
      <c r="R16" s="128"/>
      <c r="S16" s="129"/>
      <c r="T16" s="130"/>
      <c r="U16" s="131"/>
    </row>
    <row r="17" spans="1:21" s="10" customFormat="1">
      <c r="A17" s="67">
        <v>10</v>
      </c>
      <c r="B17" s="8"/>
      <c r="C17" s="8"/>
      <c r="D17" s="8" t="s">
        <v>224</v>
      </c>
      <c r="E17" s="25" t="s">
        <v>288</v>
      </c>
      <c r="F17" s="25"/>
      <c r="G17" s="38" t="s">
        <v>494</v>
      </c>
      <c r="H17" s="38" t="s">
        <v>278</v>
      </c>
      <c r="I17" s="8" t="s">
        <v>292</v>
      </c>
      <c r="J17" s="8"/>
      <c r="K17" s="8"/>
      <c r="L17" s="8"/>
      <c r="M17" s="8"/>
      <c r="N17" s="8"/>
      <c r="O17" s="8"/>
      <c r="P17" s="8"/>
      <c r="Q17" s="8"/>
      <c r="R17" s="128"/>
      <c r="S17" s="129"/>
      <c r="T17" s="130"/>
      <c r="U17" s="131"/>
    </row>
    <row r="18" spans="1:21" s="10" customFormat="1">
      <c r="A18" s="67">
        <v>10</v>
      </c>
      <c r="B18" s="8"/>
      <c r="C18" s="8"/>
      <c r="D18" s="8" t="s">
        <v>225</v>
      </c>
      <c r="E18" s="25" t="s">
        <v>308</v>
      </c>
      <c r="F18" s="25"/>
      <c r="G18" s="38" t="s">
        <v>495</v>
      </c>
      <c r="H18" s="38" t="s">
        <v>291</v>
      </c>
      <c r="I18" s="8" t="s">
        <v>292</v>
      </c>
      <c r="J18" s="8"/>
      <c r="K18" s="8"/>
      <c r="L18" s="8"/>
      <c r="M18" s="8"/>
      <c r="N18" s="8"/>
      <c r="O18" s="8"/>
      <c r="P18" s="8"/>
      <c r="Q18" s="8"/>
      <c r="R18" s="128"/>
      <c r="S18" s="129"/>
      <c r="T18" s="130"/>
      <c r="U18" s="131"/>
    </row>
    <row r="19" spans="1:21" s="10" customFormat="1">
      <c r="A19" s="67">
        <v>10</v>
      </c>
      <c r="B19" s="8"/>
      <c r="C19" s="8"/>
      <c r="D19" s="8" t="s">
        <v>226</v>
      </c>
      <c r="E19" s="25" t="s">
        <v>288</v>
      </c>
      <c r="F19" s="25"/>
      <c r="G19" s="38" t="s">
        <v>496</v>
      </c>
      <c r="H19" s="38" t="s">
        <v>279</v>
      </c>
      <c r="I19" s="8" t="s">
        <v>292</v>
      </c>
      <c r="J19" s="8"/>
      <c r="K19" s="8"/>
      <c r="L19" s="8"/>
      <c r="M19" s="8"/>
      <c r="N19" s="8"/>
      <c r="O19" s="8"/>
      <c r="P19" s="8"/>
      <c r="Q19" s="8"/>
      <c r="R19" s="128"/>
      <c r="S19" s="129"/>
      <c r="T19" s="130"/>
      <c r="U19" s="131"/>
    </row>
    <row r="20" spans="1:21" s="10" customFormat="1">
      <c r="A20" s="67">
        <v>10</v>
      </c>
      <c r="B20" s="8"/>
      <c r="C20" s="8"/>
      <c r="D20" s="8" t="s">
        <v>227</v>
      </c>
      <c r="E20" s="25" t="s">
        <v>288</v>
      </c>
      <c r="F20" s="25"/>
      <c r="G20" s="38" t="s">
        <v>497</v>
      </c>
      <c r="H20" s="38" t="s">
        <v>280</v>
      </c>
      <c r="I20" s="8" t="s">
        <v>292</v>
      </c>
      <c r="J20" s="8"/>
      <c r="K20" s="8"/>
      <c r="L20" s="8"/>
      <c r="M20" s="8"/>
      <c r="N20" s="8"/>
      <c r="O20" s="8"/>
      <c r="P20" s="8"/>
      <c r="Q20" s="8"/>
      <c r="R20" s="128"/>
      <c r="S20" s="129"/>
      <c r="T20" s="130"/>
      <c r="U20" s="131"/>
    </row>
    <row r="21" spans="1:21" s="10" customFormat="1">
      <c r="A21" s="67">
        <v>10</v>
      </c>
      <c r="B21" s="8"/>
      <c r="C21" s="8"/>
      <c r="D21" s="8" t="s">
        <v>228</v>
      </c>
      <c r="E21" s="25" t="s">
        <v>288</v>
      </c>
      <c r="F21" s="25"/>
      <c r="G21" s="38" t="s">
        <v>498</v>
      </c>
      <c r="H21" s="38" t="s">
        <v>382</v>
      </c>
      <c r="I21" s="8" t="s">
        <v>292</v>
      </c>
      <c r="J21" s="8"/>
      <c r="K21" s="8"/>
      <c r="L21" s="8"/>
      <c r="M21" s="8"/>
      <c r="N21" s="8"/>
      <c r="O21" s="8"/>
      <c r="P21" s="8"/>
      <c r="Q21" s="8"/>
      <c r="R21" s="128"/>
      <c r="S21" s="129"/>
      <c r="T21" s="130"/>
      <c r="U21" s="131"/>
    </row>
    <row r="22" spans="1:21" s="10" customFormat="1">
      <c r="A22" s="67">
        <v>10</v>
      </c>
      <c r="B22" s="8"/>
      <c r="C22" s="8"/>
      <c r="D22" s="8" t="s">
        <v>229</v>
      </c>
      <c r="E22" s="25" t="s">
        <v>288</v>
      </c>
      <c r="F22" s="25"/>
      <c r="G22" s="38" t="s">
        <v>506</v>
      </c>
      <c r="H22" s="38" t="s">
        <v>302</v>
      </c>
      <c r="I22" s="8" t="s">
        <v>292</v>
      </c>
      <c r="J22" s="8"/>
      <c r="K22" s="8"/>
      <c r="L22" s="8"/>
      <c r="M22" s="8"/>
      <c r="N22" s="8"/>
      <c r="O22" s="8"/>
      <c r="P22" s="8"/>
      <c r="Q22" s="8"/>
      <c r="R22" s="128"/>
      <c r="S22" s="129"/>
      <c r="T22" s="130"/>
      <c r="U22" s="131"/>
    </row>
    <row r="23" spans="1:21" s="10" customFormat="1">
      <c r="A23" s="67">
        <v>10</v>
      </c>
      <c r="B23" s="8"/>
      <c r="C23" s="8"/>
      <c r="D23" s="8" t="s">
        <v>230</v>
      </c>
      <c r="E23" s="25" t="s">
        <v>288</v>
      </c>
      <c r="F23" s="25"/>
      <c r="G23" s="38" t="s">
        <v>507</v>
      </c>
      <c r="H23" s="38" t="s">
        <v>303</v>
      </c>
      <c r="I23" s="8" t="s">
        <v>292</v>
      </c>
      <c r="J23" s="8"/>
      <c r="K23" s="8"/>
      <c r="L23" s="8"/>
      <c r="M23" s="8"/>
      <c r="N23" s="8"/>
      <c r="O23" s="8"/>
      <c r="P23" s="8"/>
      <c r="Q23" s="8"/>
      <c r="R23" s="128"/>
      <c r="S23" s="129"/>
      <c r="T23" s="130"/>
      <c r="U23" s="131"/>
    </row>
    <row r="24" spans="1:21" s="10" customFormat="1">
      <c r="A24" s="67">
        <v>10</v>
      </c>
      <c r="B24" s="8"/>
      <c r="C24" s="8"/>
      <c r="D24" s="8" t="s">
        <v>231</v>
      </c>
      <c r="E24" s="25" t="s">
        <v>288</v>
      </c>
      <c r="F24" s="25"/>
      <c r="G24" s="38" t="s">
        <v>563</v>
      </c>
      <c r="H24" s="38" t="s">
        <v>431</v>
      </c>
      <c r="I24" s="8" t="s">
        <v>292</v>
      </c>
      <c r="J24" s="8"/>
      <c r="K24" s="8"/>
      <c r="L24" s="8"/>
      <c r="M24" s="8"/>
      <c r="N24" s="8"/>
      <c r="O24" s="8"/>
      <c r="P24" s="8"/>
      <c r="Q24" s="8"/>
      <c r="R24" s="128"/>
      <c r="S24" s="129"/>
      <c r="T24" s="130"/>
      <c r="U24" s="131"/>
    </row>
    <row r="25" spans="1:21" s="10" customFormat="1" ht="26">
      <c r="A25" s="67">
        <v>10</v>
      </c>
      <c r="B25" s="8"/>
      <c r="C25" s="8"/>
      <c r="D25" s="8" t="s">
        <v>223</v>
      </c>
      <c r="E25" s="25" t="s">
        <v>288</v>
      </c>
      <c r="F25" s="25"/>
      <c r="G25" s="38" t="s">
        <v>509</v>
      </c>
      <c r="H25" s="38" t="s">
        <v>387</v>
      </c>
      <c r="I25" s="8" t="s">
        <v>292</v>
      </c>
      <c r="J25" s="8"/>
      <c r="K25" s="8"/>
      <c r="L25" s="8"/>
      <c r="M25" s="8"/>
      <c r="N25" s="8"/>
      <c r="O25" s="8"/>
      <c r="P25" s="8"/>
      <c r="Q25" s="8"/>
      <c r="R25" s="128"/>
      <c r="S25" s="129"/>
      <c r="T25" s="130"/>
      <c r="U25" s="131"/>
    </row>
    <row r="26" spans="1:21" s="10" customFormat="1" ht="26">
      <c r="A26" s="67">
        <v>10</v>
      </c>
      <c r="B26" s="8"/>
      <c r="C26" s="8"/>
      <c r="D26" s="8" t="s">
        <v>247</v>
      </c>
      <c r="E26" s="25" t="s">
        <v>288</v>
      </c>
      <c r="F26" s="25"/>
      <c r="G26" s="38" t="s">
        <v>511</v>
      </c>
      <c r="H26" s="38" t="s">
        <v>388</v>
      </c>
      <c r="I26" s="8" t="s">
        <v>292</v>
      </c>
      <c r="J26" s="8"/>
      <c r="K26" s="8"/>
      <c r="L26" s="8"/>
      <c r="M26" s="8"/>
      <c r="N26" s="8"/>
      <c r="O26" s="8"/>
      <c r="P26" s="8"/>
      <c r="Q26" s="8"/>
      <c r="R26" s="128"/>
      <c r="S26" s="129"/>
      <c r="T26" s="130"/>
      <c r="U26" s="131"/>
    </row>
    <row r="27" spans="1:21" s="10" customFormat="1">
      <c r="A27" s="8">
        <v>10</v>
      </c>
      <c r="B27" s="8"/>
      <c r="C27" s="8"/>
      <c r="D27" s="8" t="s">
        <v>96</v>
      </c>
      <c r="E27" s="25" t="s">
        <v>43</v>
      </c>
      <c r="F27" s="25"/>
      <c r="G27" s="38" t="s">
        <v>564</v>
      </c>
      <c r="H27" s="38" t="s">
        <v>432</v>
      </c>
      <c r="I27" s="8" t="s">
        <v>292</v>
      </c>
      <c r="J27" s="8"/>
      <c r="K27" s="8"/>
      <c r="L27" s="8"/>
      <c r="M27" s="8"/>
      <c r="N27" s="8"/>
      <c r="O27" s="8"/>
      <c r="P27" s="8"/>
      <c r="Q27" s="8"/>
      <c r="R27" s="128"/>
      <c r="S27" s="129"/>
      <c r="T27" s="130"/>
      <c r="U27" s="131"/>
    </row>
    <row r="28" spans="1:21" s="10" customFormat="1">
      <c r="A28" s="8">
        <v>10</v>
      </c>
      <c r="B28" s="8"/>
      <c r="C28" s="8"/>
      <c r="D28" s="8" t="s">
        <v>97</v>
      </c>
      <c r="E28" s="25" t="s">
        <v>43</v>
      </c>
      <c r="F28" s="25"/>
      <c r="G28" s="38" t="s">
        <v>565</v>
      </c>
      <c r="H28" s="38" t="s">
        <v>433</v>
      </c>
      <c r="I28" s="8" t="s">
        <v>292</v>
      </c>
      <c r="J28" s="8"/>
      <c r="K28" s="8"/>
      <c r="L28" s="8"/>
      <c r="M28" s="8"/>
      <c r="N28" s="8"/>
      <c r="O28" s="8"/>
      <c r="P28" s="8"/>
      <c r="Q28" s="8"/>
      <c r="R28" s="128"/>
      <c r="S28" s="129"/>
      <c r="T28" s="130"/>
      <c r="U28" s="131"/>
    </row>
    <row r="29" spans="1:21" s="10" customFormat="1">
      <c r="A29" s="8">
        <v>10</v>
      </c>
      <c r="B29" s="8"/>
      <c r="C29" s="8"/>
      <c r="D29" s="8" t="s">
        <v>98</v>
      </c>
      <c r="E29" s="25" t="s">
        <v>43</v>
      </c>
      <c r="F29" s="25"/>
      <c r="G29" s="38" t="s">
        <v>566</v>
      </c>
      <c r="H29" s="38" t="s">
        <v>434</v>
      </c>
      <c r="I29" s="8" t="s">
        <v>292</v>
      </c>
      <c r="J29" s="8"/>
      <c r="K29" s="8"/>
      <c r="L29" s="8"/>
      <c r="M29" s="8"/>
      <c r="N29" s="8"/>
      <c r="O29" s="8"/>
      <c r="P29" s="8"/>
      <c r="Q29" s="8"/>
      <c r="R29" s="128"/>
      <c r="S29" s="129"/>
      <c r="T29" s="130"/>
      <c r="U29" s="131"/>
    </row>
    <row r="30" spans="1:21" s="10" customFormat="1">
      <c r="A30" s="8">
        <v>10</v>
      </c>
      <c r="B30" s="8"/>
      <c r="C30" s="8"/>
      <c r="D30" s="8" t="s">
        <v>99</v>
      </c>
      <c r="E30" s="25" t="s">
        <v>43</v>
      </c>
      <c r="F30" s="25"/>
      <c r="G30" s="38" t="s">
        <v>567</v>
      </c>
      <c r="H30" s="38" t="s">
        <v>435</v>
      </c>
      <c r="I30" s="8" t="s">
        <v>292</v>
      </c>
      <c r="J30" s="8"/>
      <c r="K30" s="8"/>
      <c r="L30" s="8"/>
      <c r="M30" s="8"/>
      <c r="N30" s="8"/>
      <c r="O30" s="8"/>
      <c r="P30" s="8"/>
      <c r="Q30" s="8"/>
      <c r="R30" s="128"/>
      <c r="S30" s="129"/>
      <c r="T30" s="130"/>
      <c r="U30" s="131"/>
    </row>
    <row r="31" spans="1:21" s="10" customFormat="1">
      <c r="A31" s="8">
        <v>10</v>
      </c>
      <c r="B31" s="8"/>
      <c r="C31" s="8"/>
      <c r="D31" s="8" t="s">
        <v>100</v>
      </c>
      <c r="E31" s="25" t="s">
        <v>43</v>
      </c>
      <c r="F31" s="25"/>
      <c r="G31" s="38" t="s">
        <v>568</v>
      </c>
      <c r="H31" s="38" t="s">
        <v>436</v>
      </c>
      <c r="I31" s="8" t="s">
        <v>292</v>
      </c>
      <c r="J31" s="8"/>
      <c r="K31" s="8"/>
      <c r="L31" s="8"/>
      <c r="M31" s="8"/>
      <c r="N31" s="8"/>
      <c r="O31" s="8"/>
      <c r="P31" s="8"/>
      <c r="Q31" s="8"/>
      <c r="R31" s="128"/>
      <c r="S31" s="129"/>
      <c r="T31" s="130"/>
      <c r="U31" s="131"/>
    </row>
    <row r="32" spans="1:21" s="10" customFormat="1">
      <c r="A32" s="8">
        <v>10</v>
      </c>
      <c r="B32" s="8"/>
      <c r="C32" s="8"/>
      <c r="D32" s="8" t="s">
        <v>101</v>
      </c>
      <c r="E32" s="25" t="s">
        <v>43</v>
      </c>
      <c r="F32" s="25"/>
      <c r="G32" s="38" t="s">
        <v>569</v>
      </c>
      <c r="H32" s="38" t="s">
        <v>437</v>
      </c>
      <c r="I32" s="8" t="s">
        <v>292</v>
      </c>
      <c r="J32" s="8"/>
      <c r="K32" s="8"/>
      <c r="L32" s="8"/>
      <c r="M32" s="8"/>
      <c r="N32" s="8"/>
      <c r="O32" s="8"/>
      <c r="P32" s="8"/>
      <c r="Q32" s="8"/>
      <c r="R32" s="128"/>
      <c r="S32" s="129"/>
      <c r="T32" s="130"/>
      <c r="U32" s="131"/>
    </row>
    <row r="33" spans="1:21" s="10" customFormat="1">
      <c r="A33" s="8">
        <v>10</v>
      </c>
      <c r="B33" s="8"/>
      <c r="C33" s="8"/>
      <c r="D33" s="8" t="s">
        <v>102</v>
      </c>
      <c r="E33" s="25" t="s">
        <v>43</v>
      </c>
      <c r="F33" s="25"/>
      <c r="G33" s="38" t="s">
        <v>570</v>
      </c>
      <c r="H33" s="38" t="s">
        <v>438</v>
      </c>
      <c r="I33" s="8" t="s">
        <v>292</v>
      </c>
      <c r="J33" s="8"/>
      <c r="K33" s="8"/>
      <c r="L33" s="8"/>
      <c r="M33" s="8"/>
      <c r="N33" s="8"/>
      <c r="O33" s="8"/>
      <c r="P33" s="8"/>
      <c r="Q33" s="8"/>
      <c r="R33" s="128"/>
      <c r="S33" s="129"/>
      <c r="T33" s="130"/>
      <c r="U33" s="131"/>
    </row>
    <row r="34" spans="1:21" s="10" customFormat="1">
      <c r="A34" s="8">
        <v>10</v>
      </c>
      <c r="B34" s="8"/>
      <c r="C34" s="8"/>
      <c r="D34" s="8" t="s">
        <v>348</v>
      </c>
      <c r="E34" s="25" t="s">
        <v>43</v>
      </c>
      <c r="F34" s="25"/>
      <c r="G34" s="38" t="s">
        <v>571</v>
      </c>
      <c r="H34" s="38" t="s">
        <v>439</v>
      </c>
      <c r="I34" s="8"/>
      <c r="J34" s="8"/>
      <c r="K34" s="8"/>
      <c r="L34" s="8"/>
      <c r="M34" s="8"/>
      <c r="N34" s="8"/>
      <c r="O34" s="8"/>
      <c r="P34" s="8"/>
      <c r="Q34" s="8"/>
      <c r="R34" s="128"/>
      <c r="S34" s="129"/>
      <c r="T34" s="130"/>
      <c r="U34" s="131"/>
    </row>
    <row r="35" spans="1:21" s="10" customFormat="1" ht="26">
      <c r="A35" s="8">
        <v>10</v>
      </c>
      <c r="B35" s="8"/>
      <c r="C35" s="8"/>
      <c r="D35" s="8" t="s">
        <v>349</v>
      </c>
      <c r="E35" s="25" t="s">
        <v>139</v>
      </c>
      <c r="F35" s="25"/>
      <c r="G35" s="38" t="s">
        <v>572</v>
      </c>
      <c r="H35" s="38" t="s">
        <v>440</v>
      </c>
      <c r="I35" s="8"/>
      <c r="J35" s="8"/>
      <c r="K35" s="8"/>
      <c r="L35" s="8"/>
      <c r="M35" s="8"/>
      <c r="N35" s="8"/>
      <c r="O35" s="8"/>
      <c r="P35" s="8"/>
      <c r="Q35" s="8"/>
      <c r="R35" s="128"/>
      <c r="S35" s="129"/>
      <c r="T35" s="130"/>
      <c r="U35" s="131"/>
    </row>
  </sheetData>
  <mergeCells count="50">
    <mergeCell ref="R34:S34"/>
    <mergeCell ref="T34:U34"/>
    <mergeCell ref="R35:S35"/>
    <mergeCell ref="T35:U35"/>
    <mergeCell ref="R32:S32"/>
    <mergeCell ref="T32:U32"/>
    <mergeCell ref="R33:S33"/>
    <mergeCell ref="T33:U33"/>
    <mergeCell ref="R29:S29"/>
    <mergeCell ref="T29:U29"/>
    <mergeCell ref="R30:S30"/>
    <mergeCell ref="T30:U30"/>
    <mergeCell ref="R31:S31"/>
    <mergeCell ref="T31:U31"/>
    <mergeCell ref="R26:S26"/>
    <mergeCell ref="T26:U26"/>
    <mergeCell ref="R27:S27"/>
    <mergeCell ref="T27:U27"/>
    <mergeCell ref="R28:S28"/>
    <mergeCell ref="T28:U28"/>
    <mergeCell ref="R23:S23"/>
    <mergeCell ref="T23:U23"/>
    <mergeCell ref="R24:S24"/>
    <mergeCell ref="T24:U24"/>
    <mergeCell ref="R25:S25"/>
    <mergeCell ref="T25:U25"/>
    <mergeCell ref="R20:S20"/>
    <mergeCell ref="T20:U20"/>
    <mergeCell ref="R21:S21"/>
    <mergeCell ref="T21:U21"/>
    <mergeCell ref="R22:S22"/>
    <mergeCell ref="T22:U22"/>
    <mergeCell ref="R17:S17"/>
    <mergeCell ref="T17:U17"/>
    <mergeCell ref="R18:S18"/>
    <mergeCell ref="T18:U18"/>
    <mergeCell ref="R19:S19"/>
    <mergeCell ref="T19:U19"/>
    <mergeCell ref="R13:S13"/>
    <mergeCell ref="T13:U13"/>
    <mergeCell ref="R14:S14"/>
    <mergeCell ref="T14:U14"/>
    <mergeCell ref="R16:S16"/>
    <mergeCell ref="T16:U16"/>
    <mergeCell ref="T8:U8"/>
    <mergeCell ref="R9:S9"/>
    <mergeCell ref="T9:U9"/>
    <mergeCell ref="T11:U11"/>
    <mergeCell ref="R12:S12"/>
    <mergeCell ref="T12:U1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21">
    <pageSetUpPr fitToPage="1"/>
  </sheetPr>
  <dimension ref="A1:U42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4.3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4" t="s">
        <v>299</v>
      </c>
      <c r="B1" s="54" t="s">
        <v>299</v>
      </c>
      <c r="C1" s="54"/>
      <c r="D1" s="1" t="s">
        <v>381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55" t="s">
        <v>299</v>
      </c>
      <c r="B2" s="22"/>
      <c r="C2" s="22"/>
      <c r="D2" s="70" t="s">
        <v>477</v>
      </c>
      <c r="E2" s="7" t="s">
        <v>0</v>
      </c>
      <c r="F2" s="56" t="str">
        <f>IF(LogicCommon!C2="","",LogicCommon!C2)</f>
        <v>MS</v>
      </c>
      <c r="G2" s="7" t="s">
        <v>1</v>
      </c>
      <c r="H2" s="56" t="str">
        <f>IF(LogicCommon!E2="","",LogicCommon!E2)</f>
        <v>MSBFL5210</v>
      </c>
      <c r="I2" s="7" t="s">
        <v>320</v>
      </c>
      <c r="J2" s="8" t="s">
        <v>103</v>
      </c>
      <c r="K2" s="7" t="s">
        <v>274</v>
      </c>
      <c r="L2" s="56" t="str">
        <f>IF(LogicCommon!G2="","",LogicCommon!G2)</f>
        <v>MC</v>
      </c>
      <c r="M2" s="5" t="s">
        <v>375</v>
      </c>
      <c r="N2" s="23" t="s">
        <v>459</v>
      </c>
      <c r="O2" s="7"/>
      <c r="P2" s="7"/>
      <c r="Q2" s="4"/>
      <c r="R2" s="5"/>
      <c r="S2" s="5"/>
      <c r="T2" s="5"/>
      <c r="U2" s="5"/>
    </row>
    <row r="3" spans="1:21" s="10" customFormat="1">
      <c r="A3" s="57" t="s">
        <v>299</v>
      </c>
      <c r="B3" s="58"/>
      <c r="C3" s="58"/>
      <c r="D3" s="59" t="str">
        <f>IF(LogicCommon!A3="","",LogicCommon!A3)</f>
        <v/>
      </c>
      <c r="E3" s="7" t="s">
        <v>2</v>
      </c>
      <c r="F3" s="56" t="str">
        <f>IF(LogicCommon!C3="","",LogicCommon!C3)</f>
        <v>MSBF</v>
      </c>
      <c r="G3" s="7" t="s">
        <v>3</v>
      </c>
      <c r="H3" s="56" t="str">
        <f>IF(LogicCommon!E3="","",LogicCommon!E3)</f>
        <v>MSBFL_LotService</v>
      </c>
      <c r="I3" s="7" t="s">
        <v>344</v>
      </c>
      <c r="J3" s="8" t="s">
        <v>134</v>
      </c>
      <c r="K3" s="7" t="s">
        <v>275</v>
      </c>
      <c r="L3" s="56" t="str">
        <f>IF(LogicCommon!G3="","",LogicCommon!G3)</f>
        <v/>
      </c>
      <c r="M3" s="60"/>
      <c r="N3" s="7"/>
      <c r="O3" s="7" t="s">
        <v>345</v>
      </c>
      <c r="P3" s="8" t="s">
        <v>282</v>
      </c>
      <c r="Q3" s="4"/>
      <c r="R3" s="5"/>
      <c r="S3" s="5"/>
      <c r="T3" s="5"/>
      <c r="U3" s="5"/>
    </row>
    <row r="4" spans="1:21" s="10" customFormat="1">
      <c r="A4" s="57" t="s">
        <v>299</v>
      </c>
      <c r="B4" s="58"/>
      <c r="C4" s="58"/>
      <c r="D4" s="4"/>
      <c r="E4" s="7" t="s">
        <v>20</v>
      </c>
      <c r="F4" s="61" t="s">
        <v>346</v>
      </c>
      <c r="G4" s="7" t="s">
        <v>4</v>
      </c>
      <c r="H4" s="56" t="str">
        <f>IF(LogicCommon!E4="","",LogicCommon!E4)</f>
        <v>ロット情報サービス</v>
      </c>
      <c r="I4" s="7" t="s">
        <v>276</v>
      </c>
      <c r="J4" s="8" t="s">
        <v>104</v>
      </c>
      <c r="K4" s="7" t="s">
        <v>5</v>
      </c>
      <c r="L4" s="56" t="str">
        <f>IF(LogicCommon!G4="","",LogicCommon!G4)</f>
        <v>MS.MSUDL5010</v>
      </c>
      <c r="M4" s="62" t="s">
        <v>283</v>
      </c>
      <c r="N4" s="23"/>
      <c r="O4" s="63"/>
      <c r="P4" s="4"/>
      <c r="Q4" s="4"/>
      <c r="R4" s="5"/>
      <c r="S4" s="5"/>
      <c r="T4" s="5"/>
      <c r="U4" s="5"/>
    </row>
    <row r="5" spans="1:21" s="10" customFormat="1">
      <c r="A5" s="64" t="s">
        <v>299</v>
      </c>
      <c r="B5" s="54"/>
      <c r="C5" s="54"/>
      <c r="D5" s="21"/>
      <c r="E5" s="7" t="s">
        <v>298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</row>
    <row r="6" spans="1:21" s="10" customFormat="1">
      <c r="A6" s="57" t="s">
        <v>299</v>
      </c>
      <c r="B6" s="58"/>
      <c r="C6" s="58"/>
      <c r="D6" s="4" t="s">
        <v>8</v>
      </c>
      <c r="E6" s="12" t="s">
        <v>473</v>
      </c>
      <c r="F6" s="12"/>
      <c r="G6" s="12"/>
      <c r="H6" s="12"/>
      <c r="I6" s="12"/>
      <c r="J6" s="12"/>
      <c r="K6" s="12"/>
      <c r="L6" s="66"/>
      <c r="M6" s="15" t="s">
        <v>300</v>
      </c>
      <c r="N6" s="15"/>
      <c r="O6" s="15" t="s">
        <v>300</v>
      </c>
      <c r="P6" s="15"/>
      <c r="Q6" s="15" t="s">
        <v>300</v>
      </c>
      <c r="R6" s="4"/>
      <c r="S6" s="4"/>
      <c r="T6" s="4"/>
      <c r="U6" s="4"/>
    </row>
    <row r="7" spans="1:21" s="10" customFormat="1">
      <c r="A7" s="22" t="s">
        <v>21</v>
      </c>
      <c r="B7" s="22"/>
      <c r="C7" s="22"/>
      <c r="D7" s="6"/>
      <c r="E7" s="6"/>
      <c r="F7" s="6"/>
      <c r="G7" s="6"/>
      <c r="H7" s="6"/>
      <c r="I7" s="6" t="s">
        <v>22</v>
      </c>
      <c r="J7" s="6"/>
      <c r="K7" s="8" t="s">
        <v>23</v>
      </c>
      <c r="L7" s="24" t="s">
        <v>24</v>
      </c>
      <c r="M7" s="25"/>
      <c r="N7" s="24" t="s">
        <v>24</v>
      </c>
      <c r="O7" s="25"/>
      <c r="P7" s="24" t="s">
        <v>24</v>
      </c>
      <c r="Q7" s="25"/>
      <c r="R7" s="4"/>
      <c r="S7" s="4"/>
      <c r="T7" s="4"/>
      <c r="U7" s="4"/>
    </row>
    <row r="8" spans="1:21" s="10" customFormat="1" ht="60" customHeight="1">
      <c r="A8" s="25" t="s">
        <v>21</v>
      </c>
      <c r="B8" s="71"/>
      <c r="C8" s="72"/>
      <c r="D8" s="24" t="s">
        <v>478</v>
      </c>
      <c r="E8" s="24" t="s">
        <v>479</v>
      </c>
      <c r="F8" s="66"/>
      <c r="G8" s="24" t="s">
        <v>284</v>
      </c>
      <c r="H8" s="24" t="s">
        <v>480</v>
      </c>
      <c r="I8" s="66"/>
      <c r="J8" s="3"/>
      <c r="K8" s="8"/>
      <c r="L8" s="24" t="s">
        <v>25</v>
      </c>
      <c r="M8" s="25"/>
      <c r="N8" s="24" t="s">
        <v>25</v>
      </c>
      <c r="O8" s="25"/>
      <c r="P8" s="24" t="s">
        <v>25</v>
      </c>
      <c r="Q8" s="25"/>
      <c r="R8" s="3"/>
      <c r="S8" s="21"/>
      <c r="T8" s="128" t="s">
        <v>481</v>
      </c>
      <c r="U8" s="129"/>
    </row>
    <row r="9" spans="1:21" s="10" customFormat="1" ht="60" customHeight="1">
      <c r="A9" s="8" t="s">
        <v>21</v>
      </c>
      <c r="B9" s="28"/>
      <c r="C9" s="29"/>
      <c r="D9" s="24" t="s">
        <v>482</v>
      </c>
      <c r="E9" s="49" t="s">
        <v>483</v>
      </c>
      <c r="F9" s="24" t="s">
        <v>484</v>
      </c>
      <c r="G9" s="24" t="s">
        <v>485</v>
      </c>
      <c r="H9" s="24" t="s">
        <v>486</v>
      </c>
      <c r="I9" s="50" t="s">
        <v>487</v>
      </c>
      <c r="J9" s="24" t="s">
        <v>488</v>
      </c>
      <c r="K9" s="70"/>
      <c r="L9" s="50"/>
      <c r="M9" s="24"/>
      <c r="N9" s="50"/>
      <c r="O9" s="24"/>
      <c r="P9" s="50"/>
      <c r="Q9" s="24"/>
      <c r="R9" s="128" t="s">
        <v>489</v>
      </c>
      <c r="S9" s="129"/>
      <c r="T9" s="128" t="s">
        <v>490</v>
      </c>
      <c r="U9" s="129"/>
    </row>
    <row r="10" spans="1:21" s="10" customFormat="1" ht="39">
      <c r="A10" s="28" t="s">
        <v>21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487</v>
      </c>
      <c r="M10" s="24" t="s">
        <v>488</v>
      </c>
      <c r="N10" s="24" t="s">
        <v>487</v>
      </c>
      <c r="O10" s="24" t="s">
        <v>488</v>
      </c>
      <c r="P10" s="24" t="s">
        <v>487</v>
      </c>
      <c r="Q10" s="24" t="s">
        <v>488</v>
      </c>
      <c r="R10" s="30"/>
      <c r="S10" s="30"/>
      <c r="T10" s="35"/>
      <c r="U10" s="53"/>
    </row>
    <row r="11" spans="1:21" s="10" customFormat="1">
      <c r="A11" s="8">
        <v>10</v>
      </c>
      <c r="B11" s="28" t="s">
        <v>26</v>
      </c>
      <c r="C11" s="29"/>
      <c r="D11" s="23" t="s">
        <v>257</v>
      </c>
      <c r="E11" s="26" t="s">
        <v>130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30"/>
      <c r="U11" s="131"/>
    </row>
    <row r="12" spans="1:21" s="10" customFormat="1" ht="12.75" customHeight="1">
      <c r="A12" s="8">
        <v>10</v>
      </c>
      <c r="B12" s="8"/>
      <c r="C12" s="8"/>
      <c r="D12" s="8" t="s">
        <v>350</v>
      </c>
      <c r="E12" s="25" t="s">
        <v>351</v>
      </c>
      <c r="F12" s="25"/>
      <c r="G12" s="38" t="s">
        <v>491</v>
      </c>
      <c r="H12" s="38" t="s">
        <v>289</v>
      </c>
      <c r="I12" s="8" t="s">
        <v>292</v>
      </c>
      <c r="J12" s="8"/>
      <c r="K12" s="8"/>
      <c r="L12" s="8"/>
      <c r="M12" s="8"/>
      <c r="N12" s="8"/>
      <c r="O12" s="8"/>
      <c r="P12" s="8"/>
      <c r="Q12" s="8"/>
      <c r="R12" s="128"/>
      <c r="S12" s="129"/>
      <c r="T12" s="130"/>
      <c r="U12" s="131"/>
    </row>
    <row r="13" spans="1:21" s="10" customFormat="1">
      <c r="A13" s="8">
        <v>10</v>
      </c>
      <c r="B13" s="8"/>
      <c r="C13" s="8"/>
      <c r="D13" s="8" t="s">
        <v>105</v>
      </c>
      <c r="E13" s="25" t="s">
        <v>33</v>
      </c>
      <c r="F13" s="25"/>
      <c r="G13" s="38" t="s">
        <v>573</v>
      </c>
      <c r="H13" s="38" t="s">
        <v>441</v>
      </c>
      <c r="I13" s="8" t="s">
        <v>292</v>
      </c>
      <c r="J13" s="8"/>
      <c r="K13" s="8"/>
      <c r="L13" s="8"/>
      <c r="M13" s="8"/>
      <c r="N13" s="8"/>
      <c r="O13" s="8"/>
      <c r="P13" s="8"/>
      <c r="Q13" s="8"/>
      <c r="R13" s="128"/>
      <c r="S13" s="129"/>
      <c r="T13" s="130"/>
      <c r="U13" s="131"/>
    </row>
    <row r="14" spans="1:21" s="10" customFormat="1">
      <c r="A14" s="8">
        <v>10</v>
      </c>
      <c r="B14" s="8"/>
      <c r="C14" s="8"/>
      <c r="D14" s="8" t="s">
        <v>106</v>
      </c>
      <c r="E14" s="25" t="s">
        <v>146</v>
      </c>
      <c r="F14" s="25"/>
      <c r="G14" s="38" t="s">
        <v>574</v>
      </c>
      <c r="H14" s="38" t="s">
        <v>442</v>
      </c>
      <c r="I14" s="8" t="s">
        <v>292</v>
      </c>
      <c r="J14" s="8"/>
      <c r="K14" s="8"/>
      <c r="L14" s="8"/>
      <c r="M14" s="8"/>
      <c r="N14" s="8"/>
      <c r="O14" s="8"/>
      <c r="P14" s="8"/>
      <c r="Q14" s="8"/>
      <c r="R14" s="128"/>
      <c r="S14" s="129"/>
      <c r="T14" s="130"/>
      <c r="U14" s="131"/>
    </row>
    <row r="15" spans="1:21" s="10" customFormat="1">
      <c r="A15" s="8">
        <v>10</v>
      </c>
      <c r="B15" s="8"/>
      <c r="C15" s="8"/>
      <c r="D15" s="8" t="s">
        <v>107</v>
      </c>
      <c r="E15" s="25" t="s">
        <v>294</v>
      </c>
      <c r="F15" s="25"/>
      <c r="G15" s="38" t="s">
        <v>575</v>
      </c>
      <c r="H15" s="38" t="s">
        <v>443</v>
      </c>
      <c r="I15" s="8" t="s">
        <v>292</v>
      </c>
      <c r="J15" s="8"/>
      <c r="K15" s="8"/>
      <c r="L15" s="8"/>
      <c r="M15" s="8"/>
      <c r="N15" s="8"/>
      <c r="O15" s="8"/>
      <c r="P15" s="8"/>
      <c r="Q15" s="8"/>
      <c r="R15" s="128"/>
      <c r="S15" s="129"/>
      <c r="T15" s="130"/>
      <c r="U15" s="131"/>
    </row>
    <row r="16" spans="1:21" s="10" customFormat="1">
      <c r="A16" s="8">
        <v>10</v>
      </c>
      <c r="B16" s="8"/>
      <c r="C16" s="8"/>
      <c r="D16" s="8" t="s">
        <v>108</v>
      </c>
      <c r="E16" s="25" t="s">
        <v>352</v>
      </c>
      <c r="F16" s="25"/>
      <c r="G16" s="38" t="s">
        <v>576</v>
      </c>
      <c r="H16" s="38" t="s">
        <v>444</v>
      </c>
      <c r="I16" s="8" t="s">
        <v>292</v>
      </c>
      <c r="J16" s="8"/>
      <c r="K16" s="8"/>
      <c r="L16" s="8"/>
      <c r="M16" s="8"/>
      <c r="N16" s="8"/>
      <c r="O16" s="8"/>
      <c r="P16" s="8"/>
      <c r="Q16" s="8"/>
      <c r="R16" s="128"/>
      <c r="S16" s="129"/>
      <c r="T16" s="130"/>
      <c r="U16" s="131"/>
    </row>
    <row r="17" spans="1:21" s="10" customFormat="1">
      <c r="A17" s="8">
        <v>10</v>
      </c>
      <c r="B17" s="8"/>
      <c r="C17" s="8"/>
      <c r="D17" s="8" t="s">
        <v>109</v>
      </c>
      <c r="E17" s="25" t="s">
        <v>38</v>
      </c>
      <c r="F17" s="25"/>
      <c r="G17" s="38" t="s">
        <v>577</v>
      </c>
      <c r="H17" s="38" t="s">
        <v>445</v>
      </c>
      <c r="I17" s="8" t="s">
        <v>292</v>
      </c>
      <c r="J17" s="8"/>
      <c r="K17" s="8"/>
      <c r="L17" s="8"/>
      <c r="M17" s="8"/>
      <c r="N17" s="8"/>
      <c r="O17" s="8"/>
      <c r="P17" s="8"/>
      <c r="Q17" s="8"/>
      <c r="R17" s="128"/>
      <c r="S17" s="129"/>
      <c r="T17" s="130"/>
      <c r="U17" s="131"/>
    </row>
    <row r="18" spans="1:21" s="10" customFormat="1">
      <c r="A18" s="8">
        <v>10</v>
      </c>
      <c r="B18" s="8"/>
      <c r="C18" s="8"/>
      <c r="D18" s="8" t="s">
        <v>110</v>
      </c>
      <c r="E18" s="25" t="s">
        <v>40</v>
      </c>
      <c r="F18" s="25"/>
      <c r="G18" s="38" t="s">
        <v>578</v>
      </c>
      <c r="H18" s="38" t="s">
        <v>446</v>
      </c>
      <c r="I18" s="8" t="s">
        <v>292</v>
      </c>
      <c r="J18" s="8"/>
      <c r="K18" s="8"/>
      <c r="L18" s="8"/>
      <c r="M18" s="8"/>
      <c r="N18" s="8"/>
      <c r="O18" s="8"/>
      <c r="P18" s="8"/>
      <c r="Q18" s="8"/>
      <c r="R18" s="128"/>
      <c r="S18" s="129"/>
      <c r="T18" s="130"/>
      <c r="U18" s="131"/>
    </row>
    <row r="19" spans="1:21" s="10" customFormat="1">
      <c r="A19" s="8">
        <v>10</v>
      </c>
      <c r="B19" s="8"/>
      <c r="C19" s="8"/>
      <c r="D19" s="8" t="s">
        <v>353</v>
      </c>
      <c r="E19" s="25" t="s">
        <v>207</v>
      </c>
      <c r="F19" s="25"/>
      <c r="G19" s="38" t="s">
        <v>501</v>
      </c>
      <c r="H19" s="38" t="s">
        <v>383</v>
      </c>
      <c r="I19" s="8" t="s">
        <v>292</v>
      </c>
      <c r="J19" s="8"/>
      <c r="K19" s="8"/>
      <c r="L19" s="8"/>
      <c r="M19" s="8"/>
      <c r="N19" s="8"/>
      <c r="O19" s="8"/>
      <c r="P19" s="8"/>
      <c r="Q19" s="8"/>
      <c r="R19" s="128"/>
      <c r="S19" s="129"/>
      <c r="T19" s="130"/>
      <c r="U19" s="131"/>
    </row>
    <row r="20" spans="1:21" s="10" customFormat="1">
      <c r="A20" s="8">
        <v>10</v>
      </c>
      <c r="B20" s="8"/>
      <c r="C20" s="8"/>
      <c r="D20" s="8" t="s">
        <v>354</v>
      </c>
      <c r="E20" s="25" t="s">
        <v>151</v>
      </c>
      <c r="F20" s="25"/>
      <c r="G20" s="38" t="s">
        <v>504</v>
      </c>
      <c r="H20" s="38" t="s">
        <v>317</v>
      </c>
      <c r="I20" s="8" t="s">
        <v>292</v>
      </c>
      <c r="J20" s="8"/>
      <c r="K20" s="8"/>
      <c r="L20" s="8"/>
      <c r="M20" s="8"/>
      <c r="N20" s="8"/>
      <c r="O20" s="8"/>
      <c r="P20" s="8"/>
      <c r="Q20" s="8"/>
      <c r="R20" s="128"/>
      <c r="S20" s="129"/>
      <c r="T20" s="130"/>
      <c r="U20" s="131"/>
    </row>
    <row r="21" spans="1:21" s="10" customFormat="1">
      <c r="A21" s="8">
        <v>10</v>
      </c>
      <c r="B21" s="8"/>
      <c r="C21" s="8"/>
      <c r="D21" s="8" t="s">
        <v>339</v>
      </c>
      <c r="E21" s="25" t="s">
        <v>355</v>
      </c>
      <c r="F21" s="25"/>
      <c r="G21" s="38" t="s">
        <v>525</v>
      </c>
      <c r="H21" s="38" t="s">
        <v>318</v>
      </c>
      <c r="I21" s="8" t="s">
        <v>292</v>
      </c>
      <c r="J21" s="8"/>
      <c r="K21" s="8"/>
      <c r="L21" s="8"/>
      <c r="M21" s="8"/>
      <c r="N21" s="8"/>
      <c r="O21" s="8"/>
      <c r="P21" s="8"/>
      <c r="Q21" s="8"/>
      <c r="R21" s="128"/>
      <c r="S21" s="129"/>
      <c r="T21" s="130"/>
      <c r="U21" s="131"/>
    </row>
    <row r="22" spans="1:21" s="10" customFormat="1">
      <c r="A22" s="8">
        <v>10</v>
      </c>
      <c r="B22" s="8"/>
      <c r="C22" s="8"/>
      <c r="D22" s="8" t="s">
        <v>356</v>
      </c>
      <c r="E22" s="25" t="s">
        <v>151</v>
      </c>
      <c r="F22" s="25"/>
      <c r="G22" s="38" t="s">
        <v>514</v>
      </c>
      <c r="H22" s="38" t="s">
        <v>389</v>
      </c>
      <c r="I22" s="8" t="s">
        <v>292</v>
      </c>
      <c r="J22" s="8"/>
      <c r="K22" s="8"/>
      <c r="L22" s="8"/>
      <c r="M22" s="8"/>
      <c r="N22" s="8"/>
      <c r="O22" s="8"/>
      <c r="P22" s="8"/>
      <c r="Q22" s="8"/>
      <c r="R22" s="128"/>
      <c r="S22" s="129"/>
      <c r="T22" s="130"/>
      <c r="U22" s="131"/>
    </row>
    <row r="23" spans="1:21" s="10" customFormat="1">
      <c r="A23" s="57"/>
      <c r="U23" s="39"/>
    </row>
    <row r="24" spans="1:21" s="10" customFormat="1">
      <c r="A24" s="8">
        <v>20</v>
      </c>
      <c r="B24" s="28" t="s">
        <v>26</v>
      </c>
      <c r="C24" s="29"/>
      <c r="D24" s="23" t="s">
        <v>256</v>
      </c>
      <c r="E24" s="26" t="s">
        <v>41</v>
      </c>
      <c r="F24" s="41"/>
      <c r="G24" s="23"/>
      <c r="H24" s="27"/>
      <c r="I24" s="42"/>
      <c r="J24" s="43"/>
      <c r="K24" s="43"/>
      <c r="L24" s="26"/>
      <c r="M24" s="26"/>
      <c r="N24" s="26"/>
      <c r="O24" s="26"/>
      <c r="P24" s="26"/>
      <c r="Q24" s="26"/>
      <c r="R24" s="37"/>
      <c r="S24" s="36"/>
      <c r="T24" s="130"/>
      <c r="U24" s="131"/>
    </row>
    <row r="25" spans="1:21" s="10" customFormat="1" ht="12.75" customHeight="1">
      <c r="A25" s="8">
        <v>20</v>
      </c>
      <c r="B25" s="8"/>
      <c r="C25" s="8"/>
      <c r="D25" s="8" t="s">
        <v>357</v>
      </c>
      <c r="E25" s="25" t="s">
        <v>351</v>
      </c>
      <c r="F25" s="25"/>
      <c r="G25" s="38" t="s">
        <v>579</v>
      </c>
      <c r="H25" s="38" t="s">
        <v>447</v>
      </c>
      <c r="I25" s="8" t="s">
        <v>292</v>
      </c>
      <c r="J25" s="8"/>
      <c r="K25" s="8"/>
      <c r="L25" s="8"/>
      <c r="M25" s="8"/>
      <c r="N25" s="8"/>
      <c r="O25" s="8"/>
      <c r="P25" s="8"/>
      <c r="Q25" s="8"/>
      <c r="R25" s="128"/>
      <c r="S25" s="129"/>
      <c r="T25" s="130"/>
      <c r="U25" s="131"/>
    </row>
    <row r="26" spans="1:21" s="10" customFormat="1" ht="39">
      <c r="A26" s="8">
        <v>20</v>
      </c>
      <c r="B26" s="8"/>
      <c r="C26" s="8"/>
      <c r="D26" s="8" t="s">
        <v>358</v>
      </c>
      <c r="E26" s="25" t="s">
        <v>359</v>
      </c>
      <c r="F26" s="25"/>
      <c r="G26" s="38" t="s">
        <v>580</v>
      </c>
      <c r="H26" s="38" t="s">
        <v>448</v>
      </c>
      <c r="I26" s="8" t="s">
        <v>292</v>
      </c>
      <c r="J26" s="8"/>
      <c r="K26" s="8"/>
      <c r="L26" s="8"/>
      <c r="M26" s="8"/>
      <c r="N26" s="8"/>
      <c r="O26" s="8"/>
      <c r="P26" s="8"/>
      <c r="Q26" s="8"/>
      <c r="R26" s="128"/>
      <c r="S26" s="129"/>
      <c r="T26" s="130"/>
      <c r="U26" s="131"/>
    </row>
    <row r="27" spans="1:21" s="10" customFormat="1">
      <c r="A27" s="8">
        <v>20</v>
      </c>
      <c r="B27" s="8"/>
      <c r="C27" s="8"/>
      <c r="D27" s="8" t="s">
        <v>113</v>
      </c>
      <c r="E27" s="25" t="s">
        <v>112</v>
      </c>
      <c r="F27" s="25"/>
      <c r="G27" s="38" t="s">
        <v>529</v>
      </c>
      <c r="H27" s="38" t="s">
        <v>396</v>
      </c>
      <c r="I27" s="8" t="s">
        <v>292</v>
      </c>
      <c r="J27" s="8"/>
      <c r="K27" s="8"/>
      <c r="L27" s="8"/>
      <c r="M27" s="8"/>
      <c r="N27" s="8"/>
      <c r="O27" s="8"/>
      <c r="P27" s="8"/>
      <c r="Q27" s="8"/>
      <c r="R27" s="128"/>
      <c r="S27" s="129"/>
      <c r="T27" s="130"/>
      <c r="U27" s="131"/>
    </row>
    <row r="28" spans="1:21" s="10" customFormat="1">
      <c r="A28" s="8">
        <v>20</v>
      </c>
      <c r="B28" s="8"/>
      <c r="C28" s="8"/>
      <c r="D28" s="8" t="s">
        <v>114</v>
      </c>
      <c r="E28" s="25" t="s">
        <v>54</v>
      </c>
      <c r="F28" s="25"/>
      <c r="G28" s="38" t="s">
        <v>533</v>
      </c>
      <c r="H28" s="38" t="s">
        <v>400</v>
      </c>
      <c r="I28" s="8" t="s">
        <v>292</v>
      </c>
      <c r="J28" s="8"/>
      <c r="K28" s="8"/>
      <c r="L28" s="8"/>
      <c r="M28" s="8"/>
      <c r="N28" s="8"/>
      <c r="O28" s="8"/>
      <c r="P28" s="8"/>
      <c r="Q28" s="8"/>
      <c r="R28" s="128"/>
      <c r="S28" s="129"/>
      <c r="T28" s="130"/>
      <c r="U28" s="131"/>
    </row>
    <row r="29" spans="1:21" s="10" customFormat="1">
      <c r="A29" s="67">
        <v>20</v>
      </c>
      <c r="B29" s="67"/>
      <c r="C29" s="67"/>
      <c r="D29" s="67" t="s">
        <v>159</v>
      </c>
      <c r="E29" s="67" t="s">
        <v>158</v>
      </c>
      <c r="F29" s="67" t="s">
        <v>160</v>
      </c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8"/>
      <c r="S29" s="69"/>
      <c r="T29" s="67"/>
      <c r="U29" s="67"/>
    </row>
    <row r="30" spans="1:21" s="10" customFormat="1">
      <c r="A30" s="67">
        <v>20</v>
      </c>
      <c r="B30" s="8"/>
      <c r="C30" s="8"/>
      <c r="D30" s="8" t="s">
        <v>307</v>
      </c>
      <c r="E30" s="25" t="s">
        <v>308</v>
      </c>
      <c r="F30" s="25"/>
      <c r="G30" s="38" t="s">
        <v>493</v>
      </c>
      <c r="H30" s="38" t="s">
        <v>323</v>
      </c>
      <c r="I30" s="8" t="s">
        <v>292</v>
      </c>
      <c r="J30" s="8"/>
      <c r="K30" s="8"/>
      <c r="L30" s="8"/>
      <c r="M30" s="8"/>
      <c r="N30" s="8"/>
      <c r="O30" s="8"/>
      <c r="P30" s="8"/>
      <c r="Q30" s="8"/>
      <c r="R30" s="128"/>
      <c r="S30" s="129"/>
      <c r="T30" s="130"/>
      <c r="U30" s="131"/>
    </row>
    <row r="31" spans="1:21" s="10" customFormat="1">
      <c r="A31" s="67">
        <v>20</v>
      </c>
      <c r="B31" s="8"/>
      <c r="C31" s="8"/>
      <c r="D31" s="8" t="s">
        <v>233</v>
      </c>
      <c r="E31" s="25" t="s">
        <v>308</v>
      </c>
      <c r="F31" s="25"/>
      <c r="G31" s="38" t="s">
        <v>494</v>
      </c>
      <c r="H31" s="38" t="s">
        <v>278</v>
      </c>
      <c r="I31" s="8" t="s">
        <v>292</v>
      </c>
      <c r="J31" s="8"/>
      <c r="K31" s="8"/>
      <c r="L31" s="8"/>
      <c r="M31" s="8"/>
      <c r="N31" s="8"/>
      <c r="O31" s="8"/>
      <c r="P31" s="8"/>
      <c r="Q31" s="8"/>
      <c r="R31" s="128"/>
      <c r="S31" s="129"/>
      <c r="T31" s="130"/>
      <c r="U31" s="131"/>
    </row>
    <row r="32" spans="1:21" s="10" customFormat="1">
      <c r="A32" s="67">
        <v>20</v>
      </c>
      <c r="B32" s="8"/>
      <c r="C32" s="8"/>
      <c r="D32" s="8" t="s">
        <v>234</v>
      </c>
      <c r="E32" s="25" t="s">
        <v>308</v>
      </c>
      <c r="F32" s="25"/>
      <c r="G32" s="38" t="s">
        <v>495</v>
      </c>
      <c r="H32" s="38" t="s">
        <v>291</v>
      </c>
      <c r="I32" s="8" t="s">
        <v>292</v>
      </c>
      <c r="J32" s="8"/>
      <c r="K32" s="8"/>
      <c r="L32" s="8"/>
      <c r="M32" s="8"/>
      <c r="N32" s="8"/>
      <c r="O32" s="8"/>
      <c r="P32" s="8"/>
      <c r="Q32" s="8"/>
      <c r="R32" s="128"/>
      <c r="S32" s="129"/>
      <c r="T32" s="130"/>
      <c r="U32" s="131"/>
    </row>
    <row r="33" spans="1:21" s="10" customFormat="1">
      <c r="A33" s="67">
        <v>20</v>
      </c>
      <c r="B33" s="8"/>
      <c r="C33" s="8"/>
      <c r="D33" s="8" t="s">
        <v>235</v>
      </c>
      <c r="E33" s="25" t="s">
        <v>308</v>
      </c>
      <c r="F33" s="25"/>
      <c r="G33" s="38" t="s">
        <v>496</v>
      </c>
      <c r="H33" s="38" t="s">
        <v>279</v>
      </c>
      <c r="I33" s="8" t="s">
        <v>292</v>
      </c>
      <c r="J33" s="8"/>
      <c r="K33" s="8"/>
      <c r="L33" s="8"/>
      <c r="M33" s="8"/>
      <c r="N33" s="8"/>
      <c r="O33" s="8"/>
      <c r="P33" s="8"/>
      <c r="Q33" s="8"/>
      <c r="R33" s="128"/>
      <c r="S33" s="129"/>
      <c r="T33" s="130"/>
      <c r="U33" s="131"/>
    </row>
    <row r="34" spans="1:21" s="10" customFormat="1">
      <c r="A34" s="67">
        <v>20</v>
      </c>
      <c r="B34" s="8"/>
      <c r="C34" s="8"/>
      <c r="D34" s="8" t="s">
        <v>236</v>
      </c>
      <c r="E34" s="25" t="s">
        <v>308</v>
      </c>
      <c r="F34" s="25"/>
      <c r="G34" s="38" t="s">
        <v>497</v>
      </c>
      <c r="H34" s="38" t="s">
        <v>280</v>
      </c>
      <c r="I34" s="8" t="s">
        <v>292</v>
      </c>
      <c r="J34" s="8"/>
      <c r="K34" s="8"/>
      <c r="L34" s="8"/>
      <c r="M34" s="8"/>
      <c r="N34" s="8"/>
      <c r="O34" s="8"/>
      <c r="P34" s="8"/>
      <c r="Q34" s="8"/>
      <c r="R34" s="128"/>
      <c r="S34" s="129"/>
      <c r="T34" s="130"/>
      <c r="U34" s="131"/>
    </row>
    <row r="35" spans="1:21" s="10" customFormat="1">
      <c r="A35" s="67">
        <v>20</v>
      </c>
      <c r="B35" s="8"/>
      <c r="C35" s="8"/>
      <c r="D35" s="8" t="s">
        <v>237</v>
      </c>
      <c r="E35" s="25" t="s">
        <v>308</v>
      </c>
      <c r="F35" s="25"/>
      <c r="G35" s="38" t="s">
        <v>498</v>
      </c>
      <c r="H35" s="38" t="s">
        <v>382</v>
      </c>
      <c r="I35" s="8" t="s">
        <v>292</v>
      </c>
      <c r="J35" s="8"/>
      <c r="K35" s="8"/>
      <c r="L35" s="8"/>
      <c r="M35" s="8"/>
      <c r="N35" s="8"/>
      <c r="O35" s="8"/>
      <c r="P35" s="8"/>
      <c r="Q35" s="8"/>
      <c r="R35" s="128"/>
      <c r="S35" s="129"/>
      <c r="T35" s="130"/>
      <c r="U35" s="131"/>
    </row>
    <row r="36" spans="1:21" s="10" customFormat="1">
      <c r="A36" s="67">
        <v>20</v>
      </c>
      <c r="B36" s="8"/>
      <c r="C36" s="8"/>
      <c r="D36" s="8" t="s">
        <v>222</v>
      </c>
      <c r="E36" s="25" t="s">
        <v>308</v>
      </c>
      <c r="F36" s="25"/>
      <c r="G36" s="38" t="s">
        <v>504</v>
      </c>
      <c r="H36" s="38" t="s">
        <v>317</v>
      </c>
      <c r="I36" s="8"/>
      <c r="J36" s="8"/>
      <c r="K36" s="8"/>
      <c r="L36" s="8"/>
      <c r="M36" s="8"/>
      <c r="N36" s="8"/>
      <c r="O36" s="8"/>
      <c r="P36" s="8"/>
      <c r="Q36" s="8"/>
      <c r="R36" s="128"/>
      <c r="S36" s="129"/>
      <c r="T36" s="130"/>
      <c r="U36" s="131"/>
    </row>
    <row r="37" spans="1:21" s="10" customFormat="1">
      <c r="A37" s="67">
        <v>20</v>
      </c>
      <c r="B37" s="8"/>
      <c r="C37" s="8"/>
      <c r="D37" s="8" t="s">
        <v>217</v>
      </c>
      <c r="E37" s="25" t="s">
        <v>308</v>
      </c>
      <c r="F37" s="25"/>
      <c r="G37" s="38" t="s">
        <v>525</v>
      </c>
      <c r="H37" s="38" t="s">
        <v>318</v>
      </c>
      <c r="I37" s="8"/>
      <c r="J37" s="8"/>
      <c r="K37" s="8"/>
      <c r="L37" s="8"/>
      <c r="M37" s="8"/>
      <c r="N37" s="8"/>
      <c r="O37" s="8"/>
      <c r="P37" s="8"/>
      <c r="Q37" s="8"/>
      <c r="R37" s="128"/>
      <c r="S37" s="129"/>
      <c r="T37" s="130"/>
      <c r="U37" s="131"/>
    </row>
    <row r="38" spans="1:21" s="10" customFormat="1">
      <c r="A38" s="67">
        <v>20</v>
      </c>
      <c r="B38" s="8"/>
      <c r="C38" s="8"/>
      <c r="D38" s="8" t="s">
        <v>232</v>
      </c>
      <c r="E38" s="25" t="s">
        <v>308</v>
      </c>
      <c r="F38" s="25"/>
      <c r="G38" s="38" t="s">
        <v>581</v>
      </c>
      <c r="H38" s="38" t="s">
        <v>449</v>
      </c>
      <c r="I38" s="8"/>
      <c r="J38" s="8"/>
      <c r="K38" s="8"/>
      <c r="L38" s="8"/>
      <c r="M38" s="8"/>
      <c r="N38" s="8"/>
      <c r="O38" s="8"/>
      <c r="P38" s="8"/>
      <c r="Q38" s="8"/>
      <c r="R38" s="128"/>
      <c r="S38" s="129"/>
      <c r="T38" s="130"/>
      <c r="U38" s="131"/>
    </row>
    <row r="39" spans="1:21" s="10" customFormat="1">
      <c r="A39" s="67">
        <v>20</v>
      </c>
      <c r="B39" s="8"/>
      <c r="C39" s="8"/>
      <c r="D39" s="8" t="s">
        <v>219</v>
      </c>
      <c r="E39" s="25" t="s">
        <v>360</v>
      </c>
      <c r="F39" s="25"/>
      <c r="G39" s="38" t="s">
        <v>514</v>
      </c>
      <c r="H39" s="38" t="s">
        <v>389</v>
      </c>
      <c r="I39" s="8"/>
      <c r="J39" s="8"/>
      <c r="K39" s="8"/>
      <c r="L39" s="8"/>
      <c r="M39" s="8"/>
      <c r="N39" s="8"/>
      <c r="O39" s="8"/>
      <c r="P39" s="8"/>
      <c r="Q39" s="8"/>
      <c r="R39" s="128"/>
      <c r="S39" s="129"/>
      <c r="T39" s="130"/>
      <c r="U39" s="131"/>
    </row>
    <row r="40" spans="1:21" s="10" customFormat="1">
      <c r="A40" s="67">
        <v>20</v>
      </c>
      <c r="B40" s="8"/>
      <c r="C40" s="8"/>
      <c r="D40" s="8" t="s">
        <v>218</v>
      </c>
      <c r="E40" s="25" t="s">
        <v>360</v>
      </c>
      <c r="F40" s="25"/>
      <c r="G40" s="38" t="s">
        <v>520</v>
      </c>
      <c r="H40" s="38" t="s">
        <v>391</v>
      </c>
      <c r="I40" s="8"/>
      <c r="J40" s="8"/>
      <c r="K40" s="8"/>
      <c r="L40" s="8"/>
      <c r="M40" s="8"/>
      <c r="N40" s="8"/>
      <c r="O40" s="8"/>
      <c r="P40" s="8"/>
      <c r="Q40" s="8"/>
      <c r="R40" s="128"/>
      <c r="S40" s="129"/>
      <c r="T40" s="130"/>
      <c r="U40" s="131"/>
    </row>
    <row r="41" spans="1:21" s="10" customFormat="1">
      <c r="A41" s="8">
        <v>20</v>
      </c>
      <c r="B41" s="8"/>
      <c r="C41" s="8"/>
      <c r="D41" s="8" t="s">
        <v>334</v>
      </c>
      <c r="E41" s="25" t="s">
        <v>361</v>
      </c>
      <c r="F41" s="25"/>
      <c r="G41" s="38" t="s">
        <v>532</v>
      </c>
      <c r="H41" s="38" t="s">
        <v>399</v>
      </c>
      <c r="I41" s="8"/>
      <c r="J41" s="8"/>
      <c r="K41" s="8"/>
      <c r="L41" s="8"/>
      <c r="M41" s="8"/>
      <c r="N41" s="8"/>
      <c r="O41" s="8"/>
      <c r="P41" s="8"/>
      <c r="Q41" s="8"/>
      <c r="R41" s="128"/>
      <c r="S41" s="129"/>
      <c r="T41" s="130"/>
      <c r="U41" s="131"/>
    </row>
    <row r="42" spans="1:21" s="10" customFormat="1">
      <c r="A42" s="8">
        <v>20</v>
      </c>
      <c r="B42" s="8"/>
      <c r="C42" s="8"/>
      <c r="D42" s="8" t="s">
        <v>362</v>
      </c>
      <c r="E42" s="25" t="s">
        <v>252</v>
      </c>
      <c r="F42" s="25"/>
      <c r="G42" s="38" t="s">
        <v>582</v>
      </c>
      <c r="H42" s="38" t="s">
        <v>450</v>
      </c>
      <c r="I42" s="8"/>
      <c r="J42" s="8"/>
      <c r="K42" s="8"/>
      <c r="L42" s="8"/>
      <c r="M42" s="8"/>
      <c r="N42" s="8"/>
      <c r="O42" s="8"/>
      <c r="P42" s="8"/>
      <c r="Q42" s="8"/>
      <c r="R42" s="128"/>
      <c r="S42" s="129"/>
      <c r="T42" s="130"/>
      <c r="U42" s="131"/>
    </row>
  </sheetData>
  <mergeCells count="61">
    <mergeCell ref="T33:U33"/>
    <mergeCell ref="T27:U27"/>
    <mergeCell ref="R28:S28"/>
    <mergeCell ref="T28:U28"/>
    <mergeCell ref="R36:S36"/>
    <mergeCell ref="T36:U36"/>
    <mergeCell ref="R30:S30"/>
    <mergeCell ref="T30:U30"/>
    <mergeCell ref="R34:S34"/>
    <mergeCell ref="T34:U34"/>
    <mergeCell ref="R35:S35"/>
    <mergeCell ref="T35:U35"/>
    <mergeCell ref="R31:S31"/>
    <mergeCell ref="T31:U31"/>
    <mergeCell ref="R32:S32"/>
    <mergeCell ref="T32:U32"/>
    <mergeCell ref="R33:S33"/>
    <mergeCell ref="R13:S13"/>
    <mergeCell ref="T13:U13"/>
    <mergeCell ref="R14:S14"/>
    <mergeCell ref="T14:U14"/>
    <mergeCell ref="R26:S26"/>
    <mergeCell ref="T26:U26"/>
    <mergeCell ref="R15:S15"/>
    <mergeCell ref="T15:U15"/>
    <mergeCell ref="R16:S16"/>
    <mergeCell ref="T16:U16"/>
    <mergeCell ref="R17:S17"/>
    <mergeCell ref="T17:U17"/>
    <mergeCell ref="R18:S18"/>
    <mergeCell ref="T18:U18"/>
    <mergeCell ref="T24:U24"/>
    <mergeCell ref="T8:U8"/>
    <mergeCell ref="R9:S9"/>
    <mergeCell ref="T9:U9"/>
    <mergeCell ref="T11:U11"/>
    <mergeCell ref="R12:S12"/>
    <mergeCell ref="T12:U12"/>
    <mergeCell ref="R40:S40"/>
    <mergeCell ref="T40:U40"/>
    <mergeCell ref="R42:S42"/>
    <mergeCell ref="T42:U42"/>
    <mergeCell ref="R41:S41"/>
    <mergeCell ref="T41:U41"/>
    <mergeCell ref="R37:S37"/>
    <mergeCell ref="T37:U37"/>
    <mergeCell ref="R38:S38"/>
    <mergeCell ref="T38:U38"/>
    <mergeCell ref="R39:S39"/>
    <mergeCell ref="T39:U39"/>
    <mergeCell ref="R27:S27"/>
    <mergeCell ref="R19:S19"/>
    <mergeCell ref="T19:U19"/>
    <mergeCell ref="R20:S20"/>
    <mergeCell ref="T20:U20"/>
    <mergeCell ref="R21:S21"/>
    <mergeCell ref="T21:U21"/>
    <mergeCell ref="R25:S25"/>
    <mergeCell ref="R22:S22"/>
    <mergeCell ref="T22:U22"/>
    <mergeCell ref="T25:U25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22">
    <pageSetUpPr fitToPage="1"/>
  </sheetPr>
  <dimension ref="A1:U26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4" t="s">
        <v>299</v>
      </c>
      <c r="B1" s="54" t="s">
        <v>299</v>
      </c>
      <c r="C1" s="54"/>
      <c r="D1" s="1" t="s">
        <v>381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55" t="s">
        <v>299</v>
      </c>
      <c r="B2" s="22"/>
      <c r="C2" s="22"/>
      <c r="D2" s="70" t="s">
        <v>477</v>
      </c>
      <c r="E2" s="7" t="s">
        <v>0</v>
      </c>
      <c r="F2" s="56" t="str">
        <f>IF(LogicCommon!C2="","",LogicCommon!C2)</f>
        <v>MS</v>
      </c>
      <c r="G2" s="7" t="s">
        <v>1</v>
      </c>
      <c r="H2" s="56" t="str">
        <f>IF(LogicCommon!E2="","",LogicCommon!E2)</f>
        <v>MSBFL5210</v>
      </c>
      <c r="I2" s="7" t="s">
        <v>320</v>
      </c>
      <c r="J2" s="8" t="s">
        <v>115</v>
      </c>
      <c r="K2" s="7" t="s">
        <v>274</v>
      </c>
      <c r="L2" s="56" t="str">
        <f>IF(LogicCommon!G2="","",LogicCommon!G2)</f>
        <v>MC</v>
      </c>
      <c r="M2" s="5" t="s">
        <v>375</v>
      </c>
      <c r="N2" s="23" t="s">
        <v>459</v>
      </c>
      <c r="O2" s="7"/>
      <c r="P2" s="7"/>
      <c r="Q2" s="4"/>
      <c r="R2" s="5"/>
      <c r="S2" s="5"/>
      <c r="T2" s="5"/>
      <c r="U2" s="5"/>
    </row>
    <row r="3" spans="1:21" s="10" customFormat="1">
      <c r="A3" s="57" t="s">
        <v>299</v>
      </c>
      <c r="B3" s="58"/>
      <c r="C3" s="58"/>
      <c r="D3" s="59" t="str">
        <f>IF(LogicCommon!A3="","",LogicCommon!A3)</f>
        <v/>
      </c>
      <c r="E3" s="7" t="s">
        <v>2</v>
      </c>
      <c r="F3" s="56" t="str">
        <f>IF(LogicCommon!C3="","",LogicCommon!C3)</f>
        <v>MSBF</v>
      </c>
      <c r="G3" s="7" t="s">
        <v>3</v>
      </c>
      <c r="H3" s="56" t="str">
        <f>IF(LogicCommon!E3="","",LogicCommon!E3)</f>
        <v>MSBFL_LotService</v>
      </c>
      <c r="I3" s="7" t="s">
        <v>344</v>
      </c>
      <c r="J3" s="8" t="s">
        <v>135</v>
      </c>
      <c r="K3" s="7" t="s">
        <v>275</v>
      </c>
      <c r="L3" s="56" t="str">
        <f>IF(LogicCommon!G3="","",LogicCommon!G3)</f>
        <v/>
      </c>
      <c r="M3" s="60"/>
      <c r="N3" s="7"/>
      <c r="O3" s="7" t="s">
        <v>345</v>
      </c>
      <c r="P3" s="8" t="s">
        <v>282</v>
      </c>
      <c r="Q3" s="4"/>
      <c r="R3" s="5"/>
      <c r="S3" s="5"/>
      <c r="T3" s="5"/>
      <c r="U3" s="5"/>
    </row>
    <row r="4" spans="1:21" s="10" customFormat="1">
      <c r="A4" s="57" t="s">
        <v>299</v>
      </c>
      <c r="B4" s="58"/>
      <c r="C4" s="58"/>
      <c r="D4" s="4"/>
      <c r="E4" s="7" t="s">
        <v>20</v>
      </c>
      <c r="F4" s="61" t="s">
        <v>346</v>
      </c>
      <c r="G4" s="7" t="s">
        <v>4</v>
      </c>
      <c r="H4" s="56" t="str">
        <f>IF(LogicCommon!E4="","",LogicCommon!E4)</f>
        <v>ロット情報サービス</v>
      </c>
      <c r="I4" s="7" t="s">
        <v>276</v>
      </c>
      <c r="J4" s="8" t="s">
        <v>116</v>
      </c>
      <c r="K4" s="7" t="s">
        <v>5</v>
      </c>
      <c r="L4" s="56" t="str">
        <f>IF(LogicCommon!G4="","",LogicCommon!G4)</f>
        <v>MS.MSUDL5010</v>
      </c>
      <c r="M4" s="62" t="s">
        <v>283</v>
      </c>
      <c r="N4" s="23"/>
      <c r="O4" s="63"/>
      <c r="P4" s="4"/>
      <c r="Q4" s="4"/>
      <c r="R4" s="5"/>
      <c r="S4" s="5"/>
      <c r="T4" s="5"/>
      <c r="U4" s="5"/>
    </row>
    <row r="5" spans="1:21" s="10" customFormat="1">
      <c r="A5" s="64" t="s">
        <v>299</v>
      </c>
      <c r="B5" s="54"/>
      <c r="C5" s="54"/>
      <c r="D5" s="21"/>
      <c r="E5" s="7" t="s">
        <v>298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</row>
    <row r="6" spans="1:21" s="10" customFormat="1">
      <c r="A6" s="57" t="s">
        <v>299</v>
      </c>
      <c r="B6" s="58"/>
      <c r="C6" s="58"/>
      <c r="D6" s="4" t="s">
        <v>8</v>
      </c>
      <c r="E6" s="12" t="s">
        <v>469</v>
      </c>
      <c r="F6" s="12"/>
      <c r="G6" s="12"/>
      <c r="H6" s="12"/>
      <c r="I6" s="12"/>
      <c r="J6" s="12"/>
      <c r="K6" s="12"/>
      <c r="L6" s="66"/>
      <c r="M6" s="15" t="s">
        <v>300</v>
      </c>
      <c r="N6" s="15"/>
      <c r="O6" s="15" t="s">
        <v>300</v>
      </c>
      <c r="P6" s="15"/>
      <c r="Q6" s="15" t="s">
        <v>300</v>
      </c>
      <c r="R6" s="4"/>
      <c r="S6" s="4"/>
      <c r="T6" s="4"/>
      <c r="U6" s="4"/>
    </row>
    <row r="7" spans="1:21" s="10" customFormat="1">
      <c r="A7" s="22" t="s">
        <v>21</v>
      </c>
      <c r="B7" s="22"/>
      <c r="C7" s="22"/>
      <c r="D7" s="6"/>
      <c r="E7" s="6"/>
      <c r="F7" s="6"/>
      <c r="G7" s="6"/>
      <c r="H7" s="6"/>
      <c r="I7" s="6" t="s">
        <v>22</v>
      </c>
      <c r="J7" s="6"/>
      <c r="K7" s="8" t="s">
        <v>23</v>
      </c>
      <c r="L7" s="24" t="s">
        <v>24</v>
      </c>
      <c r="M7" s="25"/>
      <c r="N7" s="24" t="s">
        <v>24</v>
      </c>
      <c r="O7" s="25"/>
      <c r="P7" s="24" t="s">
        <v>24</v>
      </c>
      <c r="Q7" s="25"/>
      <c r="R7" s="4"/>
      <c r="S7" s="4"/>
      <c r="T7" s="4"/>
      <c r="U7" s="4"/>
    </row>
    <row r="8" spans="1:21" s="10" customFormat="1" ht="60" customHeight="1">
      <c r="A8" s="25" t="s">
        <v>21</v>
      </c>
      <c r="B8" s="71"/>
      <c r="C8" s="72"/>
      <c r="D8" s="24" t="s">
        <v>478</v>
      </c>
      <c r="E8" s="24" t="s">
        <v>479</v>
      </c>
      <c r="F8" s="66"/>
      <c r="G8" s="24" t="s">
        <v>284</v>
      </c>
      <c r="H8" s="24" t="s">
        <v>480</v>
      </c>
      <c r="I8" s="66"/>
      <c r="J8" s="3"/>
      <c r="K8" s="8"/>
      <c r="L8" s="24" t="s">
        <v>25</v>
      </c>
      <c r="M8" s="25"/>
      <c r="N8" s="24" t="s">
        <v>25</v>
      </c>
      <c r="O8" s="25"/>
      <c r="P8" s="24" t="s">
        <v>25</v>
      </c>
      <c r="Q8" s="25"/>
      <c r="R8" s="3"/>
      <c r="S8" s="21"/>
      <c r="T8" s="128" t="s">
        <v>481</v>
      </c>
      <c r="U8" s="129"/>
    </row>
    <row r="9" spans="1:21" s="10" customFormat="1" ht="60" customHeight="1">
      <c r="A9" s="8" t="s">
        <v>21</v>
      </c>
      <c r="B9" s="28"/>
      <c r="C9" s="29"/>
      <c r="D9" s="24" t="s">
        <v>482</v>
      </c>
      <c r="E9" s="49" t="s">
        <v>483</v>
      </c>
      <c r="F9" s="24" t="s">
        <v>484</v>
      </c>
      <c r="G9" s="24" t="s">
        <v>485</v>
      </c>
      <c r="H9" s="24" t="s">
        <v>486</v>
      </c>
      <c r="I9" s="50" t="s">
        <v>487</v>
      </c>
      <c r="J9" s="24" t="s">
        <v>488</v>
      </c>
      <c r="K9" s="70"/>
      <c r="L9" s="50"/>
      <c r="M9" s="24"/>
      <c r="N9" s="50"/>
      <c r="O9" s="24"/>
      <c r="P9" s="50"/>
      <c r="Q9" s="24"/>
      <c r="R9" s="128" t="s">
        <v>489</v>
      </c>
      <c r="S9" s="129"/>
      <c r="T9" s="128" t="s">
        <v>490</v>
      </c>
      <c r="U9" s="129"/>
    </row>
    <row r="10" spans="1:21" s="10" customFormat="1" ht="39">
      <c r="A10" s="28" t="s">
        <v>21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487</v>
      </c>
      <c r="M10" s="24" t="s">
        <v>488</v>
      </c>
      <c r="N10" s="24" t="s">
        <v>487</v>
      </c>
      <c r="O10" s="24" t="s">
        <v>488</v>
      </c>
      <c r="P10" s="24" t="s">
        <v>487</v>
      </c>
      <c r="Q10" s="24" t="s">
        <v>488</v>
      </c>
      <c r="R10" s="30"/>
      <c r="S10" s="30"/>
      <c r="T10" s="35"/>
      <c r="U10" s="53"/>
    </row>
    <row r="11" spans="1:21" s="10" customFormat="1">
      <c r="A11" s="8">
        <v>10</v>
      </c>
      <c r="B11" s="28" t="s">
        <v>26</v>
      </c>
      <c r="C11" s="29"/>
      <c r="D11" s="23" t="s">
        <v>117</v>
      </c>
      <c r="E11" s="26" t="s">
        <v>132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30"/>
      <c r="U11" s="131"/>
    </row>
    <row r="12" spans="1:21" s="10" customFormat="1">
      <c r="A12" s="8">
        <v>10</v>
      </c>
      <c r="B12" s="8"/>
      <c r="C12" s="8"/>
      <c r="D12" s="8" t="s">
        <v>118</v>
      </c>
      <c r="E12" s="25" t="s">
        <v>363</v>
      </c>
      <c r="F12" s="25"/>
      <c r="G12" s="38" t="s">
        <v>583</v>
      </c>
      <c r="H12" s="38" t="s">
        <v>451</v>
      </c>
      <c r="I12" s="8" t="s">
        <v>292</v>
      </c>
      <c r="J12" s="8"/>
      <c r="K12" s="8"/>
      <c r="L12" s="8"/>
      <c r="M12" s="8"/>
      <c r="N12" s="8"/>
      <c r="O12" s="8"/>
      <c r="P12" s="8"/>
      <c r="Q12" s="8"/>
      <c r="R12" s="128"/>
      <c r="S12" s="129"/>
      <c r="T12" s="130"/>
      <c r="U12" s="131"/>
    </row>
    <row r="13" spans="1:21" s="10" customFormat="1">
      <c r="A13" s="8">
        <v>10</v>
      </c>
      <c r="B13" s="8"/>
      <c r="C13" s="8"/>
      <c r="D13" s="8" t="s">
        <v>119</v>
      </c>
      <c r="E13" s="25" t="s">
        <v>120</v>
      </c>
      <c r="F13" s="25"/>
      <c r="G13" s="38" t="s">
        <v>584</v>
      </c>
      <c r="H13" s="38" t="s">
        <v>452</v>
      </c>
      <c r="I13" s="8" t="s">
        <v>292</v>
      </c>
      <c r="J13" s="8"/>
      <c r="K13" s="8"/>
      <c r="L13" s="8"/>
      <c r="M13" s="8"/>
      <c r="N13" s="8"/>
      <c r="O13" s="8"/>
      <c r="P13" s="8"/>
      <c r="Q13" s="8"/>
      <c r="R13" s="128"/>
      <c r="S13" s="129"/>
      <c r="T13" s="130"/>
      <c r="U13" s="131"/>
    </row>
    <row r="14" spans="1:21" s="10" customFormat="1">
      <c r="A14" s="8">
        <v>10</v>
      </c>
      <c r="B14" s="8"/>
      <c r="C14" s="8"/>
      <c r="D14" s="8" t="s">
        <v>121</v>
      </c>
      <c r="E14" s="25" t="s">
        <v>122</v>
      </c>
      <c r="F14" s="25"/>
      <c r="G14" s="38" t="s">
        <v>585</v>
      </c>
      <c r="H14" s="38" t="s">
        <v>453</v>
      </c>
      <c r="I14" s="8" t="s">
        <v>292</v>
      </c>
      <c r="J14" s="8"/>
      <c r="K14" s="8"/>
      <c r="L14" s="8"/>
      <c r="M14" s="8"/>
      <c r="N14" s="8"/>
      <c r="O14" s="8"/>
      <c r="P14" s="8"/>
      <c r="Q14" s="8"/>
      <c r="R14" s="128"/>
      <c r="S14" s="129"/>
      <c r="T14" s="130"/>
      <c r="U14" s="131"/>
    </row>
    <row r="15" spans="1:21" s="10" customFormat="1">
      <c r="A15" s="57"/>
      <c r="U15" s="39"/>
    </row>
    <row r="16" spans="1:21" s="10" customFormat="1">
      <c r="A16" s="57"/>
      <c r="U16" s="39"/>
    </row>
    <row r="17" spans="1:21" s="10" customFormat="1">
      <c r="A17" s="57"/>
      <c r="U17" s="39"/>
    </row>
    <row r="18" spans="1:21" s="10" customFormat="1">
      <c r="A18" s="57"/>
      <c r="U18" s="39"/>
    </row>
    <row r="19" spans="1:21" s="10" customFormat="1">
      <c r="A19" s="57"/>
      <c r="U19" s="39"/>
    </row>
    <row r="20" spans="1:21" s="10" customFormat="1">
      <c r="A20" s="57"/>
      <c r="U20" s="39"/>
    </row>
    <row r="21" spans="1:21" s="10" customFormat="1">
      <c r="A21" s="57"/>
      <c r="U21" s="39"/>
    </row>
    <row r="22" spans="1:21" s="10" customFormat="1">
      <c r="A22" s="57"/>
      <c r="U22" s="39"/>
    </row>
    <row r="23" spans="1:21" s="10" customFormat="1">
      <c r="A23" s="57"/>
      <c r="U23" s="39"/>
    </row>
    <row r="24" spans="1:21" s="10" customFormat="1">
      <c r="A24" s="57"/>
      <c r="U24" s="39"/>
    </row>
    <row r="25" spans="1:21" s="10" customFormat="1">
      <c r="A25" s="57"/>
      <c r="U25" s="39"/>
    </row>
    <row r="26" spans="1:21" s="10" customFormat="1">
      <c r="A26" s="64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40"/>
    </row>
  </sheetData>
  <mergeCells count="10">
    <mergeCell ref="R13:S13"/>
    <mergeCell ref="T13:U13"/>
    <mergeCell ref="R14:S14"/>
    <mergeCell ref="T14:U14"/>
    <mergeCell ref="T8:U8"/>
    <mergeCell ref="R9:S9"/>
    <mergeCell ref="T9:U9"/>
    <mergeCell ref="T11:U11"/>
    <mergeCell ref="R12:S12"/>
    <mergeCell ref="T12:U1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23">
    <pageSetUpPr fitToPage="1"/>
  </sheetPr>
  <dimension ref="A1:U35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17.1796875" style="4" bestFit="1" customWidth="1"/>
    <col min="7" max="7" width="30.81640625" style="4" customWidth="1"/>
    <col min="8" max="8" width="26.453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4" t="s">
        <v>299</v>
      </c>
      <c r="B1" s="54" t="s">
        <v>299</v>
      </c>
      <c r="C1" s="54"/>
      <c r="D1" s="1" t="s">
        <v>381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55" t="s">
        <v>299</v>
      </c>
      <c r="B2" s="22"/>
      <c r="C2" s="22"/>
      <c r="D2" s="70" t="s">
        <v>477</v>
      </c>
      <c r="E2" s="7" t="s">
        <v>0</v>
      </c>
      <c r="F2" s="56" t="str">
        <f>IF(LogicCommon!C2="","",LogicCommon!C2)</f>
        <v>MS</v>
      </c>
      <c r="G2" s="7" t="s">
        <v>1</v>
      </c>
      <c r="H2" s="56" t="str">
        <f>IF(LogicCommon!E2="","",LogicCommon!E2)</f>
        <v>MSBFL5210</v>
      </c>
      <c r="I2" s="7" t="s">
        <v>320</v>
      </c>
      <c r="J2" s="8" t="s">
        <v>123</v>
      </c>
      <c r="K2" s="7" t="s">
        <v>274</v>
      </c>
      <c r="L2" s="56" t="str">
        <f>IF(LogicCommon!G2="","",LogicCommon!G2)</f>
        <v>MC</v>
      </c>
      <c r="M2" s="5" t="s">
        <v>375</v>
      </c>
      <c r="N2" s="23" t="s">
        <v>459</v>
      </c>
      <c r="O2" s="7"/>
      <c r="P2" s="7"/>
      <c r="Q2" s="4"/>
      <c r="R2" s="5"/>
      <c r="S2" s="5"/>
      <c r="T2" s="5"/>
      <c r="U2" s="5"/>
    </row>
    <row r="3" spans="1:21" s="10" customFormat="1">
      <c r="A3" s="57" t="s">
        <v>299</v>
      </c>
      <c r="B3" s="58"/>
      <c r="C3" s="58"/>
      <c r="D3" s="59" t="str">
        <f>IF(LogicCommon!A3="","",LogicCommon!A3)</f>
        <v/>
      </c>
      <c r="E3" s="7" t="s">
        <v>2</v>
      </c>
      <c r="F3" s="56" t="str">
        <f>IF(LogicCommon!C3="","",LogicCommon!C3)</f>
        <v>MSBF</v>
      </c>
      <c r="G3" s="7" t="s">
        <v>3</v>
      </c>
      <c r="H3" s="56" t="str">
        <f>IF(LogicCommon!E3="","",LogicCommon!E3)</f>
        <v>MSBFL_LotService</v>
      </c>
      <c r="I3" s="7" t="s">
        <v>344</v>
      </c>
      <c r="J3" s="8" t="s">
        <v>134</v>
      </c>
      <c r="K3" s="7" t="s">
        <v>275</v>
      </c>
      <c r="L3" s="56" t="str">
        <f>IF(LogicCommon!G3="","",LogicCommon!G3)</f>
        <v/>
      </c>
      <c r="M3" s="60"/>
      <c r="N3" s="7"/>
      <c r="O3" s="7" t="s">
        <v>345</v>
      </c>
      <c r="P3" s="8" t="s">
        <v>282</v>
      </c>
      <c r="Q3" s="4"/>
      <c r="R3" s="5"/>
      <c r="S3" s="5"/>
      <c r="T3" s="5"/>
      <c r="U3" s="5"/>
    </row>
    <row r="4" spans="1:21" s="10" customFormat="1">
      <c r="A4" s="57" t="s">
        <v>299</v>
      </c>
      <c r="B4" s="58"/>
      <c r="C4" s="58"/>
      <c r="D4" s="4"/>
      <c r="E4" s="7" t="s">
        <v>20</v>
      </c>
      <c r="F4" s="61" t="s">
        <v>346</v>
      </c>
      <c r="G4" s="7" t="s">
        <v>4</v>
      </c>
      <c r="H4" s="56" t="str">
        <f>IF(LogicCommon!E4="","",LogicCommon!E4)</f>
        <v>ロット情報サービス</v>
      </c>
      <c r="I4" s="7" t="s">
        <v>276</v>
      </c>
      <c r="J4" s="8" t="s">
        <v>255</v>
      </c>
      <c r="K4" s="7" t="s">
        <v>5</v>
      </c>
      <c r="L4" s="56" t="str">
        <f>IF(LogicCommon!G4="","",LogicCommon!G4)</f>
        <v>MS.MSUDL5010</v>
      </c>
      <c r="M4" s="62" t="s">
        <v>283</v>
      </c>
      <c r="N4" s="23"/>
      <c r="O4" s="63"/>
      <c r="P4" s="4"/>
      <c r="Q4" s="4"/>
      <c r="R4" s="5"/>
      <c r="S4" s="5"/>
      <c r="T4" s="5"/>
      <c r="U4" s="5"/>
    </row>
    <row r="5" spans="1:21" s="10" customFormat="1">
      <c r="A5" s="64" t="s">
        <v>299</v>
      </c>
      <c r="B5" s="54"/>
      <c r="C5" s="54"/>
      <c r="D5" s="21"/>
      <c r="E5" s="7" t="s">
        <v>298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</row>
    <row r="6" spans="1:21" s="10" customFormat="1">
      <c r="A6" s="57" t="s">
        <v>299</v>
      </c>
      <c r="B6" s="58"/>
      <c r="C6" s="58"/>
      <c r="D6" s="4" t="s">
        <v>8</v>
      </c>
      <c r="E6" s="12" t="s">
        <v>470</v>
      </c>
      <c r="F6" s="12"/>
      <c r="G6" s="12"/>
      <c r="H6" s="12"/>
      <c r="I6" s="12"/>
      <c r="J6" s="12"/>
      <c r="K6" s="12"/>
      <c r="L6" s="66"/>
      <c r="M6" s="15" t="s">
        <v>300</v>
      </c>
      <c r="N6" s="15"/>
      <c r="O6" s="15" t="s">
        <v>300</v>
      </c>
      <c r="P6" s="15"/>
      <c r="Q6" s="15" t="s">
        <v>300</v>
      </c>
      <c r="R6" s="4"/>
      <c r="S6" s="4"/>
      <c r="T6" s="4"/>
      <c r="U6" s="4"/>
    </row>
    <row r="7" spans="1:21" s="10" customFormat="1">
      <c r="A7" s="22" t="s">
        <v>21</v>
      </c>
      <c r="B7" s="22"/>
      <c r="C7" s="22"/>
      <c r="D7" s="6"/>
      <c r="E7" s="6"/>
      <c r="F7" s="6"/>
      <c r="G7" s="6"/>
      <c r="H7" s="6"/>
      <c r="I7" s="6" t="s">
        <v>22</v>
      </c>
      <c r="J7" s="6"/>
      <c r="K7" s="8" t="s">
        <v>23</v>
      </c>
      <c r="L7" s="24" t="s">
        <v>24</v>
      </c>
      <c r="M7" s="25"/>
      <c r="N7" s="24" t="s">
        <v>24</v>
      </c>
      <c r="O7" s="25"/>
      <c r="P7" s="24" t="s">
        <v>24</v>
      </c>
      <c r="Q7" s="25"/>
      <c r="R7" s="4"/>
      <c r="S7" s="4"/>
      <c r="T7" s="4"/>
      <c r="U7" s="4"/>
    </row>
    <row r="8" spans="1:21" s="10" customFormat="1" ht="60" customHeight="1">
      <c r="A8" s="25" t="s">
        <v>21</v>
      </c>
      <c r="B8" s="71"/>
      <c r="C8" s="72"/>
      <c r="D8" s="24" t="s">
        <v>478</v>
      </c>
      <c r="E8" s="24" t="s">
        <v>479</v>
      </c>
      <c r="F8" s="66"/>
      <c r="G8" s="24" t="s">
        <v>284</v>
      </c>
      <c r="H8" s="24" t="s">
        <v>480</v>
      </c>
      <c r="I8" s="66"/>
      <c r="J8" s="3"/>
      <c r="K8" s="8"/>
      <c r="L8" s="24" t="s">
        <v>25</v>
      </c>
      <c r="M8" s="25"/>
      <c r="N8" s="24" t="s">
        <v>25</v>
      </c>
      <c r="O8" s="25"/>
      <c r="P8" s="24" t="s">
        <v>25</v>
      </c>
      <c r="Q8" s="25"/>
      <c r="R8" s="3"/>
      <c r="S8" s="21"/>
      <c r="T8" s="128" t="s">
        <v>481</v>
      </c>
      <c r="U8" s="129"/>
    </row>
    <row r="9" spans="1:21" s="10" customFormat="1" ht="60" customHeight="1">
      <c r="A9" s="8" t="s">
        <v>21</v>
      </c>
      <c r="B9" s="28"/>
      <c r="C9" s="29"/>
      <c r="D9" s="24" t="s">
        <v>482</v>
      </c>
      <c r="E9" s="49" t="s">
        <v>483</v>
      </c>
      <c r="F9" s="24" t="s">
        <v>484</v>
      </c>
      <c r="G9" s="24" t="s">
        <v>485</v>
      </c>
      <c r="H9" s="24" t="s">
        <v>486</v>
      </c>
      <c r="I9" s="50" t="s">
        <v>487</v>
      </c>
      <c r="J9" s="24" t="s">
        <v>488</v>
      </c>
      <c r="K9" s="70"/>
      <c r="L9" s="50"/>
      <c r="M9" s="24"/>
      <c r="N9" s="50"/>
      <c r="O9" s="24"/>
      <c r="P9" s="50"/>
      <c r="Q9" s="24"/>
      <c r="R9" s="128" t="s">
        <v>489</v>
      </c>
      <c r="S9" s="129"/>
      <c r="T9" s="128" t="s">
        <v>490</v>
      </c>
      <c r="U9" s="129"/>
    </row>
    <row r="10" spans="1:21" s="10" customFormat="1" ht="39">
      <c r="A10" s="28" t="s">
        <v>21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487</v>
      </c>
      <c r="M10" s="24" t="s">
        <v>488</v>
      </c>
      <c r="N10" s="24" t="s">
        <v>487</v>
      </c>
      <c r="O10" s="24" t="s">
        <v>488</v>
      </c>
      <c r="P10" s="24" t="s">
        <v>487</v>
      </c>
      <c r="Q10" s="24" t="s">
        <v>488</v>
      </c>
      <c r="R10" s="30"/>
      <c r="S10" s="30"/>
      <c r="T10" s="35"/>
      <c r="U10" s="53"/>
    </row>
    <row r="11" spans="1:21" s="10" customFormat="1">
      <c r="A11" s="8">
        <v>10</v>
      </c>
      <c r="B11" s="28" t="s">
        <v>26</v>
      </c>
      <c r="C11" s="29"/>
      <c r="D11" s="23" t="s">
        <v>124</v>
      </c>
      <c r="E11" s="26" t="s">
        <v>131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30"/>
      <c r="U11" s="131"/>
    </row>
    <row r="12" spans="1:21" s="10" customFormat="1">
      <c r="A12" s="8">
        <v>10</v>
      </c>
      <c r="B12" s="8"/>
      <c r="C12" s="8"/>
      <c r="D12" s="8" t="s">
        <v>118</v>
      </c>
      <c r="E12" s="25" t="s">
        <v>363</v>
      </c>
      <c r="F12" s="25"/>
      <c r="G12" s="38" t="s">
        <v>583</v>
      </c>
      <c r="H12" s="38" t="s">
        <v>451</v>
      </c>
      <c r="I12" s="8" t="s">
        <v>292</v>
      </c>
      <c r="J12" s="8"/>
      <c r="K12" s="8"/>
      <c r="L12" s="8"/>
      <c r="M12" s="8"/>
      <c r="N12" s="8"/>
      <c r="O12" s="8"/>
      <c r="P12" s="8"/>
      <c r="Q12" s="8"/>
      <c r="R12" s="128"/>
      <c r="S12" s="129"/>
      <c r="T12" s="130"/>
      <c r="U12" s="131"/>
    </row>
    <row r="13" spans="1:21" s="10" customFormat="1">
      <c r="A13" s="67">
        <v>10</v>
      </c>
      <c r="B13" s="67"/>
      <c r="C13" s="67"/>
      <c r="D13" s="67" t="s">
        <v>159</v>
      </c>
      <c r="E13" s="67" t="s">
        <v>158</v>
      </c>
      <c r="F13" s="67" t="s">
        <v>160</v>
      </c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8"/>
      <c r="S13" s="69"/>
      <c r="T13" s="67"/>
      <c r="U13" s="67"/>
    </row>
    <row r="14" spans="1:21" s="10" customFormat="1">
      <c r="A14" s="67">
        <v>10</v>
      </c>
      <c r="B14" s="8"/>
      <c r="C14" s="8"/>
      <c r="D14" s="8" t="s">
        <v>161</v>
      </c>
      <c r="E14" s="25" t="s">
        <v>308</v>
      </c>
      <c r="F14" s="25"/>
      <c r="G14" s="38" t="s">
        <v>493</v>
      </c>
      <c r="H14" s="38" t="s">
        <v>323</v>
      </c>
      <c r="I14" s="8" t="s">
        <v>292</v>
      </c>
      <c r="J14" s="8"/>
      <c r="K14" s="8"/>
      <c r="L14" s="8"/>
      <c r="M14" s="8"/>
      <c r="N14" s="8"/>
      <c r="O14" s="8"/>
      <c r="P14" s="8"/>
      <c r="Q14" s="8"/>
      <c r="R14" s="128"/>
      <c r="S14" s="129"/>
      <c r="T14" s="130"/>
      <c r="U14" s="131"/>
    </row>
    <row r="15" spans="1:21" s="10" customFormat="1">
      <c r="A15" s="67">
        <v>10</v>
      </c>
      <c r="B15" s="8"/>
      <c r="C15" s="8"/>
      <c r="D15" s="8" t="s">
        <v>162</v>
      </c>
      <c r="E15" s="25" t="s">
        <v>364</v>
      </c>
      <c r="F15" s="25"/>
      <c r="G15" s="38" t="s">
        <v>494</v>
      </c>
      <c r="H15" s="38" t="s">
        <v>278</v>
      </c>
      <c r="I15" s="8" t="s">
        <v>292</v>
      </c>
      <c r="J15" s="8"/>
      <c r="K15" s="8"/>
      <c r="L15" s="8"/>
      <c r="M15" s="8"/>
      <c r="N15" s="8"/>
      <c r="O15" s="8"/>
      <c r="P15" s="8"/>
      <c r="Q15" s="8"/>
      <c r="R15" s="128"/>
      <c r="S15" s="129"/>
      <c r="T15" s="130"/>
      <c r="U15" s="131"/>
    </row>
    <row r="16" spans="1:21" s="10" customFormat="1">
      <c r="A16" s="67">
        <v>10</v>
      </c>
      <c r="B16" s="8"/>
      <c r="C16" s="8"/>
      <c r="D16" s="8" t="s">
        <v>163</v>
      </c>
      <c r="E16" s="25" t="s">
        <v>364</v>
      </c>
      <c r="F16" s="25"/>
      <c r="G16" s="38" t="s">
        <v>495</v>
      </c>
      <c r="H16" s="38" t="s">
        <v>291</v>
      </c>
      <c r="I16" s="8" t="s">
        <v>292</v>
      </c>
      <c r="J16" s="8"/>
      <c r="K16" s="8"/>
      <c r="L16" s="8"/>
      <c r="M16" s="8"/>
      <c r="N16" s="8"/>
      <c r="O16" s="8"/>
      <c r="P16" s="8"/>
      <c r="Q16" s="8"/>
      <c r="R16" s="128"/>
      <c r="S16" s="129"/>
      <c r="T16" s="130"/>
      <c r="U16" s="131"/>
    </row>
    <row r="17" spans="1:21" s="10" customFormat="1">
      <c r="A17" s="67">
        <v>10</v>
      </c>
      <c r="B17" s="8"/>
      <c r="C17" s="8"/>
      <c r="D17" s="8" t="s">
        <v>164</v>
      </c>
      <c r="E17" s="25" t="s">
        <v>364</v>
      </c>
      <c r="F17" s="25"/>
      <c r="G17" s="38" t="s">
        <v>496</v>
      </c>
      <c r="H17" s="38" t="s">
        <v>279</v>
      </c>
      <c r="I17" s="8" t="s">
        <v>292</v>
      </c>
      <c r="J17" s="8"/>
      <c r="K17" s="8"/>
      <c r="L17" s="8"/>
      <c r="M17" s="8"/>
      <c r="N17" s="8"/>
      <c r="O17" s="8"/>
      <c r="P17" s="8"/>
      <c r="Q17" s="8"/>
      <c r="R17" s="128"/>
      <c r="S17" s="129"/>
      <c r="T17" s="130"/>
      <c r="U17" s="131"/>
    </row>
    <row r="18" spans="1:21" s="10" customFormat="1">
      <c r="A18" s="67">
        <v>10</v>
      </c>
      <c r="B18" s="8"/>
      <c r="C18" s="8"/>
      <c r="D18" s="8" t="s">
        <v>165</v>
      </c>
      <c r="E18" s="25" t="s">
        <v>365</v>
      </c>
      <c r="F18" s="25"/>
      <c r="G18" s="38" t="s">
        <v>497</v>
      </c>
      <c r="H18" s="38" t="s">
        <v>280</v>
      </c>
      <c r="I18" s="8" t="s">
        <v>292</v>
      </c>
      <c r="J18" s="8"/>
      <c r="K18" s="8"/>
      <c r="L18" s="8"/>
      <c r="M18" s="8"/>
      <c r="N18" s="8"/>
      <c r="O18" s="8"/>
      <c r="P18" s="8"/>
      <c r="Q18" s="8"/>
      <c r="R18" s="128"/>
      <c r="S18" s="129"/>
      <c r="T18" s="130"/>
      <c r="U18" s="131"/>
    </row>
    <row r="19" spans="1:21" s="10" customFormat="1">
      <c r="A19" s="67">
        <v>10</v>
      </c>
      <c r="B19" s="8"/>
      <c r="C19" s="8"/>
      <c r="D19" s="8" t="s">
        <v>166</v>
      </c>
      <c r="E19" s="25" t="s">
        <v>308</v>
      </c>
      <c r="F19" s="25"/>
      <c r="G19" s="38" t="s">
        <v>498</v>
      </c>
      <c r="H19" s="38" t="s">
        <v>382</v>
      </c>
      <c r="I19" s="8" t="s">
        <v>292</v>
      </c>
      <c r="J19" s="8"/>
      <c r="K19" s="8"/>
      <c r="L19" s="8"/>
      <c r="M19" s="8"/>
      <c r="N19" s="8"/>
      <c r="O19" s="8"/>
      <c r="P19" s="8"/>
      <c r="Q19" s="8"/>
      <c r="R19" s="128"/>
      <c r="S19" s="129"/>
      <c r="T19" s="130"/>
      <c r="U19" s="131"/>
    </row>
    <row r="20" spans="1:21" s="10" customFormat="1">
      <c r="A20" s="67">
        <v>10</v>
      </c>
      <c r="B20" s="8"/>
      <c r="C20" s="8"/>
      <c r="D20" s="8" t="s">
        <v>167</v>
      </c>
      <c r="E20" s="25" t="s">
        <v>364</v>
      </c>
      <c r="F20" s="25"/>
      <c r="G20" s="38" t="s">
        <v>502</v>
      </c>
      <c r="H20" s="38" t="s">
        <v>384</v>
      </c>
      <c r="I20" s="8" t="s">
        <v>292</v>
      </c>
      <c r="J20" s="8"/>
      <c r="K20" s="8"/>
      <c r="L20" s="8"/>
      <c r="M20" s="8"/>
      <c r="N20" s="8"/>
      <c r="O20" s="8"/>
      <c r="P20" s="8"/>
      <c r="Q20" s="8"/>
      <c r="R20" s="128"/>
      <c r="S20" s="129"/>
      <c r="T20" s="130"/>
      <c r="U20" s="131"/>
    </row>
    <row r="21" spans="1:21" s="10" customFormat="1">
      <c r="A21" s="67">
        <v>10</v>
      </c>
      <c r="B21" s="8"/>
      <c r="C21" s="8"/>
      <c r="D21" s="8" t="s">
        <v>168</v>
      </c>
      <c r="E21" s="25" t="s">
        <v>308</v>
      </c>
      <c r="F21" s="25"/>
      <c r="G21" s="38" t="s">
        <v>586</v>
      </c>
      <c r="H21" s="38" t="s">
        <v>454</v>
      </c>
      <c r="I21" s="8" t="s">
        <v>292</v>
      </c>
      <c r="J21" s="8"/>
      <c r="K21" s="8"/>
      <c r="L21" s="8"/>
      <c r="M21" s="8"/>
      <c r="N21" s="8"/>
      <c r="O21" s="8"/>
      <c r="P21" s="8"/>
      <c r="Q21" s="8"/>
      <c r="R21" s="128"/>
      <c r="S21" s="129"/>
      <c r="T21" s="130"/>
      <c r="U21" s="131"/>
    </row>
    <row r="22" spans="1:21" s="10" customFormat="1">
      <c r="A22" s="8">
        <v>10</v>
      </c>
      <c r="B22" s="8"/>
      <c r="C22" s="8"/>
      <c r="D22" s="8" t="s">
        <v>366</v>
      </c>
      <c r="E22" s="25" t="s">
        <v>149</v>
      </c>
      <c r="F22" s="25"/>
      <c r="G22" s="38" t="s">
        <v>529</v>
      </c>
      <c r="H22" s="38" t="s">
        <v>396</v>
      </c>
      <c r="I22" s="8" t="s">
        <v>292</v>
      </c>
      <c r="J22" s="8"/>
      <c r="K22" s="8"/>
      <c r="L22" s="8"/>
      <c r="M22" s="8"/>
      <c r="N22" s="8"/>
      <c r="O22" s="8"/>
      <c r="P22" s="8"/>
      <c r="Q22" s="8"/>
      <c r="R22" s="49"/>
      <c r="S22" s="50"/>
      <c r="T22" s="51"/>
      <c r="U22" s="52"/>
    </row>
    <row r="23" spans="1:21" s="10" customFormat="1">
      <c r="A23" s="8">
        <v>10</v>
      </c>
      <c r="B23" s="8"/>
      <c r="C23" s="8"/>
      <c r="D23" s="8" t="s">
        <v>367</v>
      </c>
      <c r="E23" s="25" t="s">
        <v>368</v>
      </c>
      <c r="F23" s="25"/>
      <c r="G23" s="38" t="s">
        <v>587</v>
      </c>
      <c r="H23" s="38" t="s">
        <v>455</v>
      </c>
      <c r="I23" s="8" t="s">
        <v>292</v>
      </c>
      <c r="J23" s="8"/>
      <c r="K23" s="8"/>
      <c r="L23" s="8"/>
      <c r="M23" s="8"/>
      <c r="N23" s="8"/>
      <c r="O23" s="8"/>
      <c r="P23" s="8"/>
      <c r="Q23" s="8"/>
      <c r="R23" s="49"/>
      <c r="S23" s="50"/>
      <c r="T23" s="51"/>
      <c r="U23" s="52"/>
    </row>
    <row r="24" spans="1:21" s="10" customFormat="1">
      <c r="A24" s="8">
        <v>10</v>
      </c>
      <c r="B24" s="8"/>
      <c r="C24" s="8"/>
      <c r="D24" s="8" t="s">
        <v>369</v>
      </c>
      <c r="E24" s="25" t="s">
        <v>370</v>
      </c>
      <c r="F24" s="25"/>
      <c r="G24" s="38" t="s">
        <v>528</v>
      </c>
      <c r="H24" s="38" t="s">
        <v>156</v>
      </c>
      <c r="I24" s="8" t="s">
        <v>292</v>
      </c>
      <c r="J24" s="8"/>
      <c r="K24" s="8"/>
      <c r="L24" s="8"/>
      <c r="M24" s="8"/>
      <c r="N24" s="8"/>
      <c r="O24" s="8"/>
      <c r="P24" s="8"/>
      <c r="Q24" s="8"/>
      <c r="R24" s="49"/>
      <c r="S24" s="50"/>
      <c r="T24" s="51"/>
      <c r="U24" s="52"/>
    </row>
    <row r="25" spans="1:21" s="10" customFormat="1" ht="39">
      <c r="A25" s="8">
        <v>10</v>
      </c>
      <c r="B25" s="8"/>
      <c r="C25" s="8"/>
      <c r="D25" s="8" t="s">
        <v>253</v>
      </c>
      <c r="E25" s="25" t="s">
        <v>371</v>
      </c>
      <c r="F25" s="25"/>
      <c r="G25" s="38" t="s">
        <v>530</v>
      </c>
      <c r="H25" s="38" t="s">
        <v>397</v>
      </c>
      <c r="I25" s="8" t="s">
        <v>292</v>
      </c>
      <c r="J25" s="8"/>
      <c r="K25" s="8"/>
      <c r="L25" s="8"/>
      <c r="M25" s="8"/>
      <c r="N25" s="8"/>
      <c r="O25" s="8"/>
      <c r="P25" s="8"/>
      <c r="Q25" s="8"/>
      <c r="R25" s="49"/>
      <c r="S25" s="50"/>
      <c r="T25" s="51"/>
      <c r="U25" s="52"/>
    </row>
    <row r="26" spans="1:21" s="10" customFormat="1">
      <c r="A26" s="8">
        <v>10</v>
      </c>
      <c r="B26" s="8"/>
      <c r="C26" s="8"/>
      <c r="D26" s="8" t="s">
        <v>111</v>
      </c>
      <c r="E26" s="25" t="s">
        <v>112</v>
      </c>
      <c r="F26" s="25"/>
      <c r="G26" s="38" t="s">
        <v>531</v>
      </c>
      <c r="H26" s="38" t="s">
        <v>398</v>
      </c>
      <c r="I26" s="8" t="s">
        <v>292</v>
      </c>
      <c r="J26" s="8"/>
      <c r="K26" s="8"/>
      <c r="L26" s="8"/>
      <c r="M26" s="8"/>
      <c r="N26" s="8"/>
      <c r="O26" s="8"/>
      <c r="P26" s="8"/>
      <c r="Q26" s="8"/>
      <c r="R26" s="128"/>
      <c r="S26" s="129"/>
      <c r="T26" s="130"/>
      <c r="U26" s="131"/>
    </row>
    <row r="27" spans="1:21" s="10" customFormat="1">
      <c r="A27" s="8">
        <v>10</v>
      </c>
      <c r="B27" s="8"/>
      <c r="C27" s="8"/>
      <c r="D27" s="8" t="s">
        <v>55</v>
      </c>
      <c r="E27" s="25" t="s">
        <v>56</v>
      </c>
      <c r="F27" s="25"/>
      <c r="G27" s="38" t="s">
        <v>515</v>
      </c>
      <c r="H27" s="38" t="s">
        <v>321</v>
      </c>
      <c r="I27" s="8" t="s">
        <v>292</v>
      </c>
      <c r="J27" s="8"/>
      <c r="K27" s="8"/>
      <c r="L27" s="8"/>
      <c r="M27" s="8"/>
      <c r="N27" s="8"/>
      <c r="O27" s="8"/>
      <c r="P27" s="8"/>
      <c r="Q27" s="8"/>
      <c r="R27" s="128"/>
      <c r="S27" s="129"/>
      <c r="T27" s="130"/>
      <c r="U27" s="131"/>
    </row>
    <row r="28" spans="1:21" s="10" customFormat="1">
      <c r="A28" s="8">
        <v>10</v>
      </c>
      <c r="B28" s="8"/>
      <c r="C28" s="8"/>
      <c r="D28" s="8" t="s">
        <v>57</v>
      </c>
      <c r="E28" s="25" t="s">
        <v>58</v>
      </c>
      <c r="F28" s="25"/>
      <c r="G28" s="38" t="s">
        <v>516</v>
      </c>
      <c r="H28" s="38" t="s">
        <v>312</v>
      </c>
      <c r="I28" s="8" t="s">
        <v>292</v>
      </c>
      <c r="J28" s="8"/>
      <c r="K28" s="8"/>
      <c r="L28" s="8"/>
      <c r="M28" s="8"/>
      <c r="N28" s="8"/>
      <c r="O28" s="8"/>
      <c r="P28" s="8"/>
      <c r="Q28" s="8"/>
      <c r="R28" s="128"/>
      <c r="S28" s="129"/>
      <c r="T28" s="130"/>
      <c r="U28" s="131"/>
    </row>
    <row r="29" spans="1:21" s="10" customFormat="1">
      <c r="A29" s="8">
        <v>10</v>
      </c>
      <c r="B29" s="8"/>
      <c r="C29" s="8"/>
      <c r="D29" s="8" t="s">
        <v>59</v>
      </c>
      <c r="E29" s="25" t="s">
        <v>58</v>
      </c>
      <c r="F29" s="25"/>
      <c r="G29" s="38" t="s">
        <v>517</v>
      </c>
      <c r="H29" s="38" t="s">
        <v>313</v>
      </c>
      <c r="I29" s="8" t="s">
        <v>292</v>
      </c>
      <c r="J29" s="8"/>
      <c r="K29" s="8"/>
      <c r="L29" s="8"/>
      <c r="M29" s="8"/>
      <c r="N29" s="8"/>
      <c r="O29" s="8"/>
      <c r="P29" s="8"/>
      <c r="Q29" s="8"/>
      <c r="R29" s="128"/>
      <c r="S29" s="129"/>
      <c r="T29" s="130"/>
      <c r="U29" s="131"/>
    </row>
    <row r="30" spans="1:21" s="10" customFormat="1">
      <c r="A30" s="8">
        <v>10</v>
      </c>
      <c r="B30" s="8"/>
      <c r="C30" s="8"/>
      <c r="D30" s="8" t="s">
        <v>60</v>
      </c>
      <c r="E30" s="25" t="s">
        <v>58</v>
      </c>
      <c r="F30" s="25"/>
      <c r="G30" s="38" t="s">
        <v>518</v>
      </c>
      <c r="H30" s="38" t="s">
        <v>390</v>
      </c>
      <c r="I30" s="8" t="s">
        <v>292</v>
      </c>
      <c r="J30" s="8"/>
      <c r="K30" s="8"/>
      <c r="L30" s="8"/>
      <c r="M30" s="8"/>
      <c r="N30" s="8"/>
      <c r="O30" s="8"/>
      <c r="P30" s="8"/>
      <c r="Q30" s="8"/>
      <c r="R30" s="128"/>
      <c r="S30" s="129"/>
      <c r="T30" s="130"/>
      <c r="U30" s="131"/>
    </row>
    <row r="31" spans="1:21" s="10" customFormat="1">
      <c r="A31" s="8">
        <v>10</v>
      </c>
      <c r="B31" s="8"/>
      <c r="C31" s="8"/>
      <c r="D31" s="8" t="s">
        <v>61</v>
      </c>
      <c r="E31" s="25" t="s">
        <v>58</v>
      </c>
      <c r="F31" s="25"/>
      <c r="G31" s="38" t="s">
        <v>519</v>
      </c>
      <c r="H31" s="38" t="s">
        <v>322</v>
      </c>
      <c r="I31" s="8" t="s">
        <v>292</v>
      </c>
      <c r="J31" s="8"/>
      <c r="K31" s="8"/>
      <c r="L31" s="8"/>
      <c r="M31" s="8"/>
      <c r="N31" s="8"/>
      <c r="O31" s="8"/>
      <c r="P31" s="8"/>
      <c r="Q31" s="8"/>
      <c r="R31" s="128"/>
      <c r="S31" s="129"/>
      <c r="T31" s="130"/>
      <c r="U31" s="131"/>
    </row>
    <row r="32" spans="1:21" s="10" customFormat="1">
      <c r="A32" s="8">
        <v>10</v>
      </c>
      <c r="B32" s="8"/>
      <c r="C32" s="8"/>
      <c r="D32" s="8" t="s">
        <v>81</v>
      </c>
      <c r="E32" s="25" t="s">
        <v>54</v>
      </c>
      <c r="F32" s="25"/>
      <c r="G32" s="38" t="s">
        <v>514</v>
      </c>
      <c r="H32" s="38" t="s">
        <v>393</v>
      </c>
      <c r="I32" s="8" t="s">
        <v>292</v>
      </c>
      <c r="J32" s="8"/>
      <c r="K32" s="8"/>
      <c r="L32" s="8"/>
      <c r="M32" s="8"/>
      <c r="N32" s="8"/>
      <c r="O32" s="8"/>
      <c r="P32" s="8"/>
      <c r="Q32" s="8"/>
      <c r="R32" s="128"/>
      <c r="S32" s="129"/>
      <c r="T32" s="130"/>
      <c r="U32" s="131"/>
    </row>
    <row r="33" spans="1:21" s="10" customFormat="1" ht="26">
      <c r="A33" s="8">
        <v>10</v>
      </c>
      <c r="B33" s="8"/>
      <c r="C33" s="8"/>
      <c r="D33" s="8" t="s">
        <v>125</v>
      </c>
      <c r="E33" s="25" t="s">
        <v>126</v>
      </c>
      <c r="F33" s="25"/>
      <c r="G33" s="38" t="s">
        <v>588</v>
      </c>
      <c r="H33" s="38" t="s">
        <v>456</v>
      </c>
      <c r="I33" s="8" t="s">
        <v>292</v>
      </c>
      <c r="J33" s="8"/>
      <c r="K33" s="8"/>
      <c r="L33" s="8"/>
      <c r="M33" s="8"/>
      <c r="N33" s="8"/>
      <c r="O33" s="8"/>
      <c r="P33" s="8"/>
      <c r="Q33" s="8"/>
      <c r="R33" s="128"/>
      <c r="S33" s="129"/>
      <c r="T33" s="130"/>
      <c r="U33" s="131"/>
    </row>
    <row r="34" spans="1:21" s="10" customFormat="1">
      <c r="A34" s="8">
        <v>10</v>
      </c>
      <c r="B34" s="8"/>
      <c r="C34" s="8"/>
      <c r="D34" s="8" t="s">
        <v>372</v>
      </c>
      <c r="E34" s="25" t="s">
        <v>373</v>
      </c>
      <c r="F34" s="25"/>
      <c r="G34" s="38" t="s">
        <v>589</v>
      </c>
      <c r="H34" s="38" t="s">
        <v>457</v>
      </c>
      <c r="I34" s="8"/>
      <c r="J34" s="8"/>
      <c r="K34" s="8"/>
      <c r="L34" s="8"/>
      <c r="M34" s="8"/>
      <c r="N34" s="8"/>
      <c r="O34" s="8"/>
      <c r="P34" s="8"/>
      <c r="Q34" s="8"/>
      <c r="R34" s="49"/>
      <c r="S34" s="50"/>
      <c r="T34" s="51"/>
      <c r="U34" s="52"/>
    </row>
    <row r="35" spans="1:21" s="10" customFormat="1">
      <c r="A35" s="8">
        <v>10</v>
      </c>
      <c r="B35" s="8"/>
      <c r="C35" s="8"/>
      <c r="D35" s="8" t="s">
        <v>374</v>
      </c>
      <c r="E35" s="25" t="s">
        <v>194</v>
      </c>
      <c r="F35" s="25"/>
      <c r="G35" s="38" t="s">
        <v>491</v>
      </c>
      <c r="H35" s="38" t="s">
        <v>424</v>
      </c>
      <c r="I35" s="8"/>
      <c r="J35" s="8"/>
      <c r="K35" s="8"/>
      <c r="L35" s="8"/>
      <c r="M35" s="8"/>
      <c r="N35" s="8"/>
      <c r="O35" s="8"/>
      <c r="P35" s="8"/>
      <c r="Q35" s="8"/>
      <c r="R35" s="49"/>
      <c r="S35" s="50"/>
      <c r="T35" s="51"/>
      <c r="U35" s="52"/>
    </row>
  </sheetData>
  <mergeCells count="38">
    <mergeCell ref="R33:S33"/>
    <mergeCell ref="T33:U33"/>
    <mergeCell ref="R29:S29"/>
    <mergeCell ref="T29:U29"/>
    <mergeCell ref="R30:S30"/>
    <mergeCell ref="T30:U30"/>
    <mergeCell ref="R31:S31"/>
    <mergeCell ref="T31:U31"/>
    <mergeCell ref="R27:S27"/>
    <mergeCell ref="T27:U27"/>
    <mergeCell ref="R28:S28"/>
    <mergeCell ref="T28:U28"/>
    <mergeCell ref="R32:S32"/>
    <mergeCell ref="T32:U32"/>
    <mergeCell ref="R20:S20"/>
    <mergeCell ref="T20:U20"/>
    <mergeCell ref="R21:S21"/>
    <mergeCell ref="T21:U21"/>
    <mergeCell ref="R26:S26"/>
    <mergeCell ref="T26:U26"/>
    <mergeCell ref="R17:S17"/>
    <mergeCell ref="T17:U17"/>
    <mergeCell ref="R18:S18"/>
    <mergeCell ref="T18:U18"/>
    <mergeCell ref="R19:S19"/>
    <mergeCell ref="T19:U19"/>
    <mergeCell ref="R14:S14"/>
    <mergeCell ref="T14:U14"/>
    <mergeCell ref="R15:S15"/>
    <mergeCell ref="T15:U15"/>
    <mergeCell ref="R16:S16"/>
    <mergeCell ref="T16:U16"/>
    <mergeCell ref="T12:U12"/>
    <mergeCell ref="R12:S12"/>
    <mergeCell ref="T8:U8"/>
    <mergeCell ref="R9:S9"/>
    <mergeCell ref="T9:U9"/>
    <mergeCell ref="T11:U11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24">
    <pageSetUpPr fitToPage="1"/>
  </sheetPr>
  <dimension ref="A1:U31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16.08984375" style="4" bestFit="1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4" t="s">
        <v>299</v>
      </c>
      <c r="B1" s="54" t="s">
        <v>299</v>
      </c>
      <c r="C1" s="54"/>
      <c r="D1" s="1" t="s">
        <v>381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55" t="s">
        <v>299</v>
      </c>
      <c r="B2" s="22"/>
      <c r="C2" s="22"/>
      <c r="D2" s="70" t="s">
        <v>477</v>
      </c>
      <c r="E2" s="7" t="s">
        <v>0</v>
      </c>
      <c r="F2" s="56" t="str">
        <f>IF(LogicCommon!C2="","",LogicCommon!C2)</f>
        <v>MS</v>
      </c>
      <c r="G2" s="7" t="s">
        <v>1</v>
      </c>
      <c r="H2" s="56" t="str">
        <f>IF(LogicCommon!E2="","",LogicCommon!E2)</f>
        <v>MSBFL5210</v>
      </c>
      <c r="I2" s="7" t="s">
        <v>320</v>
      </c>
      <c r="J2" s="8" t="s">
        <v>127</v>
      </c>
      <c r="K2" s="7" t="s">
        <v>274</v>
      </c>
      <c r="L2" s="56" t="str">
        <f>IF(LogicCommon!G2="","",LogicCommon!G2)</f>
        <v>MC</v>
      </c>
      <c r="M2" s="5" t="s">
        <v>375</v>
      </c>
      <c r="N2" s="23" t="s">
        <v>459</v>
      </c>
      <c r="O2" s="7"/>
      <c r="P2" s="7"/>
      <c r="Q2" s="4"/>
      <c r="R2" s="5"/>
      <c r="S2" s="5"/>
      <c r="T2" s="5"/>
      <c r="U2" s="5"/>
    </row>
    <row r="3" spans="1:21" s="10" customFormat="1">
      <c r="A3" s="57" t="s">
        <v>299</v>
      </c>
      <c r="B3" s="58"/>
      <c r="C3" s="58"/>
      <c r="D3" s="59" t="str">
        <f>IF(LogicCommon!A3="","",LogicCommon!A3)</f>
        <v/>
      </c>
      <c r="E3" s="7" t="s">
        <v>2</v>
      </c>
      <c r="F3" s="56" t="str">
        <f>IF(LogicCommon!C3="","",LogicCommon!C3)</f>
        <v>MSBF</v>
      </c>
      <c r="G3" s="7" t="s">
        <v>3</v>
      </c>
      <c r="H3" s="56" t="str">
        <f>IF(LogicCommon!E3="","",LogicCommon!E3)</f>
        <v>MSBFL_LotService</v>
      </c>
      <c r="I3" s="7" t="s">
        <v>344</v>
      </c>
      <c r="J3" s="8" t="s">
        <v>134</v>
      </c>
      <c r="K3" s="7" t="s">
        <v>275</v>
      </c>
      <c r="L3" s="56" t="str">
        <f>IF(LogicCommon!G3="","",LogicCommon!G3)</f>
        <v/>
      </c>
      <c r="M3" s="60"/>
      <c r="N3" s="7"/>
      <c r="O3" s="7" t="s">
        <v>345</v>
      </c>
      <c r="P3" s="8" t="s">
        <v>282</v>
      </c>
      <c r="Q3" s="4"/>
      <c r="R3" s="5"/>
      <c r="S3" s="5"/>
      <c r="T3" s="5"/>
      <c r="U3" s="5"/>
    </row>
    <row r="4" spans="1:21" s="10" customFormat="1">
      <c r="A4" s="57" t="s">
        <v>299</v>
      </c>
      <c r="B4" s="58"/>
      <c r="C4" s="58"/>
      <c r="D4" s="4"/>
      <c r="E4" s="7" t="s">
        <v>20</v>
      </c>
      <c r="F4" s="61" t="s">
        <v>346</v>
      </c>
      <c r="G4" s="7" t="s">
        <v>4</v>
      </c>
      <c r="H4" s="56" t="str">
        <f>IF(LogicCommon!E4="","",LogicCommon!E4)</f>
        <v>ロット情報サービス</v>
      </c>
      <c r="I4" s="7" t="s">
        <v>276</v>
      </c>
      <c r="J4" s="8" t="s">
        <v>128</v>
      </c>
      <c r="K4" s="7" t="s">
        <v>5</v>
      </c>
      <c r="L4" s="56" t="str">
        <f>IF(LogicCommon!G4="","",LogicCommon!G4)</f>
        <v>MS.MSUDL5010</v>
      </c>
      <c r="M4" s="62" t="s">
        <v>283</v>
      </c>
      <c r="N4" s="23"/>
      <c r="O4" s="63"/>
      <c r="P4" s="4"/>
      <c r="Q4" s="4"/>
      <c r="R4" s="5"/>
      <c r="S4" s="5"/>
      <c r="T4" s="5"/>
      <c r="U4" s="5"/>
    </row>
    <row r="5" spans="1:21" s="10" customFormat="1">
      <c r="A5" s="64" t="s">
        <v>299</v>
      </c>
      <c r="B5" s="54"/>
      <c r="C5" s="54"/>
      <c r="D5" s="21"/>
      <c r="E5" s="7" t="s">
        <v>298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</row>
    <row r="6" spans="1:21" s="10" customFormat="1">
      <c r="A6" s="57" t="s">
        <v>299</v>
      </c>
      <c r="B6" s="58"/>
      <c r="C6" s="58"/>
      <c r="D6" s="4" t="s">
        <v>8</v>
      </c>
      <c r="E6" s="12" t="s">
        <v>471</v>
      </c>
      <c r="F6" s="12"/>
      <c r="G6" s="12"/>
      <c r="H6" s="12"/>
      <c r="I6" s="12"/>
      <c r="J6" s="12"/>
      <c r="K6" s="12"/>
      <c r="L6" s="66"/>
      <c r="M6" s="15" t="s">
        <v>300</v>
      </c>
      <c r="N6" s="15"/>
      <c r="O6" s="15" t="s">
        <v>300</v>
      </c>
      <c r="P6" s="15"/>
      <c r="Q6" s="15" t="s">
        <v>300</v>
      </c>
      <c r="R6" s="4"/>
      <c r="S6" s="4"/>
      <c r="T6" s="4"/>
      <c r="U6" s="4"/>
    </row>
    <row r="7" spans="1:21" s="10" customFormat="1">
      <c r="A7" s="22" t="s">
        <v>21</v>
      </c>
      <c r="B7" s="22"/>
      <c r="C7" s="22"/>
      <c r="D7" s="6"/>
      <c r="E7" s="6"/>
      <c r="F7" s="6"/>
      <c r="G7" s="6"/>
      <c r="H7" s="6"/>
      <c r="I7" s="6" t="s">
        <v>22</v>
      </c>
      <c r="J7" s="6"/>
      <c r="K7" s="8" t="s">
        <v>23</v>
      </c>
      <c r="L7" s="24" t="s">
        <v>24</v>
      </c>
      <c r="M7" s="25"/>
      <c r="N7" s="24" t="s">
        <v>24</v>
      </c>
      <c r="O7" s="25"/>
      <c r="P7" s="24" t="s">
        <v>24</v>
      </c>
      <c r="Q7" s="25"/>
      <c r="R7" s="4"/>
      <c r="S7" s="4"/>
      <c r="T7" s="4"/>
      <c r="U7" s="4"/>
    </row>
    <row r="8" spans="1:21" s="10" customFormat="1" ht="60" customHeight="1">
      <c r="A8" s="25" t="s">
        <v>21</v>
      </c>
      <c r="B8" s="71"/>
      <c r="C8" s="72"/>
      <c r="D8" s="24" t="s">
        <v>478</v>
      </c>
      <c r="E8" s="24" t="s">
        <v>479</v>
      </c>
      <c r="F8" s="66"/>
      <c r="G8" s="24" t="s">
        <v>284</v>
      </c>
      <c r="H8" s="24" t="s">
        <v>480</v>
      </c>
      <c r="I8" s="66"/>
      <c r="J8" s="3"/>
      <c r="K8" s="8"/>
      <c r="L8" s="24" t="s">
        <v>25</v>
      </c>
      <c r="M8" s="25"/>
      <c r="N8" s="24" t="s">
        <v>25</v>
      </c>
      <c r="O8" s="25"/>
      <c r="P8" s="24" t="s">
        <v>25</v>
      </c>
      <c r="Q8" s="25"/>
      <c r="R8" s="3"/>
      <c r="S8" s="21"/>
      <c r="T8" s="128" t="s">
        <v>481</v>
      </c>
      <c r="U8" s="129"/>
    </row>
    <row r="9" spans="1:21" s="10" customFormat="1" ht="60" customHeight="1">
      <c r="A9" s="8" t="s">
        <v>21</v>
      </c>
      <c r="B9" s="28"/>
      <c r="C9" s="29"/>
      <c r="D9" s="24" t="s">
        <v>482</v>
      </c>
      <c r="E9" s="49" t="s">
        <v>483</v>
      </c>
      <c r="F9" s="24" t="s">
        <v>484</v>
      </c>
      <c r="G9" s="24" t="s">
        <v>485</v>
      </c>
      <c r="H9" s="24" t="s">
        <v>486</v>
      </c>
      <c r="I9" s="50" t="s">
        <v>487</v>
      </c>
      <c r="J9" s="24" t="s">
        <v>488</v>
      </c>
      <c r="K9" s="70"/>
      <c r="L9" s="50"/>
      <c r="M9" s="24"/>
      <c r="N9" s="50"/>
      <c r="O9" s="24"/>
      <c r="P9" s="50"/>
      <c r="Q9" s="24"/>
      <c r="R9" s="128" t="s">
        <v>489</v>
      </c>
      <c r="S9" s="129"/>
      <c r="T9" s="128" t="s">
        <v>490</v>
      </c>
      <c r="U9" s="129"/>
    </row>
    <row r="10" spans="1:21" s="10" customFormat="1" ht="39">
      <c r="A10" s="28" t="s">
        <v>21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487</v>
      </c>
      <c r="M10" s="24" t="s">
        <v>488</v>
      </c>
      <c r="N10" s="24" t="s">
        <v>487</v>
      </c>
      <c r="O10" s="24" t="s">
        <v>488</v>
      </c>
      <c r="P10" s="24" t="s">
        <v>487</v>
      </c>
      <c r="Q10" s="24" t="s">
        <v>488</v>
      </c>
      <c r="R10" s="30"/>
      <c r="S10" s="30"/>
      <c r="T10" s="35"/>
      <c r="U10" s="53"/>
    </row>
    <row r="11" spans="1:21" s="10" customFormat="1">
      <c r="A11" s="8">
        <v>10</v>
      </c>
      <c r="B11" s="28" t="s">
        <v>26</v>
      </c>
      <c r="C11" s="29"/>
      <c r="D11" s="23" t="s">
        <v>129</v>
      </c>
      <c r="E11" s="26" t="s">
        <v>132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30"/>
      <c r="U11" s="131"/>
    </row>
    <row r="12" spans="1:21" s="10" customFormat="1">
      <c r="A12" s="67">
        <v>10</v>
      </c>
      <c r="B12" s="67"/>
      <c r="C12" s="67"/>
      <c r="D12" s="67" t="s">
        <v>195</v>
      </c>
      <c r="E12" s="67" t="s">
        <v>158</v>
      </c>
      <c r="F12" s="67" t="s">
        <v>160</v>
      </c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8"/>
      <c r="S12" s="69"/>
      <c r="T12" s="67"/>
      <c r="U12" s="67"/>
    </row>
    <row r="13" spans="1:21" s="10" customFormat="1">
      <c r="A13" s="67">
        <v>10</v>
      </c>
      <c r="B13" s="8"/>
      <c r="C13" s="8"/>
      <c r="D13" s="8" t="s">
        <v>307</v>
      </c>
      <c r="E13" s="25" t="s">
        <v>308</v>
      </c>
      <c r="F13" s="25"/>
      <c r="G13" s="38" t="s">
        <v>493</v>
      </c>
      <c r="H13" s="38" t="s">
        <v>323</v>
      </c>
      <c r="I13" s="8" t="s">
        <v>292</v>
      </c>
      <c r="J13" s="8"/>
      <c r="K13" s="8"/>
      <c r="L13" s="8"/>
      <c r="M13" s="8"/>
      <c r="N13" s="8"/>
      <c r="O13" s="8"/>
      <c r="P13" s="8"/>
      <c r="Q13" s="8"/>
      <c r="R13" s="128"/>
      <c r="S13" s="129"/>
      <c r="T13" s="130"/>
      <c r="U13" s="131"/>
    </row>
    <row r="14" spans="1:21" s="10" customFormat="1">
      <c r="A14" s="67">
        <v>10</v>
      </c>
      <c r="B14" s="8"/>
      <c r="C14" s="8"/>
      <c r="D14" s="8" t="s">
        <v>196</v>
      </c>
      <c r="E14" s="25" t="s">
        <v>377</v>
      </c>
      <c r="F14" s="25"/>
      <c r="G14" s="38" t="s">
        <v>494</v>
      </c>
      <c r="H14" s="38" t="s">
        <v>278</v>
      </c>
      <c r="I14" s="8" t="s">
        <v>292</v>
      </c>
      <c r="J14" s="8"/>
      <c r="K14" s="8"/>
      <c r="L14" s="8"/>
      <c r="M14" s="8"/>
      <c r="N14" s="8"/>
      <c r="O14" s="8"/>
      <c r="P14" s="8"/>
      <c r="Q14" s="8"/>
      <c r="R14" s="128"/>
      <c r="S14" s="129"/>
      <c r="T14" s="130"/>
      <c r="U14" s="131"/>
    </row>
    <row r="15" spans="1:21" s="10" customFormat="1">
      <c r="A15" s="67">
        <v>10</v>
      </c>
      <c r="B15" s="8"/>
      <c r="C15" s="8"/>
      <c r="D15" s="8" t="s">
        <v>197</v>
      </c>
      <c r="E15" s="25" t="s">
        <v>308</v>
      </c>
      <c r="F15" s="25"/>
      <c r="G15" s="38" t="s">
        <v>495</v>
      </c>
      <c r="H15" s="38" t="s">
        <v>291</v>
      </c>
      <c r="I15" s="8" t="s">
        <v>292</v>
      </c>
      <c r="J15" s="8"/>
      <c r="K15" s="8"/>
      <c r="L15" s="8"/>
      <c r="M15" s="8"/>
      <c r="N15" s="8"/>
      <c r="O15" s="8"/>
      <c r="P15" s="8"/>
      <c r="Q15" s="8"/>
      <c r="R15" s="128"/>
      <c r="S15" s="129"/>
      <c r="T15" s="130"/>
      <c r="U15" s="131"/>
    </row>
    <row r="16" spans="1:21" s="10" customFormat="1">
      <c r="A16" s="67">
        <v>10</v>
      </c>
      <c r="B16" s="8"/>
      <c r="C16" s="8"/>
      <c r="D16" s="8" t="s">
        <v>198</v>
      </c>
      <c r="E16" s="25" t="s">
        <v>308</v>
      </c>
      <c r="F16" s="25"/>
      <c r="G16" s="38" t="s">
        <v>496</v>
      </c>
      <c r="H16" s="38" t="s">
        <v>279</v>
      </c>
      <c r="I16" s="8" t="s">
        <v>292</v>
      </c>
      <c r="J16" s="8"/>
      <c r="K16" s="8"/>
      <c r="L16" s="8"/>
      <c r="M16" s="8"/>
      <c r="N16" s="8"/>
      <c r="O16" s="8"/>
      <c r="P16" s="8"/>
      <c r="Q16" s="8"/>
      <c r="R16" s="128"/>
      <c r="S16" s="129"/>
      <c r="T16" s="130"/>
      <c r="U16" s="131"/>
    </row>
    <row r="17" spans="1:21" s="10" customFormat="1">
      <c r="A17" s="67">
        <v>10</v>
      </c>
      <c r="B17" s="8"/>
      <c r="C17" s="8"/>
      <c r="D17" s="8" t="s">
        <v>199</v>
      </c>
      <c r="E17" s="25" t="s">
        <v>308</v>
      </c>
      <c r="F17" s="25"/>
      <c r="G17" s="38" t="s">
        <v>497</v>
      </c>
      <c r="H17" s="38" t="s">
        <v>280</v>
      </c>
      <c r="I17" s="8" t="s">
        <v>292</v>
      </c>
      <c r="J17" s="8"/>
      <c r="K17" s="8"/>
      <c r="L17" s="8"/>
      <c r="M17" s="8"/>
      <c r="N17" s="8"/>
      <c r="O17" s="8"/>
      <c r="P17" s="8"/>
      <c r="Q17" s="8"/>
      <c r="R17" s="128"/>
      <c r="S17" s="129"/>
      <c r="T17" s="130"/>
      <c r="U17" s="131"/>
    </row>
    <row r="18" spans="1:21" s="10" customFormat="1">
      <c r="A18" s="67">
        <v>10</v>
      </c>
      <c r="B18" s="8"/>
      <c r="C18" s="8"/>
      <c r="D18" s="8" t="s">
        <v>378</v>
      </c>
      <c r="E18" s="25" t="s">
        <v>308</v>
      </c>
      <c r="F18" s="25"/>
      <c r="G18" s="38" t="s">
        <v>498</v>
      </c>
      <c r="H18" s="38" t="s">
        <v>382</v>
      </c>
      <c r="I18" s="8" t="s">
        <v>292</v>
      </c>
      <c r="J18" s="8"/>
      <c r="K18" s="8"/>
      <c r="L18" s="8"/>
      <c r="M18" s="8"/>
      <c r="N18" s="8"/>
      <c r="O18" s="8"/>
      <c r="P18" s="8"/>
      <c r="Q18" s="8"/>
      <c r="R18" s="128"/>
      <c r="S18" s="129"/>
      <c r="T18" s="130"/>
      <c r="U18" s="131"/>
    </row>
    <row r="19" spans="1:21" s="10" customFormat="1">
      <c r="A19" s="67">
        <v>10</v>
      </c>
      <c r="B19" s="8"/>
      <c r="C19" s="8"/>
      <c r="D19" s="8" t="s">
        <v>254</v>
      </c>
      <c r="E19" s="25" t="s">
        <v>308</v>
      </c>
      <c r="F19" s="25"/>
      <c r="G19" s="38" t="s">
        <v>590</v>
      </c>
      <c r="H19" s="38" t="s">
        <v>376</v>
      </c>
      <c r="I19" s="8"/>
      <c r="J19" s="8"/>
      <c r="K19" s="8"/>
      <c r="L19" s="8"/>
      <c r="M19" s="8"/>
      <c r="N19" s="8"/>
      <c r="O19" s="8"/>
      <c r="P19" s="8"/>
      <c r="Q19" s="8"/>
      <c r="R19" s="128"/>
      <c r="S19" s="129"/>
      <c r="T19" s="130"/>
      <c r="U19" s="131"/>
    </row>
    <row r="20" spans="1:21" s="10" customFormat="1">
      <c r="A20" s="8">
        <v>10</v>
      </c>
      <c r="B20" s="8"/>
      <c r="C20" s="8"/>
      <c r="D20" s="8" t="s">
        <v>259</v>
      </c>
      <c r="E20" s="25" t="s">
        <v>260</v>
      </c>
      <c r="F20" s="25"/>
      <c r="G20" s="38" t="s">
        <v>589</v>
      </c>
      <c r="H20" s="38" t="s">
        <v>457</v>
      </c>
      <c r="I20" s="8"/>
      <c r="J20" s="8"/>
      <c r="K20" s="8"/>
      <c r="L20" s="8"/>
      <c r="M20" s="8"/>
      <c r="N20" s="8"/>
      <c r="O20" s="8"/>
      <c r="P20" s="8"/>
      <c r="Q20" s="8"/>
      <c r="R20" s="49"/>
      <c r="S20" s="50"/>
      <c r="T20" s="51"/>
      <c r="U20" s="52"/>
    </row>
    <row r="21" spans="1:21" s="10" customFormat="1">
      <c r="A21" s="8">
        <v>10</v>
      </c>
      <c r="B21" s="8"/>
      <c r="C21" s="8"/>
      <c r="D21" s="8" t="s">
        <v>379</v>
      </c>
      <c r="E21" s="25" t="s">
        <v>351</v>
      </c>
      <c r="F21" s="25"/>
      <c r="G21" s="38" t="s">
        <v>491</v>
      </c>
      <c r="H21" s="38" t="s">
        <v>424</v>
      </c>
      <c r="I21" s="8"/>
      <c r="J21" s="8"/>
      <c r="K21" s="8"/>
      <c r="L21" s="8"/>
      <c r="M21" s="8"/>
      <c r="N21" s="8"/>
      <c r="O21" s="8"/>
      <c r="P21" s="8"/>
      <c r="Q21" s="8"/>
      <c r="R21" s="128"/>
      <c r="S21" s="129"/>
      <c r="T21" s="130"/>
      <c r="U21" s="131"/>
    </row>
    <row r="22" spans="1:21" s="10" customFormat="1">
      <c r="A22" s="8">
        <v>10</v>
      </c>
      <c r="B22" s="8"/>
      <c r="C22" s="8"/>
      <c r="D22" s="8" t="s">
        <v>251</v>
      </c>
      <c r="E22" s="25" t="s">
        <v>252</v>
      </c>
      <c r="F22" s="25"/>
      <c r="G22" s="38" t="s">
        <v>499</v>
      </c>
      <c r="H22" s="38" t="s">
        <v>281</v>
      </c>
      <c r="I22" s="8"/>
      <c r="J22" s="8"/>
      <c r="K22" s="8"/>
      <c r="L22" s="8"/>
      <c r="M22" s="8"/>
      <c r="N22" s="8"/>
      <c r="O22" s="8"/>
      <c r="P22" s="8"/>
      <c r="Q22" s="8"/>
      <c r="R22" s="128"/>
      <c r="S22" s="129"/>
      <c r="T22" s="130"/>
      <c r="U22" s="131"/>
    </row>
    <row r="23" spans="1:21" s="10" customFormat="1">
      <c r="A23" s="57"/>
      <c r="U23" s="39"/>
    </row>
    <row r="24" spans="1:21" s="10" customFormat="1">
      <c r="A24" s="57"/>
      <c r="U24" s="39"/>
    </row>
    <row r="25" spans="1:21" s="10" customFormat="1">
      <c r="A25" s="57"/>
      <c r="U25" s="39"/>
    </row>
    <row r="26" spans="1:21" s="10" customFormat="1">
      <c r="A26" s="57"/>
      <c r="U26" s="39"/>
    </row>
    <row r="27" spans="1:21" s="10" customFormat="1">
      <c r="A27" s="57"/>
      <c r="U27" s="39"/>
    </row>
    <row r="28" spans="1:21" s="10" customFormat="1">
      <c r="A28" s="57"/>
      <c r="U28" s="39"/>
    </row>
    <row r="29" spans="1:21" s="10" customFormat="1">
      <c r="A29" s="57"/>
      <c r="U29" s="39"/>
    </row>
    <row r="30" spans="1:21" s="10" customFormat="1">
      <c r="A30" s="57"/>
      <c r="U30" s="39"/>
    </row>
    <row r="31" spans="1:21" s="10" customFormat="1">
      <c r="A31" s="64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40"/>
    </row>
  </sheetData>
  <mergeCells count="22">
    <mergeCell ref="R21:S21"/>
    <mergeCell ref="T21:U21"/>
    <mergeCell ref="R22:S22"/>
    <mergeCell ref="T22:U22"/>
    <mergeCell ref="R17:S17"/>
    <mergeCell ref="T17:U17"/>
    <mergeCell ref="R19:S19"/>
    <mergeCell ref="T19:U19"/>
    <mergeCell ref="R18:S18"/>
    <mergeCell ref="T18:U18"/>
    <mergeCell ref="R14:S14"/>
    <mergeCell ref="T14:U14"/>
    <mergeCell ref="R15:S15"/>
    <mergeCell ref="T15:U15"/>
    <mergeCell ref="R16:S16"/>
    <mergeCell ref="T16:U16"/>
    <mergeCell ref="T8:U8"/>
    <mergeCell ref="R9:S9"/>
    <mergeCell ref="T9:U9"/>
    <mergeCell ref="T11:U11"/>
    <mergeCell ref="R13:S13"/>
    <mergeCell ref="T13:U13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47" customWidth="1"/>
    <col min="43" max="44" width="2.08984375" style="48" customWidth="1"/>
    <col min="45" max="71" width="2.08984375" style="47" customWidth="1"/>
    <col min="72" max="256" width="9" style="47"/>
    <col min="257" max="327" width="2.08984375" style="47" customWidth="1"/>
    <col min="328" max="512" width="9" style="47"/>
    <col min="513" max="583" width="2.08984375" style="47" customWidth="1"/>
    <col min="584" max="768" width="9" style="47"/>
    <col min="769" max="839" width="2.08984375" style="47" customWidth="1"/>
    <col min="840" max="1024" width="9" style="47"/>
    <col min="1025" max="1095" width="2.08984375" style="47" customWidth="1"/>
    <col min="1096" max="1280" width="9" style="47"/>
    <col min="1281" max="1351" width="2.08984375" style="47" customWidth="1"/>
    <col min="1352" max="1536" width="9" style="47"/>
    <col min="1537" max="1607" width="2.08984375" style="47" customWidth="1"/>
    <col min="1608" max="1792" width="9" style="47"/>
    <col min="1793" max="1863" width="2.08984375" style="47" customWidth="1"/>
    <col min="1864" max="2048" width="9" style="47"/>
    <col min="2049" max="2119" width="2.08984375" style="47" customWidth="1"/>
    <col min="2120" max="2304" width="9" style="47"/>
    <col min="2305" max="2375" width="2.08984375" style="47" customWidth="1"/>
    <col min="2376" max="2560" width="9" style="47"/>
    <col min="2561" max="2631" width="2.08984375" style="47" customWidth="1"/>
    <col min="2632" max="2816" width="9" style="47"/>
    <col min="2817" max="2887" width="2.08984375" style="47" customWidth="1"/>
    <col min="2888" max="3072" width="9" style="47"/>
    <col min="3073" max="3143" width="2.08984375" style="47" customWidth="1"/>
    <col min="3144" max="3328" width="9" style="47"/>
    <col min="3329" max="3399" width="2.08984375" style="47" customWidth="1"/>
    <col min="3400" max="3584" width="9" style="47"/>
    <col min="3585" max="3655" width="2.08984375" style="47" customWidth="1"/>
    <col min="3656" max="3840" width="9" style="47"/>
    <col min="3841" max="3911" width="2.08984375" style="47" customWidth="1"/>
    <col min="3912" max="4096" width="9" style="47"/>
    <col min="4097" max="4167" width="2.08984375" style="47" customWidth="1"/>
    <col min="4168" max="4352" width="9" style="47"/>
    <col min="4353" max="4423" width="2.08984375" style="47" customWidth="1"/>
    <col min="4424" max="4608" width="9" style="47"/>
    <col min="4609" max="4679" width="2.08984375" style="47" customWidth="1"/>
    <col min="4680" max="4864" width="9" style="47"/>
    <col min="4865" max="4935" width="2.08984375" style="47" customWidth="1"/>
    <col min="4936" max="5120" width="9" style="47"/>
    <col min="5121" max="5191" width="2.08984375" style="47" customWidth="1"/>
    <col min="5192" max="5376" width="9" style="47"/>
    <col min="5377" max="5447" width="2.08984375" style="47" customWidth="1"/>
    <col min="5448" max="5632" width="9" style="47"/>
    <col min="5633" max="5703" width="2.08984375" style="47" customWidth="1"/>
    <col min="5704" max="5888" width="9" style="47"/>
    <col min="5889" max="5959" width="2.08984375" style="47" customWidth="1"/>
    <col min="5960" max="6144" width="9" style="47"/>
    <col min="6145" max="6215" width="2.08984375" style="47" customWidth="1"/>
    <col min="6216" max="6400" width="9" style="47"/>
    <col min="6401" max="6471" width="2.08984375" style="47" customWidth="1"/>
    <col min="6472" max="6656" width="9" style="47"/>
    <col min="6657" max="6727" width="2.08984375" style="47" customWidth="1"/>
    <col min="6728" max="6912" width="9" style="47"/>
    <col min="6913" max="6983" width="2.08984375" style="47" customWidth="1"/>
    <col min="6984" max="7168" width="9" style="47"/>
    <col min="7169" max="7239" width="2.08984375" style="47" customWidth="1"/>
    <col min="7240" max="7424" width="9" style="47"/>
    <col min="7425" max="7495" width="2.08984375" style="47" customWidth="1"/>
    <col min="7496" max="7680" width="9" style="47"/>
    <col min="7681" max="7751" width="2.08984375" style="47" customWidth="1"/>
    <col min="7752" max="7936" width="9" style="47"/>
    <col min="7937" max="8007" width="2.08984375" style="47" customWidth="1"/>
    <col min="8008" max="8192" width="9" style="47"/>
    <col min="8193" max="8263" width="2.08984375" style="47" customWidth="1"/>
    <col min="8264" max="8448" width="9" style="47"/>
    <col min="8449" max="8519" width="2.08984375" style="47" customWidth="1"/>
    <col min="8520" max="8704" width="9" style="47"/>
    <col min="8705" max="8775" width="2.08984375" style="47" customWidth="1"/>
    <col min="8776" max="8960" width="9" style="47"/>
    <col min="8961" max="9031" width="2.08984375" style="47" customWidth="1"/>
    <col min="9032" max="9216" width="9" style="47"/>
    <col min="9217" max="9287" width="2.08984375" style="47" customWidth="1"/>
    <col min="9288" max="9472" width="9" style="47"/>
    <col min="9473" max="9543" width="2.08984375" style="47" customWidth="1"/>
    <col min="9544" max="9728" width="9" style="47"/>
    <col min="9729" max="9799" width="2.08984375" style="47" customWidth="1"/>
    <col min="9800" max="9984" width="9" style="47"/>
    <col min="9985" max="10055" width="2.08984375" style="47" customWidth="1"/>
    <col min="10056" max="10240" width="9" style="47"/>
    <col min="10241" max="10311" width="2.08984375" style="47" customWidth="1"/>
    <col min="10312" max="10496" width="9" style="47"/>
    <col min="10497" max="10567" width="2.08984375" style="47" customWidth="1"/>
    <col min="10568" max="10752" width="9" style="47"/>
    <col min="10753" max="10823" width="2.08984375" style="47" customWidth="1"/>
    <col min="10824" max="11008" width="9" style="47"/>
    <col min="11009" max="11079" width="2.08984375" style="47" customWidth="1"/>
    <col min="11080" max="11264" width="9" style="47"/>
    <col min="11265" max="11335" width="2.08984375" style="47" customWidth="1"/>
    <col min="11336" max="11520" width="9" style="47"/>
    <col min="11521" max="11591" width="2.08984375" style="47" customWidth="1"/>
    <col min="11592" max="11776" width="9" style="47"/>
    <col min="11777" max="11847" width="2.08984375" style="47" customWidth="1"/>
    <col min="11848" max="12032" width="9" style="47"/>
    <col min="12033" max="12103" width="2.08984375" style="47" customWidth="1"/>
    <col min="12104" max="12288" width="9" style="47"/>
    <col min="12289" max="12359" width="2.08984375" style="47" customWidth="1"/>
    <col min="12360" max="12544" width="9" style="47"/>
    <col min="12545" max="12615" width="2.08984375" style="47" customWidth="1"/>
    <col min="12616" max="12800" width="9" style="47"/>
    <col min="12801" max="12871" width="2.08984375" style="47" customWidth="1"/>
    <col min="12872" max="13056" width="9" style="47"/>
    <col min="13057" max="13127" width="2.08984375" style="47" customWidth="1"/>
    <col min="13128" max="13312" width="9" style="47"/>
    <col min="13313" max="13383" width="2.08984375" style="47" customWidth="1"/>
    <col min="13384" max="13568" width="9" style="47"/>
    <col min="13569" max="13639" width="2.08984375" style="47" customWidth="1"/>
    <col min="13640" max="13824" width="9" style="47"/>
    <col min="13825" max="13895" width="2.08984375" style="47" customWidth="1"/>
    <col min="13896" max="14080" width="9" style="47"/>
    <col min="14081" max="14151" width="2.08984375" style="47" customWidth="1"/>
    <col min="14152" max="14336" width="9" style="47"/>
    <col min="14337" max="14407" width="2.08984375" style="47" customWidth="1"/>
    <col min="14408" max="14592" width="9" style="47"/>
    <col min="14593" max="14663" width="2.08984375" style="47" customWidth="1"/>
    <col min="14664" max="14848" width="9" style="47"/>
    <col min="14849" max="14919" width="2.08984375" style="47" customWidth="1"/>
    <col min="14920" max="15104" width="9" style="47"/>
    <col min="15105" max="15175" width="2.08984375" style="47" customWidth="1"/>
    <col min="15176" max="15360" width="9" style="47"/>
    <col min="15361" max="15431" width="2.08984375" style="47" customWidth="1"/>
    <col min="15432" max="15616" width="9" style="47"/>
    <col min="15617" max="15687" width="2.08984375" style="47" customWidth="1"/>
    <col min="15688" max="15872" width="9" style="47"/>
    <col min="15873" max="15943" width="2.08984375" style="47" customWidth="1"/>
    <col min="15944" max="16128" width="9" style="47"/>
    <col min="16129" max="16199" width="2.08984375" style="47" customWidth="1"/>
    <col min="16200" max="16384" width="9" style="47"/>
  </cols>
  <sheetData>
    <row r="1" spans="1:57" s="44" customFormat="1" ht="38.25" customHeight="1" thickBot="1">
      <c r="A1" s="106" t="s">
        <v>9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107"/>
      <c r="AD1" s="107"/>
      <c r="AE1" s="107"/>
      <c r="AF1" s="107"/>
      <c r="AG1" s="107"/>
      <c r="AH1" s="107"/>
      <c r="AI1" s="107"/>
      <c r="AJ1" s="107"/>
      <c r="AK1" s="107"/>
      <c r="AL1" s="107"/>
      <c r="AM1" s="107"/>
      <c r="AN1" s="107"/>
      <c r="AO1" s="107"/>
      <c r="AP1" s="107"/>
      <c r="AQ1" s="107"/>
      <c r="AR1" s="107"/>
      <c r="AS1" s="107"/>
      <c r="AT1" s="107"/>
      <c r="AU1" s="107"/>
      <c r="AV1" s="107"/>
      <c r="AW1" s="107"/>
      <c r="AX1" s="107"/>
      <c r="AY1" s="107"/>
      <c r="AZ1" s="107"/>
      <c r="BA1" s="107"/>
      <c r="BB1" s="107"/>
      <c r="BC1" s="107"/>
      <c r="BD1" s="107"/>
      <c r="BE1" s="108"/>
    </row>
    <row r="2" spans="1:57" s="44" customFormat="1" ht="12" customHeight="1" thickBot="1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6"/>
      <c r="AR2" s="46"/>
    </row>
    <row r="3" spans="1:57" ht="15" customHeight="1" thickBot="1">
      <c r="A3" s="109" t="s">
        <v>10</v>
      </c>
      <c r="B3" s="110"/>
      <c r="C3" s="110"/>
      <c r="D3" s="110"/>
      <c r="E3" s="110"/>
      <c r="F3" s="110"/>
      <c r="G3" s="111"/>
      <c r="H3" s="112" t="s">
        <v>11</v>
      </c>
      <c r="I3" s="110"/>
      <c r="J3" s="110"/>
      <c r="K3" s="110"/>
      <c r="L3" s="110"/>
      <c r="M3" s="110"/>
      <c r="N3" s="111"/>
      <c r="O3" s="112" t="s">
        <v>12</v>
      </c>
      <c r="P3" s="113"/>
      <c r="Q3" s="113"/>
      <c r="R3" s="113"/>
      <c r="S3" s="113"/>
      <c r="T3" s="113"/>
      <c r="U3" s="113"/>
      <c r="V3" s="113"/>
      <c r="W3" s="113"/>
      <c r="X3" s="113"/>
      <c r="Y3" s="113"/>
      <c r="Z3" s="113"/>
      <c r="AA3" s="113"/>
      <c r="AB3" s="113"/>
      <c r="AC3" s="113"/>
      <c r="AD3" s="113"/>
      <c r="AE3" s="113"/>
      <c r="AF3" s="113"/>
      <c r="AG3" s="113"/>
      <c r="AH3" s="113"/>
      <c r="AI3" s="113"/>
      <c r="AJ3" s="113"/>
      <c r="AK3" s="113"/>
      <c r="AL3" s="113"/>
      <c r="AM3" s="113"/>
      <c r="AN3" s="113"/>
      <c r="AO3" s="113"/>
      <c r="AP3" s="114"/>
      <c r="AQ3" s="115" t="s">
        <v>13</v>
      </c>
      <c r="AR3" s="116"/>
      <c r="AS3" s="116"/>
      <c r="AT3" s="116"/>
      <c r="AU3" s="116"/>
      <c r="AV3" s="116"/>
      <c r="AW3" s="116"/>
      <c r="AX3" s="116"/>
      <c r="AY3" s="116"/>
      <c r="AZ3" s="116"/>
      <c r="BA3" s="116"/>
      <c r="BB3" s="116"/>
      <c r="BC3" s="116"/>
      <c r="BD3" s="116"/>
      <c r="BE3" s="117"/>
    </row>
    <row r="4" spans="1:57" ht="15" customHeight="1">
      <c r="A4" s="118">
        <v>1</v>
      </c>
      <c r="B4" s="119"/>
      <c r="C4" s="119"/>
      <c r="D4" s="119"/>
      <c r="E4" s="119"/>
      <c r="F4" s="119"/>
      <c r="G4" s="120"/>
      <c r="H4" s="121"/>
      <c r="I4" s="122"/>
      <c r="J4" s="122"/>
      <c r="K4" s="122"/>
      <c r="L4" s="122"/>
      <c r="M4" s="122"/>
      <c r="N4" s="123"/>
      <c r="O4" s="121" t="s">
        <v>14</v>
      </c>
      <c r="P4" s="124"/>
      <c r="Q4" s="124"/>
      <c r="R4" s="124"/>
      <c r="S4" s="124"/>
      <c r="T4" s="124"/>
      <c r="U4" s="124"/>
      <c r="V4" s="124"/>
      <c r="W4" s="124"/>
      <c r="X4" s="124"/>
      <c r="Y4" s="124"/>
      <c r="Z4" s="124"/>
      <c r="AA4" s="124"/>
      <c r="AB4" s="124"/>
      <c r="AC4" s="124"/>
      <c r="AD4" s="124"/>
      <c r="AE4" s="124"/>
      <c r="AF4" s="124"/>
      <c r="AG4" s="124"/>
      <c r="AH4" s="124"/>
      <c r="AI4" s="124"/>
      <c r="AJ4" s="124"/>
      <c r="AK4" s="124"/>
      <c r="AL4" s="124"/>
      <c r="AM4" s="124"/>
      <c r="AN4" s="124"/>
      <c r="AO4" s="124"/>
      <c r="AP4" s="125"/>
      <c r="AQ4" s="126"/>
      <c r="AR4" s="124"/>
      <c r="AS4" s="124"/>
      <c r="AT4" s="124"/>
      <c r="AU4" s="124"/>
      <c r="AV4" s="124"/>
      <c r="AW4" s="124"/>
      <c r="AX4" s="124"/>
      <c r="AY4" s="124"/>
      <c r="AZ4" s="124"/>
      <c r="BA4" s="124"/>
      <c r="BB4" s="124"/>
      <c r="BC4" s="124"/>
      <c r="BD4" s="124"/>
      <c r="BE4" s="127"/>
    </row>
    <row r="5" spans="1:57" ht="15" customHeight="1">
      <c r="A5" s="83">
        <v>1.1000000000000001</v>
      </c>
      <c r="B5" s="84"/>
      <c r="C5" s="84"/>
      <c r="D5" s="84"/>
      <c r="E5" s="84"/>
      <c r="F5" s="84"/>
      <c r="G5" s="85"/>
      <c r="H5" s="86"/>
      <c r="I5" s="87"/>
      <c r="J5" s="87"/>
      <c r="K5" s="87"/>
      <c r="L5" s="87"/>
      <c r="M5" s="87"/>
      <c r="N5" s="88"/>
      <c r="O5" s="100" t="s">
        <v>591</v>
      </c>
      <c r="P5" s="101"/>
      <c r="Q5" s="101"/>
      <c r="R5" s="101"/>
      <c r="S5" s="101"/>
      <c r="T5" s="101"/>
      <c r="U5" s="101"/>
      <c r="V5" s="101"/>
      <c r="W5" s="101"/>
      <c r="X5" s="101"/>
      <c r="Y5" s="101"/>
      <c r="Z5" s="101"/>
      <c r="AA5" s="101"/>
      <c r="AB5" s="101"/>
      <c r="AC5" s="101"/>
      <c r="AD5" s="101"/>
      <c r="AE5" s="101"/>
      <c r="AF5" s="101"/>
      <c r="AG5" s="101"/>
      <c r="AH5" s="101"/>
      <c r="AI5" s="101"/>
      <c r="AJ5" s="101"/>
      <c r="AK5" s="101"/>
      <c r="AL5" s="101"/>
      <c r="AM5" s="101"/>
      <c r="AN5" s="101"/>
      <c r="AO5" s="101"/>
      <c r="AP5" s="102"/>
      <c r="AQ5" s="103" t="s">
        <v>592</v>
      </c>
      <c r="AR5" s="104"/>
      <c r="AS5" s="104"/>
      <c r="AT5" s="104"/>
      <c r="AU5" s="104"/>
      <c r="AV5" s="104"/>
      <c r="AW5" s="104"/>
      <c r="AX5" s="104"/>
      <c r="AY5" s="104"/>
      <c r="AZ5" s="104"/>
      <c r="BA5" s="104"/>
      <c r="BB5" s="104"/>
      <c r="BC5" s="104"/>
      <c r="BD5" s="104"/>
      <c r="BE5" s="105"/>
    </row>
    <row r="6" spans="1:57" ht="15" customHeight="1">
      <c r="A6" s="83"/>
      <c r="B6" s="84"/>
      <c r="C6" s="84"/>
      <c r="D6" s="84"/>
      <c r="E6" s="84"/>
      <c r="F6" s="84"/>
      <c r="G6" s="85"/>
      <c r="H6" s="93"/>
      <c r="I6" s="94"/>
      <c r="J6" s="94"/>
      <c r="K6" s="94"/>
      <c r="L6" s="94"/>
      <c r="M6" s="94"/>
      <c r="N6" s="95"/>
      <c r="O6" s="86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  <c r="AA6" s="89"/>
      <c r="AB6" s="89"/>
      <c r="AC6" s="89"/>
      <c r="AD6" s="89"/>
      <c r="AE6" s="89"/>
      <c r="AF6" s="89"/>
      <c r="AG6" s="89"/>
      <c r="AH6" s="89"/>
      <c r="AI6" s="89"/>
      <c r="AJ6" s="89"/>
      <c r="AK6" s="89"/>
      <c r="AL6" s="89"/>
      <c r="AM6" s="89"/>
      <c r="AN6" s="89"/>
      <c r="AO6" s="89"/>
      <c r="AP6" s="90"/>
      <c r="AQ6" s="91"/>
      <c r="AR6" s="89"/>
      <c r="AS6" s="89"/>
      <c r="AT6" s="89"/>
      <c r="AU6" s="89"/>
      <c r="AV6" s="89"/>
      <c r="AW6" s="89"/>
      <c r="AX6" s="89"/>
      <c r="AY6" s="89"/>
      <c r="AZ6" s="89"/>
      <c r="BA6" s="89"/>
      <c r="BB6" s="89"/>
      <c r="BC6" s="89"/>
      <c r="BD6" s="89"/>
      <c r="BE6" s="92"/>
    </row>
    <row r="7" spans="1:57" ht="15" customHeight="1">
      <c r="A7" s="83"/>
      <c r="B7" s="84"/>
      <c r="C7" s="84"/>
      <c r="D7" s="84"/>
      <c r="E7" s="84"/>
      <c r="F7" s="84"/>
      <c r="G7" s="85"/>
      <c r="H7" s="93"/>
      <c r="I7" s="94"/>
      <c r="J7" s="94"/>
      <c r="K7" s="94"/>
      <c r="L7" s="94"/>
      <c r="M7" s="94"/>
      <c r="N7" s="95"/>
      <c r="O7" s="86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  <c r="AA7" s="96"/>
      <c r="AB7" s="96"/>
      <c r="AC7" s="96"/>
      <c r="AD7" s="96"/>
      <c r="AE7" s="96"/>
      <c r="AF7" s="96"/>
      <c r="AG7" s="96"/>
      <c r="AH7" s="96"/>
      <c r="AI7" s="96"/>
      <c r="AJ7" s="96"/>
      <c r="AK7" s="96"/>
      <c r="AL7" s="96"/>
      <c r="AM7" s="96"/>
      <c r="AN7" s="96"/>
      <c r="AO7" s="96"/>
      <c r="AP7" s="97"/>
      <c r="AQ7" s="91"/>
      <c r="AR7" s="98"/>
      <c r="AS7" s="98"/>
      <c r="AT7" s="98"/>
      <c r="AU7" s="98"/>
      <c r="AV7" s="98"/>
      <c r="AW7" s="98"/>
      <c r="AX7" s="98"/>
      <c r="AY7" s="98"/>
      <c r="AZ7" s="98"/>
      <c r="BA7" s="98"/>
      <c r="BB7" s="98"/>
      <c r="BC7" s="98"/>
      <c r="BD7" s="98"/>
      <c r="BE7" s="99"/>
    </row>
    <row r="8" spans="1:57" ht="15" customHeight="1">
      <c r="A8" s="83"/>
      <c r="B8" s="84"/>
      <c r="C8" s="84"/>
      <c r="D8" s="84"/>
      <c r="E8" s="84"/>
      <c r="F8" s="84"/>
      <c r="G8" s="85"/>
      <c r="H8" s="86"/>
      <c r="I8" s="87"/>
      <c r="J8" s="87"/>
      <c r="K8" s="87"/>
      <c r="L8" s="87"/>
      <c r="M8" s="87"/>
      <c r="N8" s="88"/>
      <c r="O8" s="86"/>
      <c r="P8" s="89"/>
      <c r="Q8" s="89"/>
      <c r="R8" s="89"/>
      <c r="S8" s="89"/>
      <c r="T8" s="89"/>
      <c r="U8" s="89"/>
      <c r="V8" s="89"/>
      <c r="W8" s="89"/>
      <c r="X8" s="89"/>
      <c r="Y8" s="89"/>
      <c r="Z8" s="89"/>
      <c r="AA8" s="89"/>
      <c r="AB8" s="89"/>
      <c r="AC8" s="89"/>
      <c r="AD8" s="89"/>
      <c r="AE8" s="89"/>
      <c r="AF8" s="89"/>
      <c r="AG8" s="89"/>
      <c r="AH8" s="89"/>
      <c r="AI8" s="89"/>
      <c r="AJ8" s="89"/>
      <c r="AK8" s="89"/>
      <c r="AL8" s="89"/>
      <c r="AM8" s="89"/>
      <c r="AN8" s="89"/>
      <c r="AO8" s="89"/>
      <c r="AP8" s="90"/>
      <c r="AQ8" s="91"/>
      <c r="AR8" s="89"/>
      <c r="AS8" s="89"/>
      <c r="AT8" s="89"/>
      <c r="AU8" s="89"/>
      <c r="AV8" s="89"/>
      <c r="AW8" s="89"/>
      <c r="AX8" s="89"/>
      <c r="AY8" s="89"/>
      <c r="AZ8" s="89"/>
      <c r="BA8" s="89"/>
      <c r="BB8" s="89"/>
      <c r="BC8" s="89"/>
      <c r="BD8" s="89"/>
      <c r="BE8" s="92"/>
    </row>
    <row r="9" spans="1:57" ht="15" customHeight="1">
      <c r="A9" s="83"/>
      <c r="B9" s="84"/>
      <c r="C9" s="84"/>
      <c r="D9" s="84"/>
      <c r="E9" s="84"/>
      <c r="F9" s="84"/>
      <c r="G9" s="85"/>
      <c r="H9" s="86"/>
      <c r="I9" s="87"/>
      <c r="J9" s="87"/>
      <c r="K9" s="87"/>
      <c r="L9" s="87"/>
      <c r="M9" s="87"/>
      <c r="N9" s="88"/>
      <c r="O9" s="86"/>
      <c r="P9" s="89"/>
      <c r="Q9" s="89"/>
      <c r="R9" s="89"/>
      <c r="S9" s="89"/>
      <c r="T9" s="89"/>
      <c r="U9" s="89"/>
      <c r="V9" s="89"/>
      <c r="W9" s="89"/>
      <c r="X9" s="89"/>
      <c r="Y9" s="89"/>
      <c r="Z9" s="89"/>
      <c r="AA9" s="89"/>
      <c r="AB9" s="89"/>
      <c r="AC9" s="89"/>
      <c r="AD9" s="89"/>
      <c r="AE9" s="89"/>
      <c r="AF9" s="89"/>
      <c r="AG9" s="89"/>
      <c r="AH9" s="89"/>
      <c r="AI9" s="89"/>
      <c r="AJ9" s="89"/>
      <c r="AK9" s="89"/>
      <c r="AL9" s="89"/>
      <c r="AM9" s="89"/>
      <c r="AN9" s="89"/>
      <c r="AO9" s="89"/>
      <c r="AP9" s="90"/>
      <c r="AQ9" s="91"/>
      <c r="AR9" s="89"/>
      <c r="AS9" s="89"/>
      <c r="AT9" s="89"/>
      <c r="AU9" s="89"/>
      <c r="AV9" s="89"/>
      <c r="AW9" s="89"/>
      <c r="AX9" s="89"/>
      <c r="AY9" s="89"/>
      <c r="AZ9" s="89"/>
      <c r="BA9" s="89"/>
      <c r="BB9" s="89"/>
      <c r="BC9" s="89"/>
      <c r="BD9" s="89"/>
      <c r="BE9" s="92"/>
    </row>
    <row r="10" spans="1:57" ht="15" customHeight="1">
      <c r="A10" s="83"/>
      <c r="B10" s="84"/>
      <c r="C10" s="84"/>
      <c r="D10" s="84"/>
      <c r="E10" s="84"/>
      <c r="F10" s="84"/>
      <c r="G10" s="85"/>
      <c r="H10" s="86"/>
      <c r="I10" s="87"/>
      <c r="J10" s="87"/>
      <c r="K10" s="87"/>
      <c r="L10" s="87"/>
      <c r="M10" s="87"/>
      <c r="N10" s="88"/>
      <c r="O10" s="86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  <c r="AA10" s="89"/>
      <c r="AB10" s="89"/>
      <c r="AC10" s="89"/>
      <c r="AD10" s="89"/>
      <c r="AE10" s="89"/>
      <c r="AF10" s="89"/>
      <c r="AG10" s="89"/>
      <c r="AH10" s="89"/>
      <c r="AI10" s="89"/>
      <c r="AJ10" s="89"/>
      <c r="AK10" s="89"/>
      <c r="AL10" s="89"/>
      <c r="AM10" s="89"/>
      <c r="AN10" s="89"/>
      <c r="AO10" s="89"/>
      <c r="AP10" s="90"/>
      <c r="AQ10" s="91"/>
      <c r="AR10" s="89"/>
      <c r="AS10" s="89"/>
      <c r="AT10" s="89"/>
      <c r="AU10" s="89"/>
      <c r="AV10" s="89"/>
      <c r="AW10" s="89"/>
      <c r="AX10" s="89"/>
      <c r="AY10" s="89"/>
      <c r="AZ10" s="89"/>
      <c r="BA10" s="89"/>
      <c r="BB10" s="89"/>
      <c r="BC10" s="89"/>
      <c r="BD10" s="89"/>
      <c r="BE10" s="92"/>
    </row>
    <row r="11" spans="1:57" ht="15" customHeight="1">
      <c r="A11" s="83"/>
      <c r="B11" s="84"/>
      <c r="C11" s="84"/>
      <c r="D11" s="84"/>
      <c r="E11" s="84"/>
      <c r="F11" s="84"/>
      <c r="G11" s="85"/>
      <c r="H11" s="86"/>
      <c r="I11" s="87"/>
      <c r="J11" s="87"/>
      <c r="K11" s="87"/>
      <c r="L11" s="87"/>
      <c r="M11" s="87"/>
      <c r="N11" s="88"/>
      <c r="O11" s="86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  <c r="AK11" s="89"/>
      <c r="AL11" s="89"/>
      <c r="AM11" s="89"/>
      <c r="AN11" s="89"/>
      <c r="AO11" s="89"/>
      <c r="AP11" s="90"/>
      <c r="AQ11" s="91"/>
      <c r="AR11" s="89"/>
      <c r="AS11" s="89"/>
      <c r="AT11" s="89"/>
      <c r="AU11" s="89"/>
      <c r="AV11" s="89"/>
      <c r="AW11" s="89"/>
      <c r="AX11" s="89"/>
      <c r="AY11" s="89"/>
      <c r="AZ11" s="89"/>
      <c r="BA11" s="89"/>
      <c r="BB11" s="89"/>
      <c r="BC11" s="89"/>
      <c r="BD11" s="89"/>
      <c r="BE11" s="92"/>
    </row>
    <row r="12" spans="1:57" ht="15" customHeight="1">
      <c r="A12" s="83"/>
      <c r="B12" s="84"/>
      <c r="C12" s="84"/>
      <c r="D12" s="84"/>
      <c r="E12" s="84"/>
      <c r="F12" s="84"/>
      <c r="G12" s="85"/>
      <c r="H12" s="86"/>
      <c r="I12" s="87"/>
      <c r="J12" s="87"/>
      <c r="K12" s="87"/>
      <c r="L12" s="87"/>
      <c r="M12" s="87"/>
      <c r="N12" s="88"/>
      <c r="O12" s="86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89"/>
      <c r="AB12" s="89"/>
      <c r="AC12" s="89"/>
      <c r="AD12" s="89"/>
      <c r="AE12" s="89"/>
      <c r="AF12" s="89"/>
      <c r="AG12" s="89"/>
      <c r="AH12" s="89"/>
      <c r="AI12" s="89"/>
      <c r="AJ12" s="89"/>
      <c r="AK12" s="89"/>
      <c r="AL12" s="89"/>
      <c r="AM12" s="89"/>
      <c r="AN12" s="89"/>
      <c r="AO12" s="89"/>
      <c r="AP12" s="90"/>
      <c r="AQ12" s="91"/>
      <c r="AR12" s="89"/>
      <c r="AS12" s="89"/>
      <c r="AT12" s="89"/>
      <c r="AU12" s="89"/>
      <c r="AV12" s="89"/>
      <c r="AW12" s="89"/>
      <c r="AX12" s="89"/>
      <c r="AY12" s="89"/>
      <c r="AZ12" s="89"/>
      <c r="BA12" s="89"/>
      <c r="BB12" s="89"/>
      <c r="BC12" s="89"/>
      <c r="BD12" s="89"/>
      <c r="BE12" s="92"/>
    </row>
    <row r="13" spans="1:57" ht="15" customHeight="1">
      <c r="A13" s="83"/>
      <c r="B13" s="84"/>
      <c r="C13" s="84"/>
      <c r="D13" s="84"/>
      <c r="E13" s="84"/>
      <c r="F13" s="84"/>
      <c r="G13" s="85"/>
      <c r="H13" s="86"/>
      <c r="I13" s="87"/>
      <c r="J13" s="87"/>
      <c r="K13" s="87"/>
      <c r="L13" s="87"/>
      <c r="M13" s="87"/>
      <c r="N13" s="88"/>
      <c r="O13" s="86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9"/>
      <c r="AB13" s="89"/>
      <c r="AC13" s="89"/>
      <c r="AD13" s="89"/>
      <c r="AE13" s="89"/>
      <c r="AF13" s="89"/>
      <c r="AG13" s="89"/>
      <c r="AH13" s="89"/>
      <c r="AI13" s="89"/>
      <c r="AJ13" s="89"/>
      <c r="AK13" s="89"/>
      <c r="AL13" s="89"/>
      <c r="AM13" s="89"/>
      <c r="AN13" s="89"/>
      <c r="AO13" s="89"/>
      <c r="AP13" s="90"/>
      <c r="AQ13" s="91"/>
      <c r="AR13" s="89"/>
      <c r="AS13" s="89"/>
      <c r="AT13" s="89"/>
      <c r="AU13" s="89"/>
      <c r="AV13" s="89"/>
      <c r="AW13" s="89"/>
      <c r="AX13" s="89"/>
      <c r="AY13" s="89"/>
      <c r="AZ13" s="89"/>
      <c r="BA13" s="89"/>
      <c r="BB13" s="89"/>
      <c r="BC13" s="89"/>
      <c r="BD13" s="89"/>
      <c r="BE13" s="92"/>
    </row>
    <row r="14" spans="1:57" ht="15" customHeight="1">
      <c r="A14" s="83"/>
      <c r="B14" s="84"/>
      <c r="C14" s="84"/>
      <c r="D14" s="84"/>
      <c r="E14" s="84"/>
      <c r="F14" s="84"/>
      <c r="G14" s="85"/>
      <c r="H14" s="86"/>
      <c r="I14" s="87"/>
      <c r="J14" s="87"/>
      <c r="K14" s="87"/>
      <c r="L14" s="87"/>
      <c r="M14" s="87"/>
      <c r="N14" s="88"/>
      <c r="O14" s="86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  <c r="AA14" s="89"/>
      <c r="AB14" s="89"/>
      <c r="AC14" s="89"/>
      <c r="AD14" s="89"/>
      <c r="AE14" s="89"/>
      <c r="AF14" s="89"/>
      <c r="AG14" s="89"/>
      <c r="AH14" s="89"/>
      <c r="AI14" s="89"/>
      <c r="AJ14" s="89"/>
      <c r="AK14" s="89"/>
      <c r="AL14" s="89"/>
      <c r="AM14" s="89"/>
      <c r="AN14" s="89"/>
      <c r="AO14" s="89"/>
      <c r="AP14" s="90"/>
      <c r="AQ14" s="91"/>
      <c r="AR14" s="89"/>
      <c r="AS14" s="89"/>
      <c r="AT14" s="89"/>
      <c r="AU14" s="89"/>
      <c r="AV14" s="89"/>
      <c r="AW14" s="89"/>
      <c r="AX14" s="89"/>
      <c r="AY14" s="89"/>
      <c r="AZ14" s="89"/>
      <c r="BA14" s="89"/>
      <c r="BB14" s="89"/>
      <c r="BC14" s="89"/>
      <c r="BD14" s="89"/>
      <c r="BE14" s="92"/>
    </row>
    <row r="15" spans="1:57" ht="15" customHeight="1">
      <c r="A15" s="83"/>
      <c r="B15" s="84"/>
      <c r="C15" s="84"/>
      <c r="D15" s="84"/>
      <c r="E15" s="84"/>
      <c r="F15" s="84"/>
      <c r="G15" s="85"/>
      <c r="H15" s="86"/>
      <c r="I15" s="87"/>
      <c r="J15" s="87"/>
      <c r="K15" s="87"/>
      <c r="L15" s="87"/>
      <c r="M15" s="87"/>
      <c r="N15" s="88"/>
      <c r="O15" s="86"/>
      <c r="P15" s="89"/>
      <c r="Q15" s="89"/>
      <c r="R15" s="89"/>
      <c r="S15" s="89"/>
      <c r="T15" s="89"/>
      <c r="U15" s="89"/>
      <c r="V15" s="89"/>
      <c r="W15" s="89"/>
      <c r="X15" s="89"/>
      <c r="Y15" s="89"/>
      <c r="Z15" s="89"/>
      <c r="AA15" s="89"/>
      <c r="AB15" s="89"/>
      <c r="AC15" s="89"/>
      <c r="AD15" s="89"/>
      <c r="AE15" s="89"/>
      <c r="AF15" s="89"/>
      <c r="AG15" s="89"/>
      <c r="AH15" s="89"/>
      <c r="AI15" s="89"/>
      <c r="AJ15" s="89"/>
      <c r="AK15" s="89"/>
      <c r="AL15" s="89"/>
      <c r="AM15" s="89"/>
      <c r="AN15" s="89"/>
      <c r="AO15" s="89"/>
      <c r="AP15" s="90"/>
      <c r="AQ15" s="91"/>
      <c r="AR15" s="89"/>
      <c r="AS15" s="89"/>
      <c r="AT15" s="89"/>
      <c r="AU15" s="89"/>
      <c r="AV15" s="89"/>
      <c r="AW15" s="89"/>
      <c r="AX15" s="89"/>
      <c r="AY15" s="89"/>
      <c r="AZ15" s="89"/>
      <c r="BA15" s="89"/>
      <c r="BB15" s="89"/>
      <c r="BC15" s="89"/>
      <c r="BD15" s="89"/>
      <c r="BE15" s="92"/>
    </row>
    <row r="16" spans="1:57" ht="15" customHeight="1">
      <c r="A16" s="83"/>
      <c r="B16" s="84"/>
      <c r="C16" s="84"/>
      <c r="D16" s="84"/>
      <c r="E16" s="84"/>
      <c r="F16" s="84"/>
      <c r="G16" s="85"/>
      <c r="H16" s="86"/>
      <c r="I16" s="87"/>
      <c r="J16" s="87"/>
      <c r="K16" s="87"/>
      <c r="L16" s="87"/>
      <c r="M16" s="87"/>
      <c r="N16" s="88"/>
      <c r="O16" s="86"/>
      <c r="P16" s="89"/>
      <c r="Q16" s="89"/>
      <c r="R16" s="89"/>
      <c r="S16" s="89"/>
      <c r="T16" s="89"/>
      <c r="U16" s="89"/>
      <c r="V16" s="89"/>
      <c r="W16" s="89"/>
      <c r="X16" s="89"/>
      <c r="Y16" s="89"/>
      <c r="Z16" s="89"/>
      <c r="AA16" s="89"/>
      <c r="AB16" s="89"/>
      <c r="AC16" s="89"/>
      <c r="AD16" s="89"/>
      <c r="AE16" s="89"/>
      <c r="AF16" s="89"/>
      <c r="AG16" s="89"/>
      <c r="AH16" s="89"/>
      <c r="AI16" s="89"/>
      <c r="AJ16" s="89"/>
      <c r="AK16" s="89"/>
      <c r="AL16" s="89"/>
      <c r="AM16" s="89"/>
      <c r="AN16" s="89"/>
      <c r="AO16" s="89"/>
      <c r="AP16" s="90"/>
      <c r="AQ16" s="91"/>
      <c r="AR16" s="89"/>
      <c r="AS16" s="89"/>
      <c r="AT16" s="89"/>
      <c r="AU16" s="89"/>
      <c r="AV16" s="89"/>
      <c r="AW16" s="89"/>
      <c r="AX16" s="89"/>
      <c r="AY16" s="89"/>
      <c r="AZ16" s="89"/>
      <c r="BA16" s="89"/>
      <c r="BB16" s="89"/>
      <c r="BC16" s="89"/>
      <c r="BD16" s="89"/>
      <c r="BE16" s="92"/>
    </row>
    <row r="17" spans="1:57" ht="15" customHeight="1">
      <c r="A17" s="83"/>
      <c r="B17" s="84"/>
      <c r="C17" s="84"/>
      <c r="D17" s="84"/>
      <c r="E17" s="84"/>
      <c r="F17" s="84"/>
      <c r="G17" s="85"/>
      <c r="H17" s="86"/>
      <c r="I17" s="87"/>
      <c r="J17" s="87"/>
      <c r="K17" s="87"/>
      <c r="L17" s="87"/>
      <c r="M17" s="87"/>
      <c r="N17" s="88"/>
      <c r="O17" s="86"/>
      <c r="P17" s="89"/>
      <c r="Q17" s="89"/>
      <c r="R17" s="89"/>
      <c r="S17" s="89"/>
      <c r="T17" s="89"/>
      <c r="U17" s="89"/>
      <c r="V17" s="89"/>
      <c r="W17" s="89"/>
      <c r="X17" s="89"/>
      <c r="Y17" s="89"/>
      <c r="Z17" s="89"/>
      <c r="AA17" s="89"/>
      <c r="AB17" s="89"/>
      <c r="AC17" s="89"/>
      <c r="AD17" s="89"/>
      <c r="AE17" s="89"/>
      <c r="AF17" s="89"/>
      <c r="AG17" s="89"/>
      <c r="AH17" s="89"/>
      <c r="AI17" s="89"/>
      <c r="AJ17" s="89"/>
      <c r="AK17" s="89"/>
      <c r="AL17" s="89"/>
      <c r="AM17" s="89"/>
      <c r="AN17" s="89"/>
      <c r="AO17" s="89"/>
      <c r="AP17" s="90"/>
      <c r="AQ17" s="91"/>
      <c r="AR17" s="89"/>
      <c r="AS17" s="89"/>
      <c r="AT17" s="89"/>
      <c r="AU17" s="89"/>
      <c r="AV17" s="89"/>
      <c r="AW17" s="89"/>
      <c r="AX17" s="89"/>
      <c r="AY17" s="89"/>
      <c r="AZ17" s="89"/>
      <c r="BA17" s="89"/>
      <c r="BB17" s="89"/>
      <c r="BC17" s="89"/>
      <c r="BD17" s="89"/>
      <c r="BE17" s="92"/>
    </row>
    <row r="18" spans="1:57" ht="15" customHeight="1">
      <c r="A18" s="83"/>
      <c r="B18" s="84"/>
      <c r="C18" s="84"/>
      <c r="D18" s="84"/>
      <c r="E18" s="84"/>
      <c r="F18" s="84"/>
      <c r="G18" s="85"/>
      <c r="H18" s="86"/>
      <c r="I18" s="87"/>
      <c r="J18" s="87"/>
      <c r="K18" s="87"/>
      <c r="L18" s="87"/>
      <c r="M18" s="87"/>
      <c r="N18" s="88"/>
      <c r="O18" s="86"/>
      <c r="P18" s="89"/>
      <c r="Q18" s="89"/>
      <c r="R18" s="89"/>
      <c r="S18" s="89"/>
      <c r="T18" s="89"/>
      <c r="U18" s="89"/>
      <c r="V18" s="89"/>
      <c r="W18" s="89"/>
      <c r="X18" s="89"/>
      <c r="Y18" s="89"/>
      <c r="Z18" s="89"/>
      <c r="AA18" s="89"/>
      <c r="AB18" s="89"/>
      <c r="AC18" s="89"/>
      <c r="AD18" s="89"/>
      <c r="AE18" s="89"/>
      <c r="AF18" s="89"/>
      <c r="AG18" s="89"/>
      <c r="AH18" s="89"/>
      <c r="AI18" s="89"/>
      <c r="AJ18" s="89"/>
      <c r="AK18" s="89"/>
      <c r="AL18" s="89"/>
      <c r="AM18" s="89"/>
      <c r="AN18" s="89"/>
      <c r="AO18" s="89"/>
      <c r="AP18" s="90"/>
      <c r="AQ18" s="91"/>
      <c r="AR18" s="89"/>
      <c r="AS18" s="89"/>
      <c r="AT18" s="89"/>
      <c r="AU18" s="89"/>
      <c r="AV18" s="89"/>
      <c r="AW18" s="89"/>
      <c r="AX18" s="89"/>
      <c r="AY18" s="89"/>
      <c r="AZ18" s="89"/>
      <c r="BA18" s="89"/>
      <c r="BB18" s="89"/>
      <c r="BC18" s="89"/>
      <c r="BD18" s="89"/>
      <c r="BE18" s="92"/>
    </row>
    <row r="19" spans="1:57" ht="15" customHeight="1">
      <c r="A19" s="83"/>
      <c r="B19" s="84"/>
      <c r="C19" s="84"/>
      <c r="D19" s="84"/>
      <c r="E19" s="84"/>
      <c r="F19" s="84"/>
      <c r="G19" s="85"/>
      <c r="H19" s="86"/>
      <c r="I19" s="87"/>
      <c r="J19" s="87"/>
      <c r="K19" s="87"/>
      <c r="L19" s="87"/>
      <c r="M19" s="87"/>
      <c r="N19" s="88"/>
      <c r="O19" s="86"/>
      <c r="P19" s="89"/>
      <c r="Q19" s="89"/>
      <c r="R19" s="89"/>
      <c r="S19" s="89"/>
      <c r="T19" s="89"/>
      <c r="U19" s="89"/>
      <c r="V19" s="89"/>
      <c r="W19" s="89"/>
      <c r="X19" s="89"/>
      <c r="Y19" s="89"/>
      <c r="Z19" s="89"/>
      <c r="AA19" s="89"/>
      <c r="AB19" s="89"/>
      <c r="AC19" s="89"/>
      <c r="AD19" s="89"/>
      <c r="AE19" s="89"/>
      <c r="AF19" s="89"/>
      <c r="AG19" s="89"/>
      <c r="AH19" s="89"/>
      <c r="AI19" s="89"/>
      <c r="AJ19" s="89"/>
      <c r="AK19" s="89"/>
      <c r="AL19" s="89"/>
      <c r="AM19" s="89"/>
      <c r="AN19" s="89"/>
      <c r="AO19" s="89"/>
      <c r="AP19" s="90"/>
      <c r="AQ19" s="91"/>
      <c r="AR19" s="89"/>
      <c r="AS19" s="89"/>
      <c r="AT19" s="89"/>
      <c r="AU19" s="89"/>
      <c r="AV19" s="89"/>
      <c r="AW19" s="89"/>
      <c r="AX19" s="89"/>
      <c r="AY19" s="89"/>
      <c r="AZ19" s="89"/>
      <c r="BA19" s="89"/>
      <c r="BB19" s="89"/>
      <c r="BC19" s="89"/>
      <c r="BD19" s="89"/>
      <c r="BE19" s="92"/>
    </row>
    <row r="20" spans="1:57" ht="15" customHeight="1">
      <c r="A20" s="83"/>
      <c r="B20" s="84"/>
      <c r="C20" s="84"/>
      <c r="D20" s="84"/>
      <c r="E20" s="84"/>
      <c r="F20" s="84"/>
      <c r="G20" s="85"/>
      <c r="H20" s="86"/>
      <c r="I20" s="87"/>
      <c r="J20" s="87"/>
      <c r="K20" s="87"/>
      <c r="L20" s="87"/>
      <c r="M20" s="87"/>
      <c r="N20" s="88"/>
      <c r="O20" s="86"/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89"/>
      <c r="AA20" s="89"/>
      <c r="AB20" s="89"/>
      <c r="AC20" s="89"/>
      <c r="AD20" s="89"/>
      <c r="AE20" s="89"/>
      <c r="AF20" s="89"/>
      <c r="AG20" s="89"/>
      <c r="AH20" s="89"/>
      <c r="AI20" s="89"/>
      <c r="AJ20" s="89"/>
      <c r="AK20" s="89"/>
      <c r="AL20" s="89"/>
      <c r="AM20" s="89"/>
      <c r="AN20" s="89"/>
      <c r="AO20" s="89"/>
      <c r="AP20" s="90"/>
      <c r="AQ20" s="91"/>
      <c r="AR20" s="89"/>
      <c r="AS20" s="89"/>
      <c r="AT20" s="89"/>
      <c r="AU20" s="89"/>
      <c r="AV20" s="89"/>
      <c r="AW20" s="89"/>
      <c r="AX20" s="89"/>
      <c r="AY20" s="89"/>
      <c r="AZ20" s="89"/>
      <c r="BA20" s="89"/>
      <c r="BB20" s="89"/>
      <c r="BC20" s="89"/>
      <c r="BD20" s="89"/>
      <c r="BE20" s="92"/>
    </row>
    <row r="21" spans="1:57" ht="15" customHeight="1">
      <c r="A21" s="83"/>
      <c r="B21" s="84"/>
      <c r="C21" s="84"/>
      <c r="D21" s="84"/>
      <c r="E21" s="84"/>
      <c r="F21" s="84"/>
      <c r="G21" s="85"/>
      <c r="H21" s="86"/>
      <c r="I21" s="87"/>
      <c r="J21" s="87"/>
      <c r="K21" s="87"/>
      <c r="L21" s="87"/>
      <c r="M21" s="87"/>
      <c r="N21" s="88"/>
      <c r="O21" s="86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89"/>
      <c r="AA21" s="89"/>
      <c r="AB21" s="89"/>
      <c r="AC21" s="89"/>
      <c r="AD21" s="89"/>
      <c r="AE21" s="89"/>
      <c r="AF21" s="89"/>
      <c r="AG21" s="89"/>
      <c r="AH21" s="89"/>
      <c r="AI21" s="89"/>
      <c r="AJ21" s="89"/>
      <c r="AK21" s="89"/>
      <c r="AL21" s="89"/>
      <c r="AM21" s="89"/>
      <c r="AN21" s="89"/>
      <c r="AO21" s="89"/>
      <c r="AP21" s="90"/>
      <c r="AQ21" s="91"/>
      <c r="AR21" s="89"/>
      <c r="AS21" s="89"/>
      <c r="AT21" s="89"/>
      <c r="AU21" s="89"/>
      <c r="AV21" s="89"/>
      <c r="AW21" s="89"/>
      <c r="AX21" s="89"/>
      <c r="AY21" s="89"/>
      <c r="AZ21" s="89"/>
      <c r="BA21" s="89"/>
      <c r="BB21" s="89"/>
      <c r="BC21" s="89"/>
      <c r="BD21" s="89"/>
      <c r="BE21" s="92"/>
    </row>
    <row r="22" spans="1:57" ht="15" customHeight="1">
      <c r="A22" s="83"/>
      <c r="B22" s="84"/>
      <c r="C22" s="84"/>
      <c r="D22" s="84"/>
      <c r="E22" s="84"/>
      <c r="F22" s="84"/>
      <c r="G22" s="85"/>
      <c r="H22" s="86"/>
      <c r="I22" s="87"/>
      <c r="J22" s="87"/>
      <c r="K22" s="87"/>
      <c r="L22" s="87"/>
      <c r="M22" s="87"/>
      <c r="N22" s="88"/>
      <c r="O22" s="86"/>
      <c r="P22" s="89"/>
      <c r="Q22" s="89"/>
      <c r="R22" s="89"/>
      <c r="S22" s="89"/>
      <c r="T22" s="89"/>
      <c r="U22" s="89"/>
      <c r="V22" s="89"/>
      <c r="W22" s="89"/>
      <c r="X22" s="89"/>
      <c r="Y22" s="89"/>
      <c r="Z22" s="89"/>
      <c r="AA22" s="89"/>
      <c r="AB22" s="89"/>
      <c r="AC22" s="89"/>
      <c r="AD22" s="89"/>
      <c r="AE22" s="89"/>
      <c r="AF22" s="89"/>
      <c r="AG22" s="89"/>
      <c r="AH22" s="89"/>
      <c r="AI22" s="89"/>
      <c r="AJ22" s="89"/>
      <c r="AK22" s="89"/>
      <c r="AL22" s="89"/>
      <c r="AM22" s="89"/>
      <c r="AN22" s="89"/>
      <c r="AO22" s="89"/>
      <c r="AP22" s="90"/>
      <c r="AQ22" s="91"/>
      <c r="AR22" s="89"/>
      <c r="AS22" s="89"/>
      <c r="AT22" s="89"/>
      <c r="AU22" s="89"/>
      <c r="AV22" s="89"/>
      <c r="AW22" s="89"/>
      <c r="AX22" s="89"/>
      <c r="AY22" s="89"/>
      <c r="AZ22" s="89"/>
      <c r="BA22" s="89"/>
      <c r="BB22" s="89"/>
      <c r="BC22" s="89"/>
      <c r="BD22" s="89"/>
      <c r="BE22" s="92"/>
    </row>
    <row r="23" spans="1:57" ht="15" customHeight="1">
      <c r="A23" s="83"/>
      <c r="B23" s="84"/>
      <c r="C23" s="84"/>
      <c r="D23" s="84"/>
      <c r="E23" s="84"/>
      <c r="F23" s="84"/>
      <c r="G23" s="85"/>
      <c r="H23" s="86"/>
      <c r="I23" s="87"/>
      <c r="J23" s="87"/>
      <c r="K23" s="87"/>
      <c r="L23" s="87"/>
      <c r="M23" s="87"/>
      <c r="N23" s="88"/>
      <c r="O23" s="86"/>
      <c r="P23" s="89"/>
      <c r="Q23" s="89"/>
      <c r="R23" s="89"/>
      <c r="S23" s="89"/>
      <c r="T23" s="89"/>
      <c r="U23" s="89"/>
      <c r="V23" s="89"/>
      <c r="W23" s="89"/>
      <c r="X23" s="89"/>
      <c r="Y23" s="89"/>
      <c r="Z23" s="89"/>
      <c r="AA23" s="89"/>
      <c r="AB23" s="89"/>
      <c r="AC23" s="89"/>
      <c r="AD23" s="89"/>
      <c r="AE23" s="89"/>
      <c r="AF23" s="89"/>
      <c r="AG23" s="89"/>
      <c r="AH23" s="89"/>
      <c r="AI23" s="89"/>
      <c r="AJ23" s="89"/>
      <c r="AK23" s="89"/>
      <c r="AL23" s="89"/>
      <c r="AM23" s="89"/>
      <c r="AN23" s="89"/>
      <c r="AO23" s="89"/>
      <c r="AP23" s="90"/>
      <c r="AQ23" s="91"/>
      <c r="AR23" s="89"/>
      <c r="AS23" s="89"/>
      <c r="AT23" s="89"/>
      <c r="AU23" s="89"/>
      <c r="AV23" s="89"/>
      <c r="AW23" s="89"/>
      <c r="AX23" s="89"/>
      <c r="AY23" s="89"/>
      <c r="AZ23" s="89"/>
      <c r="BA23" s="89"/>
      <c r="BB23" s="89"/>
      <c r="BC23" s="89"/>
      <c r="BD23" s="89"/>
      <c r="BE23" s="92"/>
    </row>
    <row r="24" spans="1:57" ht="15" customHeight="1">
      <c r="A24" s="83"/>
      <c r="B24" s="84"/>
      <c r="C24" s="84"/>
      <c r="D24" s="84"/>
      <c r="E24" s="84"/>
      <c r="F24" s="84"/>
      <c r="G24" s="85"/>
      <c r="H24" s="86"/>
      <c r="I24" s="87"/>
      <c r="J24" s="87"/>
      <c r="K24" s="87"/>
      <c r="L24" s="87"/>
      <c r="M24" s="87"/>
      <c r="N24" s="88"/>
      <c r="O24" s="86"/>
      <c r="P24" s="89"/>
      <c r="Q24" s="89"/>
      <c r="R24" s="89"/>
      <c r="S24" s="89"/>
      <c r="T24" s="89"/>
      <c r="U24" s="89"/>
      <c r="V24" s="89"/>
      <c r="W24" s="89"/>
      <c r="X24" s="89"/>
      <c r="Y24" s="89"/>
      <c r="Z24" s="89"/>
      <c r="AA24" s="89"/>
      <c r="AB24" s="89"/>
      <c r="AC24" s="89"/>
      <c r="AD24" s="89"/>
      <c r="AE24" s="89"/>
      <c r="AF24" s="89"/>
      <c r="AG24" s="89"/>
      <c r="AH24" s="89"/>
      <c r="AI24" s="89"/>
      <c r="AJ24" s="89"/>
      <c r="AK24" s="89"/>
      <c r="AL24" s="89"/>
      <c r="AM24" s="89"/>
      <c r="AN24" s="89"/>
      <c r="AO24" s="89"/>
      <c r="AP24" s="90"/>
      <c r="AQ24" s="91"/>
      <c r="AR24" s="89"/>
      <c r="AS24" s="89"/>
      <c r="AT24" s="89"/>
      <c r="AU24" s="89"/>
      <c r="AV24" s="89"/>
      <c r="AW24" s="89"/>
      <c r="AX24" s="89"/>
      <c r="AY24" s="89"/>
      <c r="AZ24" s="89"/>
      <c r="BA24" s="89"/>
      <c r="BB24" s="89"/>
      <c r="BC24" s="89"/>
      <c r="BD24" s="89"/>
      <c r="BE24" s="92"/>
    </row>
    <row r="25" spans="1:57" ht="15" customHeight="1">
      <c r="A25" s="83"/>
      <c r="B25" s="84"/>
      <c r="C25" s="84"/>
      <c r="D25" s="84"/>
      <c r="E25" s="84"/>
      <c r="F25" s="84"/>
      <c r="G25" s="85"/>
      <c r="H25" s="86"/>
      <c r="I25" s="87"/>
      <c r="J25" s="87"/>
      <c r="K25" s="87"/>
      <c r="L25" s="87"/>
      <c r="M25" s="87"/>
      <c r="N25" s="88"/>
      <c r="O25" s="86"/>
      <c r="P25" s="89"/>
      <c r="Q25" s="89"/>
      <c r="R25" s="89"/>
      <c r="S25" s="89"/>
      <c r="T25" s="89"/>
      <c r="U25" s="89"/>
      <c r="V25" s="89"/>
      <c r="W25" s="89"/>
      <c r="X25" s="89"/>
      <c r="Y25" s="89"/>
      <c r="Z25" s="89"/>
      <c r="AA25" s="89"/>
      <c r="AB25" s="89"/>
      <c r="AC25" s="89"/>
      <c r="AD25" s="89"/>
      <c r="AE25" s="89"/>
      <c r="AF25" s="89"/>
      <c r="AG25" s="89"/>
      <c r="AH25" s="89"/>
      <c r="AI25" s="89"/>
      <c r="AJ25" s="89"/>
      <c r="AK25" s="89"/>
      <c r="AL25" s="89"/>
      <c r="AM25" s="89"/>
      <c r="AN25" s="89"/>
      <c r="AO25" s="89"/>
      <c r="AP25" s="90"/>
      <c r="AQ25" s="91"/>
      <c r="AR25" s="89"/>
      <c r="AS25" s="89"/>
      <c r="AT25" s="89"/>
      <c r="AU25" s="89"/>
      <c r="AV25" s="89"/>
      <c r="AW25" s="89"/>
      <c r="AX25" s="89"/>
      <c r="AY25" s="89"/>
      <c r="AZ25" s="89"/>
      <c r="BA25" s="89"/>
      <c r="BB25" s="89"/>
      <c r="BC25" s="89"/>
      <c r="BD25" s="89"/>
      <c r="BE25" s="92"/>
    </row>
    <row r="26" spans="1:57" ht="15" customHeight="1">
      <c r="A26" s="83"/>
      <c r="B26" s="84"/>
      <c r="C26" s="84"/>
      <c r="D26" s="84"/>
      <c r="E26" s="84"/>
      <c r="F26" s="84"/>
      <c r="G26" s="85"/>
      <c r="H26" s="86"/>
      <c r="I26" s="87"/>
      <c r="J26" s="87"/>
      <c r="K26" s="87"/>
      <c r="L26" s="87"/>
      <c r="M26" s="87"/>
      <c r="N26" s="88"/>
      <c r="O26" s="86"/>
      <c r="P26" s="89"/>
      <c r="Q26" s="89"/>
      <c r="R26" s="89"/>
      <c r="S26" s="89"/>
      <c r="T26" s="89"/>
      <c r="U26" s="89"/>
      <c r="V26" s="89"/>
      <c r="W26" s="89"/>
      <c r="X26" s="89"/>
      <c r="Y26" s="89"/>
      <c r="Z26" s="89"/>
      <c r="AA26" s="89"/>
      <c r="AB26" s="89"/>
      <c r="AC26" s="89"/>
      <c r="AD26" s="89"/>
      <c r="AE26" s="89"/>
      <c r="AF26" s="89"/>
      <c r="AG26" s="89"/>
      <c r="AH26" s="89"/>
      <c r="AI26" s="89"/>
      <c r="AJ26" s="89"/>
      <c r="AK26" s="89"/>
      <c r="AL26" s="89"/>
      <c r="AM26" s="89"/>
      <c r="AN26" s="89"/>
      <c r="AO26" s="89"/>
      <c r="AP26" s="90"/>
      <c r="AQ26" s="91"/>
      <c r="AR26" s="89"/>
      <c r="AS26" s="89"/>
      <c r="AT26" s="89"/>
      <c r="AU26" s="89"/>
      <c r="AV26" s="89"/>
      <c r="AW26" s="89"/>
      <c r="AX26" s="89"/>
      <c r="AY26" s="89"/>
      <c r="AZ26" s="89"/>
      <c r="BA26" s="89"/>
      <c r="BB26" s="89"/>
      <c r="BC26" s="89"/>
      <c r="BD26" s="89"/>
      <c r="BE26" s="92"/>
    </row>
    <row r="27" spans="1:57" ht="15" customHeight="1">
      <c r="A27" s="83"/>
      <c r="B27" s="84"/>
      <c r="C27" s="84"/>
      <c r="D27" s="84"/>
      <c r="E27" s="84"/>
      <c r="F27" s="84"/>
      <c r="G27" s="85"/>
      <c r="H27" s="86"/>
      <c r="I27" s="87"/>
      <c r="J27" s="87"/>
      <c r="K27" s="87"/>
      <c r="L27" s="87"/>
      <c r="M27" s="87"/>
      <c r="N27" s="88"/>
      <c r="O27" s="86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  <c r="AA27" s="89"/>
      <c r="AB27" s="89"/>
      <c r="AC27" s="89"/>
      <c r="AD27" s="89"/>
      <c r="AE27" s="89"/>
      <c r="AF27" s="89"/>
      <c r="AG27" s="89"/>
      <c r="AH27" s="89"/>
      <c r="AI27" s="89"/>
      <c r="AJ27" s="89"/>
      <c r="AK27" s="89"/>
      <c r="AL27" s="89"/>
      <c r="AM27" s="89"/>
      <c r="AN27" s="89"/>
      <c r="AO27" s="89"/>
      <c r="AP27" s="90"/>
      <c r="AQ27" s="91"/>
      <c r="AR27" s="89"/>
      <c r="AS27" s="89"/>
      <c r="AT27" s="89"/>
      <c r="AU27" s="89"/>
      <c r="AV27" s="89"/>
      <c r="AW27" s="89"/>
      <c r="AX27" s="89"/>
      <c r="AY27" s="89"/>
      <c r="AZ27" s="89"/>
      <c r="BA27" s="89"/>
      <c r="BB27" s="89"/>
      <c r="BC27" s="89"/>
      <c r="BD27" s="89"/>
      <c r="BE27" s="92"/>
    </row>
    <row r="28" spans="1:57" ht="15" customHeight="1">
      <c r="A28" s="83"/>
      <c r="B28" s="84"/>
      <c r="C28" s="84"/>
      <c r="D28" s="84"/>
      <c r="E28" s="84"/>
      <c r="F28" s="84"/>
      <c r="G28" s="85"/>
      <c r="H28" s="86"/>
      <c r="I28" s="87"/>
      <c r="J28" s="87"/>
      <c r="K28" s="87"/>
      <c r="L28" s="87"/>
      <c r="M28" s="87"/>
      <c r="N28" s="88"/>
      <c r="O28" s="86"/>
      <c r="P28" s="89"/>
      <c r="Q28" s="89"/>
      <c r="R28" s="89"/>
      <c r="S28" s="89"/>
      <c r="T28" s="89"/>
      <c r="U28" s="89"/>
      <c r="V28" s="89"/>
      <c r="W28" s="89"/>
      <c r="X28" s="89"/>
      <c r="Y28" s="89"/>
      <c r="Z28" s="89"/>
      <c r="AA28" s="89"/>
      <c r="AB28" s="89"/>
      <c r="AC28" s="89"/>
      <c r="AD28" s="89"/>
      <c r="AE28" s="89"/>
      <c r="AF28" s="89"/>
      <c r="AG28" s="89"/>
      <c r="AH28" s="89"/>
      <c r="AI28" s="89"/>
      <c r="AJ28" s="89"/>
      <c r="AK28" s="89"/>
      <c r="AL28" s="89"/>
      <c r="AM28" s="89"/>
      <c r="AN28" s="89"/>
      <c r="AO28" s="89"/>
      <c r="AP28" s="90"/>
      <c r="AQ28" s="91"/>
      <c r="AR28" s="89"/>
      <c r="AS28" s="89"/>
      <c r="AT28" s="89"/>
      <c r="AU28" s="89"/>
      <c r="AV28" s="89"/>
      <c r="AW28" s="89"/>
      <c r="AX28" s="89"/>
      <c r="AY28" s="89"/>
      <c r="AZ28" s="89"/>
      <c r="BA28" s="89"/>
      <c r="BB28" s="89"/>
      <c r="BC28" s="89"/>
      <c r="BD28" s="89"/>
      <c r="BE28" s="92"/>
    </row>
    <row r="29" spans="1:57" ht="15" customHeight="1">
      <c r="A29" s="83"/>
      <c r="B29" s="84"/>
      <c r="C29" s="84"/>
      <c r="D29" s="84"/>
      <c r="E29" s="84"/>
      <c r="F29" s="84"/>
      <c r="G29" s="85"/>
      <c r="H29" s="86"/>
      <c r="I29" s="87"/>
      <c r="J29" s="87"/>
      <c r="K29" s="87"/>
      <c r="L29" s="87"/>
      <c r="M29" s="87"/>
      <c r="N29" s="88"/>
      <c r="O29" s="86"/>
      <c r="P29" s="89"/>
      <c r="Q29" s="89"/>
      <c r="R29" s="89"/>
      <c r="S29" s="89"/>
      <c r="T29" s="89"/>
      <c r="U29" s="89"/>
      <c r="V29" s="89"/>
      <c r="W29" s="89"/>
      <c r="X29" s="89"/>
      <c r="Y29" s="89"/>
      <c r="Z29" s="89"/>
      <c r="AA29" s="89"/>
      <c r="AB29" s="89"/>
      <c r="AC29" s="89"/>
      <c r="AD29" s="89"/>
      <c r="AE29" s="89"/>
      <c r="AF29" s="89"/>
      <c r="AG29" s="89"/>
      <c r="AH29" s="89"/>
      <c r="AI29" s="89"/>
      <c r="AJ29" s="89"/>
      <c r="AK29" s="89"/>
      <c r="AL29" s="89"/>
      <c r="AM29" s="89"/>
      <c r="AN29" s="89"/>
      <c r="AO29" s="89"/>
      <c r="AP29" s="90"/>
      <c r="AQ29" s="91"/>
      <c r="AR29" s="89"/>
      <c r="AS29" s="89"/>
      <c r="AT29" s="89"/>
      <c r="AU29" s="89"/>
      <c r="AV29" s="89"/>
      <c r="AW29" s="89"/>
      <c r="AX29" s="89"/>
      <c r="AY29" s="89"/>
      <c r="AZ29" s="89"/>
      <c r="BA29" s="89"/>
      <c r="BB29" s="89"/>
      <c r="BC29" s="89"/>
      <c r="BD29" s="89"/>
      <c r="BE29" s="92"/>
    </row>
    <row r="30" spans="1:57" ht="15" customHeight="1">
      <c r="A30" s="83"/>
      <c r="B30" s="84"/>
      <c r="C30" s="84"/>
      <c r="D30" s="84"/>
      <c r="E30" s="84"/>
      <c r="F30" s="84"/>
      <c r="G30" s="85"/>
      <c r="H30" s="86"/>
      <c r="I30" s="87"/>
      <c r="J30" s="87"/>
      <c r="K30" s="87"/>
      <c r="L30" s="87"/>
      <c r="M30" s="87"/>
      <c r="N30" s="88"/>
      <c r="O30" s="86"/>
      <c r="P30" s="89"/>
      <c r="Q30" s="89"/>
      <c r="R30" s="89"/>
      <c r="S30" s="89"/>
      <c r="T30" s="89"/>
      <c r="U30" s="89"/>
      <c r="V30" s="89"/>
      <c r="W30" s="89"/>
      <c r="X30" s="89"/>
      <c r="Y30" s="89"/>
      <c r="Z30" s="89"/>
      <c r="AA30" s="89"/>
      <c r="AB30" s="89"/>
      <c r="AC30" s="89"/>
      <c r="AD30" s="89"/>
      <c r="AE30" s="89"/>
      <c r="AF30" s="89"/>
      <c r="AG30" s="89"/>
      <c r="AH30" s="89"/>
      <c r="AI30" s="89"/>
      <c r="AJ30" s="89"/>
      <c r="AK30" s="89"/>
      <c r="AL30" s="89"/>
      <c r="AM30" s="89"/>
      <c r="AN30" s="89"/>
      <c r="AO30" s="89"/>
      <c r="AP30" s="90"/>
      <c r="AQ30" s="91"/>
      <c r="AR30" s="89"/>
      <c r="AS30" s="89"/>
      <c r="AT30" s="89"/>
      <c r="AU30" s="89"/>
      <c r="AV30" s="89"/>
      <c r="AW30" s="89"/>
      <c r="AX30" s="89"/>
      <c r="AY30" s="89"/>
      <c r="AZ30" s="89"/>
      <c r="BA30" s="89"/>
      <c r="BB30" s="89"/>
      <c r="BC30" s="89"/>
      <c r="BD30" s="89"/>
      <c r="BE30" s="92"/>
    </row>
    <row r="31" spans="1:57" ht="15" customHeight="1">
      <c r="A31" s="83"/>
      <c r="B31" s="84"/>
      <c r="C31" s="84"/>
      <c r="D31" s="84"/>
      <c r="E31" s="84"/>
      <c r="F31" s="84"/>
      <c r="G31" s="85"/>
      <c r="H31" s="86"/>
      <c r="I31" s="87"/>
      <c r="J31" s="87"/>
      <c r="K31" s="87"/>
      <c r="L31" s="87"/>
      <c r="M31" s="87"/>
      <c r="N31" s="88"/>
      <c r="O31" s="86"/>
      <c r="P31" s="89"/>
      <c r="Q31" s="89"/>
      <c r="R31" s="89"/>
      <c r="S31" s="89"/>
      <c r="T31" s="89"/>
      <c r="U31" s="89"/>
      <c r="V31" s="89"/>
      <c r="W31" s="89"/>
      <c r="X31" s="89"/>
      <c r="Y31" s="89"/>
      <c r="Z31" s="89"/>
      <c r="AA31" s="89"/>
      <c r="AB31" s="89"/>
      <c r="AC31" s="89"/>
      <c r="AD31" s="89"/>
      <c r="AE31" s="89"/>
      <c r="AF31" s="89"/>
      <c r="AG31" s="89"/>
      <c r="AH31" s="89"/>
      <c r="AI31" s="89"/>
      <c r="AJ31" s="89"/>
      <c r="AK31" s="89"/>
      <c r="AL31" s="89"/>
      <c r="AM31" s="89"/>
      <c r="AN31" s="89"/>
      <c r="AO31" s="89"/>
      <c r="AP31" s="90"/>
      <c r="AQ31" s="91"/>
      <c r="AR31" s="89"/>
      <c r="AS31" s="89"/>
      <c r="AT31" s="89"/>
      <c r="AU31" s="89"/>
      <c r="AV31" s="89"/>
      <c r="AW31" s="89"/>
      <c r="AX31" s="89"/>
      <c r="AY31" s="89"/>
      <c r="AZ31" s="89"/>
      <c r="BA31" s="89"/>
      <c r="BB31" s="89"/>
      <c r="BC31" s="89"/>
      <c r="BD31" s="89"/>
      <c r="BE31" s="92"/>
    </row>
    <row r="32" spans="1:57" ht="15" customHeight="1">
      <c r="A32" s="83"/>
      <c r="B32" s="84"/>
      <c r="C32" s="84"/>
      <c r="D32" s="84"/>
      <c r="E32" s="84"/>
      <c r="F32" s="84"/>
      <c r="G32" s="85"/>
      <c r="H32" s="86"/>
      <c r="I32" s="87"/>
      <c r="J32" s="87"/>
      <c r="K32" s="87"/>
      <c r="L32" s="87"/>
      <c r="M32" s="87"/>
      <c r="N32" s="88"/>
      <c r="O32" s="86"/>
      <c r="P32" s="89"/>
      <c r="Q32" s="89"/>
      <c r="R32" s="89"/>
      <c r="S32" s="89"/>
      <c r="T32" s="89"/>
      <c r="U32" s="89"/>
      <c r="V32" s="89"/>
      <c r="W32" s="89"/>
      <c r="X32" s="89"/>
      <c r="Y32" s="89"/>
      <c r="Z32" s="89"/>
      <c r="AA32" s="89"/>
      <c r="AB32" s="89"/>
      <c r="AC32" s="89"/>
      <c r="AD32" s="89"/>
      <c r="AE32" s="89"/>
      <c r="AF32" s="89"/>
      <c r="AG32" s="89"/>
      <c r="AH32" s="89"/>
      <c r="AI32" s="89"/>
      <c r="AJ32" s="89"/>
      <c r="AK32" s="89"/>
      <c r="AL32" s="89"/>
      <c r="AM32" s="89"/>
      <c r="AN32" s="89"/>
      <c r="AO32" s="89"/>
      <c r="AP32" s="90"/>
      <c r="AQ32" s="91"/>
      <c r="AR32" s="89"/>
      <c r="AS32" s="89"/>
      <c r="AT32" s="89"/>
      <c r="AU32" s="89"/>
      <c r="AV32" s="89"/>
      <c r="AW32" s="89"/>
      <c r="AX32" s="89"/>
      <c r="AY32" s="89"/>
      <c r="AZ32" s="89"/>
      <c r="BA32" s="89"/>
      <c r="BB32" s="89"/>
      <c r="BC32" s="89"/>
      <c r="BD32" s="89"/>
      <c r="BE32" s="92"/>
    </row>
    <row r="33" spans="1:57" ht="15" customHeight="1">
      <c r="A33" s="83"/>
      <c r="B33" s="84"/>
      <c r="C33" s="84"/>
      <c r="D33" s="84"/>
      <c r="E33" s="84"/>
      <c r="F33" s="84"/>
      <c r="G33" s="85"/>
      <c r="H33" s="86"/>
      <c r="I33" s="87"/>
      <c r="J33" s="87"/>
      <c r="K33" s="87"/>
      <c r="L33" s="87"/>
      <c r="M33" s="87"/>
      <c r="N33" s="88"/>
      <c r="O33" s="86"/>
      <c r="P33" s="89"/>
      <c r="Q33" s="89"/>
      <c r="R33" s="89"/>
      <c r="S33" s="89"/>
      <c r="T33" s="89"/>
      <c r="U33" s="89"/>
      <c r="V33" s="89"/>
      <c r="W33" s="89"/>
      <c r="X33" s="89"/>
      <c r="Y33" s="89"/>
      <c r="Z33" s="89"/>
      <c r="AA33" s="89"/>
      <c r="AB33" s="89"/>
      <c r="AC33" s="89"/>
      <c r="AD33" s="89"/>
      <c r="AE33" s="89"/>
      <c r="AF33" s="89"/>
      <c r="AG33" s="89"/>
      <c r="AH33" s="89"/>
      <c r="AI33" s="89"/>
      <c r="AJ33" s="89"/>
      <c r="AK33" s="89"/>
      <c r="AL33" s="89"/>
      <c r="AM33" s="89"/>
      <c r="AN33" s="89"/>
      <c r="AO33" s="89"/>
      <c r="AP33" s="90"/>
      <c r="AQ33" s="91"/>
      <c r="AR33" s="89"/>
      <c r="AS33" s="89"/>
      <c r="AT33" s="89"/>
      <c r="AU33" s="89"/>
      <c r="AV33" s="89"/>
      <c r="AW33" s="89"/>
      <c r="AX33" s="89"/>
      <c r="AY33" s="89"/>
      <c r="AZ33" s="89"/>
      <c r="BA33" s="89"/>
      <c r="BB33" s="89"/>
      <c r="BC33" s="89"/>
      <c r="BD33" s="89"/>
      <c r="BE33" s="92"/>
    </row>
    <row r="34" spans="1:57" ht="15" customHeight="1">
      <c r="A34" s="83"/>
      <c r="B34" s="84"/>
      <c r="C34" s="84"/>
      <c r="D34" s="84"/>
      <c r="E34" s="84"/>
      <c r="F34" s="84"/>
      <c r="G34" s="85"/>
      <c r="H34" s="86"/>
      <c r="I34" s="87"/>
      <c r="J34" s="87"/>
      <c r="K34" s="87"/>
      <c r="L34" s="87"/>
      <c r="M34" s="87"/>
      <c r="N34" s="88"/>
      <c r="O34" s="86"/>
      <c r="P34" s="89"/>
      <c r="Q34" s="89"/>
      <c r="R34" s="89"/>
      <c r="S34" s="89"/>
      <c r="T34" s="89"/>
      <c r="U34" s="89"/>
      <c r="V34" s="89"/>
      <c r="W34" s="89"/>
      <c r="X34" s="89"/>
      <c r="Y34" s="89"/>
      <c r="Z34" s="89"/>
      <c r="AA34" s="89"/>
      <c r="AB34" s="89"/>
      <c r="AC34" s="89"/>
      <c r="AD34" s="89"/>
      <c r="AE34" s="89"/>
      <c r="AF34" s="89"/>
      <c r="AG34" s="89"/>
      <c r="AH34" s="89"/>
      <c r="AI34" s="89"/>
      <c r="AJ34" s="89"/>
      <c r="AK34" s="89"/>
      <c r="AL34" s="89"/>
      <c r="AM34" s="89"/>
      <c r="AN34" s="89"/>
      <c r="AO34" s="89"/>
      <c r="AP34" s="90"/>
      <c r="AQ34" s="91"/>
      <c r="AR34" s="89"/>
      <c r="AS34" s="89"/>
      <c r="AT34" s="89"/>
      <c r="AU34" s="89"/>
      <c r="AV34" s="89"/>
      <c r="AW34" s="89"/>
      <c r="AX34" s="89"/>
      <c r="AY34" s="89"/>
      <c r="AZ34" s="89"/>
      <c r="BA34" s="89"/>
      <c r="BB34" s="89"/>
      <c r="BC34" s="89"/>
      <c r="BD34" s="89"/>
      <c r="BE34" s="92"/>
    </row>
    <row r="35" spans="1:57" ht="15" customHeight="1" thickBot="1">
      <c r="A35" s="73"/>
      <c r="B35" s="74"/>
      <c r="C35" s="74"/>
      <c r="D35" s="74"/>
      <c r="E35" s="74"/>
      <c r="F35" s="74"/>
      <c r="G35" s="75"/>
      <c r="H35" s="76"/>
      <c r="I35" s="77"/>
      <c r="J35" s="77"/>
      <c r="K35" s="77"/>
      <c r="L35" s="77"/>
      <c r="M35" s="77"/>
      <c r="N35" s="78"/>
      <c r="O35" s="76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9"/>
      <c r="AE35" s="79"/>
      <c r="AF35" s="79"/>
      <c r="AG35" s="79"/>
      <c r="AH35" s="79"/>
      <c r="AI35" s="79"/>
      <c r="AJ35" s="79"/>
      <c r="AK35" s="79"/>
      <c r="AL35" s="79"/>
      <c r="AM35" s="79"/>
      <c r="AN35" s="79"/>
      <c r="AO35" s="79"/>
      <c r="AP35" s="80"/>
      <c r="AQ35" s="81"/>
      <c r="AR35" s="79"/>
      <c r="AS35" s="79"/>
      <c r="AT35" s="79"/>
      <c r="AU35" s="79"/>
      <c r="AV35" s="79"/>
      <c r="AW35" s="79"/>
      <c r="AX35" s="79"/>
      <c r="AY35" s="79"/>
      <c r="AZ35" s="79"/>
      <c r="BA35" s="79"/>
      <c r="BB35" s="79"/>
      <c r="BC35" s="79"/>
      <c r="BD35" s="79"/>
      <c r="BE35" s="82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16</vt:i4>
      </vt:variant>
    </vt:vector>
  </HeadingPairs>
  <TitlesOfParts>
    <vt:vector size="16" baseType="lpstr">
      <vt:lpstr>LogicCommon</vt:lpstr>
      <vt:lpstr>Lot_Chk01</vt:lpstr>
      <vt:lpstr>Lot_Chk02</vt:lpstr>
      <vt:lpstr>Lot_Chk03</vt:lpstr>
      <vt:lpstr>Lot_Srch01</vt:lpstr>
      <vt:lpstr>Lot_Srch02</vt:lpstr>
      <vt:lpstr>Lot_Upd01</vt:lpstr>
      <vt:lpstr>Lot_Upd02</vt:lpstr>
      <vt:lpstr>Lot_Upd03</vt:lpstr>
      <vt:lpstr>Lot_Upd04</vt:lpstr>
      <vt:lpstr>Lot_Upd05</vt:lpstr>
      <vt:lpstr>Lot_Upd06</vt:lpstr>
      <vt:lpstr>Lot_Upd07</vt:lpstr>
      <vt:lpstr>Lot_Upd08</vt:lpstr>
      <vt:lpstr>Lot_Del01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2026-03-27T05:59:41Z</dcterms:modified>
  <cp:category/>
</cp:coreProperties>
</file>