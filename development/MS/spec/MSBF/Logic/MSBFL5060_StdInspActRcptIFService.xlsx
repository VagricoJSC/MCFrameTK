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11060F4C-9437-496A-B6D0-911290A298D1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tdInspActIF_Upd01" sheetId="8" r:id="rId2"/>
    <sheet name="StdInspActIF_Del01" sheetId="10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</calcChain>
</file>

<file path=xl/sharedStrings.xml><?xml version="1.0" encoding="utf-8"?>
<sst xmlns="http://schemas.openxmlformats.org/spreadsheetml/2006/main" count="434" uniqueCount="211">
  <si>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</si>
  <si>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</si>
  <si>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</si>
  <si>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</si>
  <si>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</si>
  <si>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</si>
  <si>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</si>
  <si>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</si>
  <si>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</si>
  <si>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</si>
  <si>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</si>
  <si>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</si>
  <si>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</si>
  <si>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</si>
  <si>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</si>
  <si>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</si>
  <si>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</si>
  <si>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</si>
  <si>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</si>
  <si>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</si>
  <si>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o</t>
    <phoneticPr fontId="1"/>
  </si>
  <si>
    <t>TargetName</t>
    <phoneticPr fontId="1"/>
  </si>
  <si>
    <t>#</t>
    <phoneticPr fontId="1"/>
  </si>
  <si>
    <t>*</t>
  </si>
  <si>
    <t>insp_no</t>
  </si>
  <si>
    <t>#MA.INSP_NO</t>
  </si>
  <si>
    <t>act_cont_fctr</t>
  </si>
  <si>
    <t>#MA.ACT_CONT_FCTR</t>
  </si>
  <si>
    <t>L</t>
  </si>
  <si>
    <t>std_insp_act_no</t>
  </si>
  <si>
    <t>#MA.STD_INSP_ACT_NO</t>
  </si>
  <si>
    <t>#MA.STD_INSP_INST_NO</t>
  </si>
  <si>
    <t>qn_insp_val</t>
  </si>
  <si>
    <t>#MA.QN_INSP_VAL</t>
  </si>
  <si>
    <t>ql_insp_val</t>
  </si>
  <si>
    <t>#MS.QL_INSP_VAL</t>
  </si>
  <si>
    <t>usr_cd</t>
  </si>
  <si>
    <t>#MA.USR_CD</t>
  </si>
  <si>
    <t>dpt_cd</t>
  </si>
  <si>
    <t>#MA.DPT_CD</t>
  </si>
  <si>
    <t>std_insp_rslt_typ</t>
  </si>
  <si>
    <t>#MS.STD_INSP_RSLT_TYP</t>
  </si>
  <si>
    <t>act_intr_rmrks</t>
  </si>
  <si>
    <t>#MS.STD_INSP_ACT_INTR_RMRKS</t>
  </si>
  <si>
    <t>sub_char1</t>
  </si>
  <si>
    <t>#MS.STD_INSP_ACT_SUB_CHAR1</t>
  </si>
  <si>
    <t>sub_char2</t>
  </si>
  <si>
    <t>#MS.STD_INSP_ACT_SUB_CHAR2</t>
  </si>
  <si>
    <t>sub_char3</t>
  </si>
  <si>
    <t>#MS.STD_INSP_ACT_SUB_CHAR3</t>
  </si>
  <si>
    <t>K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</si>
  <si>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</si>
  <si>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</si>
  <si>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</si>
  <si>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</si>
  <si>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U</t>
    <phoneticPr fontId="1"/>
  </si>
  <si>
    <t>更新</t>
  </si>
  <si>
    <t>#</t>
    <phoneticPr fontId="1"/>
  </si>
  <si>
    <t>U</t>
    <phoneticPr fontId="1"/>
  </si>
  <si>
    <t>K</t>
    <phoneticPr fontId="1"/>
  </si>
  <si>
    <t>取消</t>
  </si>
  <si>
    <t>@</t>
    <phoneticPr fontId="3"/>
  </si>
  <si>
    <t>MSBFL5060</t>
    <phoneticPr fontId="3"/>
  </si>
  <si>
    <t>MSBFL_StdInspActRcptIFService</t>
    <phoneticPr fontId="3"/>
  </si>
  <si>
    <t>規格検査実績受信ＩＦサービス</t>
    <rPh sb="6" eb="10">
      <t>ジュ</t>
    </rPh>
    <phoneticPr fontId="3"/>
  </si>
  <si>
    <t>規格検査実績を外部システムから登録、更新、取消するための処理を提供する。</t>
    <phoneticPr fontId="3"/>
  </si>
  <si>
    <t>規格検査の実績を登録・更新する。</t>
    <phoneticPr fontId="3"/>
  </si>
  <si>
    <t>act_cont_fctr_upd_flg</t>
  </si>
  <si>
    <t>#MA.FLG</t>
    <phoneticPr fontId="3"/>
  </si>
  <si>
    <t>ql_insp_val_upd_flg</t>
  </si>
  <si>
    <t>usr_cd_upd_flg</t>
  </si>
  <si>
    <t>dpt_cd_upd_flg</t>
  </si>
  <si>
    <t>std_insp_rslt_typ_upd_flg</t>
  </si>
  <si>
    <t>act_intr_rmrks_upd_flg</t>
  </si>
  <si>
    <t>sub_char1_upd_flg</t>
  </si>
  <si>
    <t>sub_char2_upd_flg</t>
  </si>
  <si>
    <t>sub_char3_upd_flg</t>
  </si>
  <si>
    <t>#MA.UPD_CNT</t>
  </si>
  <si>
    <t>data_crud_typ</t>
    <phoneticPr fontId="3"/>
  </si>
  <si>
    <t>#MA.DATA_CRUD_TYP</t>
    <phoneticPr fontId="3"/>
  </si>
  <si>
    <t>#MA.TM</t>
  </si>
  <si>
    <t>upd_cntr_chk_flg</t>
  </si>
  <si>
    <t>StdInspActIF_Upd01_Dtl</t>
    <phoneticPr fontId="3"/>
  </si>
  <si>
    <t>StdInspActIF_Upd01_Hdr</t>
    <phoneticPr fontId="3"/>
  </si>
  <si>
    <t>StdInspActIF_Upd01</t>
    <phoneticPr fontId="3"/>
  </si>
  <si>
    <t>StdInspActIF_Del01</t>
    <phoneticPr fontId="3"/>
  </si>
  <si>
    <t>規格検査の実績を取り消す。</t>
    <phoneticPr fontId="3"/>
  </si>
  <si>
    <t>R</t>
    <phoneticPr fontId="3"/>
  </si>
  <si>
    <t>$share$</t>
  </si>
  <si>
    <t>StdInspActIF_Upd01_Ctrl</t>
    <phoneticPr fontId="3"/>
  </si>
  <si>
    <t>std_insp_inst_no</t>
    <phoneticPr fontId="3"/>
  </si>
  <si>
    <t>st_tm_upd_flg</t>
    <phoneticPr fontId="3"/>
  </si>
  <si>
    <t>end_tm_upd_flg</t>
    <phoneticPr fontId="3"/>
  </si>
  <si>
    <t>StdInspActIF_Del01_Ctrl</t>
    <phoneticPr fontId="3"/>
  </si>
  <si>
    <t>StdInspActIF_Del01_Hdr</t>
    <phoneticPr fontId="3"/>
  </si>
  <si>
    <t>inst_upd_cntr</t>
  </si>
  <si>
    <t>if_upd_typ</t>
  </si>
  <si>
    <t>#MA.IF_UPD_TYP</t>
  </si>
  <si>
    <t>peg_no</t>
  </si>
  <si>
    <t>#MA.INT</t>
  </si>
  <si>
    <t>err_flg</t>
  </si>
  <si>
    <t>#MA.FLG</t>
  </si>
  <si>
    <t>Pj.ID :</t>
    <phoneticPr fontId="1"/>
  </si>
  <si>
    <t>SuperClassPj.ID :</t>
    <phoneticPr fontId="1"/>
  </si>
  <si>
    <t>ID</t>
    <phoneticPr fontId="1"/>
  </si>
  <si>
    <t>検査終了日時</t>
    <phoneticPr fontId="3"/>
  </si>
  <si>
    <t>検査者部門ＣＤ更新</t>
    <phoneticPr fontId="3"/>
  </si>
  <si>
    <t>TargetName</t>
    <phoneticPr fontId="1"/>
  </si>
  <si>
    <t>qn_insp_val_upd_flg</t>
    <phoneticPr fontId="3"/>
  </si>
  <si>
    <t>st_tm</t>
    <phoneticPr fontId="3"/>
  </si>
  <si>
    <t>end_tm</t>
    <phoneticPr fontId="3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</si>
  <si>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</si>
  <si>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</si>
  <si>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</si>
  <si>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</si>
  <si>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</si>
  <si>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</si>
  <si>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</si>
  <si>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</si>
  <si>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</si>
  <si>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</si>
  <si>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</si>
  <si>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</si>
  <si>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ＩＦ更新区分</t>
    <phoneticPr fontId="3"/>
  </si>
  <si>
    <t>E</t>
    <phoneticPr fontId="1"/>
  </si>
  <si>
    <t>-</t>
    <phoneticPr fontId="1"/>
  </si>
  <si>
    <t>更新カウンタチェック</t>
    <phoneticPr fontId="3"/>
  </si>
  <si>
    <t>紐付けＮＯ</t>
    <phoneticPr fontId="3"/>
  </si>
  <si>
    <t>エラーＦＬＧ</t>
    <phoneticPr fontId="3"/>
  </si>
  <si>
    <t>検査ＮＯ</t>
    <phoneticPr fontId="3"/>
  </si>
  <si>
    <t>実際有効成分係数</t>
    <phoneticPr fontId="3"/>
  </si>
  <si>
    <t>実際有効成分係数更新</t>
    <phoneticPr fontId="3"/>
  </si>
  <si>
    <t>更新カウンタ（検査指図）</t>
    <phoneticPr fontId="3"/>
  </si>
  <si>
    <t>データ更新区分</t>
    <phoneticPr fontId="3"/>
  </si>
  <si>
    <t>規格検査実績ＮＯ</t>
    <phoneticPr fontId="3"/>
  </si>
  <si>
    <t>E</t>
    <phoneticPr fontId="3"/>
  </si>
  <si>
    <t>規格検査指図ＮＯ</t>
    <phoneticPr fontId="3"/>
  </si>
  <si>
    <t>定量検査値</t>
    <phoneticPr fontId="3"/>
  </si>
  <si>
    <t>定量検査値更新</t>
    <phoneticPr fontId="3"/>
  </si>
  <si>
    <t>定性検査値</t>
    <phoneticPr fontId="3"/>
  </si>
  <si>
    <t>定性検査値更新</t>
    <phoneticPr fontId="3"/>
  </si>
  <si>
    <t>検査開始日時</t>
    <phoneticPr fontId="3"/>
  </si>
  <si>
    <t>検査開始日時更新</t>
    <phoneticPr fontId="3"/>
  </si>
  <si>
    <t>検査終了日時更新</t>
    <phoneticPr fontId="3"/>
  </si>
  <si>
    <t>検査者ＣＤ</t>
    <phoneticPr fontId="3"/>
  </si>
  <si>
    <t>検査者ＣＤ更新</t>
    <phoneticPr fontId="3"/>
  </si>
  <si>
    <t>検査者部門ＣＤ</t>
    <phoneticPr fontId="3"/>
  </si>
  <si>
    <t>判定結果区分</t>
    <phoneticPr fontId="3"/>
  </si>
  <si>
    <t>判定結果区分更新</t>
    <phoneticPr fontId="3"/>
  </si>
  <si>
    <t>規格検査実績内部備考</t>
    <phoneticPr fontId="3"/>
  </si>
  <si>
    <t>規格検査実績内部備考更新</t>
    <phoneticPr fontId="3"/>
  </si>
  <si>
    <t>予備１</t>
    <phoneticPr fontId="3"/>
  </si>
  <si>
    <t>予備１更新</t>
    <phoneticPr fontId="3"/>
  </si>
  <si>
    <t>予備２</t>
    <phoneticPr fontId="3"/>
  </si>
  <si>
    <t>予備２更新</t>
    <phoneticPr fontId="3"/>
  </si>
  <si>
    <t>予備３</t>
    <phoneticPr fontId="3"/>
  </si>
  <si>
    <t>予備３更新</t>
    <phoneticPr fontId="3"/>
  </si>
  <si>
    <t>super/share</t>
    <phoneticPr fontId="1"/>
  </si>
  <si>
    <t>MS.MSBFL5060.StdInspActIF_Upd01.StdInspActIF_Upd01_Ctrl</t>
    <phoneticPr fontId="3"/>
  </si>
  <si>
    <t>MS.MSBFL5060.StdInspActIF_Upd01.StdInspActIF_Upd01_Hdr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</si>
  <si>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</si>
  <si>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</si>
  <si>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</si>
  <si>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</si>
  <si>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</si>
  <si>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</si>
  <si>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</si>
  <si>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</si>
  <si>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</si>
  <si>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</si>
  <si>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</si>
  <si>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</si>
  <si>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</si>
  <si>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</si>
  <si>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</si>
  <si>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</si>
  <si>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IF update type</t>
  </si>
  <si>
    <t>Check for update counter</t>
  </si>
  <si>
    <t>Pegging No.</t>
  </si>
  <si>
    <t>Error flg.</t>
  </si>
  <si>
    <t>Inspection No.</t>
  </si>
  <si>
    <t>Actual active ingredient coefficient</t>
  </si>
  <si>
    <t>Update actual active ingredient coefficient</t>
  </si>
  <si>
    <t>Update counter (inspection order)</t>
  </si>
  <si>
    <t>Data update type</t>
  </si>
  <si>
    <t>Specific inspection result No.</t>
  </si>
  <si>
    <t>Specific inspection order No.</t>
  </si>
  <si>
    <t>Quantitative inspection value</t>
  </si>
  <si>
    <t>Update quantitative inspection value</t>
  </si>
  <si>
    <t>Qualitative inspection value</t>
  </si>
  <si>
    <t>Update qualitative inspection value</t>
  </si>
  <si>
    <t>Inspection start date and time</t>
  </si>
  <si>
    <t>Update inspection start time</t>
  </si>
  <si>
    <t>Inspection finish date and time</t>
  </si>
  <si>
    <t>Update inspection end time</t>
  </si>
  <si>
    <t>Inspection PIC cd.</t>
  </si>
  <si>
    <t>Update inspection PIC cd.</t>
  </si>
  <si>
    <t>Dept. cd. of inspection PIC</t>
  </si>
  <si>
    <t>Update dept. cd. of inspection PIC</t>
  </si>
  <si>
    <t>Decision result type</t>
  </si>
  <si>
    <t>Update inspection result type</t>
  </si>
  <si>
    <t>Specific inspection result internal remarks</t>
  </si>
  <si>
    <t>Update specific inspection result internal remarks</t>
  </si>
  <si>
    <t>Spare 1</t>
  </si>
  <si>
    <t>Update spare 1</t>
  </si>
  <si>
    <t>Spare 2</t>
  </si>
  <si>
    <t>Update spare 2</t>
  </si>
  <si>
    <t>Spare 3</t>
  </si>
  <si>
    <t>Update 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</si>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</sst>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58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38" fontId="10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0" fillId="0" borderId="0" applyNumberFormat="0" applyFont="0" applyFill="0" applyBorder="0" applyAlignment="0" applyProtection="0">
      <alignment horizontal="left"/>
    </xf>
    <xf numFmtId="0" fontId="31" fillId="0" borderId="12">
      <alignment horizont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39" fillId="0" borderId="0"/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9" borderId="37" applyNumberFormat="0" applyAlignment="0" applyProtection="0">
      <alignment vertical="center"/>
    </xf>
    <xf numFmtId="0" fontId="34" fillId="30" borderId="37" applyNumberFormat="0" applyAlignment="0" applyProtection="0">
      <alignment vertical="center"/>
    </xf>
    <xf numFmtId="0" fontId="34" fillId="30" borderId="37" applyNumberFormat="0" applyAlignment="0" applyProtection="0">
      <alignment vertical="center"/>
    </xf>
    <xf numFmtId="0" fontId="34" fillId="30" borderId="3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29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40" fillId="0" borderId="0"/>
    <xf numFmtId="0" fontId="10" fillId="0" borderId="0"/>
    <xf numFmtId="0" fontId="10" fillId="0" borderId="0"/>
    <xf numFmtId="0" fontId="38" fillId="0" borderId="0"/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" fillId="0" borderId="0">
      <alignment vertical="top" wrapText="1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8" fillId="0" borderId="0"/>
    <xf numFmtId="0" fontId="1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 applyNumberFormat="0"/>
    <xf numFmtId="0" fontId="42" fillId="0" borderId="0">
      <alignment vertical="center"/>
    </xf>
    <xf numFmtId="0" fontId="2" fillId="0" borderId="0" applyNumberFormat="0"/>
    <xf numFmtId="0" fontId="9" fillId="0" borderId="0"/>
    <xf numFmtId="0" fontId="42" fillId="0" borderId="0" applyBorder="0" applyAlignment="0"/>
    <xf numFmtId="0" fontId="2" fillId="0" borderId="0" applyNumberFormat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0" fontId="6" fillId="0" borderId="0" applyFont="0" applyFill="0" applyBorder="0" applyAlignment="0" applyProtection="0"/>
    <xf numFmtId="179" fontId="45" fillId="0" borderId="0"/>
    <xf numFmtId="10" fontId="44" fillId="31" borderId="5" applyNumberFormat="0" applyBorder="0" applyAlignment="0" applyProtection="0"/>
    <xf numFmtId="38" fontId="44" fillId="4" borderId="0" applyNumberFormat="0" applyBorder="0" applyAlignment="0" applyProtection="0"/>
    <xf numFmtId="17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1" fillId="0" borderId="0">
      <alignment vertical="center"/>
    </xf>
    <xf numFmtId="0" fontId="39" fillId="0" borderId="0"/>
    <xf numFmtId="0" fontId="1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8" fillId="0" borderId="0"/>
    <xf numFmtId="0" fontId="19" fillId="8" borderId="0" applyNumberFormat="0" applyBorder="0" applyAlignment="0" applyProtection="0">
      <alignment vertical="center"/>
    </xf>
    <xf numFmtId="0" fontId="20" fillId="29" borderId="37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29" borderId="46" applyNumberFormat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46" fillId="0" borderId="3" xfId="0" applyFont="1" applyBorder="1" applyAlignment="1">
      <alignment vertical="center"/>
    </xf>
    <xf numFmtId="0" fontId="46" fillId="0" borderId="3" xfId="0" applyFont="1" applyBorder="1" applyAlignment="1">
      <alignment horizontal="left" vertical="top"/>
    </xf>
    <xf numFmtId="0" fontId="46" fillId="0" borderId="3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4" xfId="0" applyFont="1" applyBorder="1" applyAlignment="1">
      <alignment vertical="top"/>
    </xf>
    <xf numFmtId="0" fontId="46" fillId="0" borderId="5" xfId="0" applyFont="1" applyBorder="1" applyAlignment="1">
      <alignment vertical="top"/>
    </xf>
    <xf numFmtId="0" fontId="46" fillId="2" borderId="5" xfId="0" applyFont="1" applyFill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>
      <alignment vertical="top" wrapText="1"/>
    </xf>
    <xf numFmtId="0" fontId="46" fillId="3" borderId="5" xfId="0" applyFont="1" applyFill="1" applyBorder="1" applyAlignment="1">
      <alignment vertical="top"/>
    </xf>
    <xf numFmtId="0" fontId="46" fillId="3" borderId="2" xfId="0" applyFont="1" applyFill="1" applyBorder="1" applyAlignment="1">
      <alignment vertical="top"/>
    </xf>
    <xf numFmtId="0" fontId="46" fillId="3" borderId="2" xfId="0" applyFont="1" applyFill="1" applyBorder="1" applyAlignment="1">
      <alignment horizontal="left" vertical="top"/>
    </xf>
    <xf numFmtId="0" fontId="46" fillId="3" borderId="9" xfId="0" applyFont="1" applyFill="1" applyBorder="1" applyAlignment="1">
      <alignment vertical="top"/>
    </xf>
    <xf numFmtId="0" fontId="46" fillId="0" borderId="3" xfId="0" applyFont="1" applyBorder="1">
      <alignment vertical="top" wrapText="1"/>
    </xf>
    <xf numFmtId="0" fontId="46" fillId="0" borderId="4" xfId="0" applyFont="1" applyBorder="1" applyAlignment="1">
      <alignment vertical="center"/>
    </xf>
    <xf numFmtId="0" fontId="46" fillId="0" borderId="4" xfId="0" applyFont="1" applyBorder="1" applyAlignment="1">
      <alignment horizontal="left" vertical="top"/>
    </xf>
    <xf numFmtId="0" fontId="46" fillId="0" borderId="6" xfId="0" applyFont="1" applyBorder="1" applyAlignment="1">
      <alignment vertical="top"/>
    </xf>
    <xf numFmtId="0" fontId="46" fillId="0" borderId="0" xfId="0" applyFont="1" applyAlignment="1">
      <alignment horizontal="left" vertical="top"/>
    </xf>
    <xf numFmtId="0" fontId="46" fillId="0" borderId="10" xfId="0" applyFont="1" applyBorder="1" applyAlignment="1">
      <alignment vertical="top"/>
    </xf>
    <xf numFmtId="0" fontId="46" fillId="0" borderId="7" xfId="0" applyFont="1" applyBorder="1" applyAlignment="1">
      <alignment vertical="top"/>
    </xf>
    <xf numFmtId="0" fontId="46" fillId="2" borderId="4" xfId="0" applyFont="1" applyFill="1" applyBorder="1" applyAlignment="1">
      <alignment vertical="top"/>
    </xf>
    <xf numFmtId="0" fontId="46" fillId="2" borderId="5" xfId="0" applyFont="1" applyFill="1" applyBorder="1" applyAlignment="1">
      <alignment vertical="center"/>
    </xf>
    <xf numFmtId="0" fontId="46" fillId="0" borderId="5" xfId="0" applyFont="1" applyBorder="1">
      <alignment vertical="top" wrapText="1"/>
    </xf>
    <xf numFmtId="0" fontId="46" fillId="2" borderId="5" xfId="0" applyFont="1" applyFill="1" applyBorder="1">
      <alignment vertical="top" wrapText="1"/>
    </xf>
    <xf numFmtId="0" fontId="46" fillId="2" borderId="5" xfId="0" applyFont="1" applyFill="1" applyBorder="1" applyAlignment="1">
      <alignment wrapText="1"/>
    </xf>
    <xf numFmtId="0" fontId="46" fillId="2" borderId="5" xfId="0" applyFont="1" applyFill="1" applyBorder="1" applyAlignment="1"/>
    <xf numFmtId="0" fontId="46" fillId="2" borderId="8" xfId="0" applyFont="1" applyFill="1" applyBorder="1" applyAlignment="1">
      <alignment vertical="top"/>
    </xf>
    <xf numFmtId="0" fontId="46" fillId="2" borderId="9" xfId="0" applyFont="1" applyFill="1" applyBorder="1" applyAlignment="1">
      <alignment vertical="top"/>
    </xf>
    <xf numFmtId="0" fontId="46" fillId="0" borderId="4" xfId="0" applyFont="1" applyBorder="1" applyAlignment="1">
      <alignment wrapText="1"/>
    </xf>
    <xf numFmtId="0" fontId="46" fillId="2" borderId="2" xfId="0" applyFont="1" applyFill="1" applyBorder="1" applyAlignment="1">
      <alignment vertical="top"/>
    </xf>
    <xf numFmtId="0" fontId="46" fillId="0" borderId="2" xfId="0" applyFont="1" applyBorder="1">
      <alignment vertical="top" wrapText="1"/>
    </xf>
    <xf numFmtId="0" fontId="46" fillId="0" borderId="2" xfId="0" applyFont="1" applyBorder="1" applyAlignment="1">
      <alignment wrapText="1"/>
    </xf>
    <xf numFmtId="0" fontId="46" fillId="0" borderId="0" xfId="0" applyFont="1" applyAlignment="1">
      <alignment wrapText="1"/>
    </xf>
    <xf numFmtId="0" fontId="46" fillId="0" borderId="2" xfId="0" applyFont="1" applyBorder="1" applyAlignment="1"/>
    <xf numFmtId="0" fontId="46" fillId="0" borderId="9" xfId="0" applyFont="1" applyBorder="1" applyAlignment="1">
      <alignment wrapText="1"/>
    </xf>
    <xf numFmtId="0" fontId="46" fillId="0" borderId="8" xfId="0" applyFont="1" applyBorder="1" applyAlignment="1">
      <alignment wrapText="1"/>
    </xf>
    <xf numFmtId="0" fontId="46" fillId="3" borderId="5" xfId="0" applyFont="1" applyFill="1" applyBorder="1">
      <alignment vertical="top" wrapText="1"/>
    </xf>
    <xf numFmtId="0" fontId="46" fillId="0" borderId="10" xfId="0" applyFont="1" applyBorder="1">
      <alignment vertical="top" wrapText="1"/>
    </xf>
    <xf numFmtId="0" fontId="46" fillId="0" borderId="7" xfId="0" applyFont="1" applyBorder="1" applyAlignment="1">
      <alignment wrapText="1"/>
    </xf>
    <xf numFmtId="0" fontId="46" fillId="0" borderId="32" xfId="0" applyFont="1" applyBorder="1" applyAlignment="1">
      <alignment wrapText="1"/>
    </xf>
    <xf numFmtId="0" fontId="46" fillId="0" borderId="3" xfId="0" applyFont="1" applyBorder="1" applyAlignment="1">
      <alignment wrapText="1"/>
    </xf>
    <xf numFmtId="0" fontId="46" fillId="0" borderId="7" xfId="0" applyFont="1" applyBorder="1">
      <alignment vertical="top" wrapText="1"/>
    </xf>
    <xf numFmtId="0" fontId="49" fillId="0" borderId="0" xfId="6" applyFont="1"/>
    <xf numFmtId="0" fontId="49" fillId="0" borderId="0" xfId="6" applyFont="1" applyAlignment="1">
      <alignment horizontal="center" vertical="center"/>
    </xf>
    <xf numFmtId="0" fontId="49" fillId="0" borderId="0" xfId="6" applyFont="1" applyAlignment="1">
      <alignment horizontal="center"/>
    </xf>
    <xf numFmtId="0" fontId="49" fillId="0" borderId="0" xfId="8" applyFont="1"/>
    <xf numFmtId="0" fontId="49" fillId="0" borderId="0" xfId="8" applyFont="1" applyAlignment="1">
      <alignment horizontal="center"/>
    </xf>
    <xf numFmtId="0" fontId="46" fillId="0" borderId="9" xfId="0" applyFont="1" applyBorder="1" applyAlignment="1"/>
    <xf numFmtId="0" fontId="46" fillId="2" borderId="3" xfId="0" applyFont="1" applyFill="1" applyBorder="1" applyAlignment="1">
      <alignment vertical="top"/>
    </xf>
    <xf numFmtId="0" fontId="46" fillId="2" borderId="30" xfId="0" applyFont="1" applyFill="1" applyBorder="1" applyAlignment="1">
      <alignment vertical="top"/>
    </xf>
    <xf numFmtId="0" fontId="46" fillId="5" borderId="5" xfId="0" applyFont="1" applyFill="1" applyBorder="1" applyAlignment="1">
      <alignment vertical="top"/>
    </xf>
    <xf numFmtId="0" fontId="46" fillId="2" borderId="31" xfId="0" applyFont="1" applyFill="1" applyBorder="1" applyAlignment="1">
      <alignment vertical="top"/>
    </xf>
    <xf numFmtId="0" fontId="46" fillId="2" borderId="0" xfId="0" applyFont="1" applyFill="1" applyAlignment="1">
      <alignment vertical="top"/>
    </xf>
    <xf numFmtId="0" fontId="46" fillId="5" borderId="0" xfId="0" applyFont="1" applyFill="1">
      <alignment vertical="top" wrapText="1"/>
    </xf>
    <xf numFmtId="0" fontId="46" fillId="0" borderId="8" xfId="0" applyFont="1" applyBorder="1" applyAlignment="1">
      <alignment vertical="top"/>
    </xf>
    <xf numFmtId="0" fontId="46" fillId="2" borderId="5" xfId="0" quotePrefix="1" applyFont="1" applyFill="1" applyBorder="1" applyAlignment="1">
      <alignment vertical="top"/>
    </xf>
    <xf numFmtId="0" fontId="46" fillId="0" borderId="5" xfId="0" applyFont="1" applyBorder="1" applyAlignment="1">
      <alignment vertical="center"/>
    </xf>
    <xf numFmtId="0" fontId="46" fillId="0" borderId="0" xfId="0" applyFont="1" applyAlignment="1"/>
    <xf numFmtId="0" fontId="46" fillId="2" borderId="32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32" xfId="0" applyFont="1" applyBorder="1" applyAlignment="1">
      <alignment vertical="top"/>
    </xf>
    <xf numFmtId="0" fontId="46" fillId="0" borderId="4" xfId="0" applyFont="1" applyBorder="1">
      <alignment vertical="top" wrapText="1"/>
    </xf>
    <xf numFmtId="0" fontId="46" fillId="2" borderId="8" xfId="0" applyFont="1" applyFill="1" applyBorder="1">
      <alignment vertical="top" wrapText="1"/>
    </xf>
    <xf numFmtId="0" fontId="46" fillId="2" borderId="9" xfId="0" applyFont="1" applyFill="1" applyBorder="1">
      <alignment vertical="top" wrapText="1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7" fillId="3" borderId="11" xfId="6" applyFont="1" applyFill="1" applyBorder="1" applyAlignment="1">
      <alignment horizontal="center" vertical="center"/>
    </xf>
    <xf numFmtId="0" fontId="48" fillId="0" borderId="12" xfId="7" applyFont="1" applyBorder="1" applyAlignment="1">
      <alignment vertical="center"/>
    </xf>
    <xf numFmtId="0" fontId="48" fillId="0" borderId="13" xfId="7" applyFont="1" applyBorder="1" applyAlignment="1">
      <alignment vertical="center"/>
    </xf>
    <xf numFmtId="0" fontId="49" fillId="3" borderId="14" xfId="8" applyFont="1" applyFill="1" applyBorder="1" applyAlignment="1">
      <alignment horizontal="center" vertical="center"/>
    </xf>
    <xf numFmtId="0" fontId="48" fillId="0" borderId="1" xfId="7" applyFont="1" applyBorder="1" applyAlignment="1">
      <alignment horizontal="center" vertical="center"/>
    </xf>
    <xf numFmtId="0" fontId="48" fillId="0" borderId="15" xfId="7" applyFont="1" applyBorder="1" applyAlignment="1">
      <alignment horizontal="center" vertical="center"/>
    </xf>
    <xf numFmtId="0" fontId="49" fillId="3" borderId="16" xfId="8" applyFont="1" applyFill="1" applyBorder="1" applyAlignment="1">
      <alignment horizontal="center" vertical="center"/>
    </xf>
    <xf numFmtId="0" fontId="49" fillId="3" borderId="1" xfId="8" applyFont="1" applyFill="1" applyBorder="1" applyAlignment="1">
      <alignment horizontal="center" vertical="center"/>
    </xf>
    <xf numFmtId="0" fontId="49" fillId="3" borderId="15" xfId="8" applyFont="1" applyFill="1" applyBorder="1" applyAlignment="1">
      <alignment horizontal="center" vertical="center"/>
    </xf>
    <xf numFmtId="0" fontId="49" fillId="3" borderId="16" xfId="7" applyFont="1" applyFill="1" applyBorder="1" applyAlignment="1">
      <alignment horizontal="center" vertical="center"/>
    </xf>
    <xf numFmtId="0" fontId="49" fillId="0" borderId="1" xfId="7" applyFont="1" applyBorder="1" applyAlignment="1">
      <alignment horizontal="center" vertical="center"/>
    </xf>
    <xf numFmtId="0" fontId="49" fillId="0" borderId="17" xfId="7" applyFont="1" applyBorder="1" applyAlignment="1">
      <alignment horizontal="center" vertical="center"/>
    </xf>
    <xf numFmtId="177" fontId="48" fillId="0" borderId="18" xfId="8" applyNumberFormat="1" applyFont="1" applyBorder="1" applyAlignment="1">
      <alignment horizontal="center" vertical="center"/>
    </xf>
    <xf numFmtId="177" fontId="48" fillId="0" borderId="19" xfId="7" applyNumberFormat="1" applyFont="1" applyBorder="1" applyAlignment="1">
      <alignment horizontal="center" vertical="center"/>
    </xf>
    <xf numFmtId="177" fontId="48" fillId="0" borderId="20" xfId="7" applyNumberFormat="1" applyFont="1" applyBorder="1" applyAlignment="1">
      <alignment horizontal="center" vertical="center"/>
    </xf>
    <xf numFmtId="0" fontId="48" fillId="0" borderId="21" xfId="8" applyFont="1" applyBorder="1" applyAlignment="1">
      <alignment horizontal="left" vertical="center" wrapText="1"/>
    </xf>
    <xf numFmtId="0" fontId="48" fillId="0" borderId="19" xfId="7" applyFont="1" applyBorder="1" applyAlignment="1">
      <alignment horizontal="left" vertical="center" wrapText="1"/>
    </xf>
    <xf numFmtId="0" fontId="48" fillId="0" borderId="20" xfId="7" applyFont="1" applyBorder="1" applyAlignment="1">
      <alignment horizontal="left" vertical="center" wrapText="1"/>
    </xf>
    <xf numFmtId="0" fontId="48" fillId="0" borderId="19" xfId="7" applyFont="1" applyBorder="1" applyAlignment="1">
      <alignment vertical="center" wrapText="1"/>
    </xf>
    <xf numFmtId="0" fontId="48" fillId="0" borderId="20" xfId="7" applyFont="1" applyBorder="1" applyAlignment="1">
      <alignment vertical="center" wrapText="1"/>
    </xf>
    <xf numFmtId="0" fontId="48" fillId="0" borderId="21" xfId="8" applyFont="1" applyBorder="1" applyAlignment="1">
      <alignment vertical="center" wrapText="1"/>
    </xf>
    <xf numFmtId="0" fontId="48" fillId="0" borderId="22" xfId="7" applyFont="1" applyBorder="1" applyAlignment="1">
      <alignment vertical="center" wrapText="1"/>
    </xf>
    <xf numFmtId="177" fontId="48" fillId="0" borderId="23" xfId="8" applyNumberFormat="1" applyFont="1" applyBorder="1" applyAlignment="1">
      <alignment horizontal="center" vertical="center"/>
    </xf>
    <xf numFmtId="177" fontId="48" fillId="0" borderId="2" xfId="7" applyNumberFormat="1" applyFont="1" applyBorder="1" applyAlignment="1">
      <alignment horizontal="center" vertical="center"/>
    </xf>
    <xf numFmtId="177" fontId="48" fillId="0" borderId="9" xfId="7" applyNumberFormat="1" applyFont="1" applyBorder="1" applyAlignment="1">
      <alignment horizontal="center" vertical="center"/>
    </xf>
    <xf numFmtId="0" fontId="48" fillId="0" borderId="8" xfId="8" applyFont="1" applyBorder="1" applyAlignment="1">
      <alignment horizontal="center" vertical="center" wrapText="1"/>
    </xf>
    <xf numFmtId="0" fontId="48" fillId="0" borderId="2" xfId="7" applyFont="1" applyBorder="1" applyAlignment="1">
      <alignment horizontal="center" vertical="center" wrapText="1"/>
    </xf>
    <xf numFmtId="0" fontId="48" fillId="0" borderId="9" xfId="7" applyFont="1" applyBorder="1" applyAlignment="1">
      <alignment horizontal="center" vertical="center" wrapText="1"/>
    </xf>
    <xf numFmtId="0" fontId="48" fillId="0" borderId="8" xfId="8" applyFont="1" applyBorder="1" applyAlignment="1">
      <alignment horizontal="left" vertical="center" wrapText="1"/>
    </xf>
    <xf numFmtId="0" fontId="48" fillId="0" borderId="2" xfId="8" applyFont="1" applyBorder="1" applyAlignment="1">
      <alignment horizontal="left" vertical="center" wrapText="1"/>
    </xf>
    <xf numFmtId="0" fontId="48" fillId="0" borderId="9" xfId="8" applyFont="1" applyBorder="1" applyAlignment="1">
      <alignment horizontal="left" vertical="center" wrapText="1"/>
    </xf>
    <xf numFmtId="0" fontId="48" fillId="0" borderId="8" xfId="8" applyFont="1" applyBorder="1" applyAlignment="1">
      <alignment vertical="center" wrapText="1"/>
    </xf>
    <xf numFmtId="0" fontId="48" fillId="0" borderId="2" xfId="8" applyFont="1" applyBorder="1" applyAlignment="1">
      <alignment vertical="center" wrapText="1"/>
    </xf>
    <xf numFmtId="0" fontId="48" fillId="0" borderId="24" xfId="8" applyFont="1" applyBorder="1" applyAlignment="1">
      <alignment vertical="center" wrapText="1"/>
    </xf>
    <xf numFmtId="0" fontId="48" fillId="0" borderId="2" xfId="7" applyFont="1" applyBorder="1" applyAlignment="1">
      <alignment horizontal="left" vertical="center" wrapText="1"/>
    </xf>
    <xf numFmtId="0" fontId="48" fillId="0" borderId="9" xfId="7" applyFont="1" applyBorder="1" applyAlignment="1">
      <alignment horizontal="left" vertical="center" wrapText="1"/>
    </xf>
    <xf numFmtId="0" fontId="48" fillId="0" borderId="2" xfId="7" applyFont="1" applyBorder="1" applyAlignment="1">
      <alignment vertical="center" wrapText="1"/>
    </xf>
    <xf numFmtId="0" fontId="48" fillId="0" borderId="9" xfId="7" applyFont="1" applyBorder="1" applyAlignment="1">
      <alignment vertical="center" wrapText="1"/>
    </xf>
    <xf numFmtId="0" fontId="48" fillId="0" borderId="24" xfId="7" applyFont="1" applyBorder="1" applyAlignment="1">
      <alignment vertical="center" wrapText="1"/>
    </xf>
    <xf numFmtId="0" fontId="48" fillId="0" borderId="8" xfId="8" applyFont="1" applyBorder="1" applyAlignment="1">
      <alignment horizontal="left" vertical="center"/>
    </xf>
    <xf numFmtId="0" fontId="48" fillId="0" borderId="2" xfId="7" applyFont="1" applyBorder="1" applyAlignment="1">
      <alignment horizontal="left" vertical="center"/>
    </xf>
    <xf numFmtId="0" fontId="48" fillId="0" borderId="9" xfId="7" applyFont="1" applyBorder="1" applyAlignment="1">
      <alignment horizontal="left" vertical="center"/>
    </xf>
    <xf numFmtId="0" fontId="48" fillId="0" borderId="8" xfId="8" applyFont="1" applyBorder="1" applyAlignment="1">
      <alignment vertical="center"/>
    </xf>
    <xf numFmtId="0" fontId="48" fillId="0" borderId="2" xfId="7" applyFont="1" applyBorder="1" applyAlignment="1">
      <alignment vertical="center"/>
    </xf>
    <xf numFmtId="0" fontId="48" fillId="0" borderId="24" xfId="7" applyFont="1" applyBorder="1" applyAlignment="1">
      <alignment vertical="center"/>
    </xf>
    <xf numFmtId="177" fontId="48" fillId="0" borderId="25" xfId="8" applyNumberFormat="1" applyFont="1" applyBorder="1" applyAlignment="1">
      <alignment horizontal="center" vertical="center"/>
    </xf>
    <xf numFmtId="177" fontId="48" fillId="0" borderId="26" xfId="7" applyNumberFormat="1" applyFont="1" applyBorder="1" applyAlignment="1">
      <alignment horizontal="center" vertical="center"/>
    </xf>
    <xf numFmtId="177" fontId="48" fillId="0" borderId="27" xfId="7" applyNumberFormat="1" applyFont="1" applyBorder="1" applyAlignment="1">
      <alignment horizontal="center" vertical="center"/>
    </xf>
    <xf numFmtId="0" fontId="48" fillId="0" borderId="28" xfId="8" applyFont="1" applyBorder="1" applyAlignment="1">
      <alignment horizontal="left" vertical="center" wrapText="1"/>
    </xf>
    <xf numFmtId="0" fontId="48" fillId="0" borderId="26" xfId="7" applyFont="1" applyBorder="1" applyAlignment="1">
      <alignment horizontal="left" vertical="center" wrapText="1"/>
    </xf>
    <xf numFmtId="0" fontId="48" fillId="0" borderId="27" xfId="7" applyFont="1" applyBorder="1" applyAlignment="1">
      <alignment horizontal="left" vertical="center" wrapText="1"/>
    </xf>
    <xf numFmtId="0" fontId="48" fillId="0" borderId="26" xfId="7" applyFont="1" applyBorder="1" applyAlignment="1">
      <alignment vertical="center" wrapText="1"/>
    </xf>
    <xf numFmtId="0" fontId="48" fillId="0" borderId="27" xfId="7" applyFont="1" applyBorder="1" applyAlignment="1">
      <alignment vertical="center" wrapText="1"/>
    </xf>
    <xf numFmtId="0" fontId="48" fillId="0" borderId="28" xfId="8" applyFont="1" applyBorder="1" applyAlignment="1">
      <alignment vertical="center" wrapText="1"/>
    </xf>
    <xf numFmtId="0" fontId="48" fillId="0" borderId="29" xfId="7" applyFont="1" applyBorder="1" applyAlignment="1">
      <alignment vertical="center" wrapText="1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</cellXfs>
  <cellStyles count="258">
    <cellStyle name="0301" xfId="10" xr:uid="{00000000-0005-0000-0000-000000000000}"/>
    <cellStyle name="0_x0014_標準_F_02?P_Dd080301" xfId="11" xr:uid="{00000000-0005-0000-0000-000001000000}"/>
    <cellStyle name="20% - アクセント 1 2" xfId="19" xr:uid="{00000000-0005-0000-0000-000002000000}"/>
    <cellStyle name="20% - アクセント 1 3" xfId="20" xr:uid="{00000000-0005-0000-0000-000003000000}"/>
    <cellStyle name="20% - アクセント 1 4" xfId="21" xr:uid="{00000000-0005-0000-0000-000004000000}"/>
    <cellStyle name="20% - アクセント 1 5" xfId="214" xr:uid="{00000000-0005-0000-0000-000005000000}"/>
    <cellStyle name="20% - アクセント 1 6" xfId="18" xr:uid="{00000000-0005-0000-0000-000006000000}"/>
    <cellStyle name="20% - アクセント 2 2" xfId="23" xr:uid="{00000000-0005-0000-0000-000007000000}"/>
    <cellStyle name="20% - アクセント 2 3" xfId="24" xr:uid="{00000000-0005-0000-0000-000008000000}"/>
    <cellStyle name="20% - アクセント 2 4" xfId="25" xr:uid="{00000000-0005-0000-0000-000009000000}"/>
    <cellStyle name="20% - アクセント 2 5" xfId="213" xr:uid="{00000000-0005-0000-0000-00000A000000}"/>
    <cellStyle name="20% - アクセント 2 6" xfId="22" xr:uid="{00000000-0005-0000-0000-00000B000000}"/>
    <cellStyle name="20% - アクセント 3 2" xfId="27" xr:uid="{00000000-0005-0000-0000-00000C000000}"/>
    <cellStyle name="20% - アクセント 3 3" xfId="28" xr:uid="{00000000-0005-0000-0000-00000D000000}"/>
    <cellStyle name="20% - アクセント 3 4" xfId="29" xr:uid="{00000000-0005-0000-0000-00000E000000}"/>
    <cellStyle name="20% - アクセント 3 5" xfId="212" xr:uid="{00000000-0005-0000-0000-00000F000000}"/>
    <cellStyle name="20% - アクセント 3 6" xfId="26" xr:uid="{00000000-0005-0000-0000-000010000000}"/>
    <cellStyle name="20% - アクセント 4 2" xfId="31" xr:uid="{00000000-0005-0000-0000-000011000000}"/>
    <cellStyle name="20% - アクセント 4 3" xfId="32" xr:uid="{00000000-0005-0000-0000-000012000000}"/>
    <cellStyle name="20% - アクセント 4 4" xfId="33" xr:uid="{00000000-0005-0000-0000-000013000000}"/>
    <cellStyle name="20% - アクセント 4 5" xfId="211" xr:uid="{00000000-0005-0000-0000-000014000000}"/>
    <cellStyle name="20% - アクセント 4 6" xfId="30" xr:uid="{00000000-0005-0000-0000-000015000000}"/>
    <cellStyle name="20% - アクセント 5 2" xfId="35" xr:uid="{00000000-0005-0000-0000-000016000000}"/>
    <cellStyle name="20% - アクセント 5 3" xfId="36" xr:uid="{00000000-0005-0000-0000-000017000000}"/>
    <cellStyle name="20% - アクセント 5 4" xfId="37" xr:uid="{00000000-0005-0000-0000-000018000000}"/>
    <cellStyle name="20% - アクセント 5 5" xfId="34" xr:uid="{00000000-0005-0000-0000-000019000000}"/>
    <cellStyle name="20% - アクセント 6 2" xfId="39" xr:uid="{00000000-0005-0000-0000-00001A000000}"/>
    <cellStyle name="20% - アクセント 6 3" xfId="40" xr:uid="{00000000-0005-0000-0000-00001B000000}"/>
    <cellStyle name="20% - アクセント 6 4" xfId="41" xr:uid="{00000000-0005-0000-0000-00001C000000}"/>
    <cellStyle name="20% - アクセント 6 5" xfId="210" xr:uid="{00000000-0005-0000-0000-00001D000000}"/>
    <cellStyle name="20% - アクセント 6 6" xfId="38" xr:uid="{00000000-0005-0000-0000-00001E000000}"/>
    <cellStyle name="40% - アクセント 1 2" xfId="43" xr:uid="{00000000-0005-0000-0000-00001F000000}"/>
    <cellStyle name="40% - アクセント 1 3" xfId="44" xr:uid="{00000000-0005-0000-0000-000020000000}"/>
    <cellStyle name="40% - アクセント 1 4" xfId="45" xr:uid="{00000000-0005-0000-0000-000021000000}"/>
    <cellStyle name="40% - アクセント 1 5" xfId="209" xr:uid="{00000000-0005-0000-0000-000022000000}"/>
    <cellStyle name="40% - アクセント 1 6" xfId="42" xr:uid="{00000000-0005-0000-0000-000023000000}"/>
    <cellStyle name="40% - アクセント 2 2" xfId="47" xr:uid="{00000000-0005-0000-0000-000024000000}"/>
    <cellStyle name="40% - アクセント 2 3" xfId="48" xr:uid="{00000000-0005-0000-0000-000025000000}"/>
    <cellStyle name="40% - アクセント 2 4" xfId="49" xr:uid="{00000000-0005-0000-0000-000026000000}"/>
    <cellStyle name="40% - アクセント 2 5" xfId="46" xr:uid="{00000000-0005-0000-0000-000027000000}"/>
    <cellStyle name="40% - アクセント 3 2" xfId="51" xr:uid="{00000000-0005-0000-0000-000028000000}"/>
    <cellStyle name="40% - アクセント 3 3" xfId="52" xr:uid="{00000000-0005-0000-0000-000029000000}"/>
    <cellStyle name="40% - アクセント 3 4" xfId="53" xr:uid="{00000000-0005-0000-0000-00002A000000}"/>
    <cellStyle name="40% - アクセント 3 5" xfId="236" xr:uid="{00000000-0005-0000-0000-00002B000000}"/>
    <cellStyle name="40% - アクセント 3 6" xfId="50" xr:uid="{00000000-0005-0000-0000-00002C000000}"/>
    <cellStyle name="40% - アクセント 4 2" xfId="55" xr:uid="{00000000-0005-0000-0000-00002D000000}"/>
    <cellStyle name="40% - アクセント 4 3" xfId="56" xr:uid="{00000000-0005-0000-0000-00002E000000}"/>
    <cellStyle name="40% - アクセント 4 4" xfId="57" xr:uid="{00000000-0005-0000-0000-00002F000000}"/>
    <cellStyle name="40% - アクセント 4 5" xfId="208" xr:uid="{00000000-0005-0000-0000-000030000000}"/>
    <cellStyle name="40% - アクセント 4 6" xfId="54" xr:uid="{00000000-0005-0000-0000-000031000000}"/>
    <cellStyle name="40% - アクセント 5 2" xfId="59" xr:uid="{00000000-0005-0000-0000-000032000000}"/>
    <cellStyle name="40% - アクセント 5 3" xfId="60" xr:uid="{00000000-0005-0000-0000-000033000000}"/>
    <cellStyle name="40% - アクセント 5 4" xfId="61" xr:uid="{00000000-0005-0000-0000-000034000000}"/>
    <cellStyle name="40% - アクセント 5 5" xfId="207" xr:uid="{00000000-0005-0000-0000-000035000000}"/>
    <cellStyle name="40% - アクセント 5 6" xfId="58" xr:uid="{00000000-0005-0000-0000-000036000000}"/>
    <cellStyle name="40% - アクセント 6 2" xfId="63" xr:uid="{00000000-0005-0000-0000-000037000000}"/>
    <cellStyle name="40% - アクセント 6 3" xfId="64" xr:uid="{00000000-0005-0000-0000-000038000000}"/>
    <cellStyle name="40% - アクセント 6 4" xfId="65" xr:uid="{00000000-0005-0000-0000-000039000000}"/>
    <cellStyle name="40% - アクセント 6 5" xfId="206" xr:uid="{00000000-0005-0000-0000-00003A000000}"/>
    <cellStyle name="40% - アクセント 6 6" xfId="62" xr:uid="{00000000-0005-0000-0000-00003B000000}"/>
    <cellStyle name="60% - アクセント 1 2" xfId="67" xr:uid="{00000000-0005-0000-0000-00003C000000}"/>
    <cellStyle name="60% - アクセント 1 3" xfId="68" xr:uid="{00000000-0005-0000-0000-00003D000000}"/>
    <cellStyle name="60% - アクセント 1 4" xfId="69" xr:uid="{00000000-0005-0000-0000-00003E000000}"/>
    <cellStyle name="60% - アクセント 1 5" xfId="205" xr:uid="{00000000-0005-0000-0000-00003F000000}"/>
    <cellStyle name="60% - アクセント 1 6" xfId="66" xr:uid="{00000000-0005-0000-0000-000040000000}"/>
    <cellStyle name="60% - アクセント 2 2" xfId="71" xr:uid="{00000000-0005-0000-0000-000041000000}"/>
    <cellStyle name="60% - アクセント 2 3" xfId="72" xr:uid="{00000000-0005-0000-0000-000042000000}"/>
    <cellStyle name="60% - アクセント 2 4" xfId="73" xr:uid="{00000000-0005-0000-0000-000043000000}"/>
    <cellStyle name="60% - アクセント 2 5" xfId="204" xr:uid="{00000000-0005-0000-0000-000044000000}"/>
    <cellStyle name="60% - アクセント 2 6" xfId="70" xr:uid="{00000000-0005-0000-0000-000045000000}"/>
    <cellStyle name="60% - アクセント 3 2" xfId="75" xr:uid="{00000000-0005-0000-0000-000046000000}"/>
    <cellStyle name="60% - アクセント 3 3" xfId="76" xr:uid="{00000000-0005-0000-0000-000047000000}"/>
    <cellStyle name="60% - アクセント 3 4" xfId="77" xr:uid="{00000000-0005-0000-0000-000048000000}"/>
    <cellStyle name="60% - アクセント 3 5" xfId="203" xr:uid="{00000000-0005-0000-0000-000049000000}"/>
    <cellStyle name="60% - アクセント 3 6" xfId="74" xr:uid="{00000000-0005-0000-0000-00004A000000}"/>
    <cellStyle name="60% - アクセント 4 2" xfId="79" xr:uid="{00000000-0005-0000-0000-00004B000000}"/>
    <cellStyle name="60% - アクセント 4 3" xfId="80" xr:uid="{00000000-0005-0000-0000-00004C000000}"/>
    <cellStyle name="60% - アクセント 4 4" xfId="81" xr:uid="{00000000-0005-0000-0000-00004D000000}"/>
    <cellStyle name="60% - アクセント 4 5" xfId="202" xr:uid="{00000000-0005-0000-0000-00004E000000}"/>
    <cellStyle name="60% - アクセント 4 6" xfId="78" xr:uid="{00000000-0005-0000-0000-00004F000000}"/>
    <cellStyle name="60% - アクセント 5 2" xfId="83" xr:uid="{00000000-0005-0000-0000-000050000000}"/>
    <cellStyle name="60% - アクセント 5 3" xfId="84" xr:uid="{00000000-0005-0000-0000-000051000000}"/>
    <cellStyle name="60% - アクセント 5 4" xfId="85" xr:uid="{00000000-0005-0000-0000-000052000000}"/>
    <cellStyle name="60% - アクセント 5 5" xfId="201" xr:uid="{00000000-0005-0000-0000-000053000000}"/>
    <cellStyle name="60% - アクセント 5 6" xfId="82" xr:uid="{00000000-0005-0000-0000-000054000000}"/>
    <cellStyle name="60% - アクセント 6 2" xfId="87" xr:uid="{00000000-0005-0000-0000-000055000000}"/>
    <cellStyle name="60% - アクセント 6 3" xfId="88" xr:uid="{00000000-0005-0000-0000-000056000000}"/>
    <cellStyle name="60% - アクセント 6 4" xfId="89" xr:uid="{00000000-0005-0000-0000-000057000000}"/>
    <cellStyle name="60% - アクセント 6 5" xfId="237" xr:uid="{00000000-0005-0000-0000-000058000000}"/>
    <cellStyle name="60% - アクセント 6 6" xfId="86" xr:uid="{00000000-0005-0000-0000-000059000000}"/>
    <cellStyle name="Calc Currency (0)" xfId="1" xr:uid="{00000000-0005-0000-0000-00005A000000}"/>
    <cellStyle name="Comma [0]" xfId="232" xr:uid="{00000000-0005-0000-0000-00005B000000}"/>
    <cellStyle name="Currency [0]" xfId="231" xr:uid="{00000000-0005-0000-0000-00005C000000}"/>
    <cellStyle name="Grey" xfId="230" xr:uid="{00000000-0005-0000-0000-00005D000000}"/>
    <cellStyle name="Header1" xfId="2" xr:uid="{00000000-0005-0000-0000-00005E000000}"/>
    <cellStyle name="Header2" xfId="3" xr:uid="{00000000-0005-0000-0000-00005F000000}"/>
    <cellStyle name="Input [yellow]" xfId="229" xr:uid="{00000000-0005-0000-0000-000060000000}"/>
    <cellStyle name="Normal - Style1" xfId="228" xr:uid="{00000000-0005-0000-0000-000061000000}"/>
    <cellStyle name="Normal_#18-Internet" xfId="4" xr:uid="{00000000-0005-0000-0000-000062000000}"/>
    <cellStyle name="Percent [2]" xfId="227" xr:uid="{00000000-0005-0000-0000-000063000000}"/>
    <cellStyle name="PSChar" xfId="90" xr:uid="{00000000-0005-0000-0000-000064000000}"/>
    <cellStyle name="PSHeading" xfId="91" xr:uid="{00000000-0005-0000-0000-000065000000}"/>
    <cellStyle name="u" xfId="5" xr:uid="{00000000-0005-0000-0000-000066000000}"/>
    <cellStyle name="アクセント 1 2" xfId="93" xr:uid="{00000000-0005-0000-0000-000067000000}"/>
    <cellStyle name="アクセント 1 3" xfId="94" xr:uid="{00000000-0005-0000-0000-000068000000}"/>
    <cellStyle name="アクセント 1 4" xfId="95" xr:uid="{00000000-0005-0000-0000-000069000000}"/>
    <cellStyle name="アクセント 1 5" xfId="238" xr:uid="{00000000-0005-0000-0000-00006A000000}"/>
    <cellStyle name="アクセント 1 6" xfId="92" xr:uid="{00000000-0005-0000-0000-00006B000000}"/>
    <cellStyle name="アクセント 2 2" xfId="97" xr:uid="{00000000-0005-0000-0000-00006C000000}"/>
    <cellStyle name="アクセント 2 3" xfId="98" xr:uid="{00000000-0005-0000-0000-00006D000000}"/>
    <cellStyle name="アクセント 2 4" xfId="99" xr:uid="{00000000-0005-0000-0000-00006E000000}"/>
    <cellStyle name="アクセント 2 5" xfId="239" xr:uid="{00000000-0005-0000-0000-00006F000000}"/>
    <cellStyle name="アクセント 2 6" xfId="96" xr:uid="{00000000-0005-0000-0000-000070000000}"/>
    <cellStyle name="アクセント 3 2" xfId="101" xr:uid="{00000000-0005-0000-0000-000071000000}"/>
    <cellStyle name="アクセント 3 3" xfId="102" xr:uid="{00000000-0005-0000-0000-000072000000}"/>
    <cellStyle name="アクセント 3 4" xfId="103" xr:uid="{00000000-0005-0000-0000-000073000000}"/>
    <cellStyle name="アクセント 3 5" xfId="240" xr:uid="{00000000-0005-0000-0000-000074000000}"/>
    <cellStyle name="アクセント 3 6" xfId="100" xr:uid="{00000000-0005-0000-0000-000075000000}"/>
    <cellStyle name="アクセント 4 2" xfId="105" xr:uid="{00000000-0005-0000-0000-000076000000}"/>
    <cellStyle name="アクセント 4 3" xfId="106" xr:uid="{00000000-0005-0000-0000-000077000000}"/>
    <cellStyle name="アクセント 4 4" xfId="107" xr:uid="{00000000-0005-0000-0000-000078000000}"/>
    <cellStyle name="アクセント 4 5" xfId="241" xr:uid="{00000000-0005-0000-0000-000079000000}"/>
    <cellStyle name="アクセント 4 6" xfId="104" xr:uid="{00000000-0005-0000-0000-00007A000000}"/>
    <cellStyle name="アクセント 5 2" xfId="109" xr:uid="{00000000-0005-0000-0000-00007B000000}"/>
    <cellStyle name="アクセント 5 3" xfId="110" xr:uid="{00000000-0005-0000-0000-00007C000000}"/>
    <cellStyle name="アクセント 5 4" xfId="111" xr:uid="{00000000-0005-0000-0000-00007D000000}"/>
    <cellStyle name="アクセント 5 5" xfId="108" xr:uid="{00000000-0005-0000-0000-00007E000000}"/>
    <cellStyle name="アクセント 6 2" xfId="113" xr:uid="{00000000-0005-0000-0000-00007F000000}"/>
    <cellStyle name="アクセント 6 3" xfId="114" xr:uid="{00000000-0005-0000-0000-000080000000}"/>
    <cellStyle name="アクセント 6 4" xfId="115" xr:uid="{00000000-0005-0000-0000-000081000000}"/>
    <cellStyle name="アクセント 6 5" xfId="242" xr:uid="{00000000-0005-0000-0000-000082000000}"/>
    <cellStyle name="アクセント 6 6" xfId="112" xr:uid="{00000000-0005-0000-0000-000083000000}"/>
    <cellStyle name="タイトル 2" xfId="117" xr:uid="{00000000-0005-0000-0000-000084000000}"/>
    <cellStyle name="タイトル 3" xfId="118" xr:uid="{00000000-0005-0000-0000-000085000000}"/>
    <cellStyle name="タイトル 4" xfId="119" xr:uid="{00000000-0005-0000-0000-000086000000}"/>
    <cellStyle name="タイトル 5" xfId="243" xr:uid="{00000000-0005-0000-0000-000087000000}"/>
    <cellStyle name="タイトル 6" xfId="116" xr:uid="{00000000-0005-0000-0000-000088000000}"/>
    <cellStyle name="チェック セル 2" xfId="121" xr:uid="{00000000-0005-0000-0000-000089000000}"/>
    <cellStyle name="チェック セル 3" xfId="122" xr:uid="{00000000-0005-0000-0000-00008A000000}"/>
    <cellStyle name="チェック セル 4" xfId="123" xr:uid="{00000000-0005-0000-0000-00008B000000}"/>
    <cellStyle name="チェック セル 5" xfId="120" xr:uid="{00000000-0005-0000-0000-00008C000000}"/>
    <cellStyle name="どちらでもない 2" xfId="125" xr:uid="{00000000-0005-0000-0000-00008D000000}"/>
    <cellStyle name="どちらでもない 3" xfId="126" xr:uid="{00000000-0005-0000-0000-00008E000000}"/>
    <cellStyle name="どちらでもない 4" xfId="127" xr:uid="{00000000-0005-0000-0000-00008F000000}"/>
    <cellStyle name="どちらでもない 5" xfId="244" xr:uid="{00000000-0005-0000-0000-000090000000}"/>
    <cellStyle name="どちらでもない 6" xfId="124" xr:uid="{00000000-0005-0000-0000-000091000000}"/>
    <cellStyle name="メモ 2" xfId="129" xr:uid="{00000000-0005-0000-0000-000092000000}"/>
    <cellStyle name="メモ 2 2" xfId="192" xr:uid="{00000000-0005-0000-0000-000093000000}"/>
    <cellStyle name="メモ 3" xfId="130" xr:uid="{00000000-0005-0000-0000-000094000000}"/>
    <cellStyle name="メモ 3 2" xfId="193" xr:uid="{00000000-0005-0000-0000-000095000000}"/>
    <cellStyle name="メモ 4" xfId="131" xr:uid="{00000000-0005-0000-0000-000096000000}"/>
    <cellStyle name="メモ 4 2" xfId="194" xr:uid="{00000000-0005-0000-0000-000097000000}"/>
    <cellStyle name="メモ 5" xfId="245" xr:uid="{00000000-0005-0000-0000-000098000000}"/>
    <cellStyle name="メモ 6" xfId="128" xr:uid="{00000000-0005-0000-0000-000099000000}"/>
    <cellStyle name="リンク セル 2" xfId="133" xr:uid="{00000000-0005-0000-0000-00009A000000}"/>
    <cellStyle name="リンク セル 3" xfId="134" xr:uid="{00000000-0005-0000-0000-00009B000000}"/>
    <cellStyle name="リンク セル 4" xfId="135" xr:uid="{00000000-0005-0000-0000-00009C000000}"/>
    <cellStyle name="リンク セル 5" xfId="246" xr:uid="{00000000-0005-0000-0000-00009D000000}"/>
    <cellStyle name="リンク セル 6" xfId="132" xr:uid="{00000000-0005-0000-0000-00009E000000}"/>
    <cellStyle name="_x001d__x000c_K_x0014__x000d_&gt;V_x0001_&gt;_x0014_n_x001e__x0007__x0001__x0001_" xfId="136" xr:uid="{00000000-0005-0000-0000-00009F000000}"/>
    <cellStyle name="_x001d__x000c_K_x0014__x000d_&gt;V_x0001_&gt;_x0014_n_x001e__x0007__x0001__x0001_ 2" xfId="195" xr:uid="{00000000-0005-0000-0000-0000A0000000}"/>
    <cellStyle name="_x001d__x000c_K_x0014__x000d_&gt;V_x0001_&gt;_x0014_n_x001e__x0007__x0001__x0001_ 2 2" xfId="225" xr:uid="{00000000-0005-0000-0000-0000A1000000}"/>
    <cellStyle name="_x001d__x000c_K_x0014__x000d_&gt;V_x0001_&gt;_x0014_n_x001e__x0007__x0001__x0001_ 2 3" xfId="247" xr:uid="{00000000-0005-0000-0000-0000A2000000}"/>
    <cellStyle name="_x001d__x000c_K_x0014__x000d_&gt;V_x0001_&gt;_x0014_n_x001e__x0007__x0001__x0001_ 2 4" xfId="234" xr:uid="{00000000-0005-0000-0000-0000A3000000}"/>
    <cellStyle name="_x001d__x000c_K_x0014__x000d_&gt;V_x0001_&gt;_x0014_n_x001e__x0007__x0001__x0001_ 3" xfId="224" xr:uid="{00000000-0005-0000-0000-0000A4000000}"/>
    <cellStyle name="_x001d__x000c_K_x0014__x000d_&gt;V_x0001_&gt;_x0014_n_x001e__x0007__x0001__x0001_ 3 2" xfId="223" xr:uid="{00000000-0005-0000-0000-0000A5000000}"/>
    <cellStyle name="_x001d__x000c_K_x0014__x000d_&gt;V_x0001_&gt;_x0014_n_x001e__x0007__x0001__x0001_ 4" xfId="222" xr:uid="{00000000-0005-0000-0000-0000A6000000}"/>
    <cellStyle name="_x001d__x000c_K_x0014__x000d_&gt;V_x0001_&gt;_x0014_n_x001e__x0007__x0001__x0001_ 5" xfId="226" xr:uid="{00000000-0005-0000-0000-0000A7000000}"/>
    <cellStyle name="悪い 2" xfId="138" xr:uid="{00000000-0005-0000-0000-0000A8000000}"/>
    <cellStyle name="悪い 3" xfId="139" xr:uid="{00000000-0005-0000-0000-0000A9000000}"/>
    <cellStyle name="悪い 4" xfId="140" xr:uid="{00000000-0005-0000-0000-0000AA000000}"/>
    <cellStyle name="悪い 5" xfId="248" xr:uid="{00000000-0005-0000-0000-0000AB000000}"/>
    <cellStyle name="悪い 6" xfId="137" xr:uid="{00000000-0005-0000-0000-0000AC000000}"/>
    <cellStyle name="計算 2" xfId="142" xr:uid="{00000000-0005-0000-0000-0000AD000000}"/>
    <cellStyle name="計算 3" xfId="143" xr:uid="{00000000-0005-0000-0000-0000AE000000}"/>
    <cellStyle name="計算 4" xfId="144" xr:uid="{00000000-0005-0000-0000-0000AF000000}"/>
    <cellStyle name="計算 5" xfId="249" xr:uid="{00000000-0005-0000-0000-0000B0000000}"/>
    <cellStyle name="計算 6" xfId="141" xr:uid="{00000000-0005-0000-0000-0000B1000000}"/>
    <cellStyle name="警告文 2" xfId="146" xr:uid="{00000000-0005-0000-0000-0000B2000000}"/>
    <cellStyle name="警告文 3" xfId="147" xr:uid="{00000000-0005-0000-0000-0000B3000000}"/>
    <cellStyle name="警告文 4" xfId="148" xr:uid="{00000000-0005-0000-0000-0000B4000000}"/>
    <cellStyle name="警告文 5" xfId="145" xr:uid="{00000000-0005-0000-0000-0000B5000000}"/>
    <cellStyle name="桁区切り 2" xfId="12" xr:uid="{00000000-0005-0000-0000-0000B6000000}"/>
    <cellStyle name="見出し 1 2" xfId="150" xr:uid="{00000000-0005-0000-0000-0000B7000000}"/>
    <cellStyle name="見出し 1 3" xfId="151" xr:uid="{00000000-0005-0000-0000-0000B8000000}"/>
    <cellStyle name="見出し 1 4" xfId="152" xr:uid="{00000000-0005-0000-0000-0000B9000000}"/>
    <cellStyle name="見出し 1 5" xfId="250" xr:uid="{00000000-0005-0000-0000-0000BA000000}"/>
    <cellStyle name="見出し 1 6" xfId="149" xr:uid="{00000000-0005-0000-0000-0000BB000000}"/>
    <cellStyle name="見出し 2 2" xfId="154" xr:uid="{00000000-0005-0000-0000-0000BC000000}"/>
    <cellStyle name="見出し 2 3" xfId="155" xr:uid="{00000000-0005-0000-0000-0000BD000000}"/>
    <cellStyle name="見出し 2 4" xfId="156" xr:uid="{00000000-0005-0000-0000-0000BE000000}"/>
    <cellStyle name="見出し 2 5" xfId="251" xr:uid="{00000000-0005-0000-0000-0000BF000000}"/>
    <cellStyle name="見出し 2 6" xfId="153" xr:uid="{00000000-0005-0000-0000-0000C0000000}"/>
    <cellStyle name="見出し 3 2" xfId="158" xr:uid="{00000000-0005-0000-0000-0000C1000000}"/>
    <cellStyle name="見出し 3 3" xfId="159" xr:uid="{00000000-0005-0000-0000-0000C2000000}"/>
    <cellStyle name="見出し 3 4" xfId="160" xr:uid="{00000000-0005-0000-0000-0000C3000000}"/>
    <cellStyle name="見出し 3 5" xfId="252" xr:uid="{00000000-0005-0000-0000-0000C4000000}"/>
    <cellStyle name="見出し 3 6" xfId="157" xr:uid="{00000000-0005-0000-0000-0000C5000000}"/>
    <cellStyle name="見出し 4 2" xfId="162" xr:uid="{00000000-0005-0000-0000-0000C6000000}"/>
    <cellStyle name="見出し 4 3" xfId="163" xr:uid="{00000000-0005-0000-0000-0000C7000000}"/>
    <cellStyle name="見出し 4 4" xfId="164" xr:uid="{00000000-0005-0000-0000-0000C8000000}"/>
    <cellStyle name="見出し 4 5" xfId="253" xr:uid="{00000000-0005-0000-0000-0000C9000000}"/>
    <cellStyle name="見出し 4 6" xfId="161" xr:uid="{00000000-0005-0000-0000-0000CA000000}"/>
    <cellStyle name="作業ﾌﾛｰ" xfId="221" xr:uid="{00000000-0005-0000-0000-0000CB000000}"/>
    <cellStyle name="資料" xfId="220" xr:uid="{00000000-0005-0000-0000-0000CC000000}"/>
    <cellStyle name="資料２" xfId="219" xr:uid="{00000000-0005-0000-0000-0000CD000000}"/>
    <cellStyle name="集計 2" xfId="166" xr:uid="{00000000-0005-0000-0000-0000CE000000}"/>
    <cellStyle name="集計 3" xfId="167" xr:uid="{00000000-0005-0000-0000-0000CF000000}"/>
    <cellStyle name="集計 4" xfId="168" xr:uid="{00000000-0005-0000-0000-0000D0000000}"/>
    <cellStyle name="集計 5" xfId="254" xr:uid="{00000000-0005-0000-0000-0000D1000000}"/>
    <cellStyle name="集計 6" xfId="165" xr:uid="{00000000-0005-0000-0000-0000D2000000}"/>
    <cellStyle name="出力 2" xfId="170" xr:uid="{00000000-0005-0000-0000-0000D3000000}"/>
    <cellStyle name="出力 3" xfId="171" xr:uid="{00000000-0005-0000-0000-0000D4000000}"/>
    <cellStyle name="出力 4" xfId="172" xr:uid="{00000000-0005-0000-0000-0000D5000000}"/>
    <cellStyle name="出力 5" xfId="255" xr:uid="{00000000-0005-0000-0000-0000D6000000}"/>
    <cellStyle name="出力 6" xfId="169" xr:uid="{00000000-0005-0000-0000-0000D7000000}"/>
    <cellStyle name="説明文 2" xfId="174" xr:uid="{00000000-0005-0000-0000-0000D8000000}"/>
    <cellStyle name="説明文 3" xfId="175" xr:uid="{00000000-0005-0000-0000-0000D9000000}"/>
    <cellStyle name="説明文 4" xfId="176" xr:uid="{00000000-0005-0000-0000-0000DA000000}"/>
    <cellStyle name="説明文 5" xfId="173" xr:uid="{00000000-0005-0000-0000-0000DB000000}"/>
    <cellStyle name="入力 2" xfId="178" xr:uid="{00000000-0005-0000-0000-0000DC000000}"/>
    <cellStyle name="入力 3" xfId="179" xr:uid="{00000000-0005-0000-0000-0000DD000000}"/>
    <cellStyle name="入力 4" xfId="180" xr:uid="{00000000-0005-0000-0000-0000DE000000}"/>
    <cellStyle name="入力 5" xfId="256" xr:uid="{00000000-0005-0000-0000-0000DF000000}"/>
    <cellStyle name="入力 6" xfId="177" xr:uid="{00000000-0005-0000-0000-0000E0000000}"/>
    <cellStyle name="標準" xfId="0" builtinId="0"/>
    <cellStyle name="標準 10" xfId="233" xr:uid="{00000000-0005-0000-0000-0000E2000000}"/>
    <cellStyle name="標準 2" xfId="13" xr:uid="{00000000-0005-0000-0000-0000E3000000}"/>
    <cellStyle name="標準 2 2" xfId="15" xr:uid="{00000000-0005-0000-0000-0000E4000000}"/>
    <cellStyle name="標準 2 2 2" xfId="196" xr:uid="{00000000-0005-0000-0000-0000E5000000}"/>
    <cellStyle name="標準 2 3" xfId="235" xr:uid="{00000000-0005-0000-0000-0000E6000000}"/>
    <cellStyle name="標準 2 4" xfId="181" xr:uid="{00000000-0005-0000-0000-0000E7000000}"/>
    <cellStyle name="標準 3" xfId="14" xr:uid="{00000000-0005-0000-0000-0000E8000000}"/>
    <cellStyle name="標準 3 2" xfId="16" xr:uid="{00000000-0005-0000-0000-0000E9000000}"/>
    <cellStyle name="標準 3 2 2" xfId="197" xr:uid="{00000000-0005-0000-0000-0000EA000000}"/>
    <cellStyle name="標準 3 3" xfId="182" xr:uid="{00000000-0005-0000-0000-0000EB000000}"/>
    <cellStyle name="標準 4" xfId="17" xr:uid="{00000000-0005-0000-0000-0000EC000000}"/>
    <cellStyle name="標準 4 2" xfId="183" xr:uid="{00000000-0005-0000-0000-0000ED000000}"/>
    <cellStyle name="標準 5" xfId="9" xr:uid="{00000000-0005-0000-0000-0000EE000000}"/>
    <cellStyle name="標準 5 2" xfId="198" xr:uid="{00000000-0005-0000-0000-0000EF000000}"/>
    <cellStyle name="標準 6" xfId="184" xr:uid="{00000000-0005-0000-0000-0000F0000000}"/>
    <cellStyle name="標準 6 2" xfId="199" xr:uid="{00000000-0005-0000-0000-0000F1000000}"/>
    <cellStyle name="標準 7" xfId="185" xr:uid="{00000000-0005-0000-0000-0000F2000000}"/>
    <cellStyle name="標準 7 2" xfId="200" xr:uid="{00000000-0005-0000-0000-0000F3000000}"/>
    <cellStyle name="標準 8" xfId="191" xr:uid="{00000000-0005-0000-0000-0000F4000000}"/>
    <cellStyle name="標準 9" xfId="218" xr:uid="{00000000-0005-0000-0000-0000F5000000}"/>
    <cellStyle name="標準_02_変更来歴例" xfId="7" xr:uid="{00000000-0005-0000-0000-0000F6000000}"/>
    <cellStyle name="標準_A00200 オーダー状況" xfId="6" xr:uid="{00000000-0005-0000-0000-0000F7000000}"/>
    <cellStyle name="標準_変更来歴_1" xfId="8" xr:uid="{00000000-0005-0000-0000-0000F8000000}"/>
    <cellStyle name="標準2" xfId="217" xr:uid="{00000000-0005-0000-0000-0000F9000000}"/>
    <cellStyle name="標準２" xfId="216" xr:uid="{00000000-0005-0000-0000-0000FA000000}"/>
    <cellStyle name="標準2_DAIICH" xfId="215" xr:uid="{00000000-0005-0000-0000-0000FB000000}"/>
    <cellStyle name="未定義" xfId="186" xr:uid="{00000000-0005-0000-0000-0000FC000000}"/>
    <cellStyle name="良い 2" xfId="188" xr:uid="{00000000-0005-0000-0000-0000FD000000}"/>
    <cellStyle name="良い 3" xfId="189" xr:uid="{00000000-0005-0000-0000-0000FE000000}"/>
    <cellStyle name="良い 4" xfId="190" xr:uid="{00000000-0005-0000-0000-0000FF000000}"/>
    <cellStyle name="良い 5" xfId="257" xr:uid="{00000000-0005-0000-0000-000000010000}"/>
    <cellStyle name="良い 6" xfId="187" xr:uid="{00000000-0005-0000-0000-000001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62</v>
      </c>
      <c r="F2" s="7" t="s">
        <v>102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63</v>
      </c>
      <c r="F3" s="7" t="s">
        <v>103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64</v>
      </c>
      <c r="F4" s="7" t="s">
        <v>5</v>
      </c>
      <c r="G4" s="8" t="s">
        <v>160</v>
      </c>
      <c r="I4" s="5"/>
      <c r="J4" s="4"/>
    </row>
    <row r="5" spans="1:13">
      <c r="A5" s="6" t="s">
        <v>8</v>
      </c>
      <c r="B5" s="12" t="s">
        <v>65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>
    <pageSetUpPr fitToPage="1"/>
  </sheetPr>
  <dimension ref="A1:U5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112</v>
      </c>
      <c r="B1" s="50" t="s">
        <v>112</v>
      </c>
      <c r="C1" s="50"/>
      <c r="D1" s="1" t="s">
        <v>113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112</v>
      </c>
      <c r="B2" s="22"/>
      <c r="C2" s="22"/>
      <c r="D2" s="63" t="s">
        <v>162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MSBFL5060</v>
      </c>
      <c r="I2" s="7" t="s">
        <v>114</v>
      </c>
      <c r="J2" s="8" t="s">
        <v>84</v>
      </c>
      <c r="K2" s="7" t="s">
        <v>102</v>
      </c>
      <c r="L2" s="52" t="str">
        <f>IF(LogicCommon!G2="","",LogicCommon!G2)</f>
        <v>MC</v>
      </c>
      <c r="M2" s="5" t="s">
        <v>115</v>
      </c>
      <c r="N2" s="23" t="s">
        <v>161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112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MSBF</v>
      </c>
      <c r="G3" s="7" t="s">
        <v>3</v>
      </c>
      <c r="H3" s="52" t="str">
        <f>IF(LogicCommon!E3="","",LogicCommon!E3)</f>
        <v>MSBFL_StdInspActRcptIFService</v>
      </c>
      <c r="I3" s="7" t="s">
        <v>116</v>
      </c>
      <c r="J3" s="8" t="s">
        <v>61</v>
      </c>
      <c r="K3" s="7" t="s">
        <v>103</v>
      </c>
      <c r="L3" s="52" t="str">
        <f>IF(LogicCommon!G3="","",LogicCommon!G3)</f>
        <v/>
      </c>
      <c r="M3" s="56"/>
      <c r="N3" s="7"/>
      <c r="O3" s="7" t="s">
        <v>117</v>
      </c>
      <c r="P3" s="8" t="s">
        <v>118</v>
      </c>
      <c r="Q3" s="4"/>
      <c r="R3" s="5"/>
      <c r="S3" s="5"/>
      <c r="T3" s="5"/>
      <c r="U3" s="5"/>
    </row>
    <row r="4" spans="1:21" s="10" customFormat="1">
      <c r="A4" s="53" t="s">
        <v>112</v>
      </c>
      <c r="B4" s="54"/>
      <c r="C4" s="54"/>
      <c r="D4" s="4"/>
      <c r="E4" s="7" t="s">
        <v>18</v>
      </c>
      <c r="F4" s="57" t="s">
        <v>119</v>
      </c>
      <c r="G4" s="7" t="s">
        <v>4</v>
      </c>
      <c r="H4" s="52" t="str">
        <f>IF(LogicCommon!E4="","",LogicCommon!E4)</f>
        <v>規格検査実績受信ＩＦサービス</v>
      </c>
      <c r="I4" s="7" t="s">
        <v>120</v>
      </c>
      <c r="J4" s="8" t="s">
        <v>56</v>
      </c>
      <c r="K4" s="7" t="s">
        <v>5</v>
      </c>
      <c r="L4" s="52" t="str">
        <f>IF(LogicCommon!G4="","",LogicCommon!G4)</f>
        <v>MS.MSUDL5010</v>
      </c>
      <c r="M4" s="58" t="s">
        <v>121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112</v>
      </c>
      <c r="B5" s="50"/>
      <c r="C5" s="50"/>
      <c r="D5" s="21"/>
      <c r="E5" s="7" t="s">
        <v>122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112</v>
      </c>
      <c r="B6" s="54"/>
      <c r="C6" s="54"/>
      <c r="D6" s="4" t="s">
        <v>8</v>
      </c>
      <c r="E6" s="12" t="s">
        <v>66</v>
      </c>
      <c r="F6" s="12"/>
      <c r="G6" s="12"/>
      <c r="H6" s="12"/>
      <c r="I6" s="12"/>
      <c r="J6" s="12"/>
      <c r="K6" s="12"/>
      <c r="L6" s="62"/>
      <c r="M6" s="15" t="s">
        <v>104</v>
      </c>
      <c r="N6" s="15"/>
      <c r="O6" s="15" t="s">
        <v>104</v>
      </c>
      <c r="P6" s="15"/>
      <c r="Q6" s="15" t="s">
        <v>104</v>
      </c>
      <c r="R6" s="4"/>
      <c r="S6" s="4"/>
      <c r="T6" s="4"/>
      <c r="U6" s="4"/>
    </row>
    <row r="7" spans="1:21" s="10" customFormat="1">
      <c r="A7" s="22" t="s">
        <v>54</v>
      </c>
      <c r="B7" s="22"/>
      <c r="C7" s="22"/>
      <c r="D7" s="6"/>
      <c r="E7" s="6"/>
      <c r="F7" s="6"/>
      <c r="G7" s="6"/>
      <c r="H7" s="6"/>
      <c r="I7" s="6" t="s">
        <v>55</v>
      </c>
      <c r="J7" s="6"/>
      <c r="K7" s="8" t="s">
        <v>50</v>
      </c>
      <c r="L7" s="24" t="s">
        <v>52</v>
      </c>
      <c r="M7" s="25"/>
      <c r="N7" s="24" t="s">
        <v>20</v>
      </c>
      <c r="O7" s="25"/>
      <c r="P7" s="24" t="s">
        <v>52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163</v>
      </c>
      <c r="E8" s="24" t="s">
        <v>164</v>
      </c>
      <c r="F8" s="62"/>
      <c r="G8" s="24" t="s">
        <v>157</v>
      </c>
      <c r="H8" s="24" t="s">
        <v>165</v>
      </c>
      <c r="I8" s="62"/>
      <c r="J8" s="3"/>
      <c r="K8" s="8"/>
      <c r="L8" s="24" t="s">
        <v>53</v>
      </c>
      <c r="M8" s="25"/>
      <c r="N8" s="24" t="s">
        <v>21</v>
      </c>
      <c r="O8" s="25"/>
      <c r="P8" s="24" t="s">
        <v>107</v>
      </c>
      <c r="Q8" s="25"/>
      <c r="R8" s="3"/>
      <c r="S8" s="21"/>
      <c r="T8" s="123" t="s">
        <v>166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167</v>
      </c>
      <c r="E9" s="66" t="s">
        <v>168</v>
      </c>
      <c r="F9" s="24" t="s">
        <v>169</v>
      </c>
      <c r="G9" s="24" t="s">
        <v>170</v>
      </c>
      <c r="H9" s="24" t="s">
        <v>171</v>
      </c>
      <c r="I9" s="67" t="s">
        <v>172</v>
      </c>
      <c r="J9" s="24" t="s">
        <v>173</v>
      </c>
      <c r="K9" s="63"/>
      <c r="L9" s="67"/>
      <c r="M9" s="24"/>
      <c r="N9" s="24"/>
      <c r="O9" s="24"/>
      <c r="P9" s="24"/>
      <c r="Q9" s="24"/>
      <c r="R9" s="123" t="s">
        <v>174</v>
      </c>
      <c r="S9" s="124"/>
      <c r="T9" s="123" t="s">
        <v>175</v>
      </c>
      <c r="U9" s="124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172</v>
      </c>
      <c r="M10" s="24" t="s">
        <v>173</v>
      </c>
      <c r="N10" s="24" t="s">
        <v>172</v>
      </c>
      <c r="O10" s="24" t="s">
        <v>173</v>
      </c>
      <c r="P10" s="24" t="s">
        <v>172</v>
      </c>
      <c r="Q10" s="24" t="s">
        <v>173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23</v>
      </c>
      <c r="C11" s="29"/>
      <c r="D11" s="23" t="s">
        <v>89</v>
      </c>
      <c r="E11" s="26" t="s">
        <v>87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96</v>
      </c>
      <c r="E12" s="25" t="s">
        <v>97</v>
      </c>
      <c r="F12" s="25"/>
      <c r="G12" s="38" t="s">
        <v>176</v>
      </c>
      <c r="H12" s="38" t="s">
        <v>123</v>
      </c>
      <c r="I12" s="8" t="s">
        <v>124</v>
      </c>
      <c r="J12" s="8" t="s">
        <v>125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81</v>
      </c>
      <c r="E13" s="25" t="s">
        <v>68</v>
      </c>
      <c r="F13" s="25"/>
      <c r="G13" s="38" t="s">
        <v>177</v>
      </c>
      <c r="H13" s="38" t="s">
        <v>126</v>
      </c>
      <c r="I13" s="8" t="s">
        <v>124</v>
      </c>
      <c r="J13" s="8" t="s">
        <v>125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53"/>
      <c r="U14" s="39"/>
    </row>
    <row r="15" spans="1:21" s="10" customFormat="1">
      <c r="A15" s="8">
        <v>20</v>
      </c>
      <c r="B15" s="28" t="s">
        <v>23</v>
      </c>
      <c r="C15" s="29"/>
      <c r="D15" s="23" t="s">
        <v>83</v>
      </c>
      <c r="E15" s="26" t="s">
        <v>28</v>
      </c>
      <c r="F15" s="40"/>
      <c r="G15" s="23"/>
      <c r="H15" s="27"/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25"/>
      <c r="U15" s="126"/>
    </row>
    <row r="16" spans="1:21" s="10" customFormat="1">
      <c r="A16" s="8">
        <v>20</v>
      </c>
      <c r="B16" s="8"/>
      <c r="C16" s="8"/>
      <c r="D16" s="8" t="s">
        <v>98</v>
      </c>
      <c r="E16" s="25" t="s">
        <v>99</v>
      </c>
      <c r="F16" s="25"/>
      <c r="G16" s="38" t="s">
        <v>178</v>
      </c>
      <c r="H16" s="38" t="s">
        <v>127</v>
      </c>
      <c r="I16" s="8" t="s">
        <v>124</v>
      </c>
      <c r="J16" s="8" t="s">
        <v>125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20</v>
      </c>
      <c r="B17" s="8"/>
      <c r="C17" s="8"/>
      <c r="D17" s="8" t="s">
        <v>100</v>
      </c>
      <c r="E17" s="25" t="s">
        <v>101</v>
      </c>
      <c r="F17" s="25"/>
      <c r="G17" s="38" t="s">
        <v>179</v>
      </c>
      <c r="H17" s="38" t="s">
        <v>128</v>
      </c>
      <c r="I17" s="8" t="s">
        <v>125</v>
      </c>
      <c r="J17" s="8" t="s">
        <v>125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20</v>
      </c>
      <c r="B18" s="8"/>
      <c r="C18" s="8"/>
      <c r="D18" s="8" t="s">
        <v>24</v>
      </c>
      <c r="E18" s="25" t="s">
        <v>25</v>
      </c>
      <c r="F18" s="25"/>
      <c r="G18" s="38" t="s">
        <v>180</v>
      </c>
      <c r="H18" s="38" t="s">
        <v>129</v>
      </c>
      <c r="I18" s="8" t="s">
        <v>124</v>
      </c>
      <c r="J18" s="8" t="s">
        <v>125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ht="26">
      <c r="A19" s="8">
        <v>20</v>
      </c>
      <c r="B19" s="8"/>
      <c r="C19" s="8"/>
      <c r="D19" s="8" t="s">
        <v>26</v>
      </c>
      <c r="E19" s="25" t="s">
        <v>27</v>
      </c>
      <c r="F19" s="25"/>
      <c r="G19" s="38" t="s">
        <v>181</v>
      </c>
      <c r="H19" s="38" t="s">
        <v>130</v>
      </c>
      <c r="I19" s="8" t="s">
        <v>124</v>
      </c>
      <c r="J19" s="8" t="s">
        <v>125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ht="26">
      <c r="A20" s="8">
        <v>20</v>
      </c>
      <c r="B20" s="8"/>
      <c r="C20" s="8"/>
      <c r="D20" s="8" t="s">
        <v>67</v>
      </c>
      <c r="E20" s="25" t="s">
        <v>68</v>
      </c>
      <c r="F20" s="25"/>
      <c r="G20" s="38" t="s">
        <v>182</v>
      </c>
      <c r="H20" s="38" t="s">
        <v>131</v>
      </c>
      <c r="I20" s="8" t="s">
        <v>124</v>
      </c>
      <c r="J20" s="8" t="s">
        <v>125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ht="26">
      <c r="A21" s="8">
        <v>20</v>
      </c>
      <c r="B21" s="8"/>
      <c r="C21" s="8"/>
      <c r="D21" s="8" t="s">
        <v>95</v>
      </c>
      <c r="E21" s="25" t="s">
        <v>77</v>
      </c>
      <c r="F21" s="25"/>
      <c r="G21" s="38" t="s">
        <v>183</v>
      </c>
      <c r="H21" s="38" t="s">
        <v>132</v>
      </c>
      <c r="I21" s="8" t="s">
        <v>124</v>
      </c>
      <c r="J21" s="8" t="s">
        <v>125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53"/>
      <c r="U22" s="39"/>
    </row>
    <row r="23" spans="1:21" s="10" customFormat="1">
      <c r="A23" s="8">
        <v>30</v>
      </c>
      <c r="B23" s="28" t="s">
        <v>23</v>
      </c>
      <c r="C23" s="29"/>
      <c r="D23" s="23" t="s">
        <v>82</v>
      </c>
      <c r="E23" s="26" t="s">
        <v>28</v>
      </c>
      <c r="F23" s="40"/>
      <c r="G23" s="23"/>
      <c r="H23" s="27"/>
      <c r="I23" s="41"/>
      <c r="J23" s="42"/>
      <c r="K23" s="42"/>
      <c r="L23" s="26"/>
      <c r="M23" s="26"/>
      <c r="N23" s="26"/>
      <c r="O23" s="26"/>
      <c r="P23" s="26"/>
      <c r="Q23" s="26"/>
      <c r="R23" s="37"/>
      <c r="S23" s="36"/>
      <c r="T23" s="125"/>
      <c r="U23" s="126"/>
    </row>
    <row r="24" spans="1:21" s="10" customFormat="1">
      <c r="A24" s="8">
        <v>30</v>
      </c>
      <c r="B24" s="8"/>
      <c r="C24" s="8"/>
      <c r="D24" s="8" t="s">
        <v>98</v>
      </c>
      <c r="E24" s="25" t="s">
        <v>99</v>
      </c>
      <c r="F24" s="25"/>
      <c r="G24" s="38" t="s">
        <v>178</v>
      </c>
      <c r="H24" s="38" t="s">
        <v>127</v>
      </c>
      <c r="I24" s="8" t="s">
        <v>124</v>
      </c>
      <c r="J24" s="8" t="s">
        <v>125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30</v>
      </c>
      <c r="B25" s="8"/>
      <c r="C25" s="8"/>
      <c r="D25" s="8" t="s">
        <v>100</v>
      </c>
      <c r="E25" s="25" t="s">
        <v>101</v>
      </c>
      <c r="F25" s="25"/>
      <c r="G25" s="38" t="s">
        <v>179</v>
      </c>
      <c r="H25" s="38" t="s">
        <v>128</v>
      </c>
      <c r="I25" s="8" t="s">
        <v>125</v>
      </c>
      <c r="J25" s="8" t="s">
        <v>125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30</v>
      </c>
      <c r="B26" s="8"/>
      <c r="C26" s="8"/>
      <c r="D26" s="8" t="s">
        <v>78</v>
      </c>
      <c r="E26" s="25" t="s">
        <v>79</v>
      </c>
      <c r="F26" s="25"/>
      <c r="G26" s="38" t="s">
        <v>184</v>
      </c>
      <c r="H26" s="38" t="s">
        <v>133</v>
      </c>
      <c r="I26" s="8" t="s">
        <v>124</v>
      </c>
      <c r="J26" s="8" t="s">
        <v>125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30</v>
      </c>
      <c r="B27" s="8"/>
      <c r="C27" s="8"/>
      <c r="D27" s="8" t="s">
        <v>29</v>
      </c>
      <c r="E27" s="25" t="s">
        <v>30</v>
      </c>
      <c r="F27" s="25"/>
      <c r="G27" s="38" t="s">
        <v>185</v>
      </c>
      <c r="H27" s="38" t="s">
        <v>134</v>
      </c>
      <c r="I27" s="8" t="s">
        <v>124</v>
      </c>
      <c r="J27" s="8" t="s">
        <v>135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30</v>
      </c>
      <c r="B28" s="8"/>
      <c r="C28" s="8"/>
      <c r="D28" s="8" t="s">
        <v>90</v>
      </c>
      <c r="E28" s="25" t="s">
        <v>31</v>
      </c>
      <c r="F28" s="25"/>
      <c r="G28" s="38" t="s">
        <v>186</v>
      </c>
      <c r="H28" s="38" t="s">
        <v>136</v>
      </c>
      <c r="I28" s="8" t="s">
        <v>124</v>
      </c>
      <c r="J28" s="8" t="s">
        <v>135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30</v>
      </c>
      <c r="B29" s="8"/>
      <c r="C29" s="8"/>
      <c r="D29" s="8" t="s">
        <v>24</v>
      </c>
      <c r="E29" s="25" t="s">
        <v>25</v>
      </c>
      <c r="F29" s="25"/>
      <c r="G29" s="38" t="s">
        <v>180</v>
      </c>
      <c r="H29" s="38" t="s">
        <v>129</v>
      </c>
      <c r="I29" s="8" t="s">
        <v>124</v>
      </c>
      <c r="J29" s="8" t="s">
        <v>135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30</v>
      </c>
      <c r="B30" s="8"/>
      <c r="C30" s="8"/>
      <c r="D30" s="8" t="s">
        <v>32</v>
      </c>
      <c r="E30" s="25" t="s">
        <v>33</v>
      </c>
      <c r="F30" s="25"/>
      <c r="G30" s="38" t="s">
        <v>187</v>
      </c>
      <c r="H30" s="38" t="s">
        <v>137</v>
      </c>
      <c r="I30" s="8" t="s">
        <v>124</v>
      </c>
      <c r="J30" s="8" t="s">
        <v>125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ht="26">
      <c r="A31" s="8">
        <v>30</v>
      </c>
      <c r="B31" s="8"/>
      <c r="C31" s="8"/>
      <c r="D31" s="8" t="s">
        <v>108</v>
      </c>
      <c r="E31" s="25" t="s">
        <v>68</v>
      </c>
      <c r="F31" s="25"/>
      <c r="G31" s="38" t="s">
        <v>188</v>
      </c>
      <c r="H31" s="38" t="s">
        <v>138</v>
      </c>
      <c r="I31" s="8" t="s">
        <v>124</v>
      </c>
      <c r="J31" s="8" t="s">
        <v>125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30</v>
      </c>
      <c r="B32" s="8"/>
      <c r="C32" s="8"/>
      <c r="D32" s="8" t="s">
        <v>34</v>
      </c>
      <c r="E32" s="25" t="s">
        <v>35</v>
      </c>
      <c r="F32" s="25"/>
      <c r="G32" s="38" t="s">
        <v>189</v>
      </c>
      <c r="H32" s="38" t="s">
        <v>139</v>
      </c>
      <c r="I32" s="8" t="s">
        <v>124</v>
      </c>
      <c r="J32" s="8" t="s">
        <v>125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ht="26">
      <c r="A33" s="8">
        <v>30</v>
      </c>
      <c r="B33" s="8"/>
      <c r="C33" s="8"/>
      <c r="D33" s="8" t="s">
        <v>69</v>
      </c>
      <c r="E33" s="25" t="s">
        <v>68</v>
      </c>
      <c r="F33" s="25"/>
      <c r="G33" s="38" t="s">
        <v>190</v>
      </c>
      <c r="H33" s="38" t="s">
        <v>140</v>
      </c>
      <c r="I33" s="8" t="s">
        <v>124</v>
      </c>
      <c r="J33" s="8" t="s">
        <v>125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30</v>
      </c>
      <c r="B34" s="8"/>
      <c r="C34" s="8"/>
      <c r="D34" s="8" t="s">
        <v>109</v>
      </c>
      <c r="E34" s="25" t="s">
        <v>80</v>
      </c>
      <c r="F34" s="25"/>
      <c r="G34" s="38" t="s">
        <v>191</v>
      </c>
      <c r="H34" s="38" t="s">
        <v>141</v>
      </c>
      <c r="I34" s="8" t="s">
        <v>124</v>
      </c>
      <c r="J34" s="8" t="s">
        <v>125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30</v>
      </c>
      <c r="B35" s="8"/>
      <c r="C35" s="8"/>
      <c r="D35" s="8" t="s">
        <v>91</v>
      </c>
      <c r="E35" s="25" t="s">
        <v>68</v>
      </c>
      <c r="F35" s="25"/>
      <c r="G35" s="38" t="s">
        <v>192</v>
      </c>
      <c r="H35" s="38" t="s">
        <v>142</v>
      </c>
      <c r="I35" s="8" t="s">
        <v>124</v>
      </c>
      <c r="J35" s="8" t="s">
        <v>125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ht="26">
      <c r="A36" s="8">
        <v>30</v>
      </c>
      <c r="B36" s="8"/>
      <c r="C36" s="8"/>
      <c r="D36" s="8" t="s">
        <v>110</v>
      </c>
      <c r="E36" s="25" t="s">
        <v>80</v>
      </c>
      <c r="F36" s="25"/>
      <c r="G36" s="38" t="s">
        <v>193</v>
      </c>
      <c r="H36" s="38" t="s">
        <v>105</v>
      </c>
      <c r="I36" s="8" t="s">
        <v>124</v>
      </c>
      <c r="J36" s="8" t="s">
        <v>125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30</v>
      </c>
      <c r="B37" s="8"/>
      <c r="C37" s="8"/>
      <c r="D37" s="8" t="s">
        <v>92</v>
      </c>
      <c r="E37" s="25" t="s">
        <v>68</v>
      </c>
      <c r="F37" s="25"/>
      <c r="G37" s="38" t="s">
        <v>194</v>
      </c>
      <c r="H37" s="38" t="s">
        <v>143</v>
      </c>
      <c r="I37" s="8" t="s">
        <v>124</v>
      </c>
      <c r="J37" s="8" t="s">
        <v>125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30</v>
      </c>
      <c r="B38" s="8"/>
      <c r="C38" s="8"/>
      <c r="D38" s="8" t="s">
        <v>36</v>
      </c>
      <c r="E38" s="25" t="s">
        <v>37</v>
      </c>
      <c r="F38" s="25"/>
      <c r="G38" s="38" t="s">
        <v>195</v>
      </c>
      <c r="H38" s="38" t="s">
        <v>144</v>
      </c>
      <c r="I38" s="8" t="s">
        <v>124</v>
      </c>
      <c r="J38" s="8" t="s">
        <v>125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30</v>
      </c>
      <c r="B39" s="8"/>
      <c r="C39" s="8"/>
      <c r="D39" s="8" t="s">
        <v>70</v>
      </c>
      <c r="E39" s="25" t="s">
        <v>68</v>
      </c>
      <c r="F39" s="25"/>
      <c r="G39" s="38" t="s">
        <v>196</v>
      </c>
      <c r="H39" s="38" t="s">
        <v>145</v>
      </c>
      <c r="I39" s="8" t="s">
        <v>124</v>
      </c>
      <c r="J39" s="8" t="s">
        <v>125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30</v>
      </c>
      <c r="B40" s="8"/>
      <c r="C40" s="8"/>
      <c r="D40" s="8" t="s">
        <v>38</v>
      </c>
      <c r="E40" s="25" t="s">
        <v>39</v>
      </c>
      <c r="F40" s="25"/>
      <c r="G40" s="38" t="s">
        <v>197</v>
      </c>
      <c r="H40" s="38" t="s">
        <v>146</v>
      </c>
      <c r="I40" s="8" t="s">
        <v>124</v>
      </c>
      <c r="J40" s="8" t="s">
        <v>125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 ht="26">
      <c r="A41" s="8">
        <v>30</v>
      </c>
      <c r="B41" s="8"/>
      <c r="C41" s="8"/>
      <c r="D41" s="8" t="s">
        <v>71</v>
      </c>
      <c r="E41" s="25" t="s">
        <v>68</v>
      </c>
      <c r="F41" s="25"/>
      <c r="G41" s="38" t="s">
        <v>198</v>
      </c>
      <c r="H41" s="38" t="s">
        <v>106</v>
      </c>
      <c r="I41" s="8" t="s">
        <v>124</v>
      </c>
      <c r="J41" s="8" t="s">
        <v>125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30</v>
      </c>
      <c r="B42" s="8"/>
      <c r="C42" s="8"/>
      <c r="D42" s="8" t="s">
        <v>40</v>
      </c>
      <c r="E42" s="25" t="s">
        <v>41</v>
      </c>
      <c r="F42" s="25"/>
      <c r="G42" s="38" t="s">
        <v>199</v>
      </c>
      <c r="H42" s="38" t="s">
        <v>147</v>
      </c>
      <c r="I42" s="8" t="s">
        <v>124</v>
      </c>
      <c r="J42" s="8" t="s">
        <v>125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30</v>
      </c>
      <c r="B43" s="8"/>
      <c r="C43" s="8"/>
      <c r="D43" s="8" t="s">
        <v>72</v>
      </c>
      <c r="E43" s="25" t="s">
        <v>68</v>
      </c>
      <c r="F43" s="25"/>
      <c r="G43" s="38" t="s">
        <v>200</v>
      </c>
      <c r="H43" s="38" t="s">
        <v>148</v>
      </c>
      <c r="I43" s="8" t="s">
        <v>124</v>
      </c>
      <c r="J43" s="8" t="s">
        <v>125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 ht="26">
      <c r="A44" s="8">
        <v>30</v>
      </c>
      <c r="B44" s="8"/>
      <c r="C44" s="8"/>
      <c r="D44" s="8" t="s">
        <v>42</v>
      </c>
      <c r="E44" s="25" t="s">
        <v>43</v>
      </c>
      <c r="F44" s="25"/>
      <c r="G44" s="38" t="s">
        <v>201</v>
      </c>
      <c r="H44" s="38" t="s">
        <v>149</v>
      </c>
      <c r="I44" s="8" t="s">
        <v>124</v>
      </c>
      <c r="J44" s="8" t="s">
        <v>125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 ht="26">
      <c r="A45" s="8">
        <v>30</v>
      </c>
      <c r="B45" s="8"/>
      <c r="C45" s="8"/>
      <c r="D45" s="8" t="s">
        <v>73</v>
      </c>
      <c r="E45" s="25" t="s">
        <v>68</v>
      </c>
      <c r="F45" s="25"/>
      <c r="G45" s="38" t="s">
        <v>202</v>
      </c>
      <c r="H45" s="38" t="s">
        <v>150</v>
      </c>
      <c r="I45" s="8" t="s">
        <v>124</v>
      </c>
      <c r="J45" s="8" t="s">
        <v>125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 ht="26">
      <c r="A46" s="8">
        <v>30</v>
      </c>
      <c r="B46" s="8"/>
      <c r="C46" s="8"/>
      <c r="D46" s="8" t="s">
        <v>44</v>
      </c>
      <c r="E46" s="25" t="s">
        <v>45</v>
      </c>
      <c r="F46" s="25"/>
      <c r="G46" s="38" t="s">
        <v>203</v>
      </c>
      <c r="H46" s="38" t="s">
        <v>151</v>
      </c>
      <c r="I46" s="8" t="s">
        <v>124</v>
      </c>
      <c r="J46" s="8" t="s">
        <v>125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>
      <c r="A47" s="8">
        <v>30</v>
      </c>
      <c r="B47" s="8"/>
      <c r="C47" s="8"/>
      <c r="D47" s="8" t="s">
        <v>74</v>
      </c>
      <c r="E47" s="25" t="s">
        <v>68</v>
      </c>
      <c r="F47" s="25"/>
      <c r="G47" s="38" t="s">
        <v>204</v>
      </c>
      <c r="H47" s="38" t="s">
        <v>152</v>
      </c>
      <c r="I47" s="8" t="s">
        <v>124</v>
      </c>
      <c r="J47" s="8" t="s">
        <v>125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 ht="26">
      <c r="A48" s="8">
        <v>30</v>
      </c>
      <c r="B48" s="8"/>
      <c r="C48" s="8"/>
      <c r="D48" s="8" t="s">
        <v>46</v>
      </c>
      <c r="E48" s="25" t="s">
        <v>47</v>
      </c>
      <c r="F48" s="25"/>
      <c r="G48" s="38" t="s">
        <v>205</v>
      </c>
      <c r="H48" s="38" t="s">
        <v>153</v>
      </c>
      <c r="I48" s="8" t="s">
        <v>124</v>
      </c>
      <c r="J48" s="8" t="s">
        <v>125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>
      <c r="A49" s="8">
        <v>30</v>
      </c>
      <c r="B49" s="8"/>
      <c r="C49" s="8"/>
      <c r="D49" s="8" t="s">
        <v>75</v>
      </c>
      <c r="E49" s="25" t="s">
        <v>68</v>
      </c>
      <c r="F49" s="25"/>
      <c r="G49" s="38" t="s">
        <v>206</v>
      </c>
      <c r="H49" s="38" t="s">
        <v>154</v>
      </c>
      <c r="I49" s="8" t="s">
        <v>124</v>
      </c>
      <c r="J49" s="8" t="s">
        <v>125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 ht="26">
      <c r="A50" s="8">
        <v>30</v>
      </c>
      <c r="B50" s="8"/>
      <c r="C50" s="8"/>
      <c r="D50" s="8" t="s">
        <v>48</v>
      </c>
      <c r="E50" s="25" t="s">
        <v>49</v>
      </c>
      <c r="F50" s="25"/>
      <c r="G50" s="38" t="s">
        <v>207</v>
      </c>
      <c r="H50" s="38" t="s">
        <v>155</v>
      </c>
      <c r="I50" s="8" t="s">
        <v>124</v>
      </c>
      <c r="J50" s="8" t="s">
        <v>125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>
      <c r="A51" s="8">
        <v>30</v>
      </c>
      <c r="B51" s="8"/>
      <c r="C51" s="8"/>
      <c r="D51" s="8" t="s">
        <v>76</v>
      </c>
      <c r="E51" s="25" t="s">
        <v>68</v>
      </c>
      <c r="F51" s="25"/>
      <c r="G51" s="38" t="s">
        <v>208</v>
      </c>
      <c r="H51" s="38" t="s">
        <v>156</v>
      </c>
      <c r="I51" s="8" t="s">
        <v>124</v>
      </c>
      <c r="J51" s="8" t="s">
        <v>125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53"/>
      <c r="U52" s="39"/>
    </row>
    <row r="53" spans="1:21" s="10" customFormat="1">
      <c r="A53" s="53"/>
      <c r="U53" s="39"/>
    </row>
    <row r="54" spans="1:21" s="10" customFormat="1">
      <c r="A54" s="53"/>
      <c r="U54" s="39"/>
    </row>
    <row r="55" spans="1:21" s="10" customFormat="1">
      <c r="A55" s="53"/>
      <c r="U55" s="39"/>
    </row>
    <row r="56" spans="1:21" s="10" customFormat="1">
      <c r="A56" s="53"/>
      <c r="U56" s="39"/>
    </row>
    <row r="57" spans="1:21" s="10" customFormat="1">
      <c r="A57" s="53"/>
      <c r="U57" s="39"/>
    </row>
    <row r="58" spans="1:21" s="10" customFormat="1">
      <c r="A58" s="60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43"/>
    </row>
  </sheetData>
  <mergeCells count="78">
    <mergeCell ref="T8:U8"/>
    <mergeCell ref="R9:S9"/>
    <mergeCell ref="T9:U9"/>
    <mergeCell ref="T11:U11"/>
    <mergeCell ref="R28:S28"/>
    <mergeCell ref="T28:U28"/>
    <mergeCell ref="R12:S12"/>
    <mergeCell ref="T12:U12"/>
    <mergeCell ref="T23:U23"/>
    <mergeCell ref="R26:S26"/>
    <mergeCell ref="T26:U26"/>
    <mergeCell ref="R27:S27"/>
    <mergeCell ref="R13:S13"/>
    <mergeCell ref="T13:U13"/>
    <mergeCell ref="T15:U15"/>
    <mergeCell ref="T27:U27"/>
    <mergeCell ref="R40:S40"/>
    <mergeCell ref="T40:U40"/>
    <mergeCell ref="R48:S48"/>
    <mergeCell ref="T48:U48"/>
    <mergeCell ref="R50:S50"/>
    <mergeCell ref="T50:U50"/>
    <mergeCell ref="R42:S42"/>
    <mergeCell ref="T42:U42"/>
    <mergeCell ref="R44:S44"/>
    <mergeCell ref="T44:U44"/>
    <mergeCell ref="R46:S46"/>
    <mergeCell ref="T46:U46"/>
    <mergeCell ref="R41:S41"/>
    <mergeCell ref="T41:U41"/>
    <mergeCell ref="R43:S43"/>
    <mergeCell ref="T43:U43"/>
    <mergeCell ref="R29:S29"/>
    <mergeCell ref="T29:U29"/>
    <mergeCell ref="R31:S31"/>
    <mergeCell ref="T31:U31"/>
    <mergeCell ref="R30:S30"/>
    <mergeCell ref="T30:U30"/>
    <mergeCell ref="R32:S32"/>
    <mergeCell ref="R35:S35"/>
    <mergeCell ref="T35:U35"/>
    <mergeCell ref="T32:U32"/>
    <mergeCell ref="R34:S34"/>
    <mergeCell ref="T34:U34"/>
    <mergeCell ref="R33:S33"/>
    <mergeCell ref="T33:U33"/>
    <mergeCell ref="R37:S37"/>
    <mergeCell ref="T37:U37"/>
    <mergeCell ref="R39:S39"/>
    <mergeCell ref="T39:U39"/>
    <mergeCell ref="R36:S36"/>
    <mergeCell ref="T36:U36"/>
    <mergeCell ref="R38:S38"/>
    <mergeCell ref="T38:U38"/>
    <mergeCell ref="R51:S51"/>
    <mergeCell ref="T51:U51"/>
    <mergeCell ref="R45:S45"/>
    <mergeCell ref="T45:U45"/>
    <mergeCell ref="R47:S47"/>
    <mergeCell ref="T47:U47"/>
    <mergeCell ref="R49:S49"/>
    <mergeCell ref="T49:U49"/>
    <mergeCell ref="R25:S25"/>
    <mergeCell ref="T25:U25"/>
    <mergeCell ref="R16:S16"/>
    <mergeCell ref="T16:U16"/>
    <mergeCell ref="R17:S17"/>
    <mergeCell ref="T17:U17"/>
    <mergeCell ref="R24:S24"/>
    <mergeCell ref="T24:U24"/>
    <mergeCell ref="R21:S21"/>
    <mergeCell ref="T21:U21"/>
    <mergeCell ref="T18:U18"/>
    <mergeCell ref="R19:S19"/>
    <mergeCell ref="T19:U19"/>
    <mergeCell ref="R20:S20"/>
    <mergeCell ref="T20:U20"/>
    <mergeCell ref="R18:S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6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9" style="5" customWidth="1"/>
    <col min="5" max="5" width="25.81640625" style="5" customWidth="1"/>
    <col min="6" max="6" width="7" style="4" customWidth="1"/>
    <col min="7" max="7" width="30.81640625" style="4" customWidth="1"/>
    <col min="8" max="8" width="33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112</v>
      </c>
      <c r="B1" s="50" t="s">
        <v>112</v>
      </c>
      <c r="C1" s="50"/>
      <c r="D1" s="1" t="s">
        <v>113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112</v>
      </c>
      <c r="B2" s="22"/>
      <c r="C2" s="22"/>
      <c r="D2" s="63" t="s">
        <v>162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MSBFL5060</v>
      </c>
      <c r="I2" s="7" t="s">
        <v>114</v>
      </c>
      <c r="J2" s="8" t="s">
        <v>85</v>
      </c>
      <c r="K2" s="7" t="s">
        <v>102</v>
      </c>
      <c r="L2" s="52" t="str">
        <f>IF(LogicCommon!G2="","",LogicCommon!G2)</f>
        <v>MC</v>
      </c>
      <c r="M2" s="5" t="s">
        <v>115</v>
      </c>
      <c r="N2" s="23" t="s">
        <v>161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112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MSBF</v>
      </c>
      <c r="G3" s="7" t="s">
        <v>3</v>
      </c>
      <c r="H3" s="52" t="str">
        <f>IF(LogicCommon!E3="","",LogicCommon!E3)</f>
        <v>MSBFL_StdInspActRcptIFService</v>
      </c>
      <c r="I3" s="7" t="s">
        <v>116</v>
      </c>
      <c r="J3" s="8" t="s">
        <v>61</v>
      </c>
      <c r="K3" s="7" t="s">
        <v>103</v>
      </c>
      <c r="L3" s="52" t="str">
        <f>IF(LogicCommon!G3="","",LogicCommon!G3)</f>
        <v/>
      </c>
      <c r="M3" s="56"/>
      <c r="N3" s="7"/>
      <c r="O3" s="7" t="s">
        <v>117</v>
      </c>
      <c r="P3" s="8" t="s">
        <v>118</v>
      </c>
      <c r="Q3" s="4"/>
      <c r="R3" s="5"/>
      <c r="S3" s="5"/>
      <c r="T3" s="5"/>
      <c r="U3" s="5"/>
    </row>
    <row r="4" spans="1:21" s="10" customFormat="1">
      <c r="A4" s="53" t="s">
        <v>112</v>
      </c>
      <c r="B4" s="54"/>
      <c r="C4" s="54"/>
      <c r="D4" s="4"/>
      <c r="E4" s="7" t="s">
        <v>18</v>
      </c>
      <c r="F4" s="57" t="s">
        <v>119</v>
      </c>
      <c r="G4" s="7" t="s">
        <v>4</v>
      </c>
      <c r="H4" s="52" t="str">
        <f>IF(LogicCommon!E4="","",LogicCommon!E4)</f>
        <v>規格検査実績受信ＩＦサービス</v>
      </c>
      <c r="I4" s="7" t="s">
        <v>120</v>
      </c>
      <c r="J4" s="8" t="s">
        <v>60</v>
      </c>
      <c r="K4" s="7" t="s">
        <v>5</v>
      </c>
      <c r="L4" s="52" t="str">
        <f>IF(LogicCommon!G4="","",LogicCommon!G4)</f>
        <v>MS.MSUDL5010</v>
      </c>
      <c r="M4" s="58" t="s">
        <v>121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112</v>
      </c>
      <c r="B5" s="50"/>
      <c r="C5" s="50"/>
      <c r="D5" s="21"/>
      <c r="E5" s="7" t="s">
        <v>122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112</v>
      </c>
      <c r="B6" s="54"/>
      <c r="C6" s="54"/>
      <c r="D6" s="4" t="s">
        <v>8</v>
      </c>
      <c r="E6" s="12" t="s">
        <v>86</v>
      </c>
      <c r="F6" s="12"/>
      <c r="G6" s="12"/>
      <c r="H6" s="12"/>
      <c r="I6" s="12"/>
      <c r="J6" s="12"/>
      <c r="K6" s="12"/>
      <c r="L6" s="62"/>
      <c r="M6" s="15" t="s">
        <v>104</v>
      </c>
      <c r="N6" s="15"/>
      <c r="O6" s="15" t="s">
        <v>104</v>
      </c>
      <c r="P6" s="15"/>
      <c r="Q6" s="15" t="s">
        <v>104</v>
      </c>
      <c r="R6" s="4"/>
      <c r="S6" s="4"/>
      <c r="T6" s="4"/>
      <c r="U6" s="4"/>
    </row>
    <row r="7" spans="1:21" s="10" customFormat="1">
      <c r="A7" s="22" t="s">
        <v>57</v>
      </c>
      <c r="B7" s="22"/>
      <c r="C7" s="22"/>
      <c r="D7" s="6"/>
      <c r="E7" s="6"/>
      <c r="F7" s="6"/>
      <c r="G7" s="6"/>
      <c r="H7" s="6"/>
      <c r="I7" s="6" t="s">
        <v>58</v>
      </c>
      <c r="J7" s="6"/>
      <c r="K7" s="8" t="s">
        <v>59</v>
      </c>
      <c r="L7" s="24" t="s">
        <v>51</v>
      </c>
      <c r="M7" s="25"/>
      <c r="N7" s="24" t="s">
        <v>20</v>
      </c>
      <c r="O7" s="25"/>
      <c r="P7" s="24" t="s">
        <v>51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163</v>
      </c>
      <c r="E8" s="24" t="s">
        <v>164</v>
      </c>
      <c r="F8" s="62"/>
      <c r="G8" s="24" t="s">
        <v>157</v>
      </c>
      <c r="H8" s="24" t="s">
        <v>165</v>
      </c>
      <c r="I8" s="62"/>
      <c r="J8" s="3"/>
      <c r="K8" s="8"/>
      <c r="L8" s="24" t="s">
        <v>21</v>
      </c>
      <c r="M8" s="25"/>
      <c r="N8" s="24" t="s">
        <v>111</v>
      </c>
      <c r="O8" s="25"/>
      <c r="P8" s="24" t="s">
        <v>111</v>
      </c>
      <c r="Q8" s="25"/>
      <c r="R8" s="3"/>
      <c r="S8" s="21"/>
      <c r="T8" s="123" t="s">
        <v>166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167</v>
      </c>
      <c r="E9" s="66" t="s">
        <v>168</v>
      </c>
      <c r="F9" s="24" t="s">
        <v>169</v>
      </c>
      <c r="G9" s="24" t="s">
        <v>170</v>
      </c>
      <c r="H9" s="24" t="s">
        <v>171</v>
      </c>
      <c r="I9" s="67" t="s">
        <v>172</v>
      </c>
      <c r="J9" s="24" t="s">
        <v>173</v>
      </c>
      <c r="K9" s="63"/>
      <c r="L9" s="67"/>
      <c r="M9" s="24"/>
      <c r="N9" s="24"/>
      <c r="O9" s="24"/>
      <c r="P9" s="24"/>
      <c r="Q9" s="24"/>
      <c r="R9" s="123" t="s">
        <v>174</v>
      </c>
      <c r="S9" s="124"/>
      <c r="T9" s="123" t="s">
        <v>175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172</v>
      </c>
      <c r="M10" s="24" t="s">
        <v>173</v>
      </c>
      <c r="N10" s="24" t="s">
        <v>172</v>
      </c>
      <c r="O10" s="24" t="s">
        <v>173</v>
      </c>
      <c r="P10" s="24" t="s">
        <v>172</v>
      </c>
      <c r="Q10" s="24" t="s">
        <v>173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23</v>
      </c>
      <c r="C11" s="29"/>
      <c r="D11" s="23" t="s">
        <v>93</v>
      </c>
      <c r="E11" s="26" t="s">
        <v>87</v>
      </c>
      <c r="F11" s="36"/>
      <c r="G11" s="23" t="s">
        <v>88</v>
      </c>
      <c r="H11" s="27" t="s">
        <v>158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96</v>
      </c>
      <c r="E12" s="25" t="s">
        <v>97</v>
      </c>
      <c r="F12" s="25"/>
      <c r="G12" s="38" t="s">
        <v>176</v>
      </c>
      <c r="H12" s="38" t="s">
        <v>123</v>
      </c>
      <c r="I12" s="8" t="s">
        <v>124</v>
      </c>
      <c r="J12" s="8" t="s">
        <v>125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81</v>
      </c>
      <c r="E13" s="25" t="s">
        <v>68</v>
      </c>
      <c r="F13" s="25"/>
      <c r="G13" s="38" t="s">
        <v>177</v>
      </c>
      <c r="H13" s="38" t="s">
        <v>126</v>
      </c>
      <c r="I13" s="8" t="s">
        <v>124</v>
      </c>
      <c r="J13" s="8" t="s">
        <v>125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53"/>
      <c r="U14" s="39"/>
    </row>
    <row r="15" spans="1:21" s="10" customFormat="1">
      <c r="A15" s="8">
        <v>20</v>
      </c>
      <c r="B15" s="28" t="s">
        <v>23</v>
      </c>
      <c r="C15" s="29"/>
      <c r="D15" s="23" t="s">
        <v>94</v>
      </c>
      <c r="E15" s="26" t="s">
        <v>28</v>
      </c>
      <c r="F15" s="40"/>
      <c r="G15" s="23" t="s">
        <v>88</v>
      </c>
      <c r="H15" s="27" t="s">
        <v>159</v>
      </c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25"/>
      <c r="U15" s="126"/>
    </row>
    <row r="16" spans="1:21" s="10" customFormat="1">
      <c r="A16" s="8">
        <v>20</v>
      </c>
      <c r="B16" s="8"/>
      <c r="C16" s="8"/>
      <c r="D16" s="8" t="s">
        <v>98</v>
      </c>
      <c r="E16" s="25" t="s">
        <v>99</v>
      </c>
      <c r="F16" s="25"/>
      <c r="G16" s="38" t="s">
        <v>178</v>
      </c>
      <c r="H16" s="38" t="s">
        <v>127</v>
      </c>
      <c r="I16" s="8" t="s">
        <v>124</v>
      </c>
      <c r="J16" s="8" t="s">
        <v>125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20</v>
      </c>
      <c r="B17" s="8"/>
      <c r="C17" s="8"/>
      <c r="D17" s="8" t="s">
        <v>100</v>
      </c>
      <c r="E17" s="25" t="s">
        <v>101</v>
      </c>
      <c r="F17" s="25"/>
      <c r="G17" s="38" t="s">
        <v>179</v>
      </c>
      <c r="H17" s="38" t="s">
        <v>128</v>
      </c>
      <c r="I17" s="8" t="s">
        <v>125</v>
      </c>
      <c r="J17" s="8" t="s">
        <v>125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20</v>
      </c>
      <c r="B18" s="8"/>
      <c r="C18" s="8"/>
      <c r="D18" s="8" t="s">
        <v>24</v>
      </c>
      <c r="E18" s="25" t="s">
        <v>25</v>
      </c>
      <c r="F18" s="25"/>
      <c r="G18" s="38" t="s">
        <v>180</v>
      </c>
      <c r="H18" s="38" t="s">
        <v>129</v>
      </c>
      <c r="I18" s="8" t="s">
        <v>124</v>
      </c>
      <c r="J18" s="8" t="s">
        <v>125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ht="26">
      <c r="A19" s="8">
        <v>20</v>
      </c>
      <c r="B19" s="8"/>
      <c r="C19" s="8"/>
      <c r="D19" s="8" t="s">
        <v>95</v>
      </c>
      <c r="E19" s="25" t="s">
        <v>77</v>
      </c>
      <c r="F19" s="25"/>
      <c r="G19" s="38" t="s">
        <v>183</v>
      </c>
      <c r="H19" s="38" t="s">
        <v>132</v>
      </c>
      <c r="I19" s="8" t="s">
        <v>124</v>
      </c>
      <c r="J19" s="8" t="s">
        <v>125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53"/>
      <c r="U20" s="39"/>
    </row>
    <row r="21" spans="1:21" s="10" customFormat="1">
      <c r="A21" s="53"/>
      <c r="U21" s="39"/>
    </row>
    <row r="22" spans="1:21" s="10" customFormat="1">
      <c r="A22" s="53"/>
      <c r="U22" s="39"/>
    </row>
    <row r="23" spans="1:21" s="10" customFormat="1">
      <c r="A23" s="53"/>
      <c r="U23" s="39"/>
    </row>
    <row r="24" spans="1:21" s="10" customFormat="1">
      <c r="A24" s="53"/>
      <c r="U24" s="39"/>
    </row>
    <row r="25" spans="1:21" s="10" customFormat="1">
      <c r="A25" s="53"/>
      <c r="U25" s="39"/>
    </row>
    <row r="26" spans="1:21" s="10" customFormat="1">
      <c r="A26" s="6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17">
    <mergeCell ref="R13:S13"/>
    <mergeCell ref="T13:U13"/>
    <mergeCell ref="T15:U15"/>
    <mergeCell ref="R16:S16"/>
    <mergeCell ref="T16:U16"/>
    <mergeCell ref="T8:U8"/>
    <mergeCell ref="R9:S9"/>
    <mergeCell ref="T9:U9"/>
    <mergeCell ref="T11:U11"/>
    <mergeCell ref="R12:S12"/>
    <mergeCell ref="T12:U12"/>
    <mergeCell ref="T17:U17"/>
    <mergeCell ref="R19:S19"/>
    <mergeCell ref="T19:U19"/>
    <mergeCell ref="R18:S18"/>
    <mergeCell ref="T18:U18"/>
    <mergeCell ref="R17:S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68" t="s">
        <v>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1" t="s">
        <v>10</v>
      </c>
      <c r="B3" s="72"/>
      <c r="C3" s="72"/>
      <c r="D3" s="72"/>
      <c r="E3" s="72"/>
      <c r="F3" s="72"/>
      <c r="G3" s="73"/>
      <c r="H3" s="74" t="s">
        <v>11</v>
      </c>
      <c r="I3" s="72"/>
      <c r="J3" s="72"/>
      <c r="K3" s="72"/>
      <c r="L3" s="72"/>
      <c r="M3" s="72"/>
      <c r="N3" s="73"/>
      <c r="O3" s="74" t="s">
        <v>12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13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14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209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210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StdInspActIF_Upd01</vt:lpstr>
      <vt:lpstr>StdInspActIF_Del01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2026-03-27T05:59:39Z</dcterms:modified>
  <cp:category/>
</cp:coreProperties>
</file>