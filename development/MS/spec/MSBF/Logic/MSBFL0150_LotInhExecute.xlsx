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029019FD-B72F-4935-BAE1-1F6FE903F059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Chk01" sheetId="5" r:id="rId2"/>
    <sheet name="Upd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<sst xmlns="http://schemas.openxmlformats.org/spreadsheetml/2006/main" count="350" uniqueCount="142">
  <si>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</si>
  <si>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</si>
  <si>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</si>
  <si>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</si>
  <si>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</si>
  <si>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</si>
  <si>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</si>
  <si>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</si>
  <si>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</si>
  <si>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</si>
  <si>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</si>
  <si>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</si>
  <si>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</si>
  <si>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</si>
  <si>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</si>
  <si>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</si>
  <si>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</si>
  <si>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</si>
  <si>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</si>
  <si>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</si>
  <si>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</si>
  <si>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</si>
  <si>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</si>
  <si>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</si>
  <si>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$share$</t>
    <phoneticPr fontId="3"/>
  </si>
  <si>
    <t>-</t>
    <phoneticPr fontId="3"/>
  </si>
  <si>
    <t>E</t>
    <phoneticPr fontId="3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</si>
  <si>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</si>
  <si>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</si>
  <si>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</si>
  <si>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</si>
  <si>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</si>
  <si>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</si>
  <si>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</si>
  <si>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</si>
  <si>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3"/>
  </si>
  <si>
    <t>000000</t>
    <phoneticPr fontId="2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</si>
  <si>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</si>
  <si>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</si>
  <si>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</si>
  <si>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</si>
  <si>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</si>
  <si>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</si>
  <si>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</si>
  <si>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</si>
  <si>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</si>
  <si>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</si>
  <si>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</si>
  <si>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</si>
  <si>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</si>
  <si>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</si>
  <si>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</si>
  <si>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</si>
  <si>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</si>
  <si>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</si>
  <si>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ロット継承実行</t>
    <rPh sb="3" eb="5">
      <t>ケイショウ</t>
    </rPh>
    <rPh sb="5" eb="7">
      <t>ジッコウ</t>
    </rPh>
    <phoneticPr fontId="3"/>
  </si>
  <si>
    <t>Chk01_Cnd</t>
    <phoneticPr fontId="3"/>
  </si>
  <si>
    <t>ワーキンググループＣＤ</t>
    <phoneticPr fontId="3"/>
  </si>
  <si>
    <t>#MA.ITM_SUB1</t>
    <phoneticPr fontId="3"/>
  </si>
  <si>
    <t>#MA.ITM_SUB2</t>
  </si>
  <si>
    <t>#MA.ITM_SUB3</t>
  </si>
  <si>
    <t>#MA.LOT_NO</t>
    <phoneticPr fontId="3"/>
  </si>
  <si>
    <t>#MA.SUBLOT_NO</t>
    <phoneticPr fontId="3"/>
  </si>
  <si>
    <t>ロットＮＯ</t>
    <phoneticPr fontId="3"/>
  </si>
  <si>
    <t>サブロットＮＯ</t>
    <phoneticPr fontId="3"/>
  </si>
  <si>
    <t>エラー</t>
    <phoneticPr fontId="3"/>
  </si>
  <si>
    <t>ロット継承サービスを実行する前のチェックを行う</t>
    <rPh sb="3" eb="5">
      <t>ケイショウ</t>
    </rPh>
    <rPh sb="10" eb="12">
      <t>ジッコウ</t>
    </rPh>
    <rPh sb="14" eb="15">
      <t>マエ</t>
    </rPh>
    <rPh sb="21" eb="22">
      <t>オコナ</t>
    </rPh>
    <phoneticPr fontId="3"/>
  </si>
  <si>
    <t>ロット継承実行前チェック</t>
    <rPh sb="3" eb="5">
      <t>ケイショウ</t>
    </rPh>
    <rPh sb="5" eb="7">
      <t>ジッコウ</t>
    </rPh>
    <rPh sb="7" eb="8">
      <t>マエ</t>
    </rPh>
    <phoneticPr fontId="3"/>
  </si>
  <si>
    <t>R</t>
    <phoneticPr fontId="3"/>
  </si>
  <si>
    <t>R</t>
    <phoneticPr fontId="3"/>
  </si>
  <si>
    <t>itm_mfg_inst_no</t>
    <phoneticPr fontId="3"/>
  </si>
  <si>
    <t>#MA.ITM_MFG_INST_NO</t>
    <phoneticPr fontId="3"/>
  </si>
  <si>
    <t>sublot_mng_typ</t>
    <phoneticPr fontId="3"/>
  </si>
  <si>
    <t>#MA.SUBLOT_MNG_TYP</t>
    <phoneticPr fontId="3"/>
  </si>
  <si>
    <t>org_sublot_no</t>
    <phoneticPr fontId="3"/>
  </si>
  <si>
    <t>MA.MAUAL0010.ItmSub3</t>
    <phoneticPr fontId="3"/>
  </si>
  <si>
    <t>MAC_ITM_IS_SRCH_TYP.LOT_INH_DEST;itm_cd;itm_sub1;itm_sub2</t>
    <phoneticPr fontId="3"/>
  </si>
  <si>
    <t>Upd01_Cnd</t>
    <phoneticPr fontId="3"/>
  </si>
  <si>
    <t>itm_is_srch_typ;itm_cd;itm_sub1;itm_sub2</t>
    <phoneticPr fontId="3"/>
  </si>
  <si>
    <t>MS</t>
    <phoneticPr fontId="3"/>
  </si>
  <si>
    <t>MSBFL0150</t>
    <phoneticPr fontId="3"/>
  </si>
  <si>
    <t>Pj.ID :</t>
    <phoneticPr fontId="2"/>
  </si>
  <si>
    <t>MSBF</t>
    <phoneticPr fontId="3"/>
  </si>
  <si>
    <t>MSBFL_LotInhExecute</t>
    <phoneticPr fontId="3"/>
  </si>
  <si>
    <t>SuperClassPj.ID :</t>
    <phoneticPr fontId="2"/>
  </si>
  <si>
    <t>品目</t>
    <phoneticPr fontId="3"/>
  </si>
  <si>
    <t>枝番１</t>
    <phoneticPr fontId="3"/>
  </si>
  <si>
    <t>枝番２</t>
    <phoneticPr fontId="3"/>
  </si>
  <si>
    <t>枝番３</t>
    <phoneticPr fontId="3"/>
  </si>
  <si>
    <t>サブロット管理区分</t>
    <phoneticPr fontId="3"/>
  </si>
  <si>
    <t>サブロットＮＯ_変更前</t>
    <phoneticPr fontId="3"/>
  </si>
  <si>
    <t>品目製造指図ＮＯ</t>
    <phoneticPr fontId="3"/>
  </si>
  <si>
    <t>Chk01</t>
    <phoneticPr fontId="3"/>
  </si>
  <si>
    <t>ALL</t>
    <phoneticPr fontId="2"/>
  </si>
  <si>
    <t>ImplOpe.ID:</t>
    <phoneticPr fontId="2"/>
  </si>
  <si>
    <t>super/share</t>
    <phoneticPr fontId="2"/>
  </si>
  <si>
    <t>err_flg</t>
    <phoneticPr fontId="3"/>
  </si>
  <si>
    <t>#MA.FLG</t>
    <phoneticPr fontId="3"/>
  </si>
  <si>
    <t>wg_cd</t>
    <phoneticPr fontId="3"/>
  </si>
  <si>
    <t>#MA.WG_CD</t>
    <phoneticPr fontId="3"/>
  </si>
  <si>
    <t>itm_cd</t>
    <phoneticPr fontId="3"/>
  </si>
  <si>
    <t>#MA.ITM_CD</t>
    <phoneticPr fontId="3"/>
  </si>
  <si>
    <t>itm_sub1</t>
    <phoneticPr fontId="3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</si>
  <si>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</si>
  <si>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</si>
  <si>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lot_no</t>
    <phoneticPr fontId="3"/>
  </si>
  <si>
    <t>sublot_no</t>
    <phoneticPr fontId="3"/>
  </si>
  <si>
    <t>MS.MSBFL0150.Chk01.Chk01_Cnd</t>
    <phoneticPr fontId="3"/>
  </si>
  <si>
    <t>Upd01</t>
    <phoneticPr fontId="3"/>
  </si>
  <si>
    <t>ロット継承サービスを実行する</t>
    <rPh sb="3" eb="5">
      <t>ケイショウ</t>
    </rPh>
    <rPh sb="10" eb="12">
      <t>ジッコウ</t>
    </rPh>
    <phoneticPr fontId="3"/>
  </si>
  <si>
    <t>MS.MSUDL5010</t>
    <phoneticPr fontId="3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</si>
  <si>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</si>
  <si>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</si>
  <si>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</si>
  <si>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</si>
  <si>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</si>
  <si>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</si>
  <si>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</si>
  <si>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</si>
  <si>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</si>
  <si>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</si>
  <si>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</si>
  <si>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</si>
  <si>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</si>
  <si>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</si>
  <si>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</si>
  <si>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</si>
  <si>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Error</t>
  </si>
  <si>
    <t>WG cd.</t>
  </si>
  <si>
    <t>Item</t>
  </si>
  <si>
    <t>Branch No. 1</t>
  </si>
  <si>
    <t>Branch No. 2</t>
  </si>
  <si>
    <t>Branch No. 3</t>
  </si>
  <si>
    <t>Lot No.</t>
  </si>
  <si>
    <t>Sublot No.</t>
  </si>
  <si>
    <t>Sublot management type</t>
  </si>
  <si>
    <t>Sublot No._before change</t>
  </si>
  <si>
    <t>Item mfg. order No.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</si>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</sst>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27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10" xfId="0" applyFont="1" applyBorder="1" applyAlignment="1">
      <alignment vertical="top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6" xfId="0" applyFont="1" applyBorder="1" applyAlignment="1">
      <alignment vertical="center" wrapText="1"/>
    </xf>
    <xf numFmtId="0" fontId="11" fillId="0" borderId="13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12" xfId="0" applyFont="1" applyBorder="1" applyAlignment="1"/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11" xfId="8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11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12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7" xfId="8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12" xfId="7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7" xfId="7" applyFont="1" applyBorder="1" applyAlignment="1">
      <alignment vertical="center"/>
    </xf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79</v>
      </c>
      <c r="D2" s="7" t="s">
        <v>2</v>
      </c>
      <c r="E2" s="8" t="s">
        <v>80</v>
      </c>
      <c r="F2" s="7" t="s">
        <v>81</v>
      </c>
      <c r="G2" s="8" t="s">
        <v>35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82</v>
      </c>
      <c r="D3" s="7" t="s">
        <v>4</v>
      </c>
      <c r="E3" s="8" t="s">
        <v>83</v>
      </c>
      <c r="F3" s="7" t="s">
        <v>84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55</v>
      </c>
      <c r="F4" s="7" t="s">
        <v>6</v>
      </c>
      <c r="G4" s="8" t="s">
        <v>110</v>
      </c>
      <c r="I4" s="5"/>
      <c r="J4" s="4"/>
    </row>
    <row r="5" spans="1:13">
      <c r="A5" s="6" t="s">
        <v>28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7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13</v>
      </c>
      <c r="B2" s="23"/>
      <c r="C2" s="23"/>
      <c r="D2" s="65" t="s">
        <v>113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MSBFL0150</v>
      </c>
      <c r="I2" s="7" t="s">
        <v>7</v>
      </c>
      <c r="J2" s="8" t="s">
        <v>92</v>
      </c>
      <c r="K2" s="7" t="s">
        <v>81</v>
      </c>
      <c r="L2" s="55" t="str">
        <f>IF(LogicCommon!G2="","",LogicCommon!G2)</f>
        <v>MC</v>
      </c>
      <c r="M2" s="5" t="s">
        <v>20</v>
      </c>
      <c r="N2" s="24" t="s">
        <v>111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MSBF</v>
      </c>
      <c r="G3" s="7" t="s">
        <v>4</v>
      </c>
      <c r="H3" s="55" t="str">
        <f>IF(LogicCommon!E3="","",LogicCommon!E3)</f>
        <v>MSBFL_LotInhExecute</v>
      </c>
      <c r="I3" s="7" t="s">
        <v>8</v>
      </c>
      <c r="J3" s="8" t="s">
        <v>92</v>
      </c>
      <c r="K3" s="7" t="s">
        <v>84</v>
      </c>
      <c r="L3" s="55" t="str">
        <f>IF(LogicCommon!G3="","",LogicCommon!G3)</f>
        <v/>
      </c>
      <c r="M3" s="59"/>
      <c r="N3" s="7"/>
      <c r="O3" s="7" t="s">
        <v>9</v>
      </c>
      <c r="P3" s="8" t="s">
        <v>93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6" t="s">
        <v>13</v>
      </c>
      <c r="B4" s="57"/>
      <c r="C4" s="57"/>
      <c r="D4" s="4"/>
      <c r="E4" s="7" t="s">
        <v>21</v>
      </c>
      <c r="F4" s="60" t="s">
        <v>36</v>
      </c>
      <c r="G4" s="7" t="s">
        <v>5</v>
      </c>
      <c r="H4" s="55" t="str">
        <f>IF(LogicCommon!E4="","",LogicCommon!E4)</f>
        <v>ロット継承実行</v>
      </c>
      <c r="I4" s="7" t="s">
        <v>10</v>
      </c>
      <c r="J4" s="8" t="s">
        <v>67</v>
      </c>
      <c r="K4" s="7" t="s">
        <v>6</v>
      </c>
      <c r="L4" s="55" t="str">
        <f>IF(LogicCommon!G4="","",LogicCommon!G4)</f>
        <v>MS.MSUDL5010</v>
      </c>
      <c r="M4" s="61" t="s">
        <v>94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3" t="s">
        <v>13</v>
      </c>
      <c r="B5" s="54"/>
      <c r="C5" s="54"/>
      <c r="D5" s="21"/>
      <c r="E5" s="7" t="s">
        <v>22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6" t="s">
        <v>13</v>
      </c>
      <c r="B6" s="57"/>
      <c r="C6" s="57"/>
      <c r="D6" s="4" t="s">
        <v>11</v>
      </c>
      <c r="E6" s="12" t="s">
        <v>66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17</v>
      </c>
      <c r="AE6" s="15"/>
      <c r="AF6" s="15" t="s">
        <v>17</v>
      </c>
      <c r="AG6" s="15"/>
      <c r="AH6" s="15" t="s">
        <v>17</v>
      </c>
      <c r="AI6" s="4"/>
      <c r="AJ6" s="4"/>
      <c r="AK6" s="4"/>
      <c r="AL6" s="4"/>
    </row>
    <row r="7" spans="1:38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8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8" t="s">
        <v>27</v>
      </c>
      <c r="X7" s="8" t="s">
        <v>27</v>
      </c>
      <c r="Y7" s="8" t="s">
        <v>27</v>
      </c>
      <c r="Z7" s="8" t="s">
        <v>27</v>
      </c>
      <c r="AA7" s="8" t="s">
        <v>27</v>
      </c>
      <c r="AB7" s="8" t="s">
        <v>27</v>
      </c>
      <c r="AC7" s="26" t="s">
        <v>18</v>
      </c>
      <c r="AD7" s="27"/>
      <c r="AE7" s="26" t="s">
        <v>18</v>
      </c>
      <c r="AF7" s="27"/>
      <c r="AG7" s="26" t="s">
        <v>18</v>
      </c>
      <c r="AH7" s="27"/>
      <c r="AI7" s="4"/>
      <c r="AJ7" s="4"/>
      <c r="AK7" s="4"/>
      <c r="AL7" s="4"/>
    </row>
    <row r="8" spans="1:38" s="10" customFormat="1" ht="60" customHeight="1">
      <c r="A8" s="27" t="s">
        <v>15</v>
      </c>
      <c r="B8" s="66"/>
      <c r="C8" s="67"/>
      <c r="D8" s="26" t="s">
        <v>114</v>
      </c>
      <c r="E8" s="26" t="s">
        <v>115</v>
      </c>
      <c r="F8" s="25"/>
      <c r="G8" s="26" t="s">
        <v>95</v>
      </c>
      <c r="H8" s="26" t="s">
        <v>116</v>
      </c>
      <c r="I8" s="25"/>
      <c r="J8" s="3"/>
      <c r="K8" s="8" t="s">
        <v>37</v>
      </c>
      <c r="L8" s="8" t="s">
        <v>38</v>
      </c>
      <c r="M8" s="8" t="s">
        <v>39</v>
      </c>
      <c r="N8" s="8" t="s">
        <v>40</v>
      </c>
      <c r="O8" s="8" t="s">
        <v>41</v>
      </c>
      <c r="P8" s="8" t="s">
        <v>42</v>
      </c>
      <c r="Q8" s="8" t="s">
        <v>43</v>
      </c>
      <c r="R8" s="8" t="s">
        <v>44</v>
      </c>
      <c r="S8" s="8" t="s">
        <v>45</v>
      </c>
      <c r="T8" s="8" t="s">
        <v>46</v>
      </c>
      <c r="U8" s="8" t="s">
        <v>47</v>
      </c>
      <c r="V8" s="8" t="s">
        <v>48</v>
      </c>
      <c r="W8" s="8" t="s">
        <v>49</v>
      </c>
      <c r="X8" s="8" t="s">
        <v>50</v>
      </c>
      <c r="Y8" s="8" t="s">
        <v>51</v>
      </c>
      <c r="Z8" s="8" t="s">
        <v>52</v>
      </c>
      <c r="AA8" s="8" t="s">
        <v>53</v>
      </c>
      <c r="AB8" s="8" t="s">
        <v>54</v>
      </c>
      <c r="AC8" s="26" t="s">
        <v>19</v>
      </c>
      <c r="AD8" s="27"/>
      <c r="AE8" s="26" t="s">
        <v>19</v>
      </c>
      <c r="AF8" s="27"/>
      <c r="AG8" s="26" t="s">
        <v>19</v>
      </c>
      <c r="AH8" s="27"/>
      <c r="AI8" s="3"/>
      <c r="AJ8" s="21"/>
      <c r="AK8" s="123" t="s">
        <v>125</v>
      </c>
      <c r="AL8" s="124"/>
    </row>
    <row r="9" spans="1:38" s="10" customFormat="1" ht="60" customHeight="1">
      <c r="A9" s="8" t="s">
        <v>15</v>
      </c>
      <c r="B9" s="30"/>
      <c r="C9" s="31"/>
      <c r="D9" s="26" t="s">
        <v>117</v>
      </c>
      <c r="E9" s="52" t="s">
        <v>118</v>
      </c>
      <c r="F9" s="26" t="s">
        <v>119</v>
      </c>
      <c r="G9" s="26" t="s">
        <v>120</v>
      </c>
      <c r="H9" s="26" t="s">
        <v>121</v>
      </c>
      <c r="I9" s="53" t="s">
        <v>122</v>
      </c>
      <c r="J9" s="26" t="s">
        <v>123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3"/>
      <c r="AD9" s="26"/>
      <c r="AE9" s="53"/>
      <c r="AF9" s="26"/>
      <c r="AG9" s="53"/>
      <c r="AH9" s="26"/>
      <c r="AI9" s="123" t="s">
        <v>124</v>
      </c>
      <c r="AJ9" s="124"/>
      <c r="AK9" s="123" t="s">
        <v>126</v>
      </c>
      <c r="AL9" s="124"/>
    </row>
    <row r="10" spans="1:38" s="10" customFormat="1" ht="5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122</v>
      </c>
      <c r="AD10" s="26" t="s">
        <v>123</v>
      </c>
      <c r="AE10" s="26" t="s">
        <v>122</v>
      </c>
      <c r="AF10" s="26" t="s">
        <v>123</v>
      </c>
      <c r="AG10" s="26" t="s">
        <v>122</v>
      </c>
      <c r="AH10" s="26" t="s">
        <v>123</v>
      </c>
      <c r="AI10" s="32"/>
      <c r="AJ10" s="32"/>
      <c r="AK10" s="37"/>
      <c r="AL10" s="49"/>
    </row>
    <row r="11" spans="1:38" s="10" customFormat="1">
      <c r="A11" s="8">
        <v>10</v>
      </c>
      <c r="B11" s="30" t="s">
        <v>0</v>
      </c>
      <c r="C11" s="31"/>
      <c r="D11" s="24" t="s">
        <v>56</v>
      </c>
      <c r="E11" s="28" t="s">
        <v>69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5"/>
      <c r="AL11" s="126"/>
    </row>
    <row r="12" spans="1:38" s="10" customFormat="1">
      <c r="A12" s="8">
        <v>10</v>
      </c>
      <c r="B12" s="8"/>
      <c r="C12" s="8"/>
      <c r="D12" s="8" t="s">
        <v>96</v>
      </c>
      <c r="E12" s="27" t="s">
        <v>97</v>
      </c>
      <c r="F12" s="27"/>
      <c r="G12" s="40" t="s">
        <v>127</v>
      </c>
      <c r="H12" s="40" t="s">
        <v>65</v>
      </c>
      <c r="I12" s="8" t="s">
        <v>25</v>
      </c>
      <c r="J12" s="8" t="s">
        <v>26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>
      <c r="A13" s="8">
        <v>10</v>
      </c>
      <c r="B13" s="8"/>
      <c r="C13" s="8"/>
      <c r="D13" s="8" t="s">
        <v>98</v>
      </c>
      <c r="E13" s="27" t="s">
        <v>99</v>
      </c>
      <c r="F13" s="27"/>
      <c r="G13" s="40" t="s">
        <v>128</v>
      </c>
      <c r="H13" s="40" t="s">
        <v>57</v>
      </c>
      <c r="I13" s="8" t="s">
        <v>26</v>
      </c>
      <c r="J13" s="8" t="s">
        <v>26</v>
      </c>
      <c r="K13" s="8"/>
      <c r="L13" s="8" t="s">
        <v>26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>
      <c r="A14" s="8">
        <v>10</v>
      </c>
      <c r="B14" s="8"/>
      <c r="C14" s="8"/>
      <c r="D14" s="8" t="s">
        <v>100</v>
      </c>
      <c r="E14" s="27" t="s">
        <v>101</v>
      </c>
      <c r="F14" s="27"/>
      <c r="G14" s="40" t="s">
        <v>129</v>
      </c>
      <c r="H14" s="40" t="s">
        <v>85</v>
      </c>
      <c r="I14" s="8" t="s">
        <v>26</v>
      </c>
      <c r="J14" s="8" t="s">
        <v>26</v>
      </c>
      <c r="K14" s="8"/>
      <c r="L14" s="8" t="s">
        <v>26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3"/>
      <c r="AJ14" s="124"/>
      <c r="AK14" s="125"/>
      <c r="AL14" s="126"/>
    </row>
    <row r="15" spans="1:38" s="10" customFormat="1">
      <c r="A15" s="8">
        <v>10</v>
      </c>
      <c r="B15" s="8"/>
      <c r="C15" s="8"/>
      <c r="D15" s="8" t="s">
        <v>102</v>
      </c>
      <c r="E15" s="27" t="s">
        <v>58</v>
      </c>
      <c r="F15" s="27"/>
      <c r="G15" s="40" t="s">
        <v>130</v>
      </c>
      <c r="H15" s="40" t="s">
        <v>86</v>
      </c>
      <c r="I15" s="8" t="s">
        <v>26</v>
      </c>
      <c r="J15" s="8" t="s">
        <v>26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26</v>
      </c>
      <c r="AC15" s="8"/>
      <c r="AD15" s="8"/>
      <c r="AE15" s="8"/>
      <c r="AF15" s="8"/>
      <c r="AG15" s="8"/>
      <c r="AH15" s="8"/>
      <c r="AI15" s="123"/>
      <c r="AJ15" s="124"/>
      <c r="AK15" s="125"/>
      <c r="AL15" s="126"/>
    </row>
    <row r="16" spans="1:38" s="10" customFormat="1">
      <c r="A16" s="8">
        <v>10</v>
      </c>
      <c r="B16" s="8"/>
      <c r="C16" s="8"/>
      <c r="D16" s="8" t="s">
        <v>103</v>
      </c>
      <c r="E16" s="27" t="s">
        <v>59</v>
      </c>
      <c r="F16" s="27"/>
      <c r="G16" s="40" t="s">
        <v>131</v>
      </c>
      <c r="H16" s="40" t="s">
        <v>87</v>
      </c>
      <c r="I16" s="8" t="s">
        <v>26</v>
      </c>
      <c r="J16" s="8" t="s">
        <v>26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 t="s">
        <v>26</v>
      </c>
      <c r="AC16" s="8"/>
      <c r="AD16" s="8"/>
      <c r="AE16" s="8"/>
      <c r="AF16" s="8"/>
      <c r="AG16" s="8"/>
      <c r="AH16" s="8"/>
      <c r="AI16" s="123"/>
      <c r="AJ16" s="124"/>
      <c r="AK16" s="125"/>
      <c r="AL16" s="126"/>
    </row>
    <row r="17" spans="1:38" s="10" customFormat="1">
      <c r="A17" s="8">
        <v>10</v>
      </c>
      <c r="B17" s="8"/>
      <c r="C17" s="8"/>
      <c r="D17" s="8" t="s">
        <v>104</v>
      </c>
      <c r="E17" s="27" t="s">
        <v>60</v>
      </c>
      <c r="F17" s="27"/>
      <c r="G17" s="40" t="s">
        <v>132</v>
      </c>
      <c r="H17" s="40" t="s">
        <v>88</v>
      </c>
      <c r="I17" s="8" t="s">
        <v>26</v>
      </c>
      <c r="J17" s="8" t="s">
        <v>26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75</v>
      </c>
      <c r="W17" s="8" t="s">
        <v>72</v>
      </c>
      <c r="X17" s="8" t="s">
        <v>72</v>
      </c>
      <c r="Y17" s="8" t="s">
        <v>76</v>
      </c>
      <c r="Z17" s="8" t="s">
        <v>78</v>
      </c>
      <c r="AA17" s="8"/>
      <c r="AB17" s="8" t="s">
        <v>26</v>
      </c>
      <c r="AC17" s="8"/>
      <c r="AD17" s="8"/>
      <c r="AE17" s="8"/>
      <c r="AF17" s="8"/>
      <c r="AG17" s="8"/>
      <c r="AH17" s="8"/>
      <c r="AI17" s="123"/>
      <c r="AJ17" s="124"/>
      <c r="AK17" s="125"/>
      <c r="AL17" s="126"/>
    </row>
    <row r="18" spans="1:38" s="10" customFormat="1">
      <c r="A18" s="8">
        <v>10</v>
      </c>
      <c r="B18" s="8"/>
      <c r="C18" s="8"/>
      <c r="D18" s="8" t="s">
        <v>105</v>
      </c>
      <c r="E18" s="27" t="s">
        <v>61</v>
      </c>
      <c r="F18" s="27"/>
      <c r="G18" s="40" t="s">
        <v>133</v>
      </c>
      <c r="H18" s="40" t="s">
        <v>63</v>
      </c>
      <c r="I18" s="8" t="s">
        <v>26</v>
      </c>
      <c r="J18" s="8" t="s">
        <v>26</v>
      </c>
      <c r="K18" s="8"/>
      <c r="L18" s="8" t="s">
        <v>26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3"/>
      <c r="AJ18" s="124"/>
      <c r="AK18" s="125"/>
      <c r="AL18" s="126"/>
    </row>
    <row r="19" spans="1:38" s="10" customFormat="1">
      <c r="A19" s="8">
        <v>10</v>
      </c>
      <c r="B19" s="8"/>
      <c r="C19" s="8"/>
      <c r="D19" s="8" t="s">
        <v>106</v>
      </c>
      <c r="E19" s="27" t="s">
        <v>62</v>
      </c>
      <c r="F19" s="27"/>
      <c r="G19" s="40" t="s">
        <v>134</v>
      </c>
      <c r="H19" s="40" t="s">
        <v>64</v>
      </c>
      <c r="I19" s="8" t="s">
        <v>26</v>
      </c>
      <c r="J19" s="8" t="s">
        <v>26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3"/>
      <c r="AJ19" s="124"/>
      <c r="AK19" s="125"/>
      <c r="AL19" s="126"/>
    </row>
    <row r="20" spans="1:38" s="10" customFormat="1">
      <c r="A20" s="8">
        <v>10</v>
      </c>
      <c r="B20" s="8"/>
      <c r="C20" s="8"/>
      <c r="D20" s="8" t="s">
        <v>72</v>
      </c>
      <c r="E20" s="27" t="s">
        <v>73</v>
      </c>
      <c r="F20" s="27"/>
      <c r="G20" s="40" t="s">
        <v>135</v>
      </c>
      <c r="H20" s="40" t="s">
        <v>89</v>
      </c>
      <c r="I20" s="8" t="s">
        <v>25</v>
      </c>
      <c r="J20" s="8" t="s">
        <v>25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2"/>
      <c r="AJ20" s="53"/>
      <c r="AK20" s="50"/>
      <c r="AL20" s="51"/>
    </row>
    <row r="21" spans="1:38" s="10" customFormat="1">
      <c r="A21" s="8">
        <v>10</v>
      </c>
      <c r="B21" s="8"/>
      <c r="C21" s="8"/>
      <c r="D21" s="8" t="s">
        <v>74</v>
      </c>
      <c r="E21" s="27" t="s">
        <v>62</v>
      </c>
      <c r="F21" s="27"/>
      <c r="G21" s="40" t="s">
        <v>136</v>
      </c>
      <c r="H21" s="40" t="s">
        <v>90</v>
      </c>
      <c r="I21" s="8" t="s">
        <v>25</v>
      </c>
      <c r="J21" s="8" t="s">
        <v>26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3"/>
      <c r="AJ21" s="124"/>
      <c r="AK21" s="125"/>
      <c r="AL21" s="126"/>
    </row>
    <row r="22" spans="1:38" s="10" customFormat="1">
      <c r="A22" s="8">
        <v>10</v>
      </c>
      <c r="B22" s="8"/>
      <c r="C22" s="8"/>
      <c r="D22" s="8" t="s">
        <v>70</v>
      </c>
      <c r="E22" s="27" t="s">
        <v>71</v>
      </c>
      <c r="F22" s="27"/>
      <c r="G22" s="40" t="s">
        <v>137</v>
      </c>
      <c r="H22" s="40" t="s">
        <v>91</v>
      </c>
      <c r="I22" s="8" t="s">
        <v>25</v>
      </c>
      <c r="J22" s="8" t="s">
        <v>26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3"/>
      <c r="AJ22" s="124"/>
      <c r="AK22" s="125"/>
      <c r="AL22" s="126"/>
    </row>
    <row r="23" spans="1:38" s="10" customFormat="1">
      <c r="A23" s="22"/>
      <c r="B23" s="23"/>
      <c r="C23" s="23"/>
      <c r="D23" s="16" t="s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41"/>
    </row>
    <row r="24" spans="1:38" s="10" customFormat="1">
      <c r="A24" s="56"/>
      <c r="AL24" s="42"/>
    </row>
    <row r="25" spans="1:38" s="10" customFormat="1">
      <c r="A25" s="56"/>
      <c r="AL25" s="42"/>
    </row>
    <row r="26" spans="1:38" s="10" customFormat="1">
      <c r="A26" s="56"/>
      <c r="AL26" s="42"/>
    </row>
    <row r="27" spans="1:38" s="10" customFormat="1">
      <c r="A27" s="56"/>
      <c r="AL27" s="42"/>
    </row>
    <row r="28" spans="1:38" s="10" customFormat="1">
      <c r="A28" s="56"/>
      <c r="AL28" s="42"/>
    </row>
    <row r="29" spans="1:38" s="10" customFormat="1">
      <c r="A29" s="56"/>
      <c r="AL29" s="42"/>
    </row>
    <row r="30" spans="1:38" s="10" customFormat="1">
      <c r="A30" s="56"/>
      <c r="AL30" s="42"/>
    </row>
    <row r="31" spans="1:38" s="10" customFormat="1">
      <c r="A31" s="56"/>
      <c r="AL31" s="42"/>
    </row>
    <row r="32" spans="1:38" s="10" customFormat="1">
      <c r="A32" s="56"/>
      <c r="AL32" s="42"/>
    </row>
    <row r="33" spans="1:38" s="10" customFormat="1">
      <c r="A33" s="56"/>
      <c r="AL33" s="42"/>
    </row>
    <row r="34" spans="1:38" s="10" customFormat="1">
      <c r="A34" s="56"/>
      <c r="AL34" s="42"/>
    </row>
    <row r="35" spans="1:38" s="10" customFormat="1">
      <c r="A35" s="56"/>
      <c r="AL35" s="42"/>
    </row>
    <row r="36" spans="1:38" s="10" customFormat="1">
      <c r="A36" s="56"/>
      <c r="AL36" s="42"/>
    </row>
    <row r="37" spans="1:38" s="10" customFormat="1">
      <c r="A37" s="6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3"/>
    </row>
  </sheetData>
  <mergeCells count="24"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21:AJ21"/>
    <mergeCell ref="AK21:AL21"/>
    <mergeCell ref="AI14:AJ14"/>
    <mergeCell ref="AK14:AL14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3:AJ13"/>
    <mergeCell ref="AK13:AL13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7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5" t="s">
        <v>113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MSBFL0150</v>
      </c>
      <c r="I2" s="7" t="s">
        <v>7</v>
      </c>
      <c r="J2" s="8" t="s">
        <v>108</v>
      </c>
      <c r="K2" s="7" t="s">
        <v>81</v>
      </c>
      <c r="L2" s="55" t="str">
        <f>IF(LogicCommon!G2="","",LogicCommon!G2)</f>
        <v>MC</v>
      </c>
      <c r="M2" s="5" t="s">
        <v>20</v>
      </c>
      <c r="N2" s="24" t="s">
        <v>112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MSBF</v>
      </c>
      <c r="G3" s="7" t="s">
        <v>4</v>
      </c>
      <c r="H3" s="55" t="str">
        <f>IF(LogicCommon!E3="","",LogicCommon!E3)</f>
        <v>MSBFL_LotInhExecute</v>
      </c>
      <c r="I3" s="7" t="s">
        <v>8</v>
      </c>
      <c r="J3" s="8" t="s">
        <v>108</v>
      </c>
      <c r="K3" s="7" t="s">
        <v>84</v>
      </c>
      <c r="L3" s="55" t="str">
        <f>IF(LogicCommon!G3="","",LogicCommon!G3)</f>
        <v/>
      </c>
      <c r="M3" s="59"/>
      <c r="N3" s="7"/>
      <c r="O3" s="7" t="s">
        <v>9</v>
      </c>
      <c r="P3" s="8" t="s">
        <v>93</v>
      </c>
      <c r="Q3" s="4"/>
      <c r="R3" s="5"/>
      <c r="S3" s="5"/>
      <c r="T3" s="5"/>
      <c r="U3" s="5"/>
    </row>
    <row r="4" spans="1:21" s="10" customFormat="1">
      <c r="A4" s="56" t="s">
        <v>13</v>
      </c>
      <c r="B4" s="57"/>
      <c r="C4" s="57"/>
      <c r="D4" s="4"/>
      <c r="E4" s="7" t="s">
        <v>21</v>
      </c>
      <c r="F4" s="60" t="s">
        <v>36</v>
      </c>
      <c r="G4" s="7" t="s">
        <v>5</v>
      </c>
      <c r="H4" s="55" t="str">
        <f>IF(LogicCommon!E4="","",LogicCommon!E4)</f>
        <v>ロット継承実行</v>
      </c>
      <c r="I4" s="7" t="s">
        <v>10</v>
      </c>
      <c r="J4" s="8" t="s">
        <v>55</v>
      </c>
      <c r="K4" s="7" t="s">
        <v>6</v>
      </c>
      <c r="L4" s="55" t="str">
        <f>IF(LogicCommon!G4="","",LogicCommon!G4)</f>
        <v>MS.MSUDL5010</v>
      </c>
      <c r="M4" s="61" t="s">
        <v>94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13</v>
      </c>
      <c r="B5" s="54"/>
      <c r="C5" s="54"/>
      <c r="D5" s="21"/>
      <c r="E5" s="7" t="s">
        <v>22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13</v>
      </c>
      <c r="B6" s="57"/>
      <c r="C6" s="57"/>
      <c r="D6" s="4" t="s">
        <v>11</v>
      </c>
      <c r="E6" s="12" t="s">
        <v>109</v>
      </c>
      <c r="F6" s="12"/>
      <c r="G6" s="12"/>
      <c r="H6" s="12"/>
      <c r="I6" s="12"/>
      <c r="J6" s="12"/>
      <c r="K6" s="12"/>
      <c r="L6" s="25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66"/>
      <c r="C8" s="67"/>
      <c r="D8" s="26" t="s">
        <v>114</v>
      </c>
      <c r="E8" s="26" t="s">
        <v>115</v>
      </c>
      <c r="F8" s="25"/>
      <c r="G8" s="26" t="s">
        <v>95</v>
      </c>
      <c r="H8" s="26" t="s">
        <v>116</v>
      </c>
      <c r="I8" s="25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3" t="s">
        <v>125</v>
      </c>
      <c r="U8" s="124"/>
    </row>
    <row r="9" spans="1:21" s="10" customFormat="1" ht="60" customHeight="1">
      <c r="A9" s="8" t="s">
        <v>15</v>
      </c>
      <c r="B9" s="30"/>
      <c r="C9" s="31"/>
      <c r="D9" s="26" t="s">
        <v>138</v>
      </c>
      <c r="E9" s="52" t="s">
        <v>139</v>
      </c>
      <c r="F9" s="26" t="s">
        <v>119</v>
      </c>
      <c r="G9" s="26" t="s">
        <v>120</v>
      </c>
      <c r="H9" s="26" t="s">
        <v>121</v>
      </c>
      <c r="I9" s="53" t="s">
        <v>122</v>
      </c>
      <c r="J9" s="26" t="s">
        <v>123</v>
      </c>
      <c r="K9" s="65"/>
      <c r="L9" s="53"/>
      <c r="M9" s="26"/>
      <c r="N9" s="53"/>
      <c r="O9" s="26"/>
      <c r="P9" s="53"/>
      <c r="Q9" s="26"/>
      <c r="R9" s="123" t="s">
        <v>124</v>
      </c>
      <c r="S9" s="124"/>
      <c r="T9" s="123" t="s">
        <v>126</v>
      </c>
      <c r="U9" s="124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122</v>
      </c>
      <c r="M10" s="26" t="s">
        <v>123</v>
      </c>
      <c r="N10" s="26" t="s">
        <v>122</v>
      </c>
      <c r="O10" s="26" t="s">
        <v>123</v>
      </c>
      <c r="P10" s="26" t="s">
        <v>122</v>
      </c>
      <c r="Q10" s="26" t="s">
        <v>123</v>
      </c>
      <c r="R10" s="32"/>
      <c r="S10" s="32"/>
      <c r="T10" s="37"/>
      <c r="U10" s="49"/>
    </row>
    <row r="11" spans="1:21" s="10" customFormat="1" ht="26">
      <c r="A11" s="8">
        <v>10</v>
      </c>
      <c r="B11" s="30" t="s">
        <v>0</v>
      </c>
      <c r="C11" s="31"/>
      <c r="D11" s="24" t="s">
        <v>77</v>
      </c>
      <c r="E11" s="28" t="s">
        <v>68</v>
      </c>
      <c r="F11" s="38"/>
      <c r="G11" s="24" t="s">
        <v>24</v>
      </c>
      <c r="H11" s="29" t="s">
        <v>107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>
      <c r="A12" s="8">
        <v>10</v>
      </c>
      <c r="B12" s="8"/>
      <c r="C12" s="8"/>
      <c r="D12" s="8" t="s">
        <v>96</v>
      </c>
      <c r="E12" s="27" t="s">
        <v>97</v>
      </c>
      <c r="F12" s="27"/>
      <c r="G12" s="40" t="s">
        <v>127</v>
      </c>
      <c r="H12" s="40" t="s">
        <v>65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98</v>
      </c>
      <c r="E13" s="27" t="s">
        <v>99</v>
      </c>
      <c r="F13" s="27"/>
      <c r="G13" s="40" t="s">
        <v>128</v>
      </c>
      <c r="H13" s="40" t="s">
        <v>57</v>
      </c>
      <c r="I13" s="8" t="s">
        <v>26</v>
      </c>
      <c r="J13" s="8" t="s">
        <v>25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100</v>
      </c>
      <c r="E14" s="27" t="s">
        <v>101</v>
      </c>
      <c r="F14" s="27"/>
      <c r="G14" s="40" t="s">
        <v>129</v>
      </c>
      <c r="H14" s="40" t="s">
        <v>85</v>
      </c>
      <c r="I14" s="8" t="s">
        <v>26</v>
      </c>
      <c r="J14" s="8" t="s">
        <v>25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102</v>
      </c>
      <c r="E15" s="27" t="s">
        <v>58</v>
      </c>
      <c r="F15" s="27"/>
      <c r="G15" s="40" t="s">
        <v>130</v>
      </c>
      <c r="H15" s="40" t="s">
        <v>86</v>
      </c>
      <c r="I15" s="8" t="s">
        <v>26</v>
      </c>
      <c r="J15" s="8" t="s">
        <v>25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103</v>
      </c>
      <c r="E16" s="27" t="s">
        <v>59</v>
      </c>
      <c r="F16" s="27"/>
      <c r="G16" s="40" t="s">
        <v>131</v>
      </c>
      <c r="H16" s="40" t="s">
        <v>87</v>
      </c>
      <c r="I16" s="8" t="s">
        <v>26</v>
      </c>
      <c r="J16" s="8" t="s">
        <v>25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104</v>
      </c>
      <c r="E17" s="27" t="s">
        <v>60</v>
      </c>
      <c r="F17" s="27"/>
      <c r="G17" s="40" t="s">
        <v>132</v>
      </c>
      <c r="H17" s="40" t="s">
        <v>88</v>
      </c>
      <c r="I17" s="8" t="s">
        <v>26</v>
      </c>
      <c r="J17" s="8" t="s">
        <v>25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105</v>
      </c>
      <c r="E18" s="27" t="s">
        <v>61</v>
      </c>
      <c r="F18" s="27"/>
      <c r="G18" s="40" t="s">
        <v>133</v>
      </c>
      <c r="H18" s="40" t="s">
        <v>63</v>
      </c>
      <c r="I18" s="8" t="s">
        <v>26</v>
      </c>
      <c r="J18" s="8" t="s">
        <v>25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106</v>
      </c>
      <c r="E19" s="27" t="s">
        <v>62</v>
      </c>
      <c r="F19" s="27"/>
      <c r="G19" s="40" t="s">
        <v>134</v>
      </c>
      <c r="H19" s="40" t="s">
        <v>64</v>
      </c>
      <c r="I19" s="8" t="s">
        <v>26</v>
      </c>
      <c r="J19" s="8" t="s">
        <v>25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72</v>
      </c>
      <c r="E20" s="27" t="s">
        <v>73</v>
      </c>
      <c r="F20" s="27"/>
      <c r="G20" s="40" t="s">
        <v>135</v>
      </c>
      <c r="H20" s="40" t="s">
        <v>89</v>
      </c>
      <c r="I20" s="8" t="s">
        <v>25</v>
      </c>
      <c r="J20" s="8" t="s">
        <v>25</v>
      </c>
      <c r="K20" s="8"/>
      <c r="L20" s="8"/>
      <c r="M20" s="8"/>
      <c r="N20" s="8"/>
      <c r="O20" s="8"/>
      <c r="P20" s="8"/>
      <c r="Q20" s="8"/>
      <c r="R20" s="52"/>
      <c r="S20" s="53"/>
      <c r="T20" s="50"/>
      <c r="U20" s="51"/>
    </row>
    <row r="21" spans="1:21" s="10" customFormat="1">
      <c r="A21" s="8">
        <v>10</v>
      </c>
      <c r="B21" s="8"/>
      <c r="C21" s="8"/>
      <c r="D21" s="8" t="s">
        <v>74</v>
      </c>
      <c r="E21" s="27" t="s">
        <v>62</v>
      </c>
      <c r="F21" s="27"/>
      <c r="G21" s="40" t="s">
        <v>136</v>
      </c>
      <c r="H21" s="40" t="s">
        <v>90</v>
      </c>
      <c r="I21" s="8" t="s">
        <v>25</v>
      </c>
      <c r="J21" s="8" t="s">
        <v>25</v>
      </c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>
      <c r="A22" s="8">
        <v>10</v>
      </c>
      <c r="B22" s="8"/>
      <c r="C22" s="8"/>
      <c r="D22" s="8" t="s">
        <v>70</v>
      </c>
      <c r="E22" s="27" t="s">
        <v>71</v>
      </c>
      <c r="F22" s="27"/>
      <c r="G22" s="40" t="s">
        <v>137</v>
      </c>
      <c r="H22" s="40" t="s">
        <v>91</v>
      </c>
      <c r="I22" s="8" t="s">
        <v>25</v>
      </c>
      <c r="J22" s="8" t="s">
        <v>25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22"/>
      <c r="B23" s="23"/>
      <c r="C23" s="23"/>
      <c r="D23" s="16" t="s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>
      <c r="A24" s="56"/>
      <c r="U24" s="42"/>
    </row>
    <row r="25" spans="1:21" s="10" customFormat="1">
      <c r="A25" s="56"/>
      <c r="U25" s="42"/>
    </row>
    <row r="26" spans="1:21" s="10" customFormat="1">
      <c r="A26" s="56"/>
      <c r="U26" s="42"/>
    </row>
    <row r="27" spans="1:21" s="10" customFormat="1">
      <c r="A27" s="56"/>
      <c r="U27" s="42"/>
    </row>
    <row r="28" spans="1:21" s="10" customFormat="1">
      <c r="A28" s="56"/>
      <c r="U28" s="42"/>
    </row>
    <row r="29" spans="1:21" s="10" customFormat="1">
      <c r="A29" s="56"/>
      <c r="U29" s="42"/>
    </row>
    <row r="30" spans="1:21" s="10" customFormat="1">
      <c r="A30" s="56"/>
      <c r="U30" s="42"/>
    </row>
    <row r="31" spans="1:21" s="10" customFormat="1">
      <c r="A31" s="56"/>
      <c r="U31" s="42"/>
    </row>
    <row r="32" spans="1:21" s="10" customFormat="1">
      <c r="A32" s="56"/>
      <c r="U32" s="42"/>
    </row>
    <row r="33" spans="1:21" s="10" customFormat="1">
      <c r="A33" s="56"/>
      <c r="U33" s="42"/>
    </row>
    <row r="34" spans="1:21" s="10" customFormat="1">
      <c r="A34" s="56"/>
      <c r="U34" s="42"/>
    </row>
    <row r="35" spans="1:21" s="10" customFormat="1">
      <c r="A35" s="56"/>
      <c r="U35" s="42"/>
    </row>
    <row r="36" spans="1:21" s="10" customFormat="1">
      <c r="A36" s="56"/>
      <c r="U36" s="42"/>
    </row>
    <row r="37" spans="1:21" s="10" customFormat="1">
      <c r="A37" s="6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3"/>
    </row>
  </sheetData>
  <mergeCells count="22">
    <mergeCell ref="R22:S22"/>
    <mergeCell ref="T22:U22"/>
    <mergeCell ref="R19:S19"/>
    <mergeCell ref="T19:U19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1" t="s">
        <v>29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04" t="s">
        <v>30</v>
      </c>
      <c r="B3" s="105"/>
      <c r="C3" s="105"/>
      <c r="D3" s="105"/>
      <c r="E3" s="105"/>
      <c r="F3" s="105"/>
      <c r="G3" s="106"/>
      <c r="H3" s="107" t="s">
        <v>31</v>
      </c>
      <c r="I3" s="105"/>
      <c r="J3" s="105"/>
      <c r="K3" s="105"/>
      <c r="L3" s="105"/>
      <c r="M3" s="105"/>
      <c r="N3" s="106"/>
      <c r="O3" s="107" t="s">
        <v>32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33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34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5" t="s">
        <v>140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141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86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2026-03-27T05:59:36Z</dcterms:modified>
  <cp:category/>
</cp:coreProperties>
</file>