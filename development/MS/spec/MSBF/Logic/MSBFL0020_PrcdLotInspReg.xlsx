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DB4769DD-0367-4802-8967-E1E74F54BF37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rch01" sheetId="9" r:id="rId2"/>
    <sheet name="Chk01" sheetId="7" r:id="rId3"/>
    <sheet name="Chk02" sheetId="8" r:id="rId4"/>
    <sheet name="Ins01" sheetId="5" r:id="rId5"/>
    <sheet name="Del01" sheetId="6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<sst xmlns="http://schemas.openxmlformats.org/spreadsheetml/2006/main" count="722" uniqueCount="214">
  <si>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</si>
  <si>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</si>
  <si>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</si>
  <si>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</si>
  <si>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SuperLogicID :</t>
    <phoneticPr fontId="1"/>
  </si>
  <si>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</si>
  <si>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</si>
  <si>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</si>
  <si>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</si>
  <si>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</si>
  <si>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</si>
  <si>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</si>
  <si>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</si>
  <si>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</si>
  <si>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MSBFL_PrcdLotInspReg</t>
  </si>
  <si>
    <t>先行検査予定登録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</si>
  <si>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</si>
  <si>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</si>
  <si>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</si>
  <si>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</si>
  <si>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</si>
  <si>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</si>
  <si>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</si>
  <si>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Ins01</t>
  </si>
  <si>
    <t>登録</t>
  </si>
  <si>
    <t>master_dt</t>
  </si>
  <si>
    <t>#MA.DT</t>
  </si>
  <si>
    <t>loc_cd</t>
  </si>
  <si>
    <t>#MA.LOC_CD</t>
  </si>
  <si>
    <t>sppl_cd</t>
  </si>
  <si>
    <t>#MA.BP_CD</t>
  </si>
  <si>
    <t>maker_cd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</si>
  <si>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</si>
  <si>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</si>
  <si>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</si>
  <si>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</si>
  <si>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</si>
  <si>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</si>
  <si>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</si>
  <si>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</si>
  <si>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bp_lot_no</t>
  </si>
  <si>
    <t>#MA.BP_LOT_NO</t>
  </si>
  <si>
    <t>#MA.TM</t>
  </si>
  <si>
    <t>st_tm</t>
  </si>
  <si>
    <t>end_tm</t>
  </si>
  <si>
    <t>sub_char1</t>
  </si>
  <si>
    <t>#MS.INSP_SCHD_SUB_CHAR1</t>
  </si>
  <si>
    <t>sub_char2</t>
  </si>
  <si>
    <t>#MS.INSP_SCHD_SUB_CHAR2</t>
  </si>
  <si>
    <t>sub_char3</t>
  </si>
  <si>
    <t>#MS.INSP_SCHD_SUB_CHAR3</t>
  </si>
  <si>
    <t>#MA.INSP_SCHD_NO</t>
  </si>
  <si>
    <t>Del01</t>
  </si>
  <si>
    <t>取消</t>
  </si>
  <si>
    <t>MSBFL0020</t>
    <phoneticPr fontId="3"/>
  </si>
  <si>
    <t>R</t>
  </si>
  <si>
    <t>$share$</t>
  </si>
  <si>
    <t>#MA.DT</t>
    <phoneticPr fontId="3"/>
  </si>
  <si>
    <t>CALL_OPE01.chk01</t>
    <phoneticPr fontId="1"/>
  </si>
  <si>
    <t>Chk01</t>
  </si>
  <si>
    <t>Chk01_Cnd</t>
    <phoneticPr fontId="3"/>
  </si>
  <si>
    <t>insp_schd_no</t>
  </si>
  <si>
    <t>REQUIRED</t>
  </si>
  <si>
    <t>LIST_LOGIC</t>
  </si>
  <si>
    <t>LIST_OUT</t>
  </si>
  <si>
    <t>LIST_OUT_BASE</t>
  </si>
  <si>
    <t>BEFORE_AFTER</t>
  </si>
  <si>
    <t>MSBF</t>
    <phoneticPr fontId="3"/>
  </si>
  <si>
    <t>Del01_Cnd</t>
    <phoneticPr fontId="3"/>
  </si>
  <si>
    <t>Ins01_Cnd</t>
    <phoneticPr fontId="3"/>
  </si>
  <si>
    <t>$share$</t>
    <phoneticPr fontId="3"/>
  </si>
  <si>
    <t>Chk02_Cnd</t>
    <phoneticPr fontId="3"/>
  </si>
  <si>
    <t>Chk02</t>
  </si>
  <si>
    <t>取消前チェック</t>
    <rPh sb="0" eb="2">
      <t>トリケシ</t>
    </rPh>
    <phoneticPr fontId="3"/>
  </si>
  <si>
    <t>insp_schd_no</t>
    <phoneticPr fontId="3"/>
  </si>
  <si>
    <t>MS.MSBFL0020.Chk02.Chk02_Cnd</t>
    <phoneticPr fontId="3"/>
  </si>
  <si>
    <t>OPE.MS.MSBFL0020.Chk02</t>
    <phoneticPr fontId="3"/>
  </si>
  <si>
    <t>@</t>
  </si>
  <si>
    <t>OPE.MS.MSBFL0020.Chk01</t>
    <phoneticPr fontId="3"/>
  </si>
  <si>
    <t>CALL_OPE01.chk01</t>
    <phoneticPr fontId="1"/>
  </si>
  <si>
    <t>st_tm</t>
    <phoneticPr fontId="3"/>
  </si>
  <si>
    <t>end_tm</t>
    <phoneticPr fontId="3"/>
  </si>
  <si>
    <t>#MA.TM</t>
    <phoneticPr fontId="3"/>
  </si>
  <si>
    <t>Srch01_Cnd</t>
    <phoneticPr fontId="3"/>
  </si>
  <si>
    <t>エラーＦＬＧ</t>
    <phoneticPr fontId="3"/>
  </si>
  <si>
    <t>K</t>
  </si>
  <si>
    <t>REQ_UPD_CNT_CHK</t>
  </si>
  <si>
    <t>CHK_NUM</t>
  </si>
  <si>
    <t>SMALL_LARGE</t>
  </si>
  <si>
    <t>CHK_DT</t>
  </si>
  <si>
    <t>CHK_PTN</t>
  </si>
  <si>
    <t>DUPLICATE</t>
  </si>
  <si>
    <t>TOO_MANY_INPUTS</t>
  </si>
  <si>
    <t>AT_LEAST_ONE</t>
  </si>
  <si>
    <t>ONLY_ONE_INPUT</t>
  </si>
  <si>
    <t>itm_is_srch_typ;itm_cd;itm_sub1;itm_sub2</t>
    <phoneticPr fontId="3"/>
  </si>
  <si>
    <t>MAC_ITM_IS_SRCH_TYP.STK1;itm_cd;itm_sub1;itm_sub2</t>
    <phoneticPr fontId="3"/>
  </si>
  <si>
    <t>E</t>
    <phoneticPr fontId="3"/>
  </si>
  <si>
    <t>#MA.FLG</t>
    <phoneticPr fontId="3"/>
  </si>
  <si>
    <t>sppl_cd;MAC_BP_IS_SRCH_TYP.SPPL</t>
    <phoneticPr fontId="3"/>
  </si>
  <si>
    <t>bp_cd;bp_is_srch_typ</t>
    <phoneticPr fontId="3"/>
  </si>
  <si>
    <t>MA.MAUAL0010.Bp</t>
    <phoneticPr fontId="3"/>
  </si>
  <si>
    <t>insp_cnt_rmrks</t>
  </si>
  <si>
    <t>#MS.INSP_CNT_RMRKS</t>
  </si>
  <si>
    <t>no_spec_flg</t>
    <phoneticPr fontId="3"/>
  </si>
  <si>
    <t>MAC_LOC_IS_SRCH_TYP.HOUSE</t>
    <phoneticPr fontId="3"/>
  </si>
  <si>
    <t>検索</t>
  </si>
  <si>
    <t>品管関連マスタを検索する</t>
  </si>
  <si>
    <t>先行検査の検査予定を登録する前に、チェックを実行する</t>
  </si>
  <si>
    <t>登録前チェック</t>
  </si>
  <si>
    <t>先行検査の検査予定を取り消す前に、チェックを実行する</t>
  </si>
  <si>
    <t>先行検査の検査予定の登録を行う</t>
  </si>
  <si>
    <t>先行検査の検査予定の取消を行う</t>
  </si>
  <si>
    <t>MS</t>
    <phoneticPr fontId="3"/>
  </si>
  <si>
    <t>Pj.ID :</t>
    <phoneticPr fontId="1"/>
  </si>
  <si>
    <t>MC</t>
    <phoneticPr fontId="3"/>
  </si>
  <si>
    <t>SuperClassPj.ID :</t>
    <phoneticPr fontId="1"/>
  </si>
  <si>
    <t>L</t>
    <phoneticPr fontId="1"/>
  </si>
  <si>
    <t>Ope.ID :</t>
    <phoneticPr fontId="1"/>
  </si>
  <si>
    <t xml:space="preserve">Ope.Body : </t>
    <phoneticPr fontId="1"/>
  </si>
  <si>
    <t>ID</t>
    <phoneticPr fontId="1"/>
  </si>
  <si>
    <t>Srch01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</si>
  <si>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</si>
  <si>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</si>
  <si>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</si>
  <si>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</si>
  <si>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pre_insp_valid_flg</t>
    <phoneticPr fontId="3"/>
  </si>
  <si>
    <t>#MA.FLG</t>
    <phoneticPr fontId="3"/>
  </si>
  <si>
    <t>#MA.FLG</t>
    <phoneticPr fontId="3"/>
  </si>
  <si>
    <t xml:space="preserve">Ope.Name : </t>
    <phoneticPr fontId="1"/>
  </si>
  <si>
    <t>概要 :</t>
    <phoneticPr fontId="1"/>
  </si>
  <si>
    <t>LIST_IN</t>
    <phoneticPr fontId="3"/>
  </si>
  <si>
    <t>LIST_IN_BASE</t>
    <phoneticPr fontId="3"/>
  </si>
  <si>
    <t>CONST</t>
    <phoneticPr fontId="3"/>
  </si>
  <si>
    <t>NULL_VAL</t>
    <phoneticPr fontId="3"/>
  </si>
  <si>
    <t>err_flg</t>
    <phoneticPr fontId="3"/>
  </si>
  <si>
    <t>loc_is_srch_typ</t>
    <phoneticPr fontId="3"/>
  </si>
  <si>
    <t>E:BF</t>
    <phoneticPr fontId="3"/>
  </si>
  <si>
    <t>E:AF</t>
    <phoneticPr fontId="3"/>
  </si>
  <si>
    <t>LIST_IN_BASE</t>
    <phoneticPr fontId="3"/>
  </si>
  <si>
    <t>TargetName</t>
    <phoneticPr fontId="1"/>
  </si>
  <si>
    <t>TargetName</t>
    <phoneticPr fontId="1"/>
  </si>
  <si>
    <t>LogicName :</t>
    <phoneticPr fontId="1"/>
  </si>
  <si>
    <t>000000</t>
    <phoneticPr fontId="1"/>
  </si>
  <si>
    <t>Ope.Method :</t>
    <phoneticPr fontId="1"/>
  </si>
  <si>
    <t>Gene.Type :</t>
    <phoneticPr fontId="1"/>
  </si>
  <si>
    <t>*</t>
    <phoneticPr fontId="1"/>
  </si>
  <si>
    <t>ACType :</t>
    <phoneticPr fontId="1"/>
  </si>
  <si>
    <t>マスタ適用日</t>
    <phoneticPr fontId="1"/>
  </si>
  <si>
    <t>E</t>
    <phoneticPr fontId="1"/>
  </si>
  <si>
    <t>検査場所ＣＤ</t>
    <phoneticPr fontId="3"/>
  </si>
  <si>
    <t>発注先ＣＤ</t>
    <phoneticPr fontId="1"/>
  </si>
  <si>
    <t>メーカＣＤ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</si>
  <si>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</si>
  <si>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</si>
  <si>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</si>
  <si>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</si>
  <si>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先行検査有効</t>
    <phoneticPr fontId="3"/>
  </si>
  <si>
    <t>抜取規格検査なし</t>
    <phoneticPr fontId="3"/>
  </si>
  <si>
    <t>検査場所</t>
    <phoneticPr fontId="1"/>
  </si>
  <si>
    <t>MA.MAUAL0010.Loc</t>
    <phoneticPr fontId="3"/>
  </si>
  <si>
    <t>maker_cd;MAC_BP_IS_SRCH_TYP.MAKER</t>
    <phoneticPr fontId="3"/>
  </si>
  <si>
    <t>枝番３</t>
    <phoneticPr fontId="3"/>
  </si>
  <si>
    <t>MA.MAUAL0010.ItmSub3</t>
    <phoneticPr fontId="3"/>
  </si>
  <si>
    <t>業者ロットＮＯ</t>
    <phoneticPr fontId="1"/>
  </si>
  <si>
    <t>開始予定日時</t>
    <phoneticPr fontId="3"/>
  </si>
  <si>
    <t>終了予定日時</t>
    <phoneticPr fontId="3"/>
  </si>
  <si>
    <t>検査連絡備考</t>
    <phoneticPr fontId="1"/>
  </si>
  <si>
    <t>予備１</t>
    <phoneticPr fontId="1"/>
  </si>
  <si>
    <t>予備２</t>
    <phoneticPr fontId="1"/>
  </si>
  <si>
    <t>予備３</t>
    <phoneticPr fontId="1"/>
  </si>
  <si>
    <t>検査予定ＮＯ</t>
    <phoneticPr fontId="1"/>
  </si>
  <si>
    <t>MS.MSBFL0020.Chk01.Chk01_Cnd</t>
    <phoneticPr fontId="3"/>
  </si>
  <si>
    <t>Chk01_Cnd</t>
    <phoneticPr fontId="1"/>
  </si>
  <si>
    <t>MS.MSUDL5010</t>
    <phoneticPr fontId="3"/>
  </si>
  <si>
    <t>"mcframe.serverMAUD.MAUDL5010.MAUDL_Operation"</t>
    <phoneticPr fontId="3"/>
  </si>
  <si>
    <t>MA.MAUDL5010.Checker</t>
    <phoneticPr fontId="1"/>
  </si>
  <si>
    <t>"mcframe.serverMAUD.MAUDL5010.MAUDL_Searcher"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</si>
  <si>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</si>
  <si>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</si>
  <si>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</si>
  <si>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</si>
  <si>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</si>
  <si>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</si>
  <si>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</si>
  <si>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</si>
  <si>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</si>
  <si>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</si>
  <si>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</si>
  <si>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</si>
  <si>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</si>
  <si>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</si>
  <si>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Master application date</t>
  </si>
  <si>
    <t>Inspection location cd.</t>
  </si>
  <si>
    <t>Supplier cd.</t>
  </si>
  <si>
    <t>Maker cd.</t>
  </si>
  <si>
    <t>Item cd.</t>
  </si>
  <si>
    <t>Branch No. 1</t>
  </si>
  <si>
    <t>Branch No. 2</t>
  </si>
  <si>
    <t>Branch No. 3</t>
  </si>
  <si>
    <t>Prior inspection valid</t>
  </si>
  <si>
    <t>Without sampling specific inspection</t>
  </si>
  <si>
    <t>Error flg.</t>
  </si>
  <si>
    <t>Inspection location</t>
  </si>
  <si>
    <t>Vendor lot No.</t>
  </si>
  <si>
    <t>Scheduled start date and time</t>
  </si>
  <si>
    <t>Scheduled end date and time</t>
  </si>
  <si>
    <t>Inspection contact remarks</t>
  </si>
  <si>
    <t>Spare 1</t>
  </si>
  <si>
    <t>Spare 2</t>
  </si>
  <si>
    <t>Spare 3</t>
  </si>
  <si>
    <t>Inspection schedule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</si>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</sst>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0" xfId="0" applyFont="1">
      <alignment vertical="top" wrapText="1"/>
    </xf>
    <xf numFmtId="0" fontId="6" fillId="3" borderId="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0" xfId="0" applyFont="1" applyAlignment="1">
      <alignment horizontal="left" vertical="top"/>
    </xf>
    <xf numFmtId="0" fontId="6" fillId="2" borderId="4" xfId="0" applyFont="1" applyFill="1" applyBorder="1" applyAlignment="1">
      <alignment vertical="top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 applyProtection="1">
      <alignment vertical="top"/>
      <protection locked="0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9" xfId="0" applyFont="1" applyBorder="1" applyAlignment="1">
      <alignment vertical="top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B09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3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113</v>
      </c>
      <c r="D2" s="7" t="s">
        <v>1</v>
      </c>
      <c r="E2" s="8" t="s">
        <v>54</v>
      </c>
      <c r="F2" s="7" t="s">
        <v>114</v>
      </c>
      <c r="G2" s="8" t="s">
        <v>115</v>
      </c>
      <c r="H2" s="36"/>
      <c r="I2" s="36"/>
      <c r="J2" s="36"/>
      <c r="K2" s="36"/>
      <c r="L2" s="36"/>
      <c r="M2" s="36"/>
    </row>
    <row r="3" spans="1:13" x14ac:dyDescent="0.2">
      <c r="A3" s="10"/>
      <c r="B3" s="7" t="s">
        <v>2</v>
      </c>
      <c r="C3" s="8" t="s">
        <v>67</v>
      </c>
      <c r="D3" s="7" t="s">
        <v>3</v>
      </c>
      <c r="E3" s="8" t="s">
        <v>14</v>
      </c>
      <c r="F3" s="7" t="s">
        <v>116</v>
      </c>
      <c r="G3" s="8"/>
      <c r="H3" s="5"/>
      <c r="I3" s="5"/>
    </row>
    <row r="4" spans="1:13" x14ac:dyDescent="0.2">
      <c r="A4" s="4"/>
      <c r="B4" s="7"/>
      <c r="C4" s="7"/>
      <c r="D4" s="7" t="s">
        <v>142</v>
      </c>
      <c r="E4" s="8" t="s">
        <v>15</v>
      </c>
      <c r="F4" s="7" t="s">
        <v>4</v>
      </c>
      <c r="G4" s="8" t="s">
        <v>174</v>
      </c>
      <c r="I4" s="5"/>
      <c r="J4" s="4"/>
    </row>
    <row r="5" spans="1:13" x14ac:dyDescent="0.2">
      <c r="A5" s="6" t="s">
        <v>130</v>
      </c>
      <c r="B5" s="11"/>
      <c r="C5" s="37"/>
      <c r="D5" s="11"/>
      <c r="E5" s="11"/>
      <c r="F5" s="38"/>
      <c r="G5" s="12"/>
      <c r="H5" s="12"/>
      <c r="I5" s="12"/>
      <c r="J5" s="4"/>
    </row>
    <row r="6" spans="1:13" s="36" customFormat="1" x14ac:dyDescent="0.2">
      <c r="A6" s="39" t="s">
        <v>5</v>
      </c>
      <c r="B6" s="6"/>
      <c r="C6" s="40"/>
      <c r="D6" s="6"/>
      <c r="E6" s="6"/>
      <c r="F6" s="6"/>
      <c r="G6" s="6"/>
      <c r="H6" s="6"/>
      <c r="I6" s="41"/>
    </row>
    <row r="7" spans="1:13" s="36" customFormat="1" x14ac:dyDescent="0.2">
      <c r="A7" s="5"/>
      <c r="B7" s="4"/>
      <c r="C7" s="13"/>
      <c r="D7" s="4"/>
      <c r="E7" s="4"/>
      <c r="F7" s="4"/>
      <c r="G7" s="4"/>
      <c r="H7" s="4"/>
      <c r="I7" s="42"/>
    </row>
    <row r="8" spans="1:13" x14ac:dyDescent="0.2">
      <c r="B8" s="4"/>
      <c r="I8" s="42"/>
    </row>
    <row r="9" spans="1:13" x14ac:dyDescent="0.2">
      <c r="B9" s="4"/>
      <c r="I9" s="42"/>
      <c r="J9" s="4"/>
    </row>
    <row r="10" spans="1:13" x14ac:dyDescent="0.2">
      <c r="B10" s="4"/>
      <c r="I10" s="42"/>
      <c r="J10" s="4"/>
    </row>
    <row r="11" spans="1:13" x14ac:dyDescent="0.2">
      <c r="B11" s="4"/>
      <c r="I11" s="42"/>
      <c r="J11" s="4"/>
    </row>
    <row r="12" spans="1:13" x14ac:dyDescent="0.2">
      <c r="B12" s="4"/>
      <c r="I12" s="42"/>
      <c r="J12" s="4"/>
    </row>
    <row r="13" spans="1:13" x14ac:dyDescent="0.2">
      <c r="B13" s="4"/>
      <c r="I13" s="42"/>
      <c r="J13" s="4"/>
    </row>
    <row r="14" spans="1:13" x14ac:dyDescent="0.2">
      <c r="B14" s="4"/>
      <c r="I14" s="42"/>
      <c r="J14" s="4"/>
    </row>
    <row r="15" spans="1:13" x14ac:dyDescent="0.2">
      <c r="B15" s="4"/>
      <c r="I15" s="42"/>
      <c r="J15" s="4"/>
    </row>
    <row r="16" spans="1:13" x14ac:dyDescent="0.2">
      <c r="B16" s="4"/>
      <c r="I16" s="42"/>
      <c r="J16" s="4"/>
    </row>
    <row r="17" spans="1:10" x14ac:dyDescent="0.2">
      <c r="B17" s="4"/>
      <c r="I17" s="42"/>
      <c r="J17" s="4"/>
    </row>
    <row r="18" spans="1:10" x14ac:dyDescent="0.2">
      <c r="B18" s="4"/>
      <c r="I18" s="42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4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146</v>
      </c>
      <c r="B1" s="49" t="s">
        <v>146</v>
      </c>
      <c r="C1" s="49"/>
      <c r="D1" s="1" t="s">
        <v>117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146</v>
      </c>
      <c r="B2" s="14"/>
      <c r="C2" s="14"/>
      <c r="D2" s="62" t="s">
        <v>178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MSBFL0020</v>
      </c>
      <c r="I2" s="7" t="s">
        <v>118</v>
      </c>
      <c r="J2" s="8" t="s">
        <v>121</v>
      </c>
      <c r="K2" s="7" t="s">
        <v>114</v>
      </c>
      <c r="L2" s="51" t="str">
        <f>IF(LogicCommon!G2="","",LogicCommon!G2)</f>
        <v>MC</v>
      </c>
      <c r="M2" s="5" t="s">
        <v>119</v>
      </c>
      <c r="N2" s="9" t="s">
        <v>177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146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MSBFL_PrcdLotInspReg</v>
      </c>
      <c r="I3" s="7" t="s">
        <v>144</v>
      </c>
      <c r="J3" s="8" t="s">
        <v>77</v>
      </c>
      <c r="K3" s="7" t="s">
        <v>116</v>
      </c>
      <c r="L3" s="51" t="str">
        <f>IF(LogicCommon!G3="","",LogicCommon!G3)</f>
        <v/>
      </c>
      <c r="M3" s="55"/>
      <c r="N3" s="7"/>
      <c r="O3" s="7" t="s">
        <v>145</v>
      </c>
      <c r="P3" s="8" t="s">
        <v>122</v>
      </c>
      <c r="Q3" s="4"/>
      <c r="R3" s="5"/>
      <c r="S3" s="5"/>
      <c r="T3" s="5"/>
      <c r="U3" s="5"/>
    </row>
    <row r="4" spans="1:21" s="10" customFormat="1" x14ac:dyDescent="0.2">
      <c r="A4" s="52" t="s">
        <v>146</v>
      </c>
      <c r="B4" s="53"/>
      <c r="C4" s="53"/>
      <c r="D4" s="4"/>
      <c r="E4" s="7" t="s">
        <v>6</v>
      </c>
      <c r="F4" s="56" t="s">
        <v>143</v>
      </c>
      <c r="G4" s="7" t="s">
        <v>142</v>
      </c>
      <c r="H4" s="51" t="str">
        <f>IF(LogicCommon!E4="","",LogicCommon!E4)</f>
        <v>先行検査予定登録</v>
      </c>
      <c r="I4" s="7" t="s">
        <v>129</v>
      </c>
      <c r="J4" s="8" t="s">
        <v>106</v>
      </c>
      <c r="K4" s="7" t="s">
        <v>4</v>
      </c>
      <c r="L4" s="51" t="str">
        <f>IF(LogicCommon!G4="","",LogicCommon!G4)</f>
        <v>MS.MSUDL5010</v>
      </c>
      <c r="M4" s="57" t="s">
        <v>123</v>
      </c>
      <c r="N4" s="9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146</v>
      </c>
      <c r="B5" s="49"/>
      <c r="C5" s="49"/>
      <c r="D5" s="43"/>
      <c r="E5" s="7" t="s">
        <v>147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146</v>
      </c>
      <c r="B6" s="53"/>
      <c r="C6" s="53"/>
      <c r="D6" s="4" t="s">
        <v>130</v>
      </c>
      <c r="E6" s="11" t="s">
        <v>107</v>
      </c>
      <c r="F6" s="11"/>
      <c r="G6" s="11"/>
      <c r="H6" s="11"/>
      <c r="I6" s="11"/>
      <c r="J6" s="11"/>
      <c r="K6" s="11"/>
      <c r="L6" s="61"/>
      <c r="M6" s="12" t="s">
        <v>120</v>
      </c>
      <c r="N6" s="12"/>
      <c r="O6" s="12" t="s">
        <v>120</v>
      </c>
      <c r="P6" s="12"/>
      <c r="Q6" s="12" t="s">
        <v>120</v>
      </c>
      <c r="R6" s="4"/>
      <c r="S6" s="4"/>
      <c r="T6" s="4"/>
      <c r="U6" s="4"/>
    </row>
    <row r="7" spans="1:21" s="10" customFormat="1" x14ac:dyDescent="0.2">
      <c r="A7" s="14" t="s">
        <v>16</v>
      </c>
      <c r="B7" s="14"/>
      <c r="C7" s="14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15" t="s">
        <v>19</v>
      </c>
      <c r="M7" s="16"/>
      <c r="N7" s="15" t="s">
        <v>19</v>
      </c>
      <c r="O7" s="16"/>
      <c r="P7" s="15" t="s">
        <v>19</v>
      </c>
      <c r="Q7" s="17"/>
      <c r="R7" s="4"/>
      <c r="S7" s="4"/>
      <c r="T7" s="4"/>
      <c r="U7" s="4"/>
    </row>
    <row r="8" spans="1:21" s="10" customFormat="1" ht="60" customHeight="1" x14ac:dyDescent="0.2">
      <c r="A8" s="17" t="s">
        <v>16</v>
      </c>
      <c r="B8" s="63"/>
      <c r="C8" s="64"/>
      <c r="D8" s="15" t="s">
        <v>179</v>
      </c>
      <c r="E8" s="15" t="s">
        <v>180</v>
      </c>
      <c r="F8" s="61"/>
      <c r="G8" s="15" t="s">
        <v>124</v>
      </c>
      <c r="H8" s="15" t="s">
        <v>181</v>
      </c>
      <c r="I8" s="61"/>
      <c r="J8" s="3"/>
      <c r="K8" s="8"/>
      <c r="L8" s="15" t="s">
        <v>20</v>
      </c>
      <c r="M8" s="8"/>
      <c r="N8" s="15" t="s">
        <v>125</v>
      </c>
      <c r="O8" s="17"/>
      <c r="P8" s="15" t="s">
        <v>125</v>
      </c>
      <c r="Q8" s="17"/>
      <c r="R8" s="3"/>
      <c r="S8" s="43"/>
      <c r="T8" s="66" t="s">
        <v>182</v>
      </c>
      <c r="U8" s="67"/>
    </row>
    <row r="9" spans="1:21" s="10" customFormat="1" ht="60" customHeight="1" x14ac:dyDescent="0.2">
      <c r="A9" s="8" t="s">
        <v>16</v>
      </c>
      <c r="B9" s="20"/>
      <c r="C9" s="21"/>
      <c r="D9" s="15" t="s">
        <v>183</v>
      </c>
      <c r="E9" s="44" t="s">
        <v>184</v>
      </c>
      <c r="F9" s="15" t="s">
        <v>185</v>
      </c>
      <c r="G9" s="15" t="s">
        <v>186</v>
      </c>
      <c r="H9" s="15" t="s">
        <v>187</v>
      </c>
      <c r="I9" s="45" t="s">
        <v>188</v>
      </c>
      <c r="J9" s="15" t="s">
        <v>189</v>
      </c>
      <c r="K9" s="62"/>
      <c r="L9" s="45"/>
      <c r="M9" s="15"/>
      <c r="N9" s="15"/>
      <c r="O9" s="15"/>
      <c r="P9" s="15"/>
      <c r="Q9" s="15"/>
      <c r="R9" s="66" t="s">
        <v>190</v>
      </c>
      <c r="S9" s="67"/>
      <c r="T9" s="66" t="s">
        <v>191</v>
      </c>
      <c r="U9" s="67"/>
    </row>
    <row r="10" spans="1:21" s="10" customFormat="1" ht="39" x14ac:dyDescent="0.2">
      <c r="A10" s="20" t="s">
        <v>16</v>
      </c>
      <c r="B10" s="23"/>
      <c r="C10" s="23"/>
      <c r="D10" s="24"/>
      <c r="E10" s="22"/>
      <c r="F10" s="22"/>
      <c r="G10" s="25"/>
      <c r="H10" s="25"/>
      <c r="I10" s="22"/>
      <c r="J10" s="22"/>
      <c r="K10" s="26"/>
      <c r="L10" s="15" t="s">
        <v>188</v>
      </c>
      <c r="M10" s="15" t="s">
        <v>189</v>
      </c>
      <c r="N10" s="15" t="s">
        <v>188</v>
      </c>
      <c r="O10" s="15" t="s">
        <v>189</v>
      </c>
      <c r="P10" s="15" t="s">
        <v>188</v>
      </c>
      <c r="Q10" s="15" t="s">
        <v>189</v>
      </c>
      <c r="R10" s="22"/>
      <c r="S10" s="22"/>
      <c r="T10" s="27"/>
      <c r="U10" s="48"/>
    </row>
    <row r="11" spans="1:21" s="10" customFormat="1" x14ac:dyDescent="0.2">
      <c r="A11" s="8">
        <v>10</v>
      </c>
      <c r="B11" s="20" t="s">
        <v>22</v>
      </c>
      <c r="C11" s="21"/>
      <c r="D11" s="9" t="s">
        <v>83</v>
      </c>
      <c r="E11" s="18" t="s">
        <v>55</v>
      </c>
      <c r="F11" s="28"/>
      <c r="G11" s="9"/>
      <c r="H11" s="19"/>
      <c r="I11" s="29"/>
      <c r="J11" s="25"/>
      <c r="K11" s="25"/>
      <c r="L11" s="18"/>
      <c r="M11" s="18"/>
      <c r="N11" s="18"/>
      <c r="O11" s="18"/>
      <c r="P11" s="18"/>
      <c r="Q11" s="18"/>
      <c r="R11" s="29"/>
      <c r="S11" s="28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25</v>
      </c>
      <c r="E12" s="17" t="s">
        <v>26</v>
      </c>
      <c r="F12" s="17"/>
      <c r="G12" s="30" t="s">
        <v>192</v>
      </c>
      <c r="H12" s="30" t="s">
        <v>148</v>
      </c>
      <c r="I12" s="8" t="s">
        <v>149</v>
      </c>
      <c r="J12" s="8"/>
      <c r="K12" s="8"/>
      <c r="L12" s="8"/>
      <c r="M12" s="8"/>
      <c r="N12" s="8"/>
      <c r="O12" s="8"/>
      <c r="P12" s="8"/>
      <c r="Q12" s="8"/>
      <c r="R12" s="66"/>
      <c r="S12" s="67"/>
      <c r="T12" s="68"/>
      <c r="U12" s="69"/>
    </row>
    <row r="13" spans="1:21" s="10" customFormat="1" x14ac:dyDescent="0.2">
      <c r="A13" s="8">
        <v>10</v>
      </c>
      <c r="B13" s="8"/>
      <c r="C13" s="8"/>
      <c r="D13" s="8" t="s">
        <v>27</v>
      </c>
      <c r="E13" s="17" t="s">
        <v>28</v>
      </c>
      <c r="F13" s="17"/>
      <c r="G13" s="30" t="s">
        <v>193</v>
      </c>
      <c r="H13" s="30" t="s">
        <v>150</v>
      </c>
      <c r="I13" s="8" t="s">
        <v>149</v>
      </c>
      <c r="J13" s="8"/>
      <c r="K13" s="8"/>
      <c r="L13" s="8"/>
      <c r="M13" s="8"/>
      <c r="N13" s="8"/>
      <c r="O13" s="8"/>
      <c r="P13" s="8"/>
      <c r="Q13" s="8"/>
      <c r="R13" s="66"/>
      <c r="S13" s="67"/>
      <c r="T13" s="68"/>
      <c r="U13" s="69"/>
    </row>
    <row r="14" spans="1:21" s="10" customFormat="1" x14ac:dyDescent="0.2">
      <c r="A14" s="8">
        <v>10</v>
      </c>
      <c r="B14" s="8"/>
      <c r="C14" s="8"/>
      <c r="D14" s="8" t="s">
        <v>29</v>
      </c>
      <c r="E14" s="17" t="s">
        <v>30</v>
      </c>
      <c r="F14" s="17"/>
      <c r="G14" s="30" t="s">
        <v>194</v>
      </c>
      <c r="H14" s="30" t="s">
        <v>151</v>
      </c>
      <c r="I14" s="8" t="s">
        <v>149</v>
      </c>
      <c r="J14" s="8"/>
      <c r="K14" s="8"/>
      <c r="L14" s="8"/>
      <c r="M14" s="8"/>
      <c r="N14" s="8"/>
      <c r="O14" s="8"/>
      <c r="P14" s="8"/>
      <c r="Q14" s="8"/>
      <c r="R14" s="66"/>
      <c r="S14" s="67"/>
      <c r="T14" s="68"/>
      <c r="U14" s="69"/>
    </row>
    <row r="15" spans="1:21" s="10" customFormat="1" x14ac:dyDescent="0.2">
      <c r="A15" s="8">
        <v>10</v>
      </c>
      <c r="B15" s="8"/>
      <c r="C15" s="8"/>
      <c r="D15" s="8" t="s">
        <v>31</v>
      </c>
      <c r="E15" s="17" t="s">
        <v>30</v>
      </c>
      <c r="F15" s="17"/>
      <c r="G15" s="30" t="s">
        <v>195</v>
      </c>
      <c r="H15" s="30" t="s">
        <v>152</v>
      </c>
      <c r="I15" s="8" t="s">
        <v>149</v>
      </c>
      <c r="J15" s="8"/>
      <c r="K15" s="8"/>
      <c r="L15" s="8"/>
      <c r="M15" s="8"/>
      <c r="N15" s="8"/>
      <c r="O15" s="8"/>
      <c r="P15" s="8"/>
      <c r="Q15" s="8"/>
      <c r="R15" s="66"/>
      <c r="S15" s="67"/>
      <c r="T15" s="68"/>
      <c r="U15" s="69"/>
    </row>
    <row r="16" spans="1:21" s="10" customFormat="1" x14ac:dyDescent="0.2">
      <c r="A16" s="8">
        <v>10</v>
      </c>
      <c r="B16" s="8"/>
      <c r="C16" s="8"/>
      <c r="D16" s="8" t="s">
        <v>32</v>
      </c>
      <c r="E16" s="17" t="s">
        <v>33</v>
      </c>
      <c r="F16" s="17"/>
      <c r="G16" s="30" t="s">
        <v>196</v>
      </c>
      <c r="H16" s="30" t="s">
        <v>153</v>
      </c>
      <c r="I16" s="8" t="s">
        <v>149</v>
      </c>
      <c r="J16" s="8"/>
      <c r="K16" s="8"/>
      <c r="L16" s="8"/>
      <c r="M16" s="8"/>
      <c r="N16" s="8"/>
      <c r="O16" s="8"/>
      <c r="P16" s="8"/>
      <c r="Q16" s="8"/>
      <c r="R16" s="66"/>
      <c r="S16" s="67"/>
      <c r="T16" s="68"/>
      <c r="U16" s="69"/>
    </row>
    <row r="17" spans="1:21" s="10" customFormat="1" x14ac:dyDescent="0.2">
      <c r="A17" s="8">
        <v>10</v>
      </c>
      <c r="B17" s="8"/>
      <c r="C17" s="8"/>
      <c r="D17" s="8" t="s">
        <v>34</v>
      </c>
      <c r="E17" s="17" t="s">
        <v>35</v>
      </c>
      <c r="F17" s="17"/>
      <c r="G17" s="30" t="s">
        <v>197</v>
      </c>
      <c r="H17" s="30" t="s">
        <v>154</v>
      </c>
      <c r="I17" s="8" t="s">
        <v>149</v>
      </c>
      <c r="J17" s="8"/>
      <c r="K17" s="8"/>
      <c r="L17" s="8"/>
      <c r="M17" s="8"/>
      <c r="N17" s="8"/>
      <c r="O17" s="8"/>
      <c r="P17" s="8"/>
      <c r="Q17" s="8"/>
      <c r="R17" s="66"/>
      <c r="S17" s="67"/>
      <c r="T17" s="68"/>
      <c r="U17" s="69"/>
    </row>
    <row r="18" spans="1:21" s="10" customFormat="1" x14ac:dyDescent="0.2">
      <c r="A18" s="8">
        <v>10</v>
      </c>
      <c r="B18" s="8"/>
      <c r="C18" s="8"/>
      <c r="D18" s="8" t="s">
        <v>36</v>
      </c>
      <c r="E18" s="17" t="s">
        <v>37</v>
      </c>
      <c r="F18" s="17"/>
      <c r="G18" s="30" t="s">
        <v>198</v>
      </c>
      <c r="H18" s="30" t="s">
        <v>155</v>
      </c>
      <c r="I18" s="8" t="s">
        <v>149</v>
      </c>
      <c r="J18" s="8"/>
      <c r="K18" s="8"/>
      <c r="L18" s="8"/>
      <c r="M18" s="8"/>
      <c r="N18" s="8"/>
      <c r="O18" s="8"/>
      <c r="P18" s="8"/>
      <c r="Q18" s="8"/>
      <c r="R18" s="66"/>
      <c r="S18" s="67"/>
      <c r="T18" s="68"/>
      <c r="U18" s="69"/>
    </row>
    <row r="19" spans="1:21" s="10" customFormat="1" x14ac:dyDescent="0.2">
      <c r="A19" s="8">
        <v>10</v>
      </c>
      <c r="B19" s="8"/>
      <c r="C19" s="8"/>
      <c r="D19" s="8" t="s">
        <v>38</v>
      </c>
      <c r="E19" s="17" t="s">
        <v>39</v>
      </c>
      <c r="F19" s="17"/>
      <c r="G19" s="30" t="s">
        <v>199</v>
      </c>
      <c r="H19" s="30" t="s">
        <v>156</v>
      </c>
      <c r="I19" s="8" t="s">
        <v>149</v>
      </c>
      <c r="J19" s="8"/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10" customFormat="1" x14ac:dyDescent="0.2">
      <c r="A20" s="8">
        <v>10</v>
      </c>
      <c r="B20" s="8"/>
      <c r="C20" s="8"/>
      <c r="D20" s="8" t="s">
        <v>126</v>
      </c>
      <c r="E20" s="17" t="s">
        <v>127</v>
      </c>
      <c r="F20" s="17"/>
      <c r="G20" s="30" t="s">
        <v>200</v>
      </c>
      <c r="H20" s="30" t="s">
        <v>157</v>
      </c>
      <c r="I20" s="8"/>
      <c r="J20" s="8" t="s">
        <v>149</v>
      </c>
      <c r="K20" s="8"/>
      <c r="L20" s="8"/>
      <c r="M20" s="8"/>
      <c r="N20" s="8"/>
      <c r="O20" s="8"/>
      <c r="P20" s="8"/>
      <c r="Q20" s="8"/>
      <c r="R20" s="66"/>
      <c r="S20" s="67"/>
      <c r="T20" s="68"/>
      <c r="U20" s="69"/>
    </row>
    <row r="21" spans="1:21" s="10" customFormat="1" ht="26" x14ac:dyDescent="0.2">
      <c r="A21" s="8">
        <v>10</v>
      </c>
      <c r="B21" s="8"/>
      <c r="C21" s="8"/>
      <c r="D21" s="8" t="s">
        <v>104</v>
      </c>
      <c r="E21" s="17" t="s">
        <v>128</v>
      </c>
      <c r="F21" s="17"/>
      <c r="G21" s="30" t="s">
        <v>201</v>
      </c>
      <c r="H21" s="30" t="s">
        <v>158</v>
      </c>
      <c r="I21" s="8"/>
      <c r="J21" s="8" t="s">
        <v>149</v>
      </c>
      <c r="K21" s="8"/>
      <c r="L21" s="8"/>
      <c r="M21" s="8"/>
      <c r="N21" s="8"/>
      <c r="O21" s="8"/>
      <c r="P21" s="8"/>
      <c r="Q21" s="8"/>
      <c r="R21" s="66"/>
      <c r="S21" s="67"/>
      <c r="T21" s="68"/>
      <c r="U21" s="69"/>
    </row>
  </sheetData>
  <mergeCells count="24">
    <mergeCell ref="R19:S19"/>
    <mergeCell ref="T19:U19"/>
    <mergeCell ref="R16:S16"/>
    <mergeCell ref="T16:U16"/>
    <mergeCell ref="R17:S17"/>
    <mergeCell ref="T17:U17"/>
    <mergeCell ref="R18:S18"/>
    <mergeCell ref="T18:U18"/>
    <mergeCell ref="R21:S21"/>
    <mergeCell ref="T21:U21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0:S20"/>
    <mergeCell ref="T20:U2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3" width="20" style="5" bestFit="1" customWidth="1"/>
    <col min="24" max="24" width="15" style="5" bestFit="1" customWidth="1"/>
    <col min="25" max="25" width="24.36328125" style="5" bestFit="1" customWidth="1"/>
    <col min="26" max="26" width="26.453125" style="5" bestFit="1" customWidth="1"/>
    <col min="27" max="27" width="9" style="5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146</v>
      </c>
      <c r="B1" s="49" t="s">
        <v>146</v>
      </c>
      <c r="C1" s="49"/>
      <c r="D1" s="1" t="s">
        <v>117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0" t="s">
        <v>146</v>
      </c>
      <c r="B2" s="14"/>
      <c r="C2" s="14"/>
      <c r="D2" s="62" t="s">
        <v>178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MSBFL0020</v>
      </c>
      <c r="I2" s="7" t="s">
        <v>118</v>
      </c>
      <c r="J2" s="8" t="s">
        <v>59</v>
      </c>
      <c r="K2" s="7" t="s">
        <v>114</v>
      </c>
      <c r="L2" s="51" t="str">
        <f>IF(LogicCommon!G2="","",LogicCommon!G2)</f>
        <v>MC</v>
      </c>
      <c r="M2" s="5" t="s">
        <v>119</v>
      </c>
      <c r="N2" s="9" t="s">
        <v>176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146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MSBFL_PrcdLotInspReg</v>
      </c>
      <c r="I3" s="7" t="s">
        <v>144</v>
      </c>
      <c r="J3" s="8" t="s">
        <v>77</v>
      </c>
      <c r="K3" s="7" t="s">
        <v>116</v>
      </c>
      <c r="L3" s="51" t="str">
        <f>IF(LogicCommon!G3="","",LogicCommon!G3)</f>
        <v/>
      </c>
      <c r="M3" s="55"/>
      <c r="N3" s="7"/>
      <c r="O3" s="7" t="s">
        <v>145</v>
      </c>
      <c r="P3" s="8" t="s">
        <v>122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146</v>
      </c>
      <c r="B4" s="53"/>
      <c r="C4" s="53"/>
      <c r="D4" s="4"/>
      <c r="E4" s="7" t="s">
        <v>6</v>
      </c>
      <c r="F4" s="56" t="s">
        <v>143</v>
      </c>
      <c r="G4" s="7" t="s">
        <v>142</v>
      </c>
      <c r="H4" s="51" t="str">
        <f>IF(LogicCommon!E4="","",LogicCommon!E4)</f>
        <v>先行検査予定登録</v>
      </c>
      <c r="I4" s="7" t="s">
        <v>129</v>
      </c>
      <c r="J4" s="8" t="s">
        <v>109</v>
      </c>
      <c r="K4" s="7" t="s">
        <v>4</v>
      </c>
      <c r="L4" s="51" t="str">
        <f>IF(LogicCommon!G4="","",LogicCommon!G4)</f>
        <v>MS.MSUDL5010</v>
      </c>
      <c r="M4" s="57" t="s">
        <v>123</v>
      </c>
      <c r="N4" s="9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146</v>
      </c>
      <c r="B5" s="49"/>
      <c r="C5" s="49"/>
      <c r="D5" s="43"/>
      <c r="E5" s="7" t="s">
        <v>147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146</v>
      </c>
      <c r="B6" s="53"/>
      <c r="C6" s="53"/>
      <c r="D6" s="4" t="s">
        <v>130</v>
      </c>
      <c r="E6" s="11" t="s">
        <v>108</v>
      </c>
      <c r="F6" s="11"/>
      <c r="G6" s="11"/>
      <c r="H6" s="11"/>
      <c r="I6" s="11"/>
      <c r="J6" s="11"/>
      <c r="K6" s="11"/>
      <c r="L6" s="61"/>
      <c r="M6" s="12"/>
      <c r="N6" s="12"/>
      <c r="O6" s="12"/>
      <c r="P6" s="12"/>
      <c r="Q6" s="12"/>
      <c r="R6" s="12"/>
      <c r="S6" s="12"/>
      <c r="T6" s="12"/>
      <c r="U6" s="12"/>
      <c r="V6" s="4"/>
      <c r="W6" s="4"/>
      <c r="X6" s="4"/>
      <c r="Y6" s="4"/>
      <c r="Z6" s="12"/>
      <c r="AA6" s="12"/>
      <c r="AB6" s="12"/>
      <c r="AC6" s="12"/>
      <c r="AD6" s="12" t="s">
        <v>120</v>
      </c>
      <c r="AE6" s="12"/>
      <c r="AF6" s="12" t="s">
        <v>120</v>
      </c>
      <c r="AG6" s="12"/>
      <c r="AH6" s="12" t="s">
        <v>120</v>
      </c>
      <c r="AI6" s="5"/>
      <c r="AJ6" s="5"/>
      <c r="AK6" s="5"/>
      <c r="AL6" s="5"/>
    </row>
    <row r="7" spans="1:38" s="10" customFormat="1" x14ac:dyDescent="0.2">
      <c r="A7" s="14" t="s">
        <v>16</v>
      </c>
      <c r="B7" s="14"/>
      <c r="C7" s="14"/>
      <c r="D7" s="6"/>
      <c r="E7" s="6"/>
      <c r="F7" s="6"/>
      <c r="G7" s="6"/>
      <c r="H7" s="6"/>
      <c r="I7" s="6" t="s">
        <v>17</v>
      </c>
      <c r="J7" s="6"/>
      <c r="K7" s="8" t="s">
        <v>85</v>
      </c>
      <c r="L7" s="8" t="s">
        <v>18</v>
      </c>
      <c r="M7" s="8" t="s">
        <v>85</v>
      </c>
      <c r="N7" s="8" t="s">
        <v>85</v>
      </c>
      <c r="O7" s="8" t="s">
        <v>85</v>
      </c>
      <c r="P7" s="8" t="s">
        <v>85</v>
      </c>
      <c r="Q7" s="8" t="s">
        <v>85</v>
      </c>
      <c r="R7" s="8" t="s">
        <v>85</v>
      </c>
      <c r="S7" s="8" t="s">
        <v>85</v>
      </c>
      <c r="T7" s="8" t="s">
        <v>85</v>
      </c>
      <c r="U7" s="8" t="s">
        <v>85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8" t="s">
        <v>18</v>
      </c>
      <c r="AC7" s="15" t="s">
        <v>19</v>
      </c>
      <c r="AD7" s="17"/>
      <c r="AE7" s="15" t="s">
        <v>19</v>
      </c>
      <c r="AF7" s="17"/>
      <c r="AG7" s="15" t="s">
        <v>19</v>
      </c>
      <c r="AH7" s="17"/>
      <c r="AI7" s="4"/>
      <c r="AJ7" s="4"/>
      <c r="AK7" s="4"/>
      <c r="AL7" s="4"/>
    </row>
    <row r="8" spans="1:38" s="10" customFormat="1" ht="60" customHeight="1" x14ac:dyDescent="0.2">
      <c r="A8" s="17" t="s">
        <v>16</v>
      </c>
      <c r="B8" s="63"/>
      <c r="C8" s="64"/>
      <c r="D8" s="15" t="s">
        <v>179</v>
      </c>
      <c r="E8" s="15" t="s">
        <v>180</v>
      </c>
      <c r="F8" s="61"/>
      <c r="G8" s="15" t="s">
        <v>124</v>
      </c>
      <c r="H8" s="15" t="s">
        <v>181</v>
      </c>
      <c r="I8" s="61"/>
      <c r="J8" s="3"/>
      <c r="K8" s="8" t="s">
        <v>86</v>
      </c>
      <c r="L8" s="8" t="s">
        <v>62</v>
      </c>
      <c r="M8" s="8" t="s">
        <v>87</v>
      </c>
      <c r="N8" s="8" t="s">
        <v>88</v>
      </c>
      <c r="O8" s="8" t="s">
        <v>89</v>
      </c>
      <c r="P8" s="8" t="s">
        <v>66</v>
      </c>
      <c r="Q8" s="8" t="s">
        <v>90</v>
      </c>
      <c r="R8" s="8" t="s">
        <v>91</v>
      </c>
      <c r="S8" s="8" t="s">
        <v>92</v>
      </c>
      <c r="T8" s="8" t="s">
        <v>93</v>
      </c>
      <c r="U8" s="8" t="s">
        <v>94</v>
      </c>
      <c r="V8" s="8" t="s">
        <v>63</v>
      </c>
      <c r="W8" s="8" t="s">
        <v>64</v>
      </c>
      <c r="X8" s="8" t="s">
        <v>65</v>
      </c>
      <c r="Y8" s="8" t="s">
        <v>131</v>
      </c>
      <c r="Z8" s="8" t="s">
        <v>132</v>
      </c>
      <c r="AA8" s="8" t="s">
        <v>133</v>
      </c>
      <c r="AB8" s="8" t="s">
        <v>134</v>
      </c>
      <c r="AC8" s="15" t="s">
        <v>20</v>
      </c>
      <c r="AD8" s="17"/>
      <c r="AE8" s="15" t="s">
        <v>125</v>
      </c>
      <c r="AF8" s="17"/>
      <c r="AG8" s="15" t="s">
        <v>125</v>
      </c>
      <c r="AH8" s="17"/>
      <c r="AI8" s="3"/>
      <c r="AJ8" s="43"/>
      <c r="AK8" s="44" t="s">
        <v>182</v>
      </c>
      <c r="AL8" s="65"/>
    </row>
    <row r="9" spans="1:38" s="10" customFormat="1" ht="60" customHeight="1" x14ac:dyDescent="0.2">
      <c r="A9" s="8" t="s">
        <v>16</v>
      </c>
      <c r="B9" s="20"/>
      <c r="C9" s="21"/>
      <c r="D9" s="15" t="s">
        <v>183</v>
      </c>
      <c r="E9" s="44" t="s">
        <v>184</v>
      </c>
      <c r="F9" s="15" t="s">
        <v>185</v>
      </c>
      <c r="G9" s="15" t="s">
        <v>186</v>
      </c>
      <c r="H9" s="15" t="s">
        <v>187</v>
      </c>
      <c r="I9" s="45" t="s">
        <v>188</v>
      </c>
      <c r="J9" s="15" t="s">
        <v>189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45"/>
      <c r="AD9" s="15"/>
      <c r="AE9" s="15"/>
      <c r="AF9" s="15"/>
      <c r="AG9" s="15"/>
      <c r="AH9" s="15"/>
      <c r="AI9" s="44" t="s">
        <v>190</v>
      </c>
      <c r="AJ9" s="45"/>
      <c r="AK9" s="44" t="s">
        <v>191</v>
      </c>
      <c r="AL9" s="65"/>
    </row>
    <row r="10" spans="1:38" s="10" customFormat="1" ht="52" x14ac:dyDescent="0.2">
      <c r="A10" s="20" t="s">
        <v>16</v>
      </c>
      <c r="B10" s="23"/>
      <c r="C10" s="23"/>
      <c r="D10" s="24"/>
      <c r="E10" s="22"/>
      <c r="F10" s="22"/>
      <c r="G10" s="25"/>
      <c r="H10" s="25"/>
      <c r="I10" s="22"/>
      <c r="J10" s="22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15" t="s">
        <v>188</v>
      </c>
      <c r="AD10" s="15" t="s">
        <v>189</v>
      </c>
      <c r="AE10" s="15" t="s">
        <v>188</v>
      </c>
      <c r="AF10" s="15" t="s">
        <v>189</v>
      </c>
      <c r="AG10" s="15" t="s">
        <v>188</v>
      </c>
      <c r="AH10" s="15" t="s">
        <v>189</v>
      </c>
      <c r="AI10" s="22"/>
      <c r="AJ10" s="22"/>
      <c r="AK10" s="27"/>
      <c r="AL10" s="48"/>
    </row>
    <row r="11" spans="1:38" s="10" customFormat="1" x14ac:dyDescent="0.2">
      <c r="A11" s="8">
        <v>10</v>
      </c>
      <c r="B11" s="20" t="s">
        <v>22</v>
      </c>
      <c r="C11" s="21"/>
      <c r="D11" s="9" t="s">
        <v>60</v>
      </c>
      <c r="E11" s="18" t="s">
        <v>55</v>
      </c>
      <c r="F11" s="28"/>
      <c r="G11" s="9"/>
      <c r="H11" s="19"/>
      <c r="I11" s="29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18"/>
      <c r="AD11" s="18"/>
      <c r="AE11" s="18"/>
      <c r="AF11" s="18"/>
      <c r="AG11" s="18"/>
      <c r="AH11" s="18"/>
      <c r="AI11" s="29"/>
      <c r="AJ11" s="28"/>
      <c r="AK11" s="46"/>
      <c r="AL11" s="47"/>
    </row>
    <row r="12" spans="1:38" s="10" customFormat="1" x14ac:dyDescent="0.2">
      <c r="A12" s="8">
        <v>10</v>
      </c>
      <c r="B12" s="8"/>
      <c r="C12" s="8"/>
      <c r="D12" s="8" t="s">
        <v>135</v>
      </c>
      <c r="E12" s="17" t="s">
        <v>98</v>
      </c>
      <c r="F12" s="17"/>
      <c r="G12" s="30" t="s">
        <v>202</v>
      </c>
      <c r="H12" s="30" t="s">
        <v>84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4"/>
      <c r="AJ12" s="45"/>
      <c r="AK12" s="46"/>
      <c r="AL12" s="47"/>
    </row>
    <row r="13" spans="1:38" s="10" customFormat="1" x14ac:dyDescent="0.2">
      <c r="A13" s="8">
        <v>10</v>
      </c>
      <c r="B13" s="8"/>
      <c r="C13" s="8"/>
      <c r="D13" s="8" t="s">
        <v>25</v>
      </c>
      <c r="E13" s="17" t="s">
        <v>57</v>
      </c>
      <c r="F13" s="17"/>
      <c r="G13" s="30" t="s">
        <v>192</v>
      </c>
      <c r="H13" s="30" t="s">
        <v>148</v>
      </c>
      <c r="I13" s="8" t="s">
        <v>149</v>
      </c>
      <c r="J13" s="8"/>
      <c r="K13" s="8"/>
      <c r="L13" s="8" t="s">
        <v>149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4"/>
      <c r="AJ13" s="45"/>
      <c r="AK13" s="46"/>
      <c r="AL13" s="47"/>
    </row>
    <row r="14" spans="1:38" s="10" customFormat="1" x14ac:dyDescent="0.2">
      <c r="A14" s="8">
        <v>10</v>
      </c>
      <c r="B14" s="8"/>
      <c r="C14" s="8"/>
      <c r="D14" s="8" t="s">
        <v>27</v>
      </c>
      <c r="E14" s="17" t="s">
        <v>28</v>
      </c>
      <c r="F14" s="17"/>
      <c r="G14" s="30" t="s">
        <v>203</v>
      </c>
      <c r="H14" s="30" t="s">
        <v>159</v>
      </c>
      <c r="I14" s="8" t="s">
        <v>149</v>
      </c>
      <c r="J14" s="8"/>
      <c r="K14" s="8"/>
      <c r="L14" s="8" t="s">
        <v>149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160</v>
      </c>
      <c r="W14" s="8"/>
      <c r="X14" s="8"/>
      <c r="Y14" s="8" t="s">
        <v>105</v>
      </c>
      <c r="Z14" s="8" t="s">
        <v>136</v>
      </c>
      <c r="AA14" s="8"/>
      <c r="AB14" s="8"/>
      <c r="AC14" s="8"/>
      <c r="AD14" s="8"/>
      <c r="AE14" s="8"/>
      <c r="AF14" s="8"/>
      <c r="AG14" s="8"/>
      <c r="AH14" s="8"/>
      <c r="AI14" s="44"/>
      <c r="AJ14" s="45"/>
      <c r="AK14" s="46"/>
      <c r="AL14" s="47"/>
    </row>
    <row r="15" spans="1:38" s="10" customFormat="1" x14ac:dyDescent="0.2">
      <c r="A15" s="8">
        <v>10</v>
      </c>
      <c r="B15" s="8"/>
      <c r="C15" s="8"/>
      <c r="D15" s="8" t="s">
        <v>29</v>
      </c>
      <c r="E15" s="17" t="s">
        <v>30</v>
      </c>
      <c r="F15" s="17"/>
      <c r="G15" s="30" t="s">
        <v>194</v>
      </c>
      <c r="H15" s="30" t="s">
        <v>151</v>
      </c>
      <c r="I15" s="8" t="s">
        <v>149</v>
      </c>
      <c r="J15" s="8"/>
      <c r="K15" s="8"/>
      <c r="L15" s="8" t="s">
        <v>149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101</v>
      </c>
      <c r="W15" s="8"/>
      <c r="X15" s="8"/>
      <c r="Y15" s="8" t="s">
        <v>99</v>
      </c>
      <c r="Z15" s="8" t="s">
        <v>100</v>
      </c>
      <c r="AA15" s="8"/>
      <c r="AB15" s="8"/>
      <c r="AC15" s="8"/>
      <c r="AD15" s="8"/>
      <c r="AE15" s="8"/>
      <c r="AF15" s="8"/>
      <c r="AG15" s="8"/>
      <c r="AH15" s="8"/>
      <c r="AI15" s="44"/>
      <c r="AJ15" s="45"/>
      <c r="AK15" s="46"/>
      <c r="AL15" s="47"/>
    </row>
    <row r="16" spans="1:38" s="10" customFormat="1" x14ac:dyDescent="0.2">
      <c r="A16" s="8">
        <v>10</v>
      </c>
      <c r="B16" s="8"/>
      <c r="C16" s="8"/>
      <c r="D16" s="8" t="s">
        <v>31</v>
      </c>
      <c r="E16" s="17" t="s">
        <v>30</v>
      </c>
      <c r="F16" s="17"/>
      <c r="G16" s="30" t="s">
        <v>195</v>
      </c>
      <c r="H16" s="30" t="s">
        <v>152</v>
      </c>
      <c r="I16" s="8" t="s">
        <v>149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 t="s">
        <v>101</v>
      </c>
      <c r="W16" s="8"/>
      <c r="X16" s="8"/>
      <c r="Y16" s="8" t="s">
        <v>161</v>
      </c>
      <c r="Z16" s="8" t="s">
        <v>100</v>
      </c>
      <c r="AA16" s="8"/>
      <c r="AB16" s="8"/>
      <c r="AC16" s="8"/>
      <c r="AD16" s="8"/>
      <c r="AE16" s="8"/>
      <c r="AF16" s="8"/>
      <c r="AG16" s="8"/>
      <c r="AH16" s="8"/>
      <c r="AI16" s="44"/>
      <c r="AJ16" s="45"/>
      <c r="AK16" s="46"/>
      <c r="AL16" s="47"/>
    </row>
    <row r="17" spans="1:38" s="10" customFormat="1" x14ac:dyDescent="0.2">
      <c r="A17" s="8">
        <v>10</v>
      </c>
      <c r="B17" s="8"/>
      <c r="C17" s="8"/>
      <c r="D17" s="8" t="s">
        <v>32</v>
      </c>
      <c r="E17" s="17" t="s">
        <v>33</v>
      </c>
      <c r="F17" s="17"/>
      <c r="G17" s="30" t="s">
        <v>196</v>
      </c>
      <c r="H17" s="30" t="s">
        <v>153</v>
      </c>
      <c r="I17" s="8" t="s">
        <v>149</v>
      </c>
      <c r="J17" s="8"/>
      <c r="K17" s="8"/>
      <c r="L17" s="8" t="s">
        <v>149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4"/>
      <c r="AJ17" s="45"/>
      <c r="AK17" s="46"/>
      <c r="AL17" s="47"/>
    </row>
    <row r="18" spans="1:38" s="10" customFormat="1" x14ac:dyDescent="0.2">
      <c r="A18" s="8">
        <v>10</v>
      </c>
      <c r="B18" s="8"/>
      <c r="C18" s="8"/>
      <c r="D18" s="8" t="s">
        <v>34</v>
      </c>
      <c r="E18" s="17" t="s">
        <v>35</v>
      </c>
      <c r="F18" s="17"/>
      <c r="G18" s="30" t="s">
        <v>197</v>
      </c>
      <c r="H18" s="30" t="s">
        <v>154</v>
      </c>
      <c r="I18" s="8" t="s">
        <v>149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4"/>
      <c r="AJ18" s="45"/>
      <c r="AK18" s="46"/>
      <c r="AL18" s="47"/>
    </row>
    <row r="19" spans="1:38" s="10" customFormat="1" x14ac:dyDescent="0.2">
      <c r="A19" s="8">
        <v>10</v>
      </c>
      <c r="B19" s="8"/>
      <c r="C19" s="8"/>
      <c r="D19" s="8" t="s">
        <v>36</v>
      </c>
      <c r="E19" s="17" t="s">
        <v>37</v>
      </c>
      <c r="F19" s="17"/>
      <c r="G19" s="30" t="s">
        <v>198</v>
      </c>
      <c r="H19" s="30" t="s">
        <v>155</v>
      </c>
      <c r="I19" s="8" t="s">
        <v>149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4"/>
      <c r="AJ19" s="45"/>
      <c r="AK19" s="46"/>
      <c r="AL19" s="47"/>
    </row>
    <row r="20" spans="1:38" s="10" customFormat="1" x14ac:dyDescent="0.2">
      <c r="A20" s="8">
        <v>10</v>
      </c>
      <c r="B20" s="8"/>
      <c r="C20" s="8"/>
      <c r="D20" s="8" t="s">
        <v>38</v>
      </c>
      <c r="E20" s="17" t="s">
        <v>39</v>
      </c>
      <c r="F20" s="17"/>
      <c r="G20" s="30" t="s">
        <v>199</v>
      </c>
      <c r="H20" s="30" t="s">
        <v>162</v>
      </c>
      <c r="I20" s="8" t="s">
        <v>149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163</v>
      </c>
      <c r="W20" s="8"/>
      <c r="X20" s="8"/>
      <c r="Y20" s="8" t="s">
        <v>96</v>
      </c>
      <c r="Z20" s="8" t="s">
        <v>95</v>
      </c>
      <c r="AA20" s="8"/>
      <c r="AB20" s="8"/>
      <c r="AC20" s="8"/>
      <c r="AD20" s="8"/>
      <c r="AE20" s="8"/>
      <c r="AF20" s="8"/>
      <c r="AG20" s="8"/>
      <c r="AH20" s="8"/>
      <c r="AI20" s="44"/>
      <c r="AJ20" s="45"/>
      <c r="AK20" s="46"/>
      <c r="AL20" s="47"/>
    </row>
    <row r="21" spans="1:38" s="10" customFormat="1" x14ac:dyDescent="0.2">
      <c r="A21" s="8">
        <v>10</v>
      </c>
      <c r="B21" s="8"/>
      <c r="C21" s="8"/>
      <c r="D21" s="8" t="s">
        <v>40</v>
      </c>
      <c r="E21" s="17" t="s">
        <v>41</v>
      </c>
      <c r="F21" s="17"/>
      <c r="G21" s="30" t="s">
        <v>204</v>
      </c>
      <c r="H21" s="30" t="s">
        <v>164</v>
      </c>
      <c r="I21" s="8" t="s">
        <v>149</v>
      </c>
      <c r="J21" s="8"/>
      <c r="K21" s="8"/>
      <c r="L21" s="8" t="s">
        <v>149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4"/>
      <c r="AJ21" s="45"/>
      <c r="AK21" s="46"/>
      <c r="AL21" s="47"/>
    </row>
    <row r="22" spans="1:38" s="10" customFormat="1" x14ac:dyDescent="0.2">
      <c r="A22" s="8">
        <v>10</v>
      </c>
      <c r="B22" s="8"/>
      <c r="C22" s="8"/>
      <c r="D22" s="8" t="s">
        <v>80</v>
      </c>
      <c r="E22" s="17" t="s">
        <v>82</v>
      </c>
      <c r="F22" s="17"/>
      <c r="G22" s="30" t="s">
        <v>205</v>
      </c>
      <c r="H22" s="30" t="s">
        <v>165</v>
      </c>
      <c r="I22" s="8" t="s">
        <v>149</v>
      </c>
      <c r="J22" s="8"/>
      <c r="K22" s="8"/>
      <c r="L22" s="8"/>
      <c r="M22" s="8"/>
      <c r="N22" s="8"/>
      <c r="O22" s="8"/>
      <c r="P22" s="8" t="s">
        <v>137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4"/>
      <c r="AJ22" s="45"/>
      <c r="AK22" s="46"/>
      <c r="AL22" s="47"/>
    </row>
    <row r="23" spans="1:38" s="10" customFormat="1" x14ac:dyDescent="0.2">
      <c r="A23" s="8">
        <v>10</v>
      </c>
      <c r="B23" s="8"/>
      <c r="C23" s="8"/>
      <c r="D23" s="8" t="s">
        <v>81</v>
      </c>
      <c r="E23" s="17" t="s">
        <v>82</v>
      </c>
      <c r="F23" s="17"/>
      <c r="G23" s="30" t="s">
        <v>206</v>
      </c>
      <c r="H23" s="30" t="s">
        <v>166</v>
      </c>
      <c r="I23" s="8" t="s">
        <v>149</v>
      </c>
      <c r="J23" s="8"/>
      <c r="K23" s="8"/>
      <c r="L23" s="8"/>
      <c r="M23" s="8"/>
      <c r="N23" s="8"/>
      <c r="O23" s="8"/>
      <c r="P23" s="8" t="s">
        <v>138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4"/>
      <c r="AJ23" s="45"/>
      <c r="AK23" s="46"/>
      <c r="AL23" s="47"/>
    </row>
    <row r="24" spans="1:38" s="10" customFormat="1" x14ac:dyDescent="0.2">
      <c r="A24" s="8">
        <v>10</v>
      </c>
      <c r="B24" s="8"/>
      <c r="C24" s="8"/>
      <c r="D24" s="8" t="s">
        <v>102</v>
      </c>
      <c r="E24" s="17" t="s">
        <v>103</v>
      </c>
      <c r="F24" s="17"/>
      <c r="G24" s="30" t="s">
        <v>207</v>
      </c>
      <c r="H24" s="30" t="s">
        <v>167</v>
      </c>
      <c r="I24" s="8" t="s">
        <v>149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4"/>
      <c r="AJ24" s="45"/>
      <c r="AK24" s="46"/>
      <c r="AL24" s="47"/>
    </row>
    <row r="25" spans="1:38" s="10" customFormat="1" x14ac:dyDescent="0.2">
      <c r="A25" s="8">
        <v>10</v>
      </c>
      <c r="B25" s="8"/>
      <c r="C25" s="8"/>
      <c r="D25" s="8" t="s">
        <v>45</v>
      </c>
      <c r="E25" s="17" t="s">
        <v>46</v>
      </c>
      <c r="F25" s="17"/>
      <c r="G25" s="30" t="s">
        <v>208</v>
      </c>
      <c r="H25" s="30" t="s">
        <v>168</v>
      </c>
      <c r="I25" s="8" t="s">
        <v>149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4"/>
      <c r="AJ25" s="45"/>
      <c r="AK25" s="46"/>
      <c r="AL25" s="47"/>
    </row>
    <row r="26" spans="1:38" s="10" customFormat="1" x14ac:dyDescent="0.2">
      <c r="A26" s="8">
        <v>10</v>
      </c>
      <c r="B26" s="8"/>
      <c r="C26" s="8"/>
      <c r="D26" s="8" t="s">
        <v>47</v>
      </c>
      <c r="E26" s="17" t="s">
        <v>48</v>
      </c>
      <c r="F26" s="17"/>
      <c r="G26" s="30" t="s">
        <v>209</v>
      </c>
      <c r="H26" s="30" t="s">
        <v>169</v>
      </c>
      <c r="I26" s="8" t="s">
        <v>149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4"/>
      <c r="AJ26" s="45"/>
      <c r="AK26" s="46"/>
      <c r="AL26" s="47"/>
    </row>
    <row r="27" spans="1:38" s="10" customFormat="1" x14ac:dyDescent="0.2">
      <c r="A27" s="8">
        <v>10</v>
      </c>
      <c r="B27" s="8"/>
      <c r="C27" s="8"/>
      <c r="D27" s="8" t="s">
        <v>49</v>
      </c>
      <c r="E27" s="17" t="s">
        <v>50</v>
      </c>
      <c r="F27" s="17"/>
      <c r="G27" s="30" t="s">
        <v>210</v>
      </c>
      <c r="H27" s="30" t="s">
        <v>170</v>
      </c>
      <c r="I27" s="8" t="s">
        <v>149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4"/>
      <c r="AJ27" s="45"/>
      <c r="AK27" s="46"/>
      <c r="AL27" s="47"/>
    </row>
    <row r="28" spans="1:38" s="10" customFormat="1" x14ac:dyDescent="0.2">
      <c r="A28" s="8">
        <v>10</v>
      </c>
      <c r="B28" s="8"/>
      <c r="C28" s="8"/>
      <c r="D28" s="8" t="s">
        <v>61</v>
      </c>
      <c r="E28" s="17" t="s">
        <v>51</v>
      </c>
      <c r="F28" s="17"/>
      <c r="G28" s="30" t="s">
        <v>211</v>
      </c>
      <c r="H28" s="30" t="s">
        <v>171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4"/>
      <c r="AJ28" s="45"/>
      <c r="AK28" s="46"/>
      <c r="AL28" s="47"/>
    </row>
    <row r="29" spans="1:38" s="10" customFormat="1" x14ac:dyDescent="0.2">
      <c r="A29" s="52"/>
      <c r="AL29" s="31"/>
    </row>
    <row r="30" spans="1:38" s="10" customFormat="1" x14ac:dyDescent="0.2">
      <c r="A30" s="52"/>
      <c r="AL30" s="31"/>
    </row>
    <row r="31" spans="1:38" s="10" customFormat="1" x14ac:dyDescent="0.2">
      <c r="A31" s="52"/>
      <c r="AL31" s="31"/>
    </row>
    <row r="32" spans="1:38" s="10" customFormat="1" x14ac:dyDescent="0.2">
      <c r="A32" s="52"/>
      <c r="AL32" s="31"/>
    </row>
    <row r="33" spans="1:38" s="10" customFormat="1" x14ac:dyDescent="0.2">
      <c r="A33" s="52"/>
      <c r="AL33" s="31"/>
    </row>
    <row r="34" spans="1:38" s="10" customFormat="1" x14ac:dyDescent="0.2">
      <c r="A34" s="52"/>
      <c r="AL34" s="31"/>
    </row>
    <row r="35" spans="1:38" s="10" customFormat="1" x14ac:dyDescent="0.2">
      <c r="A35" s="52"/>
      <c r="AL35" s="31"/>
    </row>
    <row r="36" spans="1:38" s="10" customFormat="1" x14ac:dyDescent="0.2">
      <c r="A36" s="52"/>
      <c r="AL36" s="31"/>
    </row>
    <row r="37" spans="1:38" s="10" customFormat="1" x14ac:dyDescent="0.2">
      <c r="A37" s="52"/>
      <c r="AL37" s="31"/>
    </row>
    <row r="38" spans="1:38" s="10" customFormat="1" x14ac:dyDescent="0.2">
      <c r="A38" s="52"/>
      <c r="AL38" s="31"/>
    </row>
    <row r="39" spans="1:38" s="10" customFormat="1" x14ac:dyDescent="0.2">
      <c r="A39" s="52"/>
      <c r="AL39" s="31"/>
    </row>
    <row r="40" spans="1:38" s="10" customFormat="1" x14ac:dyDescent="0.2">
      <c r="A40" s="52"/>
      <c r="AL40" s="31"/>
    </row>
    <row r="41" spans="1:38" s="10" customFormat="1" x14ac:dyDescent="0.2">
      <c r="A41" s="52"/>
      <c r="AL41" s="31"/>
    </row>
    <row r="42" spans="1:38" s="10" customFormat="1" x14ac:dyDescent="0.2">
      <c r="A42" s="52"/>
      <c r="AL42" s="31"/>
    </row>
    <row r="43" spans="1:38" s="10" customFormat="1" x14ac:dyDescent="0.2">
      <c r="A43" s="59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32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0.81640625" style="4" customWidth="1"/>
    <col min="7" max="7" width="30.81640625" style="4" customWidth="1"/>
    <col min="8" max="8" width="30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146</v>
      </c>
      <c r="B1" s="49" t="s">
        <v>146</v>
      </c>
      <c r="C1" s="49"/>
      <c r="D1" s="1" t="s">
        <v>117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0" t="s">
        <v>146</v>
      </c>
      <c r="B2" s="14"/>
      <c r="C2" s="14"/>
      <c r="D2" s="62" t="s">
        <v>178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MSBFL0020</v>
      </c>
      <c r="I2" s="7" t="s">
        <v>118</v>
      </c>
      <c r="J2" s="8" t="s">
        <v>72</v>
      </c>
      <c r="K2" s="7" t="s">
        <v>114</v>
      </c>
      <c r="L2" s="51" t="str">
        <f>IF(LogicCommon!G2="","",LogicCommon!G2)</f>
        <v>MC</v>
      </c>
      <c r="M2" s="5" t="s">
        <v>119</v>
      </c>
      <c r="N2" s="9" t="s">
        <v>176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146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MSBFL_PrcdLotInspReg</v>
      </c>
      <c r="I3" s="7" t="s">
        <v>144</v>
      </c>
      <c r="J3" s="8" t="s">
        <v>77</v>
      </c>
      <c r="K3" s="7" t="s">
        <v>116</v>
      </c>
      <c r="L3" s="51" t="str">
        <f>IF(LogicCommon!G3="","",LogicCommon!G3)</f>
        <v/>
      </c>
      <c r="M3" s="55"/>
      <c r="N3" s="7"/>
      <c r="O3" s="7" t="s">
        <v>145</v>
      </c>
      <c r="P3" s="8" t="s">
        <v>122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146</v>
      </c>
      <c r="B4" s="53"/>
      <c r="C4" s="53"/>
      <c r="D4" s="4"/>
      <c r="E4" s="7" t="s">
        <v>6</v>
      </c>
      <c r="F4" s="56" t="s">
        <v>143</v>
      </c>
      <c r="G4" s="7" t="s">
        <v>142</v>
      </c>
      <c r="H4" s="51" t="str">
        <f>IF(LogicCommon!E4="","",LogicCommon!E4)</f>
        <v>先行検査予定登録</v>
      </c>
      <c r="I4" s="7" t="s">
        <v>129</v>
      </c>
      <c r="J4" s="8" t="s">
        <v>73</v>
      </c>
      <c r="K4" s="7" t="s">
        <v>4</v>
      </c>
      <c r="L4" s="51" t="str">
        <f>IF(LogicCommon!G4="","",LogicCommon!G4)</f>
        <v>MS.MSUDL5010</v>
      </c>
      <c r="M4" s="57" t="s">
        <v>123</v>
      </c>
      <c r="N4" s="9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146</v>
      </c>
      <c r="B5" s="49"/>
      <c r="C5" s="49"/>
      <c r="D5" s="43"/>
      <c r="E5" s="7" t="s">
        <v>147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146</v>
      </c>
      <c r="B6" s="53"/>
      <c r="C6" s="53"/>
      <c r="D6" s="4" t="s">
        <v>130</v>
      </c>
      <c r="E6" s="11" t="s">
        <v>110</v>
      </c>
      <c r="F6" s="11"/>
      <c r="G6" s="11"/>
      <c r="H6" s="11"/>
      <c r="I6" s="11"/>
      <c r="J6" s="11"/>
      <c r="K6" s="11"/>
      <c r="L6" s="61"/>
      <c r="M6" s="12"/>
      <c r="N6" s="12"/>
      <c r="O6" s="12"/>
      <c r="P6" s="12"/>
      <c r="Q6" s="12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12" t="s">
        <v>120</v>
      </c>
      <c r="AE6" s="12"/>
      <c r="AF6" s="12" t="s">
        <v>120</v>
      </c>
      <c r="AG6" s="12"/>
      <c r="AH6" s="12" t="s">
        <v>120</v>
      </c>
      <c r="AI6" s="5"/>
      <c r="AJ6" s="5"/>
      <c r="AK6" s="5"/>
      <c r="AL6" s="5"/>
    </row>
    <row r="7" spans="1:38" s="10" customFormat="1" x14ac:dyDescent="0.2">
      <c r="A7" s="14" t="s">
        <v>16</v>
      </c>
      <c r="B7" s="14"/>
      <c r="C7" s="14"/>
      <c r="D7" s="6"/>
      <c r="E7" s="6"/>
      <c r="F7" s="6"/>
      <c r="G7" s="6"/>
      <c r="H7" s="6"/>
      <c r="I7" s="6" t="s">
        <v>17</v>
      </c>
      <c r="J7" s="6"/>
      <c r="K7" s="8" t="s">
        <v>85</v>
      </c>
      <c r="L7" s="8" t="s">
        <v>18</v>
      </c>
      <c r="M7" s="8" t="s">
        <v>85</v>
      </c>
      <c r="N7" s="8" t="s">
        <v>85</v>
      </c>
      <c r="O7" s="8" t="s">
        <v>85</v>
      </c>
      <c r="P7" s="8" t="s">
        <v>85</v>
      </c>
      <c r="Q7" s="8" t="s">
        <v>85</v>
      </c>
      <c r="R7" s="8" t="s">
        <v>85</v>
      </c>
      <c r="S7" s="8" t="s">
        <v>85</v>
      </c>
      <c r="T7" s="8" t="s">
        <v>85</v>
      </c>
      <c r="U7" s="8" t="s">
        <v>85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8" t="s">
        <v>18</v>
      </c>
      <c r="AC7" s="15" t="s">
        <v>19</v>
      </c>
      <c r="AD7" s="17"/>
      <c r="AE7" s="15" t="s">
        <v>19</v>
      </c>
      <c r="AF7" s="17"/>
      <c r="AG7" s="15" t="s">
        <v>19</v>
      </c>
      <c r="AH7" s="17"/>
      <c r="AI7" s="4"/>
      <c r="AJ7" s="4"/>
      <c r="AK7" s="4"/>
      <c r="AL7" s="4"/>
    </row>
    <row r="8" spans="1:38" s="10" customFormat="1" ht="60" customHeight="1" x14ac:dyDescent="0.2">
      <c r="A8" s="17" t="s">
        <v>16</v>
      </c>
      <c r="B8" s="63"/>
      <c r="C8" s="64"/>
      <c r="D8" s="15" t="s">
        <v>179</v>
      </c>
      <c r="E8" s="15" t="s">
        <v>180</v>
      </c>
      <c r="F8" s="61"/>
      <c r="G8" s="15" t="s">
        <v>124</v>
      </c>
      <c r="H8" s="15" t="s">
        <v>181</v>
      </c>
      <c r="I8" s="61"/>
      <c r="J8" s="3"/>
      <c r="K8" s="8" t="s">
        <v>86</v>
      </c>
      <c r="L8" s="8" t="s">
        <v>62</v>
      </c>
      <c r="M8" s="8" t="s">
        <v>87</v>
      </c>
      <c r="N8" s="8" t="s">
        <v>88</v>
      </c>
      <c r="O8" s="8" t="s">
        <v>89</v>
      </c>
      <c r="P8" s="8" t="s">
        <v>66</v>
      </c>
      <c r="Q8" s="8" t="s">
        <v>90</v>
      </c>
      <c r="R8" s="8" t="s">
        <v>91</v>
      </c>
      <c r="S8" s="8" t="s">
        <v>92</v>
      </c>
      <c r="T8" s="8" t="s">
        <v>93</v>
      </c>
      <c r="U8" s="8" t="s">
        <v>94</v>
      </c>
      <c r="V8" s="8" t="s">
        <v>63</v>
      </c>
      <c r="W8" s="8" t="s">
        <v>64</v>
      </c>
      <c r="X8" s="8" t="s">
        <v>65</v>
      </c>
      <c r="Y8" s="8" t="s">
        <v>131</v>
      </c>
      <c r="Z8" s="8" t="s">
        <v>139</v>
      </c>
      <c r="AA8" s="8" t="s">
        <v>133</v>
      </c>
      <c r="AB8" s="8" t="s">
        <v>134</v>
      </c>
      <c r="AC8" s="15" t="s">
        <v>20</v>
      </c>
      <c r="AD8" s="17"/>
      <c r="AE8" s="15" t="s">
        <v>125</v>
      </c>
      <c r="AF8" s="17"/>
      <c r="AG8" s="15" t="s">
        <v>140</v>
      </c>
      <c r="AH8" s="17"/>
      <c r="AI8" s="3"/>
      <c r="AJ8" s="43"/>
      <c r="AK8" s="66" t="s">
        <v>182</v>
      </c>
      <c r="AL8" s="67"/>
    </row>
    <row r="9" spans="1:38" s="10" customFormat="1" ht="60" customHeight="1" x14ac:dyDescent="0.2">
      <c r="A9" s="8" t="s">
        <v>16</v>
      </c>
      <c r="B9" s="20"/>
      <c r="C9" s="21"/>
      <c r="D9" s="15" t="s">
        <v>183</v>
      </c>
      <c r="E9" s="44" t="s">
        <v>184</v>
      </c>
      <c r="F9" s="15" t="s">
        <v>185</v>
      </c>
      <c r="G9" s="15" t="s">
        <v>186</v>
      </c>
      <c r="H9" s="15" t="s">
        <v>187</v>
      </c>
      <c r="I9" s="45" t="s">
        <v>188</v>
      </c>
      <c r="J9" s="15" t="s">
        <v>189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45"/>
      <c r="AD9" s="15"/>
      <c r="AE9" s="15"/>
      <c r="AF9" s="15"/>
      <c r="AG9" s="15"/>
      <c r="AH9" s="15"/>
      <c r="AI9" s="66" t="s">
        <v>190</v>
      </c>
      <c r="AJ9" s="67"/>
      <c r="AK9" s="66" t="s">
        <v>191</v>
      </c>
      <c r="AL9" s="67"/>
    </row>
    <row r="10" spans="1:38" s="10" customFormat="1" ht="52" x14ac:dyDescent="0.2">
      <c r="A10" s="20" t="s">
        <v>16</v>
      </c>
      <c r="B10" s="23"/>
      <c r="C10" s="23"/>
      <c r="D10" s="24"/>
      <c r="E10" s="22"/>
      <c r="F10" s="22"/>
      <c r="G10" s="25"/>
      <c r="H10" s="25"/>
      <c r="I10" s="22"/>
      <c r="J10" s="22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15" t="s">
        <v>188</v>
      </c>
      <c r="AD10" s="15" t="s">
        <v>189</v>
      </c>
      <c r="AE10" s="15" t="s">
        <v>188</v>
      </c>
      <c r="AF10" s="15" t="s">
        <v>189</v>
      </c>
      <c r="AG10" s="15" t="s">
        <v>188</v>
      </c>
      <c r="AH10" s="15" t="s">
        <v>189</v>
      </c>
      <c r="AI10" s="22"/>
      <c r="AJ10" s="22"/>
      <c r="AK10" s="27"/>
      <c r="AL10" s="48"/>
    </row>
    <row r="11" spans="1:38" s="10" customFormat="1" x14ac:dyDescent="0.2">
      <c r="A11" s="8">
        <v>10</v>
      </c>
      <c r="B11" s="20" t="s">
        <v>22</v>
      </c>
      <c r="C11" s="21"/>
      <c r="D11" s="9" t="s">
        <v>71</v>
      </c>
      <c r="E11" s="18" t="s">
        <v>55</v>
      </c>
      <c r="F11" s="28"/>
      <c r="G11" s="9"/>
      <c r="H11" s="19"/>
      <c r="I11" s="29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18"/>
      <c r="AD11" s="18"/>
      <c r="AE11" s="18"/>
      <c r="AF11" s="18"/>
      <c r="AG11" s="18"/>
      <c r="AH11" s="18"/>
      <c r="AI11" s="29"/>
      <c r="AJ11" s="28"/>
      <c r="AK11" s="68"/>
      <c r="AL11" s="69"/>
    </row>
    <row r="12" spans="1:38" s="10" customFormat="1" x14ac:dyDescent="0.2">
      <c r="A12" s="8">
        <v>10</v>
      </c>
      <c r="B12" s="8"/>
      <c r="C12" s="8"/>
      <c r="D12" s="8" t="s">
        <v>135</v>
      </c>
      <c r="E12" s="17" t="s">
        <v>98</v>
      </c>
      <c r="F12" s="17"/>
      <c r="G12" s="30" t="s">
        <v>202</v>
      </c>
      <c r="H12" s="30" t="s">
        <v>84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4"/>
      <c r="AJ12" s="45"/>
      <c r="AK12" s="46"/>
      <c r="AL12" s="47"/>
    </row>
    <row r="13" spans="1:38" s="10" customFormat="1" x14ac:dyDescent="0.2">
      <c r="A13" s="8">
        <v>10</v>
      </c>
      <c r="B13" s="8"/>
      <c r="C13" s="8"/>
      <c r="D13" s="8" t="s">
        <v>74</v>
      </c>
      <c r="E13" s="17" t="s">
        <v>51</v>
      </c>
      <c r="F13" s="17"/>
      <c r="G13" s="30" t="s">
        <v>211</v>
      </c>
      <c r="H13" s="30" t="s">
        <v>171</v>
      </c>
      <c r="I13" s="8" t="s">
        <v>149</v>
      </c>
      <c r="J13" s="8"/>
      <c r="K13" s="8"/>
      <c r="L13" s="8" t="s">
        <v>97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4"/>
      <c r="AJ13" s="45"/>
      <c r="AK13" s="68"/>
      <c r="AL13" s="69"/>
    </row>
    <row r="14" spans="1:38" s="10" customFormat="1" x14ac:dyDescent="0.2">
      <c r="A14" s="52"/>
      <c r="AL14" s="31"/>
    </row>
    <row r="15" spans="1:38" s="10" customFormat="1" x14ac:dyDescent="0.2">
      <c r="A15" s="52"/>
      <c r="AL15" s="31"/>
    </row>
    <row r="16" spans="1:38" s="10" customFormat="1" x14ac:dyDescent="0.2">
      <c r="A16" s="52"/>
      <c r="AL16" s="31"/>
    </row>
    <row r="17" spans="1:38" s="10" customFormat="1" x14ac:dyDescent="0.2">
      <c r="A17" s="52"/>
      <c r="AL17" s="31"/>
    </row>
    <row r="18" spans="1:38" s="10" customFormat="1" x14ac:dyDescent="0.2">
      <c r="A18" s="52"/>
      <c r="AL18" s="31"/>
    </row>
    <row r="19" spans="1:38" s="10" customFormat="1" x14ac:dyDescent="0.2">
      <c r="A19" s="52"/>
      <c r="AL19" s="31"/>
    </row>
    <row r="20" spans="1:38" s="10" customFormat="1" x14ac:dyDescent="0.2">
      <c r="A20" s="52"/>
      <c r="AL20" s="31"/>
    </row>
    <row r="21" spans="1:38" s="10" customFormat="1" x14ac:dyDescent="0.2">
      <c r="A21" s="52"/>
      <c r="AL21" s="31"/>
    </row>
    <row r="22" spans="1:38" s="10" customFormat="1" x14ac:dyDescent="0.2">
      <c r="A22" s="52"/>
      <c r="AL22" s="31"/>
    </row>
    <row r="23" spans="1:38" s="10" customFormat="1" x14ac:dyDescent="0.2">
      <c r="A23" s="52"/>
      <c r="AL23" s="31"/>
    </row>
    <row r="24" spans="1:38" s="10" customFormat="1" x14ac:dyDescent="0.2">
      <c r="A24" s="52"/>
      <c r="AL24" s="31"/>
    </row>
    <row r="25" spans="1:38" s="10" customFormat="1" x14ac:dyDescent="0.2">
      <c r="A25" s="52"/>
      <c r="AL25" s="31"/>
    </row>
    <row r="26" spans="1:38" s="10" customFormat="1" x14ac:dyDescent="0.2">
      <c r="A26" s="52"/>
      <c r="AL26" s="31"/>
    </row>
    <row r="27" spans="1:38" s="10" customFormat="1" x14ac:dyDescent="0.2">
      <c r="A27" s="59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32"/>
    </row>
  </sheetData>
  <mergeCells count="5">
    <mergeCell ref="AK8:AL8"/>
    <mergeCell ref="AI9:AJ9"/>
    <mergeCell ref="AK9:AL9"/>
    <mergeCell ref="AK11:AL11"/>
    <mergeCell ref="AK13:AL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146</v>
      </c>
      <c r="B1" s="49" t="s">
        <v>146</v>
      </c>
      <c r="C1" s="49"/>
      <c r="D1" s="1" t="s">
        <v>117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146</v>
      </c>
      <c r="B2" s="14"/>
      <c r="C2" s="14"/>
      <c r="D2" s="62" t="s">
        <v>178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MSBFL0020</v>
      </c>
      <c r="I2" s="7" t="s">
        <v>118</v>
      </c>
      <c r="J2" s="8" t="s">
        <v>23</v>
      </c>
      <c r="K2" s="7" t="s">
        <v>114</v>
      </c>
      <c r="L2" s="51" t="str">
        <f>IF(LogicCommon!G2="","",LogicCommon!G2)</f>
        <v>MC</v>
      </c>
      <c r="M2" s="5" t="s">
        <v>119</v>
      </c>
      <c r="N2" s="9" t="s">
        <v>175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146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MSBFL_PrcdLotInspReg</v>
      </c>
      <c r="I3" s="7" t="s">
        <v>144</v>
      </c>
      <c r="J3" s="8" t="s">
        <v>77</v>
      </c>
      <c r="K3" s="7" t="s">
        <v>116</v>
      </c>
      <c r="L3" s="51" t="str">
        <f>IF(LogicCommon!G3="","",LogicCommon!G3)</f>
        <v/>
      </c>
      <c r="M3" s="55"/>
      <c r="N3" s="7"/>
      <c r="O3" s="7" t="s">
        <v>145</v>
      </c>
      <c r="P3" s="8" t="s">
        <v>122</v>
      </c>
      <c r="Q3" s="4"/>
      <c r="R3" s="5"/>
      <c r="S3" s="5"/>
      <c r="T3" s="5"/>
      <c r="U3" s="5"/>
    </row>
    <row r="4" spans="1:21" s="10" customFormat="1" x14ac:dyDescent="0.2">
      <c r="A4" s="52" t="s">
        <v>146</v>
      </c>
      <c r="B4" s="53"/>
      <c r="C4" s="53"/>
      <c r="D4" s="4"/>
      <c r="E4" s="7" t="s">
        <v>6</v>
      </c>
      <c r="F4" s="56" t="s">
        <v>143</v>
      </c>
      <c r="G4" s="7" t="s">
        <v>142</v>
      </c>
      <c r="H4" s="51" t="str">
        <f>IF(LogicCommon!E4="","",LogicCommon!E4)</f>
        <v>先行検査予定登録</v>
      </c>
      <c r="I4" s="7" t="s">
        <v>129</v>
      </c>
      <c r="J4" s="8" t="s">
        <v>24</v>
      </c>
      <c r="K4" s="7" t="s">
        <v>4</v>
      </c>
      <c r="L4" s="51" t="str">
        <f>IF(LogicCommon!G4="","",LogicCommon!G4)</f>
        <v>MS.MSUDL5010</v>
      </c>
      <c r="M4" s="57" t="s">
        <v>123</v>
      </c>
      <c r="N4" s="9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146</v>
      </c>
      <c r="B5" s="49"/>
      <c r="C5" s="49"/>
      <c r="D5" s="43"/>
      <c r="E5" s="7" t="s">
        <v>147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146</v>
      </c>
      <c r="B6" s="53"/>
      <c r="C6" s="53"/>
      <c r="D6" s="4" t="s">
        <v>130</v>
      </c>
      <c r="E6" s="11" t="s">
        <v>111</v>
      </c>
      <c r="F6" s="11"/>
      <c r="G6" s="11"/>
      <c r="H6" s="11"/>
      <c r="I6" s="11"/>
      <c r="J6" s="11"/>
      <c r="K6" s="11"/>
      <c r="L6" s="61"/>
      <c r="M6" s="12" t="s">
        <v>120</v>
      </c>
      <c r="N6" s="12"/>
      <c r="O6" s="12" t="s">
        <v>120</v>
      </c>
      <c r="P6" s="12"/>
      <c r="Q6" s="12" t="s">
        <v>120</v>
      </c>
      <c r="R6" s="4"/>
      <c r="S6" s="4"/>
      <c r="T6" s="4"/>
      <c r="U6" s="4"/>
    </row>
    <row r="7" spans="1:21" s="10" customFormat="1" x14ac:dyDescent="0.2">
      <c r="A7" s="14" t="s">
        <v>16</v>
      </c>
      <c r="B7" s="14"/>
      <c r="C7" s="14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15" t="s">
        <v>19</v>
      </c>
      <c r="M7" s="16" t="s">
        <v>79</v>
      </c>
      <c r="N7" s="15" t="s">
        <v>19</v>
      </c>
      <c r="O7" s="16"/>
      <c r="P7" s="15" t="s">
        <v>19</v>
      </c>
      <c r="Q7" s="17"/>
      <c r="R7" s="4"/>
      <c r="S7" s="4"/>
      <c r="T7" s="4"/>
      <c r="U7" s="4"/>
    </row>
    <row r="8" spans="1:21" s="10" customFormat="1" ht="60" customHeight="1" x14ac:dyDescent="0.2">
      <c r="A8" s="17" t="s">
        <v>16</v>
      </c>
      <c r="B8" s="63"/>
      <c r="C8" s="64"/>
      <c r="D8" s="15" t="s">
        <v>179</v>
      </c>
      <c r="E8" s="15" t="s">
        <v>180</v>
      </c>
      <c r="F8" s="61"/>
      <c r="G8" s="15" t="s">
        <v>124</v>
      </c>
      <c r="H8" s="15" t="s">
        <v>181</v>
      </c>
      <c r="I8" s="61"/>
      <c r="J8" s="3"/>
      <c r="K8" s="8"/>
      <c r="L8" s="15" t="s">
        <v>20</v>
      </c>
      <c r="M8" s="8" t="s">
        <v>78</v>
      </c>
      <c r="N8" s="15" t="s">
        <v>125</v>
      </c>
      <c r="O8" s="17"/>
      <c r="P8" s="15" t="s">
        <v>141</v>
      </c>
      <c r="Q8" s="17"/>
      <c r="R8" s="3"/>
      <c r="S8" s="43"/>
      <c r="T8" s="66" t="s">
        <v>182</v>
      </c>
      <c r="U8" s="67"/>
    </row>
    <row r="9" spans="1:21" s="10" customFormat="1" ht="60" customHeight="1" x14ac:dyDescent="0.2">
      <c r="A9" s="8" t="s">
        <v>16</v>
      </c>
      <c r="B9" s="20"/>
      <c r="C9" s="21"/>
      <c r="D9" s="15" t="s">
        <v>183</v>
      </c>
      <c r="E9" s="44" t="s">
        <v>184</v>
      </c>
      <c r="F9" s="15" t="s">
        <v>185</v>
      </c>
      <c r="G9" s="15" t="s">
        <v>186</v>
      </c>
      <c r="H9" s="15" t="s">
        <v>187</v>
      </c>
      <c r="I9" s="45" t="s">
        <v>188</v>
      </c>
      <c r="J9" s="15" t="s">
        <v>189</v>
      </c>
      <c r="K9" s="62"/>
      <c r="L9" s="45"/>
      <c r="M9" s="15"/>
      <c r="N9" s="15"/>
      <c r="O9" s="15"/>
      <c r="P9" s="15"/>
      <c r="Q9" s="15"/>
      <c r="R9" s="66" t="s">
        <v>190</v>
      </c>
      <c r="S9" s="67"/>
      <c r="T9" s="66" t="s">
        <v>191</v>
      </c>
      <c r="U9" s="67"/>
    </row>
    <row r="10" spans="1:21" s="10" customFormat="1" ht="39" x14ac:dyDescent="0.2">
      <c r="A10" s="20" t="s">
        <v>21</v>
      </c>
      <c r="B10" s="23"/>
      <c r="C10" s="23"/>
      <c r="D10" s="24"/>
      <c r="E10" s="22"/>
      <c r="F10" s="22"/>
      <c r="G10" s="25"/>
      <c r="H10" s="25"/>
      <c r="I10" s="22"/>
      <c r="J10" s="22"/>
      <c r="K10" s="26"/>
      <c r="L10" s="15" t="s">
        <v>188</v>
      </c>
      <c r="M10" s="15" t="s">
        <v>189</v>
      </c>
      <c r="N10" s="15" t="s">
        <v>188</v>
      </c>
      <c r="O10" s="15" t="s">
        <v>189</v>
      </c>
      <c r="P10" s="15" t="s">
        <v>188</v>
      </c>
      <c r="Q10" s="15" t="s">
        <v>189</v>
      </c>
      <c r="R10" s="22"/>
      <c r="S10" s="22"/>
      <c r="T10" s="27"/>
      <c r="U10" s="48"/>
    </row>
    <row r="11" spans="1:21" s="10" customFormat="1" x14ac:dyDescent="0.2">
      <c r="A11" s="8">
        <v>10</v>
      </c>
      <c r="B11" s="20" t="s">
        <v>22</v>
      </c>
      <c r="C11" s="21"/>
      <c r="D11" s="9" t="s">
        <v>69</v>
      </c>
      <c r="E11" s="18" t="s">
        <v>55</v>
      </c>
      <c r="F11" s="28"/>
      <c r="G11" s="9" t="s">
        <v>70</v>
      </c>
      <c r="H11" s="19" t="s">
        <v>172</v>
      </c>
      <c r="I11" s="29"/>
      <c r="J11" s="25"/>
      <c r="K11" s="25"/>
      <c r="L11" s="18" t="s">
        <v>173</v>
      </c>
      <c r="M11" s="18"/>
      <c r="N11" s="18"/>
      <c r="O11" s="18"/>
      <c r="P11" s="18"/>
      <c r="Q11" s="18"/>
      <c r="R11" s="29"/>
      <c r="S11" s="28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25</v>
      </c>
      <c r="E12" s="17" t="s">
        <v>26</v>
      </c>
      <c r="F12" s="17"/>
      <c r="G12" s="30" t="s">
        <v>192</v>
      </c>
      <c r="H12" s="30" t="s">
        <v>148</v>
      </c>
      <c r="I12" s="8" t="s">
        <v>149</v>
      </c>
      <c r="J12" s="8"/>
      <c r="K12" s="8"/>
      <c r="L12" s="8" t="s">
        <v>149</v>
      </c>
      <c r="M12" s="8"/>
      <c r="N12" s="8"/>
      <c r="O12" s="8"/>
      <c r="P12" s="8"/>
      <c r="Q12" s="8"/>
      <c r="R12" s="66"/>
      <c r="S12" s="67"/>
      <c r="T12" s="68"/>
      <c r="U12" s="69"/>
    </row>
    <row r="13" spans="1:21" s="10" customFormat="1" x14ac:dyDescent="0.2">
      <c r="A13" s="8">
        <v>10</v>
      </c>
      <c r="B13" s="8"/>
      <c r="C13" s="8"/>
      <c r="D13" s="8" t="s">
        <v>27</v>
      </c>
      <c r="E13" s="17" t="s">
        <v>28</v>
      </c>
      <c r="F13" s="17"/>
      <c r="G13" s="30" t="s">
        <v>193</v>
      </c>
      <c r="H13" s="30" t="s">
        <v>150</v>
      </c>
      <c r="I13" s="8" t="s">
        <v>149</v>
      </c>
      <c r="J13" s="8"/>
      <c r="K13" s="8"/>
      <c r="L13" s="8" t="s">
        <v>149</v>
      </c>
      <c r="M13" s="8"/>
      <c r="N13" s="8"/>
      <c r="O13" s="8"/>
      <c r="P13" s="8"/>
      <c r="Q13" s="8"/>
      <c r="R13" s="66"/>
      <c r="S13" s="67"/>
      <c r="T13" s="68"/>
      <c r="U13" s="69"/>
    </row>
    <row r="14" spans="1:21" s="10" customFormat="1" x14ac:dyDescent="0.2">
      <c r="A14" s="8">
        <v>10</v>
      </c>
      <c r="B14" s="8"/>
      <c r="C14" s="8"/>
      <c r="D14" s="8" t="s">
        <v>29</v>
      </c>
      <c r="E14" s="17" t="s">
        <v>30</v>
      </c>
      <c r="F14" s="17"/>
      <c r="G14" s="30" t="s">
        <v>194</v>
      </c>
      <c r="H14" s="30" t="s">
        <v>151</v>
      </c>
      <c r="I14" s="8" t="s">
        <v>149</v>
      </c>
      <c r="J14" s="8"/>
      <c r="K14" s="8"/>
      <c r="L14" s="8" t="s">
        <v>149</v>
      </c>
      <c r="M14" s="8"/>
      <c r="N14" s="8"/>
      <c r="O14" s="8"/>
      <c r="P14" s="8"/>
      <c r="Q14" s="8"/>
      <c r="R14" s="66"/>
      <c r="S14" s="67"/>
      <c r="T14" s="68"/>
      <c r="U14" s="69"/>
    </row>
    <row r="15" spans="1:21" s="10" customFormat="1" x14ac:dyDescent="0.2">
      <c r="A15" s="8">
        <v>10</v>
      </c>
      <c r="B15" s="8"/>
      <c r="C15" s="8"/>
      <c r="D15" s="8" t="s">
        <v>31</v>
      </c>
      <c r="E15" s="17" t="s">
        <v>30</v>
      </c>
      <c r="F15" s="17"/>
      <c r="G15" s="30" t="s">
        <v>195</v>
      </c>
      <c r="H15" s="30" t="s">
        <v>152</v>
      </c>
      <c r="I15" s="8" t="s">
        <v>149</v>
      </c>
      <c r="J15" s="8"/>
      <c r="K15" s="8"/>
      <c r="L15" s="8" t="s">
        <v>149</v>
      </c>
      <c r="M15" s="8"/>
      <c r="N15" s="8"/>
      <c r="O15" s="8"/>
      <c r="P15" s="8"/>
      <c r="Q15" s="8"/>
      <c r="R15" s="66"/>
      <c r="S15" s="67"/>
      <c r="T15" s="68"/>
      <c r="U15" s="69"/>
    </row>
    <row r="16" spans="1:21" s="10" customFormat="1" x14ac:dyDescent="0.2">
      <c r="A16" s="8">
        <v>10</v>
      </c>
      <c r="B16" s="8"/>
      <c r="C16" s="8"/>
      <c r="D16" s="8" t="s">
        <v>32</v>
      </c>
      <c r="E16" s="17" t="s">
        <v>33</v>
      </c>
      <c r="F16" s="17"/>
      <c r="G16" s="30" t="s">
        <v>196</v>
      </c>
      <c r="H16" s="30" t="s">
        <v>153</v>
      </c>
      <c r="I16" s="8" t="s">
        <v>149</v>
      </c>
      <c r="J16" s="8"/>
      <c r="K16" s="8"/>
      <c r="L16" s="8" t="s">
        <v>149</v>
      </c>
      <c r="M16" s="8"/>
      <c r="N16" s="8"/>
      <c r="O16" s="8"/>
      <c r="P16" s="8"/>
      <c r="Q16" s="8"/>
      <c r="R16" s="66"/>
      <c r="S16" s="67"/>
      <c r="T16" s="68"/>
      <c r="U16" s="69"/>
    </row>
    <row r="17" spans="1:21" s="10" customFormat="1" x14ac:dyDescent="0.2">
      <c r="A17" s="8">
        <v>10</v>
      </c>
      <c r="B17" s="8"/>
      <c r="C17" s="8"/>
      <c r="D17" s="8" t="s">
        <v>34</v>
      </c>
      <c r="E17" s="17" t="s">
        <v>35</v>
      </c>
      <c r="F17" s="17"/>
      <c r="G17" s="30" t="s">
        <v>197</v>
      </c>
      <c r="H17" s="30" t="s">
        <v>154</v>
      </c>
      <c r="I17" s="8" t="s">
        <v>149</v>
      </c>
      <c r="J17" s="8"/>
      <c r="K17" s="8"/>
      <c r="L17" s="8" t="s">
        <v>149</v>
      </c>
      <c r="M17" s="8"/>
      <c r="N17" s="8"/>
      <c r="O17" s="8"/>
      <c r="P17" s="8"/>
      <c r="Q17" s="8"/>
      <c r="R17" s="66"/>
      <c r="S17" s="67"/>
      <c r="T17" s="68"/>
      <c r="U17" s="69"/>
    </row>
    <row r="18" spans="1:21" s="10" customFormat="1" x14ac:dyDescent="0.2">
      <c r="A18" s="8">
        <v>10</v>
      </c>
      <c r="B18" s="8"/>
      <c r="C18" s="8"/>
      <c r="D18" s="8" t="s">
        <v>36</v>
      </c>
      <c r="E18" s="17" t="s">
        <v>37</v>
      </c>
      <c r="F18" s="17"/>
      <c r="G18" s="30" t="s">
        <v>198</v>
      </c>
      <c r="H18" s="30" t="s">
        <v>155</v>
      </c>
      <c r="I18" s="8" t="s">
        <v>149</v>
      </c>
      <c r="J18" s="8"/>
      <c r="K18" s="8"/>
      <c r="L18" s="8" t="s">
        <v>149</v>
      </c>
      <c r="M18" s="8"/>
      <c r="N18" s="8"/>
      <c r="O18" s="8"/>
      <c r="P18" s="8"/>
      <c r="Q18" s="8"/>
      <c r="R18" s="66"/>
      <c r="S18" s="67"/>
      <c r="T18" s="68"/>
      <c r="U18" s="69"/>
    </row>
    <row r="19" spans="1:21" s="10" customFormat="1" x14ac:dyDescent="0.2">
      <c r="A19" s="8">
        <v>10</v>
      </c>
      <c r="B19" s="8"/>
      <c r="C19" s="8"/>
      <c r="D19" s="8" t="s">
        <v>38</v>
      </c>
      <c r="E19" s="17" t="s">
        <v>39</v>
      </c>
      <c r="F19" s="17"/>
      <c r="G19" s="30" t="s">
        <v>199</v>
      </c>
      <c r="H19" s="30" t="s">
        <v>156</v>
      </c>
      <c r="I19" s="8" t="s">
        <v>149</v>
      </c>
      <c r="J19" s="8"/>
      <c r="K19" s="8"/>
      <c r="L19" s="8" t="s">
        <v>149</v>
      </c>
      <c r="M19" s="8"/>
      <c r="N19" s="8"/>
      <c r="O19" s="8"/>
      <c r="P19" s="8"/>
      <c r="Q19" s="8"/>
      <c r="R19" s="66"/>
      <c r="S19" s="67"/>
      <c r="T19" s="68"/>
      <c r="U19" s="69"/>
    </row>
    <row r="20" spans="1:21" s="10" customFormat="1" x14ac:dyDescent="0.2">
      <c r="A20" s="8">
        <v>10</v>
      </c>
      <c r="B20" s="8"/>
      <c r="C20" s="8"/>
      <c r="D20" s="8" t="s">
        <v>40</v>
      </c>
      <c r="E20" s="17" t="s">
        <v>41</v>
      </c>
      <c r="F20" s="17"/>
      <c r="G20" s="30" t="s">
        <v>204</v>
      </c>
      <c r="H20" s="30" t="s">
        <v>164</v>
      </c>
      <c r="I20" s="8" t="s">
        <v>149</v>
      </c>
      <c r="J20" s="8"/>
      <c r="K20" s="8"/>
      <c r="L20" s="8" t="s">
        <v>149</v>
      </c>
      <c r="M20" s="8"/>
      <c r="N20" s="8"/>
      <c r="O20" s="8"/>
      <c r="P20" s="8"/>
      <c r="Q20" s="8"/>
      <c r="R20" s="66"/>
      <c r="S20" s="67"/>
      <c r="T20" s="68"/>
      <c r="U20" s="69"/>
    </row>
    <row r="21" spans="1:21" s="10" customFormat="1" x14ac:dyDescent="0.2">
      <c r="A21" s="8">
        <v>10</v>
      </c>
      <c r="B21" s="8"/>
      <c r="C21" s="8"/>
      <c r="D21" s="8" t="s">
        <v>43</v>
      </c>
      <c r="E21" s="17" t="s">
        <v>42</v>
      </c>
      <c r="F21" s="17"/>
      <c r="G21" s="30" t="s">
        <v>205</v>
      </c>
      <c r="H21" s="30" t="s">
        <v>165</v>
      </c>
      <c r="I21" s="8" t="s">
        <v>149</v>
      </c>
      <c r="J21" s="8"/>
      <c r="K21" s="8"/>
      <c r="L21" s="8" t="s">
        <v>149</v>
      </c>
      <c r="M21" s="8"/>
      <c r="N21" s="8"/>
      <c r="O21" s="8"/>
      <c r="P21" s="8"/>
      <c r="Q21" s="8"/>
      <c r="R21" s="66"/>
      <c r="S21" s="67"/>
      <c r="T21" s="68"/>
      <c r="U21" s="69"/>
    </row>
    <row r="22" spans="1:21" s="10" customFormat="1" x14ac:dyDescent="0.2">
      <c r="A22" s="8">
        <v>10</v>
      </c>
      <c r="B22" s="8"/>
      <c r="C22" s="8"/>
      <c r="D22" s="8" t="s">
        <v>44</v>
      </c>
      <c r="E22" s="17" t="s">
        <v>42</v>
      </c>
      <c r="F22" s="17"/>
      <c r="G22" s="30" t="s">
        <v>206</v>
      </c>
      <c r="H22" s="30" t="s">
        <v>166</v>
      </c>
      <c r="I22" s="8" t="s">
        <v>149</v>
      </c>
      <c r="J22" s="8"/>
      <c r="K22" s="8"/>
      <c r="L22" s="8" t="s">
        <v>149</v>
      </c>
      <c r="M22" s="8"/>
      <c r="N22" s="8"/>
      <c r="O22" s="8"/>
      <c r="P22" s="8"/>
      <c r="Q22" s="8"/>
      <c r="R22" s="66"/>
      <c r="S22" s="67"/>
      <c r="T22" s="68"/>
      <c r="U22" s="69"/>
    </row>
    <row r="23" spans="1:21" s="10" customFormat="1" x14ac:dyDescent="0.2">
      <c r="A23" s="8">
        <v>10</v>
      </c>
      <c r="B23" s="8"/>
      <c r="C23" s="8"/>
      <c r="D23" s="8" t="s">
        <v>102</v>
      </c>
      <c r="E23" s="17" t="s">
        <v>103</v>
      </c>
      <c r="F23" s="17"/>
      <c r="G23" s="30" t="s">
        <v>207</v>
      </c>
      <c r="H23" s="30" t="s">
        <v>167</v>
      </c>
      <c r="I23" s="8" t="s">
        <v>149</v>
      </c>
      <c r="J23" s="8"/>
      <c r="K23" s="8"/>
      <c r="L23" s="8" t="s">
        <v>149</v>
      </c>
      <c r="M23" s="8"/>
      <c r="N23" s="8"/>
      <c r="O23" s="8"/>
      <c r="P23" s="8"/>
      <c r="Q23" s="8"/>
      <c r="R23" s="66"/>
      <c r="S23" s="67"/>
      <c r="T23" s="68"/>
      <c r="U23" s="69"/>
    </row>
    <row r="24" spans="1:21" s="10" customFormat="1" x14ac:dyDescent="0.2">
      <c r="A24" s="8">
        <v>10</v>
      </c>
      <c r="B24" s="8"/>
      <c r="C24" s="8"/>
      <c r="D24" s="8" t="s">
        <v>45</v>
      </c>
      <c r="E24" s="17" t="s">
        <v>46</v>
      </c>
      <c r="F24" s="17"/>
      <c r="G24" s="30" t="s">
        <v>208</v>
      </c>
      <c r="H24" s="30" t="s">
        <v>168</v>
      </c>
      <c r="I24" s="8" t="s">
        <v>149</v>
      </c>
      <c r="J24" s="8"/>
      <c r="K24" s="8"/>
      <c r="L24" s="8" t="s">
        <v>149</v>
      </c>
      <c r="M24" s="8"/>
      <c r="N24" s="8"/>
      <c r="O24" s="8"/>
      <c r="P24" s="8"/>
      <c r="Q24" s="8"/>
      <c r="R24" s="66"/>
      <c r="S24" s="67"/>
      <c r="T24" s="68"/>
      <c r="U24" s="69"/>
    </row>
    <row r="25" spans="1:21" s="10" customFormat="1" x14ac:dyDescent="0.2">
      <c r="A25" s="8">
        <v>10</v>
      </c>
      <c r="B25" s="8"/>
      <c r="C25" s="8"/>
      <c r="D25" s="8" t="s">
        <v>47</v>
      </c>
      <c r="E25" s="17" t="s">
        <v>48</v>
      </c>
      <c r="F25" s="17"/>
      <c r="G25" s="30" t="s">
        <v>209</v>
      </c>
      <c r="H25" s="30" t="s">
        <v>169</v>
      </c>
      <c r="I25" s="8" t="s">
        <v>149</v>
      </c>
      <c r="J25" s="8"/>
      <c r="K25" s="8"/>
      <c r="L25" s="8" t="s">
        <v>149</v>
      </c>
      <c r="M25" s="8"/>
      <c r="N25" s="8"/>
      <c r="O25" s="8"/>
      <c r="P25" s="8"/>
      <c r="Q25" s="8"/>
      <c r="R25" s="66"/>
      <c r="S25" s="67"/>
      <c r="T25" s="68"/>
      <c r="U25" s="69"/>
    </row>
    <row r="26" spans="1:21" s="10" customFormat="1" x14ac:dyDescent="0.2">
      <c r="A26" s="8">
        <v>10</v>
      </c>
      <c r="B26" s="8"/>
      <c r="C26" s="8"/>
      <c r="D26" s="8" t="s">
        <v>49</v>
      </c>
      <c r="E26" s="17" t="s">
        <v>50</v>
      </c>
      <c r="F26" s="17"/>
      <c r="G26" s="30" t="s">
        <v>210</v>
      </c>
      <c r="H26" s="30" t="s">
        <v>170</v>
      </c>
      <c r="I26" s="8" t="s">
        <v>149</v>
      </c>
      <c r="J26" s="8"/>
      <c r="K26" s="8"/>
      <c r="L26" s="8" t="s">
        <v>149</v>
      </c>
      <c r="M26" s="8"/>
      <c r="N26" s="8"/>
      <c r="O26" s="8"/>
      <c r="P26" s="8"/>
      <c r="Q26" s="8"/>
      <c r="R26" s="66"/>
      <c r="S26" s="67"/>
      <c r="T26" s="68"/>
      <c r="U26" s="69"/>
    </row>
    <row r="27" spans="1:21" s="10" customFormat="1" x14ac:dyDescent="0.2">
      <c r="A27" s="8">
        <v>10</v>
      </c>
      <c r="B27" s="8"/>
      <c r="C27" s="8"/>
      <c r="D27" s="8" t="s">
        <v>61</v>
      </c>
      <c r="E27" s="17" t="s">
        <v>51</v>
      </c>
      <c r="F27" s="17"/>
      <c r="G27" s="30" t="s">
        <v>211</v>
      </c>
      <c r="H27" s="30" t="s">
        <v>171</v>
      </c>
      <c r="I27" s="8"/>
      <c r="J27" s="8" t="s">
        <v>149</v>
      </c>
      <c r="K27" s="8"/>
      <c r="L27" s="8"/>
      <c r="M27" s="8"/>
      <c r="N27" s="8"/>
      <c r="O27" s="8"/>
      <c r="P27" s="8"/>
      <c r="Q27" s="8"/>
      <c r="R27" s="66"/>
      <c r="S27" s="67"/>
      <c r="T27" s="68"/>
      <c r="U27" s="69"/>
    </row>
  </sheetData>
  <mergeCells count="3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21:S21"/>
    <mergeCell ref="T21:U21"/>
    <mergeCell ref="R26:S26"/>
    <mergeCell ref="T26:U26"/>
    <mergeCell ref="R19:S19"/>
    <mergeCell ref="T19:U19"/>
    <mergeCell ref="R20:S20"/>
    <mergeCell ref="T20:U20"/>
    <mergeCell ref="R23:S23"/>
    <mergeCell ref="T23:U23"/>
    <mergeCell ref="R27:S27"/>
    <mergeCell ref="T27:U27"/>
    <mergeCell ref="R22:S22"/>
    <mergeCell ref="T22:U22"/>
    <mergeCell ref="R24:S24"/>
    <mergeCell ref="T24:U24"/>
    <mergeCell ref="R25:S25"/>
    <mergeCell ref="T25:U2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146</v>
      </c>
      <c r="B1" s="49" t="s">
        <v>146</v>
      </c>
      <c r="C1" s="49"/>
      <c r="D1" s="1" t="s">
        <v>117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146</v>
      </c>
      <c r="B2" s="14"/>
      <c r="C2" s="14"/>
      <c r="D2" s="62" t="s">
        <v>178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MSBFL0020</v>
      </c>
      <c r="I2" s="7" t="s">
        <v>118</v>
      </c>
      <c r="J2" s="8" t="s">
        <v>52</v>
      </c>
      <c r="K2" s="7" t="s">
        <v>114</v>
      </c>
      <c r="L2" s="51" t="str">
        <f>IF(LogicCommon!G2="","",LogicCommon!G2)</f>
        <v>MC</v>
      </c>
      <c r="M2" s="5" t="s">
        <v>119</v>
      </c>
      <c r="N2" s="9" t="s">
        <v>175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146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MSBFL_PrcdLotInspReg</v>
      </c>
      <c r="I3" s="7" t="s">
        <v>144</v>
      </c>
      <c r="J3" s="8" t="s">
        <v>77</v>
      </c>
      <c r="K3" s="7" t="s">
        <v>116</v>
      </c>
      <c r="L3" s="51" t="str">
        <f>IF(LogicCommon!G3="","",LogicCommon!G3)</f>
        <v/>
      </c>
      <c r="M3" s="55"/>
      <c r="N3" s="7"/>
      <c r="O3" s="7" t="s">
        <v>145</v>
      </c>
      <c r="P3" s="8" t="s">
        <v>122</v>
      </c>
      <c r="Q3" s="4"/>
      <c r="R3" s="5"/>
      <c r="S3" s="5"/>
      <c r="T3" s="5"/>
      <c r="U3" s="5"/>
    </row>
    <row r="4" spans="1:21" s="10" customFormat="1" x14ac:dyDescent="0.2">
      <c r="A4" s="52" t="s">
        <v>146</v>
      </c>
      <c r="B4" s="53"/>
      <c r="C4" s="53"/>
      <c r="D4" s="4"/>
      <c r="E4" s="7" t="s">
        <v>6</v>
      </c>
      <c r="F4" s="56" t="s">
        <v>143</v>
      </c>
      <c r="G4" s="7" t="s">
        <v>142</v>
      </c>
      <c r="H4" s="51" t="str">
        <f>IF(LogicCommon!E4="","",LogicCommon!E4)</f>
        <v>先行検査予定登録</v>
      </c>
      <c r="I4" s="7" t="s">
        <v>129</v>
      </c>
      <c r="J4" s="8" t="s">
        <v>53</v>
      </c>
      <c r="K4" s="7" t="s">
        <v>4</v>
      </c>
      <c r="L4" s="51" t="str">
        <f>IF(LogicCommon!G4="","",LogicCommon!G4)</f>
        <v>MS.MSUDL5010</v>
      </c>
      <c r="M4" s="57" t="s">
        <v>123</v>
      </c>
      <c r="N4" s="9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146</v>
      </c>
      <c r="B5" s="49"/>
      <c r="C5" s="49"/>
      <c r="D5" s="43"/>
      <c r="E5" s="7" t="s">
        <v>147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146</v>
      </c>
      <c r="B6" s="53"/>
      <c r="C6" s="53"/>
      <c r="D6" s="4" t="s">
        <v>130</v>
      </c>
      <c r="E6" s="11" t="s">
        <v>112</v>
      </c>
      <c r="F6" s="11"/>
      <c r="G6" s="11"/>
      <c r="H6" s="11"/>
      <c r="I6" s="11"/>
      <c r="J6" s="11"/>
      <c r="K6" s="11"/>
      <c r="L6" s="61"/>
      <c r="M6" s="12" t="s">
        <v>120</v>
      </c>
      <c r="N6" s="12"/>
      <c r="O6" s="12" t="s">
        <v>120</v>
      </c>
      <c r="P6" s="12"/>
      <c r="Q6" s="12" t="s">
        <v>120</v>
      </c>
      <c r="R6" s="4"/>
      <c r="S6" s="4"/>
      <c r="T6" s="4"/>
      <c r="U6" s="4"/>
    </row>
    <row r="7" spans="1:21" s="10" customFormat="1" x14ac:dyDescent="0.2">
      <c r="A7" s="14" t="s">
        <v>16</v>
      </c>
      <c r="B7" s="14"/>
      <c r="C7" s="14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15" t="s">
        <v>19</v>
      </c>
      <c r="M7" s="16" t="s">
        <v>58</v>
      </c>
      <c r="N7" s="15" t="s">
        <v>19</v>
      </c>
      <c r="O7" s="17"/>
      <c r="P7" s="15" t="s">
        <v>19</v>
      </c>
      <c r="Q7" s="17"/>
      <c r="R7" s="4"/>
      <c r="S7" s="4"/>
      <c r="T7" s="4"/>
      <c r="U7" s="4"/>
    </row>
    <row r="8" spans="1:21" s="10" customFormat="1" ht="60" customHeight="1" x14ac:dyDescent="0.2">
      <c r="A8" s="17" t="s">
        <v>16</v>
      </c>
      <c r="B8" s="63"/>
      <c r="C8" s="64"/>
      <c r="D8" s="15" t="s">
        <v>179</v>
      </c>
      <c r="E8" s="15" t="s">
        <v>180</v>
      </c>
      <c r="F8" s="61"/>
      <c r="G8" s="15" t="s">
        <v>124</v>
      </c>
      <c r="H8" s="15" t="s">
        <v>181</v>
      </c>
      <c r="I8" s="61"/>
      <c r="J8" s="3"/>
      <c r="K8" s="8"/>
      <c r="L8" s="15" t="s">
        <v>20</v>
      </c>
      <c r="M8" s="8" t="s">
        <v>76</v>
      </c>
      <c r="N8" s="15" t="s">
        <v>125</v>
      </c>
      <c r="O8" s="17"/>
      <c r="P8" s="15" t="s">
        <v>125</v>
      </c>
      <c r="Q8" s="17"/>
      <c r="R8" s="3"/>
      <c r="S8" s="43"/>
      <c r="T8" s="66" t="s">
        <v>182</v>
      </c>
      <c r="U8" s="67"/>
    </row>
    <row r="9" spans="1:21" s="10" customFormat="1" ht="60" customHeight="1" x14ac:dyDescent="0.2">
      <c r="A9" s="8" t="s">
        <v>16</v>
      </c>
      <c r="B9" s="20"/>
      <c r="C9" s="21"/>
      <c r="D9" s="15" t="s">
        <v>183</v>
      </c>
      <c r="E9" s="44" t="s">
        <v>184</v>
      </c>
      <c r="F9" s="15" t="s">
        <v>185</v>
      </c>
      <c r="G9" s="15" t="s">
        <v>186</v>
      </c>
      <c r="H9" s="15" t="s">
        <v>187</v>
      </c>
      <c r="I9" s="45" t="s">
        <v>188</v>
      </c>
      <c r="J9" s="15" t="s">
        <v>189</v>
      </c>
      <c r="K9" s="62"/>
      <c r="L9" s="45"/>
      <c r="M9" s="15"/>
      <c r="N9" s="15"/>
      <c r="O9" s="15"/>
      <c r="P9" s="15"/>
      <c r="Q9" s="15"/>
      <c r="R9" s="66" t="s">
        <v>190</v>
      </c>
      <c r="S9" s="67"/>
      <c r="T9" s="66" t="s">
        <v>191</v>
      </c>
      <c r="U9" s="67"/>
    </row>
    <row r="10" spans="1:21" s="10" customFormat="1" ht="39" x14ac:dyDescent="0.2">
      <c r="A10" s="20" t="s">
        <v>21</v>
      </c>
      <c r="B10" s="23"/>
      <c r="C10" s="23"/>
      <c r="D10" s="24"/>
      <c r="E10" s="22"/>
      <c r="F10" s="22"/>
      <c r="G10" s="25"/>
      <c r="H10" s="25"/>
      <c r="I10" s="22"/>
      <c r="J10" s="22"/>
      <c r="K10" s="26"/>
      <c r="L10" s="15" t="s">
        <v>188</v>
      </c>
      <c r="M10" s="15" t="s">
        <v>189</v>
      </c>
      <c r="N10" s="15" t="s">
        <v>188</v>
      </c>
      <c r="O10" s="15" t="s">
        <v>189</v>
      </c>
      <c r="P10" s="15" t="s">
        <v>188</v>
      </c>
      <c r="Q10" s="15" t="s">
        <v>189</v>
      </c>
      <c r="R10" s="22"/>
      <c r="S10" s="22"/>
      <c r="T10" s="27"/>
      <c r="U10" s="48"/>
    </row>
    <row r="11" spans="1:21" s="10" customFormat="1" x14ac:dyDescent="0.2">
      <c r="A11" s="8">
        <v>10</v>
      </c>
      <c r="B11" s="20" t="s">
        <v>22</v>
      </c>
      <c r="C11" s="21"/>
      <c r="D11" s="9" t="s">
        <v>68</v>
      </c>
      <c r="E11" s="18" t="s">
        <v>55</v>
      </c>
      <c r="F11" s="28"/>
      <c r="G11" s="9" t="s">
        <v>56</v>
      </c>
      <c r="H11" s="19" t="s">
        <v>75</v>
      </c>
      <c r="I11" s="29"/>
      <c r="J11" s="25"/>
      <c r="K11" s="25"/>
      <c r="L11" s="18"/>
      <c r="M11" s="18"/>
      <c r="N11" s="18"/>
      <c r="O11" s="18"/>
      <c r="P11" s="18"/>
      <c r="Q11" s="18"/>
      <c r="R11" s="29"/>
      <c r="S11" s="28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61</v>
      </c>
      <c r="E12" s="17" t="s">
        <v>51</v>
      </c>
      <c r="F12" s="17"/>
      <c r="G12" s="30" t="s">
        <v>211</v>
      </c>
      <c r="H12" s="30" t="s">
        <v>171</v>
      </c>
      <c r="I12" s="8" t="s">
        <v>149</v>
      </c>
      <c r="J12" s="8"/>
      <c r="K12" s="8"/>
      <c r="L12" s="8"/>
      <c r="M12" s="8"/>
      <c r="N12" s="8"/>
      <c r="O12" s="8"/>
      <c r="P12" s="8"/>
      <c r="Q12" s="8"/>
      <c r="R12" s="66"/>
      <c r="S12" s="67"/>
      <c r="T12" s="68"/>
      <c r="U12" s="69"/>
    </row>
    <row r="13" spans="1:21" s="10" customFormat="1" x14ac:dyDescent="0.2">
      <c r="A13" s="52"/>
      <c r="U13" s="31"/>
    </row>
    <row r="14" spans="1:21" s="10" customFormat="1" x14ac:dyDescent="0.2">
      <c r="A14" s="52"/>
      <c r="U14" s="31"/>
    </row>
    <row r="15" spans="1:21" s="10" customFormat="1" x14ac:dyDescent="0.2">
      <c r="A15" s="52"/>
      <c r="U15" s="31"/>
    </row>
    <row r="16" spans="1:21" s="10" customFormat="1" x14ac:dyDescent="0.2">
      <c r="A16" s="52"/>
      <c r="U16" s="31"/>
    </row>
    <row r="17" spans="1:21" s="10" customFormat="1" x14ac:dyDescent="0.2">
      <c r="A17" s="52"/>
      <c r="U17" s="31"/>
    </row>
    <row r="18" spans="1:21" s="10" customFormat="1" x14ac:dyDescent="0.2">
      <c r="A18" s="52"/>
      <c r="U18" s="31"/>
    </row>
    <row r="19" spans="1:21" s="10" customFormat="1" x14ac:dyDescent="0.2">
      <c r="A19" s="52"/>
      <c r="U19" s="31"/>
    </row>
    <row r="20" spans="1:21" s="10" customFormat="1" x14ac:dyDescent="0.2">
      <c r="A20" s="52"/>
      <c r="U20" s="31"/>
    </row>
    <row r="21" spans="1:21" s="10" customFormat="1" x14ac:dyDescent="0.2">
      <c r="A21" s="52"/>
      <c r="U21" s="31"/>
    </row>
    <row r="22" spans="1:21" s="10" customFormat="1" x14ac:dyDescent="0.2">
      <c r="A22" s="52"/>
      <c r="U22" s="31"/>
    </row>
    <row r="23" spans="1:21" s="10" customFormat="1" x14ac:dyDescent="0.2">
      <c r="A23" s="52"/>
      <c r="U23" s="31"/>
    </row>
    <row r="24" spans="1:21" s="10" customFormat="1" x14ac:dyDescent="0.2">
      <c r="A24" s="52"/>
      <c r="U24" s="31"/>
    </row>
    <row r="25" spans="1:21" s="10" customFormat="1" x14ac:dyDescent="0.2">
      <c r="A25" s="52"/>
      <c r="U25" s="31"/>
    </row>
    <row r="26" spans="1:21" s="10" customFormat="1" x14ac:dyDescent="0.2">
      <c r="A26" s="59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32"/>
    </row>
  </sheetData>
  <mergeCells count="6">
    <mergeCell ref="R12:S12"/>
    <mergeCell ref="T12:U12"/>
    <mergeCell ref="T8:U8"/>
    <mergeCell ref="R9:S9"/>
    <mergeCell ref="T9:U9"/>
    <mergeCell ref="T11:U1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3" customWidth="1"/>
    <col min="43" max="44" width="2.08984375" style="35" customWidth="1"/>
    <col min="45" max="71" width="2.08984375" style="33" customWidth="1"/>
    <col min="72" max="256" width="9" style="33"/>
    <col min="257" max="327" width="2.08984375" style="33" customWidth="1"/>
    <col min="328" max="512" width="9" style="33"/>
    <col min="513" max="583" width="2.08984375" style="33" customWidth="1"/>
    <col min="584" max="768" width="9" style="33"/>
    <col min="769" max="839" width="2.08984375" style="33" customWidth="1"/>
    <col min="840" max="1024" width="9" style="33"/>
    <col min="1025" max="1095" width="2.08984375" style="33" customWidth="1"/>
    <col min="1096" max="1280" width="9" style="33"/>
    <col min="1281" max="1351" width="2.08984375" style="33" customWidth="1"/>
    <col min="1352" max="1536" width="9" style="33"/>
    <col min="1537" max="1607" width="2.08984375" style="33" customWidth="1"/>
    <col min="1608" max="1792" width="9" style="33"/>
    <col min="1793" max="1863" width="2.08984375" style="33" customWidth="1"/>
    <col min="1864" max="2048" width="9" style="33"/>
    <col min="2049" max="2119" width="2.08984375" style="33" customWidth="1"/>
    <col min="2120" max="2304" width="9" style="33"/>
    <col min="2305" max="2375" width="2.08984375" style="33" customWidth="1"/>
    <col min="2376" max="2560" width="9" style="33"/>
    <col min="2561" max="2631" width="2.08984375" style="33" customWidth="1"/>
    <col min="2632" max="2816" width="9" style="33"/>
    <col min="2817" max="2887" width="2.08984375" style="33" customWidth="1"/>
    <col min="2888" max="3072" width="9" style="33"/>
    <col min="3073" max="3143" width="2.08984375" style="33" customWidth="1"/>
    <col min="3144" max="3328" width="9" style="33"/>
    <col min="3329" max="3399" width="2.08984375" style="33" customWidth="1"/>
    <col min="3400" max="3584" width="9" style="33"/>
    <col min="3585" max="3655" width="2.08984375" style="33" customWidth="1"/>
    <col min="3656" max="3840" width="9" style="33"/>
    <col min="3841" max="3911" width="2.08984375" style="33" customWidth="1"/>
    <col min="3912" max="4096" width="9" style="33"/>
    <col min="4097" max="4167" width="2.08984375" style="33" customWidth="1"/>
    <col min="4168" max="4352" width="9" style="33"/>
    <col min="4353" max="4423" width="2.08984375" style="33" customWidth="1"/>
    <col min="4424" max="4608" width="9" style="33"/>
    <col min="4609" max="4679" width="2.08984375" style="33" customWidth="1"/>
    <col min="4680" max="4864" width="9" style="33"/>
    <col min="4865" max="4935" width="2.08984375" style="33" customWidth="1"/>
    <col min="4936" max="5120" width="9" style="33"/>
    <col min="5121" max="5191" width="2.08984375" style="33" customWidth="1"/>
    <col min="5192" max="5376" width="9" style="33"/>
    <col min="5377" max="5447" width="2.08984375" style="33" customWidth="1"/>
    <col min="5448" max="5632" width="9" style="33"/>
    <col min="5633" max="5703" width="2.08984375" style="33" customWidth="1"/>
    <col min="5704" max="5888" width="9" style="33"/>
    <col min="5889" max="5959" width="2.08984375" style="33" customWidth="1"/>
    <col min="5960" max="6144" width="9" style="33"/>
    <col min="6145" max="6215" width="2.08984375" style="33" customWidth="1"/>
    <col min="6216" max="6400" width="9" style="33"/>
    <col min="6401" max="6471" width="2.08984375" style="33" customWidth="1"/>
    <col min="6472" max="6656" width="9" style="33"/>
    <col min="6657" max="6727" width="2.08984375" style="33" customWidth="1"/>
    <col min="6728" max="6912" width="9" style="33"/>
    <col min="6913" max="6983" width="2.08984375" style="33" customWidth="1"/>
    <col min="6984" max="7168" width="9" style="33"/>
    <col min="7169" max="7239" width="2.08984375" style="33" customWidth="1"/>
    <col min="7240" max="7424" width="9" style="33"/>
    <col min="7425" max="7495" width="2.08984375" style="33" customWidth="1"/>
    <col min="7496" max="7680" width="9" style="33"/>
    <col min="7681" max="7751" width="2.08984375" style="33" customWidth="1"/>
    <col min="7752" max="7936" width="9" style="33"/>
    <col min="7937" max="8007" width="2.08984375" style="33" customWidth="1"/>
    <col min="8008" max="8192" width="9" style="33"/>
    <col min="8193" max="8263" width="2.08984375" style="33" customWidth="1"/>
    <col min="8264" max="8448" width="9" style="33"/>
    <col min="8449" max="8519" width="2.08984375" style="33" customWidth="1"/>
    <col min="8520" max="8704" width="9" style="33"/>
    <col min="8705" max="8775" width="2.08984375" style="33" customWidth="1"/>
    <col min="8776" max="8960" width="9" style="33"/>
    <col min="8961" max="9031" width="2.08984375" style="33" customWidth="1"/>
    <col min="9032" max="9216" width="9" style="33"/>
    <col min="9217" max="9287" width="2.08984375" style="33" customWidth="1"/>
    <col min="9288" max="9472" width="9" style="33"/>
    <col min="9473" max="9543" width="2.08984375" style="33" customWidth="1"/>
    <col min="9544" max="9728" width="9" style="33"/>
    <col min="9729" max="9799" width="2.08984375" style="33" customWidth="1"/>
    <col min="9800" max="9984" width="9" style="33"/>
    <col min="9985" max="10055" width="2.08984375" style="33" customWidth="1"/>
    <col min="10056" max="10240" width="9" style="33"/>
    <col min="10241" max="10311" width="2.08984375" style="33" customWidth="1"/>
    <col min="10312" max="10496" width="9" style="33"/>
    <col min="10497" max="10567" width="2.08984375" style="33" customWidth="1"/>
    <col min="10568" max="10752" width="9" style="33"/>
    <col min="10753" max="10823" width="2.08984375" style="33" customWidth="1"/>
    <col min="10824" max="11008" width="9" style="33"/>
    <col min="11009" max="11079" width="2.08984375" style="33" customWidth="1"/>
    <col min="11080" max="11264" width="9" style="33"/>
    <col min="11265" max="11335" width="2.08984375" style="33" customWidth="1"/>
    <col min="11336" max="11520" width="9" style="33"/>
    <col min="11521" max="11591" width="2.08984375" style="33" customWidth="1"/>
    <col min="11592" max="11776" width="9" style="33"/>
    <col min="11777" max="11847" width="2.08984375" style="33" customWidth="1"/>
    <col min="11848" max="12032" width="9" style="33"/>
    <col min="12033" max="12103" width="2.08984375" style="33" customWidth="1"/>
    <col min="12104" max="12288" width="9" style="33"/>
    <col min="12289" max="12359" width="2.08984375" style="33" customWidth="1"/>
    <col min="12360" max="12544" width="9" style="33"/>
    <col min="12545" max="12615" width="2.08984375" style="33" customWidth="1"/>
    <col min="12616" max="12800" width="9" style="33"/>
    <col min="12801" max="12871" width="2.08984375" style="33" customWidth="1"/>
    <col min="12872" max="13056" width="9" style="33"/>
    <col min="13057" max="13127" width="2.08984375" style="33" customWidth="1"/>
    <col min="13128" max="13312" width="9" style="33"/>
    <col min="13313" max="13383" width="2.08984375" style="33" customWidth="1"/>
    <col min="13384" max="13568" width="9" style="33"/>
    <col min="13569" max="13639" width="2.08984375" style="33" customWidth="1"/>
    <col min="13640" max="13824" width="9" style="33"/>
    <col min="13825" max="13895" width="2.08984375" style="33" customWidth="1"/>
    <col min="13896" max="14080" width="9" style="33"/>
    <col min="14081" max="14151" width="2.08984375" style="33" customWidth="1"/>
    <col min="14152" max="14336" width="9" style="33"/>
    <col min="14337" max="14407" width="2.08984375" style="33" customWidth="1"/>
    <col min="14408" max="14592" width="9" style="33"/>
    <col min="14593" max="14663" width="2.08984375" style="33" customWidth="1"/>
    <col min="14664" max="14848" width="9" style="33"/>
    <col min="14849" max="14919" width="2.08984375" style="33" customWidth="1"/>
    <col min="14920" max="15104" width="9" style="33"/>
    <col min="15105" max="15175" width="2.08984375" style="33" customWidth="1"/>
    <col min="15176" max="15360" width="9" style="33"/>
    <col min="15361" max="15431" width="2.08984375" style="33" customWidth="1"/>
    <col min="15432" max="15616" width="9" style="33"/>
    <col min="15617" max="15687" width="2.08984375" style="33" customWidth="1"/>
    <col min="15688" max="15872" width="9" style="33"/>
    <col min="15873" max="15943" width="2.08984375" style="33" customWidth="1"/>
    <col min="15944" max="16128" width="9" style="33"/>
    <col min="16129" max="16199" width="2.08984375" style="33" customWidth="1"/>
    <col min="16200" max="16384" width="9" style="33"/>
  </cols>
  <sheetData>
    <row r="1" spans="1:57" ht="38.25" customHeight="1" thickBot="1" x14ac:dyDescent="0.25">
      <c r="A1" s="99" t="s">
        <v>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57" ht="15" customHeight="1" thickBot="1" x14ac:dyDescent="0.25">
      <c r="A3" s="102" t="s">
        <v>9</v>
      </c>
      <c r="B3" s="103"/>
      <c r="C3" s="103"/>
      <c r="D3" s="103"/>
      <c r="E3" s="103"/>
      <c r="F3" s="103"/>
      <c r="G3" s="104"/>
      <c r="H3" s="105" t="s">
        <v>10</v>
      </c>
      <c r="I3" s="103"/>
      <c r="J3" s="103"/>
      <c r="K3" s="103"/>
      <c r="L3" s="103"/>
      <c r="M3" s="103"/>
      <c r="N3" s="104"/>
      <c r="O3" s="105" t="s">
        <v>11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12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13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212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213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Ins01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2026-03-27T05:59:30Z</dcterms:modified>
  <cp:category/>
</cp:coreProperties>
</file>