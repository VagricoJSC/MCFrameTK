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B75DAB0-A03E-4110-A39F-560CF549A19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Ord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<sst xmlns="http://schemas.openxmlformats.org/spreadsheetml/2006/main" count="181" uniqueCount="133">
  <si>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</si>
  <si>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</si>
  <si>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</si>
  <si>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</si>
  <si>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</si>
  <si>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</si>
  <si>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</si>
  <si>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</si>
  <si>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</si>
  <si>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</si>
  <si>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</si>
  <si>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</si>
  <si>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</si>
  <si>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</si>
  <si>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</si>
  <si>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</si>
  <si>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</si>
  <si>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</si>
  <si>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</si>
  <si>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</si>
  <si>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</si>
  <si>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</si>
  <si>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</si>
  <si>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</si>
  <si>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</si>
  <si>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</si>
  <si>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</si>
  <si>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</si>
  <si>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</si>
  <si>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</si>
  <si>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</si>
  <si>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</si>
  <si>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</si>
  <si>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</si>
  <si>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</si>
  <si>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</si>
  <si>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</si>
  <si>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</si>
  <si>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</si>
  <si>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</si>
  <si>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</si>
  <si>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</si>
  <si>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</si>
  <si>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</si>
  <si>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</si>
  <si>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</si>
  <si>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</si>
  <si>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</si>
  <si>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</si>
  <si>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</si>
  <si>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</si>
  <si>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</si>
  <si>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</si>
  <si>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</si>
  <si>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</si>
  <si>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</si>
  <si>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</si>
  <si>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</si>
  <si>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</si>
  <si>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</si>
  <si>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</si>
  <si>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</si>
  <si>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</si>
  <si>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</si>
  <si>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</si>
  <si>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</si>
  <si>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</si>
  <si>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</si>
  <si>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</si>
  <si>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</si>
  <si>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</si>
  <si>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</si>
  <si>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</si>
  <si>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</si>
  <si>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</si>
  <si>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</si>
  <si>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</si>
  <si>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</si>
  <si>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</si>
  <si>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MSLAB2210</t>
    <phoneticPr fontId="4"/>
  </si>
  <si>
    <t>オーダ受信ＩＦ取込</t>
    <rPh sb="3" eb="5">
      <t>ジュシン</t>
    </rPh>
    <rPh sb="7" eb="9">
      <t>トリコミ</t>
    </rPh>
    <phoneticPr fontId="1"/>
  </si>
  <si>
    <t>MSLAB_OrdRecvIfImp</t>
    <phoneticPr fontId="4"/>
  </si>
  <si>
    <t>OrdRecvIfImp_Upd01</t>
    <phoneticPr fontId="4"/>
  </si>
  <si>
    <t>OrdRecvIfImp_Upd01_Cnd</t>
    <phoneticPr fontId="4"/>
  </si>
  <si>
    <t>オーダ受信ＩＦの取込処理を実行する。</t>
    <rPh sb="3" eb="5">
      <t>ジュシン</t>
    </rPh>
    <phoneticPr fontId="1"/>
  </si>
  <si>
    <t>#MA.FLG</t>
    <phoneticPr fontId="4"/>
  </si>
  <si>
    <t>#MA.LOC_CD</t>
    <phoneticPr fontId="4"/>
  </si>
  <si>
    <t>loc_cd</t>
    <phoneticPr fontId="4"/>
  </si>
  <si>
    <t>場所ＣＤ</t>
    <phoneticPr fontId="4"/>
  </si>
  <si>
    <t>オーダ洗い替えＦＬＧ</t>
    <phoneticPr fontId="4"/>
  </si>
  <si>
    <t>ord_rep_flg</t>
    <phoneticPr fontId="4"/>
  </si>
  <si>
    <t>E</t>
    <phoneticPr fontId="2"/>
  </si>
  <si>
    <t>-</t>
    <phoneticPr fontId="2"/>
  </si>
  <si>
    <t>連携スケジューラ区分</t>
    <rPh sb="0" eb="2">
      <t>レンケイ</t>
    </rPh>
    <rPh sb="8" eb="10">
      <t>クブン</t>
    </rPh>
    <phoneticPr fontId="4"/>
  </si>
  <si>
    <t>#MS.IF_SCHEDULER_TYP</t>
    <phoneticPr fontId="4"/>
  </si>
  <si>
    <t>if_scheduler_typ</t>
    <phoneticPr fontId="4"/>
  </si>
  <si>
    <t>OrdRecvIfImp_Upd01_Cndブロックに以下の項目を追加
if_scheduler_typ</t>
    <phoneticPr fontId="4"/>
  </si>
  <si>
    <t>MS7031#405</t>
    <phoneticPr fontId="4"/>
  </si>
  <si>
    <t>allow_outsrc_schd_flg</t>
    <phoneticPr fontId="4"/>
  </si>
  <si>
    <t>外注スケジューリング許可ＦＬＧ</t>
    <rPh sb="0" eb="2">
      <t>ガイチュウ</t>
    </rPh>
    <rPh sb="10" eb="12">
      <t>キョカ</t>
    </rPh>
    <phoneticPr fontId="4"/>
  </si>
  <si>
    <t>OrdRecvIfImp_Upd01</t>
    <phoneticPr fontId="4"/>
  </si>
  <si>
    <t>OrdRecvIfImp_Upd01_Cndブロックに以下の項目を追加
allow_outsrc_schd_flg</t>
    <phoneticPr fontId="4"/>
  </si>
  <si>
    <t>MS7032#401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</si>
  <si>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</si>
  <si>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</si>
  <si>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</si>
  <si>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</si>
  <si>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</si>
  <si>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</si>
  <si>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</si>
  <si>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</si>
  <si>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</si>
  <si>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</si>
  <si>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</si>
  <si>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</si>
  <si>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</si>
  <si>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</si>
  <si>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</si>
  <si>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</si>
  <si>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</si>
  <si>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</si>
  <si>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</si>
  <si>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</si>
  <si>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</si>
  <si>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</si>
  <si>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</si>
  <si>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</si>
  <si>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Planned order refresh flg.</t>
  </si>
  <si>
    <t>Location cd.</t>
  </si>
  <si>
    <t>Linkage scheduler type</t>
  </si>
  <si>
    <t>Allow subcontracting scheduling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</si>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</sst>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6" borderId="23" xfId="0" applyNumberFormat="1" applyFont="1" applyFill="1" applyBorder="1" applyAlignment="1">
      <alignment horizontal="center" vertical="center"/>
    </xf>
    <xf numFmtId="177" fontId="9" fillId="6" borderId="2" xfId="0" applyNumberFormat="1" applyFont="1" applyFill="1" applyBorder="1" applyAlignment="1">
      <alignment horizontal="center" vertical="center"/>
    </xf>
    <xf numFmtId="177" fontId="9" fillId="6" borderId="9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vertical="center" wrapText="1"/>
    </xf>
    <xf numFmtId="0" fontId="9" fillId="6" borderId="8" xfId="0" applyFont="1" applyFill="1" applyBorder="1" applyAlignment="1">
      <alignment vertical="center" wrapText="1"/>
    </xf>
    <xf numFmtId="0" fontId="9" fillId="6" borderId="24" xfId="0" applyFont="1" applyFill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1" fillId="5" borderId="8" xfId="0" applyFont="1" applyFill="1" applyBorder="1">
      <alignment vertical="top" wrapText="1"/>
    </xf>
    <xf numFmtId="0" fontId="11" fillId="5" borderId="9" xfId="0" applyFont="1" applyFill="1" applyBorder="1">
      <alignment vertical="top" wrapText="1"/>
    </xf>
    <xf numFmtId="0" fontId="11" fillId="5" borderId="8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79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80</v>
      </c>
      <c r="F4" s="7" t="s">
        <v>48</v>
      </c>
      <c r="G4" s="8" t="s">
        <v>67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5"/>
  <sheetViews>
    <sheetView zoomScale="85" zoomScaleNormal="85" zoomScaleSheetLayoutView="85" workbookViewId="0">
      <selection activeCell="D25" sqref="D25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6" t="s">
        <v>22</v>
      </c>
      <c r="B1" s="36" t="s">
        <v>22</v>
      </c>
      <c r="C1" s="36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22</v>
      </c>
      <c r="B2" s="22"/>
      <c r="C2" s="22"/>
      <c r="D2" s="61" t="s">
        <v>103</v>
      </c>
      <c r="E2" s="7" t="s">
        <v>0</v>
      </c>
      <c r="F2" s="38" t="str">
        <f>IF(LogicCommon!C2="","",LogicCommon!C2)</f>
        <v>MS</v>
      </c>
      <c r="G2" s="7" t="s">
        <v>23</v>
      </c>
      <c r="H2" s="38" t="str">
        <f>IF(LogicCommon!E2="","",LogicCommon!E2)</f>
        <v>MSLAB2210</v>
      </c>
      <c r="I2" s="7" t="s">
        <v>30</v>
      </c>
      <c r="J2" s="8" t="s">
        <v>82</v>
      </c>
      <c r="K2" s="7" t="s">
        <v>31</v>
      </c>
      <c r="L2" s="38" t="str">
        <f>IF(LogicCommon!G2="","",LogicCommon!G2)</f>
        <v>MC</v>
      </c>
      <c r="M2" s="5" t="s">
        <v>32</v>
      </c>
      <c r="N2" s="23" t="s">
        <v>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22</v>
      </c>
      <c r="B3" s="40"/>
      <c r="C3" s="40"/>
      <c r="D3" s="41" t="str">
        <f>IF(LogicCommon!A3="","",LogicCommon!A3)</f>
        <v/>
      </c>
      <c r="E3" s="7" t="s">
        <v>1</v>
      </c>
      <c r="F3" s="38" t="str">
        <f>IF(LogicCommon!C3="","",LogicCommon!C3)</f>
        <v>MSLA</v>
      </c>
      <c r="G3" s="7" t="s">
        <v>33</v>
      </c>
      <c r="H3" s="38" t="str">
        <f>IF(LogicCommon!E3="","",LogicCommon!E3)</f>
        <v>MSLAB_OrdRecvIfImp</v>
      </c>
      <c r="I3" s="7" t="s">
        <v>34</v>
      </c>
      <c r="J3" s="8" t="s">
        <v>49</v>
      </c>
      <c r="K3" s="7" t="s">
        <v>21</v>
      </c>
      <c r="L3" s="38" t="str">
        <f>IF(LogicCommon!G3="","",LogicCommon!G3)</f>
        <v/>
      </c>
      <c r="M3" s="42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9" t="s">
        <v>22</v>
      </c>
      <c r="B4" s="40"/>
      <c r="C4" s="40"/>
      <c r="D4" s="4"/>
      <c r="E4" s="7" t="s">
        <v>12</v>
      </c>
      <c r="F4" s="43" t="s">
        <v>36</v>
      </c>
      <c r="G4" s="7" t="s">
        <v>24</v>
      </c>
      <c r="H4" s="38" t="str">
        <f>IF(LogicCommon!E4="","",LogicCommon!E4)</f>
        <v>オーダ受信ＩＦ取込</v>
      </c>
      <c r="I4" s="7" t="s">
        <v>37</v>
      </c>
      <c r="J4" s="8" t="s">
        <v>54</v>
      </c>
      <c r="K4" s="7" t="s">
        <v>38</v>
      </c>
      <c r="L4" s="38" t="str">
        <f>IF(LogicCommon!G4="","",LogicCommon!G4)</f>
        <v>MS.MSUDL5010</v>
      </c>
      <c r="M4" s="44" t="s">
        <v>39</v>
      </c>
      <c r="N4" s="23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22</v>
      </c>
      <c r="B5" s="36"/>
      <c r="C5" s="36"/>
      <c r="D5" s="21"/>
      <c r="E5" s="7" t="s">
        <v>40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22</v>
      </c>
      <c r="B6" s="40"/>
      <c r="C6" s="40"/>
      <c r="D6" s="4" t="s">
        <v>4</v>
      </c>
      <c r="E6" s="12" t="s">
        <v>84</v>
      </c>
      <c r="F6" s="12"/>
      <c r="G6" s="12"/>
      <c r="H6" s="12"/>
      <c r="I6" s="12"/>
      <c r="J6" s="12"/>
      <c r="K6" s="12"/>
      <c r="L6" s="48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3"/>
      <c r="C8" s="64"/>
      <c r="D8" s="24" t="s">
        <v>104</v>
      </c>
      <c r="E8" s="24" t="s">
        <v>105</v>
      </c>
      <c r="F8" s="48"/>
      <c r="G8" s="24" t="s">
        <v>41</v>
      </c>
      <c r="H8" s="24" t="s">
        <v>106</v>
      </c>
      <c r="I8" s="48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2" t="s">
        <v>107</v>
      </c>
      <c r="U8" s="133"/>
    </row>
    <row r="9" spans="1:21" s="10" customFormat="1" ht="60" customHeight="1" x14ac:dyDescent="0.2">
      <c r="A9" s="8" t="s">
        <v>13</v>
      </c>
      <c r="B9" s="27"/>
      <c r="C9" s="49"/>
      <c r="D9" s="24" t="s">
        <v>108</v>
      </c>
      <c r="E9" s="65" t="s">
        <v>109</v>
      </c>
      <c r="F9" s="24" t="s">
        <v>110</v>
      </c>
      <c r="G9" s="24" t="s">
        <v>111</v>
      </c>
      <c r="H9" s="24" t="s">
        <v>112</v>
      </c>
      <c r="I9" s="66" t="s">
        <v>113</v>
      </c>
      <c r="J9" s="24" t="s">
        <v>114</v>
      </c>
      <c r="K9" s="61"/>
      <c r="L9" s="67"/>
      <c r="M9" s="68"/>
      <c r="N9" s="68"/>
      <c r="O9" s="68"/>
      <c r="P9" s="68"/>
      <c r="Q9" s="68"/>
      <c r="R9" s="132" t="s">
        <v>115</v>
      </c>
      <c r="S9" s="133"/>
      <c r="T9" s="132" t="s">
        <v>116</v>
      </c>
      <c r="U9" s="133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49"/>
      <c r="D11" s="23" t="s">
        <v>83</v>
      </c>
      <c r="E11" s="26" t="s">
        <v>52</v>
      </c>
      <c r="F11" s="35"/>
      <c r="G11" s="23"/>
      <c r="H11" s="50"/>
      <c r="I11" s="51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55</v>
      </c>
      <c r="E12" s="8" t="s">
        <v>53</v>
      </c>
      <c r="F12" s="8"/>
      <c r="G12" s="62" t="s">
        <v>117</v>
      </c>
      <c r="H12" s="11" t="s">
        <v>56</v>
      </c>
      <c r="I12" s="8" t="s">
        <v>69</v>
      </c>
      <c r="J12" s="8" t="s">
        <v>57</v>
      </c>
      <c r="K12" s="8"/>
      <c r="L12" s="8"/>
      <c r="M12" s="8"/>
      <c r="N12" s="8"/>
      <c r="O12" s="8"/>
      <c r="P12" s="8"/>
      <c r="Q12" s="8"/>
      <c r="R12" s="57"/>
      <c r="S12" s="58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58</v>
      </c>
      <c r="E13" s="8" t="s">
        <v>53</v>
      </c>
      <c r="F13" s="8"/>
      <c r="G13" s="62" t="s">
        <v>118</v>
      </c>
      <c r="H13" s="11" t="s">
        <v>70</v>
      </c>
      <c r="I13" s="8" t="s">
        <v>69</v>
      </c>
      <c r="J13" s="8" t="s">
        <v>57</v>
      </c>
      <c r="K13" s="8"/>
      <c r="L13" s="8"/>
      <c r="M13" s="8"/>
      <c r="N13" s="8"/>
      <c r="O13" s="8"/>
      <c r="P13" s="8"/>
      <c r="Q13" s="8"/>
      <c r="R13" s="57"/>
      <c r="S13" s="58"/>
      <c r="T13" s="130"/>
      <c r="U13" s="131"/>
    </row>
    <row r="14" spans="1:21" s="10" customFormat="1" x14ac:dyDescent="0.2">
      <c r="A14" s="8">
        <v>10</v>
      </c>
      <c r="B14" s="8"/>
      <c r="C14" s="8"/>
      <c r="D14" s="8" t="s">
        <v>59</v>
      </c>
      <c r="E14" s="8" t="s">
        <v>53</v>
      </c>
      <c r="F14" s="8"/>
      <c r="G14" s="62" t="s">
        <v>119</v>
      </c>
      <c r="H14" s="11" t="s">
        <v>71</v>
      </c>
      <c r="I14" s="8" t="s">
        <v>69</v>
      </c>
      <c r="J14" s="8" t="s">
        <v>57</v>
      </c>
      <c r="K14" s="8"/>
      <c r="L14" s="8"/>
      <c r="M14" s="8"/>
      <c r="N14" s="8"/>
      <c r="O14" s="8"/>
      <c r="P14" s="8"/>
      <c r="Q14" s="8"/>
      <c r="R14" s="57"/>
      <c r="S14" s="58"/>
      <c r="T14" s="130"/>
      <c r="U14" s="131"/>
    </row>
    <row r="15" spans="1:21" s="10" customFormat="1" x14ac:dyDescent="0.2">
      <c r="A15" s="8">
        <v>10</v>
      </c>
      <c r="B15" s="8"/>
      <c r="C15" s="8"/>
      <c r="D15" s="8" t="s">
        <v>60</v>
      </c>
      <c r="E15" s="8" t="s">
        <v>53</v>
      </c>
      <c r="F15" s="8"/>
      <c r="G15" s="62" t="s">
        <v>120</v>
      </c>
      <c r="H15" s="11" t="s">
        <v>72</v>
      </c>
      <c r="I15" s="8" t="s">
        <v>69</v>
      </c>
      <c r="J15" s="8" t="s">
        <v>57</v>
      </c>
      <c r="K15" s="8"/>
      <c r="L15" s="8"/>
      <c r="M15" s="8"/>
      <c r="N15" s="8"/>
      <c r="O15" s="8"/>
      <c r="P15" s="8"/>
      <c r="Q15" s="8"/>
      <c r="R15" s="57"/>
      <c r="S15" s="58"/>
      <c r="T15" s="130"/>
      <c r="U15" s="131"/>
    </row>
    <row r="16" spans="1:21" s="10" customFormat="1" x14ac:dyDescent="0.2">
      <c r="A16" s="8">
        <v>10</v>
      </c>
      <c r="B16" s="8"/>
      <c r="C16" s="8"/>
      <c r="D16" s="8" t="s">
        <v>61</v>
      </c>
      <c r="E16" s="8" t="s">
        <v>53</v>
      </c>
      <c r="F16" s="8"/>
      <c r="G16" s="62" t="s">
        <v>121</v>
      </c>
      <c r="H16" s="11" t="s">
        <v>73</v>
      </c>
      <c r="I16" s="8" t="s">
        <v>69</v>
      </c>
      <c r="J16" s="8" t="s">
        <v>57</v>
      </c>
      <c r="K16" s="8"/>
      <c r="L16" s="8"/>
      <c r="M16" s="8"/>
      <c r="N16" s="8"/>
      <c r="O16" s="8"/>
      <c r="P16" s="8"/>
      <c r="Q16" s="8"/>
      <c r="R16" s="57"/>
      <c r="S16" s="58"/>
      <c r="T16" s="130"/>
      <c r="U16" s="131"/>
    </row>
    <row r="17" spans="1:21" s="10" customFormat="1" x14ac:dyDescent="0.2">
      <c r="A17" s="8">
        <v>10</v>
      </c>
      <c r="B17" s="8"/>
      <c r="C17" s="8"/>
      <c r="D17" s="8" t="s">
        <v>62</v>
      </c>
      <c r="E17" s="8" t="s">
        <v>53</v>
      </c>
      <c r="F17" s="8"/>
      <c r="G17" s="62" t="s">
        <v>122</v>
      </c>
      <c r="H17" s="11" t="s">
        <v>74</v>
      </c>
      <c r="I17" s="8" t="s">
        <v>69</v>
      </c>
      <c r="J17" s="8" t="s">
        <v>57</v>
      </c>
      <c r="K17" s="8"/>
      <c r="L17" s="8"/>
      <c r="M17" s="8"/>
      <c r="N17" s="8"/>
      <c r="O17" s="8"/>
      <c r="P17" s="8"/>
      <c r="Q17" s="8"/>
      <c r="R17" s="57"/>
      <c r="S17" s="58"/>
      <c r="T17" s="130"/>
      <c r="U17" s="131"/>
    </row>
    <row r="18" spans="1:21" s="10" customFormat="1" x14ac:dyDescent="0.2">
      <c r="A18" s="8">
        <v>10</v>
      </c>
      <c r="B18" s="8"/>
      <c r="C18" s="8"/>
      <c r="D18" s="8" t="s">
        <v>63</v>
      </c>
      <c r="E18" s="8" t="s">
        <v>53</v>
      </c>
      <c r="F18" s="8"/>
      <c r="G18" s="62" t="s">
        <v>123</v>
      </c>
      <c r="H18" s="11" t="s">
        <v>75</v>
      </c>
      <c r="I18" s="8" t="s">
        <v>69</v>
      </c>
      <c r="J18" s="8" t="s">
        <v>57</v>
      </c>
      <c r="K18" s="8"/>
      <c r="L18" s="8"/>
      <c r="M18" s="8"/>
      <c r="N18" s="8"/>
      <c r="O18" s="8"/>
      <c r="P18" s="8"/>
      <c r="Q18" s="8"/>
      <c r="R18" s="57"/>
      <c r="S18" s="58"/>
      <c r="T18" s="130"/>
      <c r="U18" s="131"/>
    </row>
    <row r="19" spans="1:21" s="10" customFormat="1" x14ac:dyDescent="0.2">
      <c r="A19" s="8">
        <v>10</v>
      </c>
      <c r="B19" s="8"/>
      <c r="C19" s="8"/>
      <c r="D19" s="8" t="s">
        <v>64</v>
      </c>
      <c r="E19" s="8" t="s">
        <v>53</v>
      </c>
      <c r="F19" s="8"/>
      <c r="G19" s="62" t="s">
        <v>124</v>
      </c>
      <c r="H19" s="11" t="s">
        <v>76</v>
      </c>
      <c r="I19" s="8" t="s">
        <v>69</v>
      </c>
      <c r="J19" s="8" t="s">
        <v>57</v>
      </c>
      <c r="K19" s="8"/>
      <c r="L19" s="8"/>
      <c r="M19" s="8"/>
      <c r="N19" s="8"/>
      <c r="O19" s="8"/>
      <c r="P19" s="8"/>
      <c r="Q19" s="8"/>
      <c r="R19" s="57"/>
      <c r="S19" s="58"/>
      <c r="T19" s="130"/>
      <c r="U19" s="131"/>
    </row>
    <row r="20" spans="1:21" s="10" customFormat="1" x14ac:dyDescent="0.2">
      <c r="A20" s="8">
        <v>10</v>
      </c>
      <c r="B20" s="8"/>
      <c r="C20" s="8"/>
      <c r="D20" s="8" t="s">
        <v>65</v>
      </c>
      <c r="E20" s="8" t="s">
        <v>53</v>
      </c>
      <c r="F20" s="8"/>
      <c r="G20" s="62" t="s">
        <v>125</v>
      </c>
      <c r="H20" s="11" t="s">
        <v>77</v>
      </c>
      <c r="I20" s="8" t="s">
        <v>69</v>
      </c>
      <c r="J20" s="8" t="s">
        <v>57</v>
      </c>
      <c r="K20" s="8"/>
      <c r="L20" s="8"/>
      <c r="M20" s="8"/>
      <c r="N20" s="8"/>
      <c r="O20" s="8"/>
      <c r="P20" s="8"/>
      <c r="Q20" s="8"/>
      <c r="R20" s="57"/>
      <c r="S20" s="58"/>
      <c r="T20" s="130"/>
      <c r="U20" s="131"/>
    </row>
    <row r="21" spans="1:21" s="10" customFormat="1" x14ac:dyDescent="0.2">
      <c r="A21" s="8">
        <v>10</v>
      </c>
      <c r="B21" s="8"/>
      <c r="C21" s="8"/>
      <c r="D21" s="8" t="s">
        <v>66</v>
      </c>
      <c r="E21" s="8" t="s">
        <v>53</v>
      </c>
      <c r="F21" s="8"/>
      <c r="G21" s="62" t="s">
        <v>126</v>
      </c>
      <c r="H21" s="11" t="s">
        <v>78</v>
      </c>
      <c r="I21" s="8" t="s">
        <v>69</v>
      </c>
      <c r="J21" s="8" t="s">
        <v>57</v>
      </c>
      <c r="K21" s="8"/>
      <c r="L21" s="8"/>
      <c r="M21" s="8"/>
      <c r="N21" s="8"/>
      <c r="O21" s="8"/>
      <c r="P21" s="8"/>
      <c r="Q21" s="8"/>
      <c r="R21" s="57"/>
      <c r="S21" s="58"/>
      <c r="T21" s="130"/>
      <c r="U21" s="131"/>
    </row>
    <row r="22" spans="1:21" s="10" customFormat="1" x14ac:dyDescent="0.2">
      <c r="A22" s="8">
        <v>10</v>
      </c>
      <c r="B22" s="8"/>
      <c r="C22" s="8"/>
      <c r="D22" s="8" t="s">
        <v>90</v>
      </c>
      <c r="E22" s="8" t="s">
        <v>85</v>
      </c>
      <c r="F22" s="8"/>
      <c r="G22" s="62" t="s">
        <v>127</v>
      </c>
      <c r="H22" s="11" t="s">
        <v>89</v>
      </c>
      <c r="I22" s="8" t="s">
        <v>69</v>
      </c>
      <c r="J22" s="8" t="s">
        <v>57</v>
      </c>
      <c r="K22" s="8"/>
      <c r="L22" s="8"/>
      <c r="M22" s="8"/>
      <c r="N22" s="8"/>
      <c r="O22" s="8"/>
      <c r="P22" s="8"/>
      <c r="Q22" s="8"/>
      <c r="R22" s="57"/>
      <c r="S22" s="58"/>
      <c r="T22" s="130"/>
      <c r="U22" s="131"/>
    </row>
    <row r="23" spans="1:21" s="10" customFormat="1" x14ac:dyDescent="0.2">
      <c r="A23" s="8">
        <v>10</v>
      </c>
      <c r="B23" s="8"/>
      <c r="C23" s="8"/>
      <c r="D23" s="8" t="s">
        <v>87</v>
      </c>
      <c r="E23" s="8" t="s">
        <v>86</v>
      </c>
      <c r="F23" s="8"/>
      <c r="G23" s="62" t="s">
        <v>128</v>
      </c>
      <c r="H23" s="11" t="s">
        <v>88</v>
      </c>
      <c r="I23" s="8" t="s">
        <v>69</v>
      </c>
      <c r="J23" s="8" t="s">
        <v>57</v>
      </c>
      <c r="K23" s="8"/>
      <c r="L23" s="8"/>
      <c r="M23" s="8"/>
      <c r="N23" s="8"/>
      <c r="O23" s="8"/>
      <c r="P23" s="8"/>
      <c r="Q23" s="8"/>
      <c r="R23" s="57"/>
      <c r="S23" s="58"/>
      <c r="T23" s="130"/>
      <c r="U23" s="131"/>
    </row>
    <row r="24" spans="1:21" s="10" customFormat="1" x14ac:dyDescent="0.2">
      <c r="A24" s="59">
        <v>10</v>
      </c>
      <c r="B24" s="59"/>
      <c r="C24" s="59"/>
      <c r="D24" s="59" t="s">
        <v>95</v>
      </c>
      <c r="E24" s="60" t="s">
        <v>94</v>
      </c>
      <c r="F24" s="60"/>
      <c r="G24" s="60" t="s">
        <v>129</v>
      </c>
      <c r="H24" s="60" t="s">
        <v>93</v>
      </c>
      <c r="I24" s="59" t="s">
        <v>91</v>
      </c>
      <c r="J24" s="59" t="s">
        <v>92</v>
      </c>
      <c r="K24" s="59"/>
      <c r="L24" s="59"/>
      <c r="M24" s="59"/>
      <c r="N24" s="59"/>
      <c r="O24" s="59"/>
      <c r="P24" s="59"/>
      <c r="Q24" s="59"/>
      <c r="R24" s="126"/>
      <c r="S24" s="127"/>
      <c r="T24" s="128"/>
      <c r="U24" s="129"/>
    </row>
    <row r="25" spans="1:21" s="10" customFormat="1" ht="26" x14ac:dyDescent="0.2">
      <c r="A25" s="59">
        <v>10</v>
      </c>
      <c r="B25" s="59"/>
      <c r="C25" s="59"/>
      <c r="D25" s="59" t="s">
        <v>98</v>
      </c>
      <c r="E25" s="60" t="s">
        <v>85</v>
      </c>
      <c r="F25" s="60"/>
      <c r="G25" s="60" t="s">
        <v>130</v>
      </c>
      <c r="H25" s="60" t="s">
        <v>99</v>
      </c>
      <c r="I25" s="59" t="s">
        <v>91</v>
      </c>
      <c r="J25" s="59" t="s">
        <v>92</v>
      </c>
      <c r="K25" s="59"/>
      <c r="L25" s="59"/>
      <c r="M25" s="59"/>
      <c r="N25" s="59"/>
      <c r="O25" s="59"/>
      <c r="P25" s="59"/>
      <c r="Q25" s="59"/>
      <c r="R25" s="126"/>
      <c r="S25" s="127"/>
      <c r="T25" s="128"/>
      <c r="U25" s="129"/>
    </row>
  </sheetData>
  <mergeCells count="19">
    <mergeCell ref="T8:U8"/>
    <mergeCell ref="R9:S9"/>
    <mergeCell ref="T9:U9"/>
    <mergeCell ref="T12:U12"/>
    <mergeCell ref="T13:U13"/>
    <mergeCell ref="T14:U14"/>
    <mergeCell ref="T15:U15"/>
    <mergeCell ref="T16:U16"/>
    <mergeCell ref="T17:U17"/>
    <mergeCell ref="T18:U18"/>
    <mergeCell ref="R25:S25"/>
    <mergeCell ref="T25:U25"/>
    <mergeCell ref="R24:S24"/>
    <mergeCell ref="T24:U24"/>
    <mergeCell ref="T19:U19"/>
    <mergeCell ref="T20:U20"/>
    <mergeCell ref="T23:U23"/>
    <mergeCell ref="T22:U22"/>
    <mergeCell ref="T21:U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4"/>
  <sheetViews>
    <sheetView tabSelected="1" zoomScale="130" zoomScaleNormal="130" workbookViewId="0">
      <selection activeCell="O9" sqref="O9:AP9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9" t="s">
        <v>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2" t="s">
        <v>6</v>
      </c>
      <c r="B3" s="73"/>
      <c r="C3" s="73"/>
      <c r="D3" s="73"/>
      <c r="E3" s="73"/>
      <c r="F3" s="73"/>
      <c r="G3" s="74"/>
      <c r="H3" s="75" t="s">
        <v>7</v>
      </c>
      <c r="I3" s="73"/>
      <c r="J3" s="73"/>
      <c r="K3" s="73"/>
      <c r="L3" s="73"/>
      <c r="M3" s="73"/>
      <c r="N3" s="74"/>
      <c r="O3" s="75" t="s">
        <v>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9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30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 t="s">
        <v>97</v>
      </c>
      <c r="I5" s="94"/>
      <c r="J5" s="94"/>
      <c r="K5" s="94"/>
      <c r="L5" s="94"/>
      <c r="M5" s="94"/>
      <c r="N5" s="95"/>
      <c r="O5" s="93" t="s">
        <v>96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82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5"/>
    </row>
    <row r="6" spans="1:57" ht="54" customHeight="1" x14ac:dyDescent="0.2">
      <c r="A6" s="106">
        <v>1.2</v>
      </c>
      <c r="B6" s="107"/>
      <c r="C6" s="107"/>
      <c r="D6" s="107"/>
      <c r="E6" s="107"/>
      <c r="F6" s="107"/>
      <c r="G6" s="108"/>
      <c r="H6" s="109" t="s">
        <v>102</v>
      </c>
      <c r="I6" s="110"/>
      <c r="J6" s="110"/>
      <c r="K6" s="110"/>
      <c r="L6" s="110"/>
      <c r="M6" s="110"/>
      <c r="N6" s="111"/>
      <c r="O6" s="109" t="s">
        <v>101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 t="s">
        <v>100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90">
        <v>1.3</v>
      </c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 t="s">
        <v>131</v>
      </c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 t="s">
        <v>132</v>
      </c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thickBot="1" x14ac:dyDescent="0.25">
      <c r="A34" s="116"/>
      <c r="B34" s="117"/>
      <c r="C34" s="117"/>
      <c r="D34" s="117"/>
      <c r="E34" s="117"/>
      <c r="F34" s="117"/>
      <c r="G34" s="118"/>
      <c r="H34" s="119"/>
      <c r="I34" s="120"/>
      <c r="J34" s="120"/>
      <c r="K34" s="120"/>
      <c r="L34" s="120"/>
      <c r="M34" s="120"/>
      <c r="N34" s="121"/>
      <c r="O34" s="119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3"/>
      <c r="AQ34" s="124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5"/>
    </row>
  </sheetData>
  <mergeCells count="129"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OrdRecvIfImp_Upd01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2026-03-27T06:01:07Z</dcterms:modified>
  <cp:category/>
</cp:coreProperties>
</file>