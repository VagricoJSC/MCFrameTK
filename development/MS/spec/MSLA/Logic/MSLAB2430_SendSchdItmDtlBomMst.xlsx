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EE4D5B48-63E5-4183-8772-2BCA71F654C1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endSchdItmDtlBomMst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<sst xmlns="http://schemas.openxmlformats.org/spreadsheetml/2006/main" count="150" uniqueCount="117">
  <si>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</si>
  <si>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</si>
  <si>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</si>
  <si>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</si>
  <si>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</si>
  <si>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</si>
  <si>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</si>
  <si>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</si>
  <si>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</si>
  <si>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</si>
  <si>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</si>
  <si>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</si>
  <si>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</si>
  <si>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</si>
  <si>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</si>
  <si>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</si>
  <si>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</si>
  <si>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</si>
  <si>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</si>
  <si>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</si>
  <si>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</si>
  <si>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</si>
  <si>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</si>
  <si>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</si>
  <si>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</si>
  <si>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</si>
  <si>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</si>
  <si>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</si>
  <si>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</si>
  <si>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</si>
  <si>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</si>
  <si>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</si>
  <si>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</si>
  <si>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</si>
  <si>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</si>
  <si>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</si>
  <si>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</si>
  <si>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</si>
  <si>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</si>
  <si>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</si>
  <si>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</si>
  <si>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</si>
  <si>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</si>
  <si>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</si>
  <si>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</si>
  <si>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</si>
  <si>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</si>
  <si>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</si>
  <si>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</si>
  <si>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</si>
  <si>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</si>
  <si>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</si>
  <si>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</si>
  <si>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</si>
  <si>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</si>
  <si>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</si>
  <si>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</si>
  <si>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</si>
  <si>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</si>
  <si>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  <phoneticPr fontId="4"/>
  </si>
  <si>
    <t>#MA.WG_CD</t>
    <phoneticPr fontId="4"/>
  </si>
  <si>
    <t>ワーキンググループＣＤ</t>
    <phoneticPr fontId="4"/>
  </si>
  <si>
    <t>master_dt</t>
    <phoneticPr fontId="4"/>
  </si>
  <si>
    <t>#MA.DT</t>
    <phoneticPr fontId="4"/>
  </si>
  <si>
    <t>#MA.SITE_CD</t>
    <phoneticPr fontId="4"/>
  </si>
  <si>
    <t>#MA.LOC_CD</t>
    <phoneticPr fontId="4"/>
  </si>
  <si>
    <t>site_cd</t>
    <phoneticPr fontId="4"/>
  </si>
  <si>
    <t>mfg_loc_cd</t>
    <phoneticPr fontId="4"/>
  </si>
  <si>
    <t>工場・物流倉庫ＣＤ</t>
    <phoneticPr fontId="4"/>
  </si>
  <si>
    <t>マスタ適用日</t>
    <phoneticPr fontId="4"/>
  </si>
  <si>
    <t>MSLAB_SendSchdItmDtlBomMst</t>
    <phoneticPr fontId="4"/>
  </si>
  <si>
    <t>MSLAB2430</t>
    <phoneticPr fontId="4"/>
  </si>
  <si>
    <t>SendSchdItmDtlBomMst_Upd01_Cnd</t>
    <phoneticPr fontId="4"/>
  </si>
  <si>
    <t>#MS.IF_SCHEDULER_TYP</t>
    <phoneticPr fontId="4"/>
  </si>
  <si>
    <t>if_scheduler_typ</t>
    <phoneticPr fontId="4"/>
  </si>
  <si>
    <t>MS.MSLAB5010</t>
    <phoneticPr fontId="4"/>
  </si>
  <si>
    <t>$super$</t>
    <phoneticPr fontId="4"/>
  </si>
  <si>
    <t>MS.MSLAB5010.SchedulerSendBatchBase_Upd01.SchedulerSendBatchBase_Upd01_Cnd</t>
    <phoneticPr fontId="4"/>
  </si>
  <si>
    <t>"mcframe.serverMSLA.MSLAB5010.MSLAB_SchedulerSendBatchBase.SchedulerSendBatchBase_Upd01"</t>
    <phoneticPr fontId="2"/>
  </si>
  <si>
    <t>製造場所グループＣＤ</t>
    <phoneticPr fontId="4"/>
  </si>
  <si>
    <t>term_from</t>
    <phoneticPr fontId="4"/>
  </si>
  <si>
    <t>対象期間ＦＲＯＭ</t>
    <phoneticPr fontId="4"/>
  </si>
  <si>
    <t>term_to</t>
    <phoneticPr fontId="4"/>
  </si>
  <si>
    <t>対象期間ＴＯ</t>
    <phoneticPr fontId="4"/>
  </si>
  <si>
    <t>include_unfirm_flg</t>
    <phoneticPr fontId="4"/>
  </si>
  <si>
    <t>#MA.FLG</t>
    <phoneticPr fontId="4"/>
  </si>
  <si>
    <t>未確定を含む</t>
    <phoneticPr fontId="4"/>
  </si>
  <si>
    <t>連携スケジューラ区分</t>
    <phoneticPr fontId="4"/>
  </si>
  <si>
    <t>製造場所ＣＤ</t>
    <rPh sb="0" eb="2">
      <t>セイゾウ</t>
    </rPh>
    <phoneticPr fontId="4"/>
  </si>
  <si>
    <t>SendSchdItmDtlBomMst_Upd01</t>
    <phoneticPr fontId="4"/>
  </si>
  <si>
    <t>スケジューラ用品目詳細ＢＯＭマスタＩＦ送信</t>
    <rPh sb="6" eb="7">
      <t>ヨウ</t>
    </rPh>
    <rPh sb="7" eb="9">
      <t>ヒンモク</t>
    </rPh>
    <rPh sb="9" eb="11">
      <t>ショウサイ</t>
    </rPh>
    <rPh sb="19" eb="21">
      <t>ソウシン</t>
    </rPh>
    <phoneticPr fontId="1"/>
  </si>
  <si>
    <t>スケジューラ連携用の品目詳細マスタとBOMの展開結果を結合しＩＦテーブルに登録する。</t>
    <rPh sb="6" eb="8">
      <t>レンケイ</t>
    </rPh>
    <rPh sb="8" eb="9">
      <t>ヨウ</t>
    </rPh>
    <rPh sb="10" eb="12">
      <t>ヒンモク</t>
    </rPh>
    <rPh sb="12" eb="14">
      <t>ショウサイ</t>
    </rPh>
    <rPh sb="22" eb="26">
      <t>テンカイケッカ</t>
    </rPh>
    <rPh sb="27" eb="29">
      <t>ケツゴウ</t>
    </rPh>
    <rPh sb="37" eb="39">
      <t>トウロク</t>
    </rPh>
    <phoneticPr fontId="1"/>
  </si>
  <si>
    <t>mfg_loc_grp_cd</t>
    <phoneticPr fontId="4"/>
  </si>
  <si>
    <t>#MA.LOC_GRP_CD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</si>
  <si>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</si>
  <si>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</si>
  <si>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</si>
  <si>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</si>
  <si>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</si>
  <si>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</si>
  <si>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</si>
  <si>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</si>
  <si>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</si>
  <si>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</si>
  <si>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</si>
  <si>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</si>
  <si>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</si>
  <si>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</si>
  <si>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</si>
  <si>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Master application date</t>
  </si>
  <si>
    <t>WG cd.</t>
  </si>
  <si>
    <t>Mfg. location group cd.</t>
  </si>
  <si>
    <t>Factory/Distribution warehouse cd.</t>
  </si>
  <si>
    <t>Mfg. location cd.</t>
  </si>
  <si>
    <t>Linkage scheduler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</si>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</sst>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wrapText="1"/>
    </xf>
    <xf numFmtId="0" fontId="7" fillId="2" borderId="9" xfId="0" applyFont="1" applyFill="1" applyBorder="1" applyAlignment="1">
      <alignment vertical="top"/>
    </xf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9" xfId="0" applyFont="1" applyFill="1" applyBorder="1" applyAlignment="1"/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>
      <selection activeCell="K1" sqref="K1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71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70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90</v>
      </c>
      <c r="F4" s="7" t="s">
        <v>48</v>
      </c>
      <c r="G4" s="8" t="s">
        <v>75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1"/>
  <sheetViews>
    <sheetView topLeftCell="A2" zoomScale="115" zoomScaleNormal="115" zoomScaleSheetLayoutView="85" workbookViewId="0">
      <selection activeCell="H3" sqref="H3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1" t="s">
        <v>94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MSLAB2430</v>
      </c>
      <c r="I2" s="7" t="s">
        <v>30</v>
      </c>
      <c r="J2" s="8" t="s">
        <v>89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78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MSLAB_SendSchdItmDtlBomMst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スケジューラ用品目詳細ＢＯＭマスタＩＦ送信</v>
      </c>
      <c r="I4" s="7" t="s">
        <v>37</v>
      </c>
      <c r="J4" s="8" t="s">
        <v>57</v>
      </c>
      <c r="K4" s="7" t="s">
        <v>38</v>
      </c>
      <c r="L4" s="35" t="str">
        <f>IF(LogicCommon!G4="","",LogicCommon!G4)</f>
        <v>MS.MSLAB5010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91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95</v>
      </c>
      <c r="E8" s="24" t="s">
        <v>96</v>
      </c>
      <c r="F8" s="45"/>
      <c r="G8" s="24" t="s">
        <v>41</v>
      </c>
      <c r="H8" s="24" t="s">
        <v>97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68" t="s">
        <v>98</v>
      </c>
      <c r="U8" s="69"/>
    </row>
    <row r="9" spans="1:21" s="10" customFormat="1" ht="60" customHeight="1" x14ac:dyDescent="0.2">
      <c r="A9" s="8" t="s">
        <v>13</v>
      </c>
      <c r="B9" s="27"/>
      <c r="C9" s="47"/>
      <c r="D9" s="24" t="s">
        <v>99</v>
      </c>
      <c r="E9" s="64" t="s">
        <v>100</v>
      </c>
      <c r="F9" s="24" t="s">
        <v>101</v>
      </c>
      <c r="G9" s="24" t="s">
        <v>102</v>
      </c>
      <c r="H9" s="24" t="s">
        <v>103</v>
      </c>
      <c r="I9" s="65" t="s">
        <v>104</v>
      </c>
      <c r="J9" s="24" t="s">
        <v>105</v>
      </c>
      <c r="K9" s="61"/>
      <c r="L9" s="66"/>
      <c r="M9" s="67"/>
      <c r="N9" s="67"/>
      <c r="O9" s="67"/>
      <c r="P9" s="67"/>
      <c r="Q9" s="67"/>
      <c r="R9" s="68" t="s">
        <v>106</v>
      </c>
      <c r="S9" s="69"/>
      <c r="T9" s="68" t="s">
        <v>107</v>
      </c>
      <c r="U9" s="69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ht="39" x14ac:dyDescent="0.2">
      <c r="A11" s="8">
        <v>10</v>
      </c>
      <c r="B11" s="27" t="s">
        <v>51</v>
      </c>
      <c r="C11" s="47"/>
      <c r="D11" s="23" t="s">
        <v>72</v>
      </c>
      <c r="E11" s="26" t="s">
        <v>52</v>
      </c>
      <c r="F11" s="32"/>
      <c r="G11" s="23" t="s">
        <v>76</v>
      </c>
      <c r="H11" s="46" t="s">
        <v>77</v>
      </c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5"/>
      <c r="U11" s="52"/>
    </row>
    <row r="12" spans="1:21" s="10" customFormat="1" x14ac:dyDescent="0.2">
      <c r="A12" s="8">
        <v>10</v>
      </c>
      <c r="B12" s="8"/>
      <c r="C12" s="8"/>
      <c r="D12" s="8" t="s">
        <v>55</v>
      </c>
      <c r="E12" s="25" t="s">
        <v>56</v>
      </c>
      <c r="F12" s="25"/>
      <c r="G12" s="56" t="s">
        <v>108</v>
      </c>
      <c r="H12" s="56" t="s">
        <v>58</v>
      </c>
      <c r="I12" s="8" t="s">
        <v>54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55"/>
      <c r="U12" s="60"/>
    </row>
    <row r="13" spans="1:21" s="10" customFormat="1" x14ac:dyDescent="0.2">
      <c r="A13" s="8">
        <v>10</v>
      </c>
      <c r="B13" s="8"/>
      <c r="C13" s="8"/>
      <c r="D13" s="8" t="s">
        <v>62</v>
      </c>
      <c r="E13" s="25" t="s">
        <v>63</v>
      </c>
      <c r="F13" s="25"/>
      <c r="G13" s="56" t="s">
        <v>109</v>
      </c>
      <c r="H13" s="56" t="s">
        <v>69</v>
      </c>
      <c r="I13" s="8" t="s">
        <v>54</v>
      </c>
      <c r="J13" s="8" t="s">
        <v>53</v>
      </c>
      <c r="K13" s="8"/>
      <c r="L13" s="8"/>
      <c r="M13" s="8"/>
      <c r="N13" s="8"/>
      <c r="O13" s="8"/>
      <c r="P13" s="8"/>
      <c r="Q13" s="8"/>
      <c r="R13" s="53"/>
      <c r="S13" s="54"/>
      <c r="T13" s="55"/>
      <c r="U13" s="60"/>
    </row>
    <row r="14" spans="1:21" s="10" customFormat="1" x14ac:dyDescent="0.2">
      <c r="A14" s="8">
        <v>10</v>
      </c>
      <c r="B14" s="8"/>
      <c r="C14" s="8"/>
      <c r="D14" s="8" t="s">
        <v>59</v>
      </c>
      <c r="E14" s="25" t="s">
        <v>60</v>
      </c>
      <c r="F14" s="25"/>
      <c r="G14" s="56" t="s">
        <v>110</v>
      </c>
      <c r="H14" s="56" t="s">
        <v>61</v>
      </c>
      <c r="I14" s="8" t="s">
        <v>54</v>
      </c>
      <c r="J14" s="8" t="s">
        <v>53</v>
      </c>
      <c r="K14" s="8"/>
      <c r="L14" s="8"/>
      <c r="M14" s="8"/>
      <c r="N14" s="8"/>
      <c r="O14" s="8"/>
      <c r="P14" s="8"/>
      <c r="Q14" s="8"/>
      <c r="R14" s="53"/>
      <c r="S14" s="54"/>
      <c r="T14" s="55"/>
      <c r="U14" s="60"/>
    </row>
    <row r="15" spans="1:21" s="10" customFormat="1" x14ac:dyDescent="0.2">
      <c r="A15" s="8">
        <v>10</v>
      </c>
      <c r="B15" s="8"/>
      <c r="C15" s="8"/>
      <c r="D15" s="8" t="s">
        <v>92</v>
      </c>
      <c r="E15" s="25" t="s">
        <v>93</v>
      </c>
      <c r="F15" s="25"/>
      <c r="G15" s="56" t="s">
        <v>111</v>
      </c>
      <c r="H15" s="56" t="s">
        <v>79</v>
      </c>
      <c r="I15" s="8" t="s">
        <v>54</v>
      </c>
      <c r="J15" s="8" t="s">
        <v>53</v>
      </c>
      <c r="K15" s="8"/>
      <c r="L15" s="8"/>
      <c r="M15" s="8"/>
      <c r="N15" s="8"/>
      <c r="O15" s="8"/>
      <c r="P15" s="8"/>
      <c r="Q15" s="8"/>
      <c r="R15" s="53"/>
      <c r="S15" s="54"/>
      <c r="T15" s="55"/>
      <c r="U15" s="60"/>
    </row>
    <row r="16" spans="1:21" s="10" customFormat="1" ht="26" x14ac:dyDescent="0.2">
      <c r="A16" s="8">
        <v>10</v>
      </c>
      <c r="B16" s="8"/>
      <c r="C16" s="8"/>
      <c r="D16" s="8" t="s">
        <v>66</v>
      </c>
      <c r="E16" s="25" t="s">
        <v>64</v>
      </c>
      <c r="F16" s="25"/>
      <c r="G16" s="56" t="s">
        <v>112</v>
      </c>
      <c r="H16" s="56" t="s">
        <v>68</v>
      </c>
      <c r="I16" s="8" t="s">
        <v>54</v>
      </c>
      <c r="J16" s="8" t="s">
        <v>53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60"/>
    </row>
    <row r="17" spans="1:21" s="10" customFormat="1" x14ac:dyDescent="0.2">
      <c r="A17" s="8">
        <v>10</v>
      </c>
      <c r="B17" s="8"/>
      <c r="C17" s="8"/>
      <c r="D17" s="8" t="s">
        <v>67</v>
      </c>
      <c r="E17" s="25" t="s">
        <v>65</v>
      </c>
      <c r="F17" s="25"/>
      <c r="G17" s="56" t="s">
        <v>113</v>
      </c>
      <c r="H17" s="56" t="s">
        <v>88</v>
      </c>
      <c r="I17" s="8" t="s">
        <v>54</v>
      </c>
      <c r="J17" s="8" t="s">
        <v>53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60"/>
    </row>
    <row r="18" spans="1:21" s="10" customFormat="1" x14ac:dyDescent="0.2">
      <c r="A18" s="8"/>
      <c r="B18" s="8"/>
      <c r="C18" s="8"/>
      <c r="D18" s="8" t="s">
        <v>80</v>
      </c>
      <c r="E18" s="25" t="s">
        <v>63</v>
      </c>
      <c r="F18" s="25"/>
      <c r="G18" s="56"/>
      <c r="H18" s="56" t="s">
        <v>81</v>
      </c>
      <c r="I18" s="8" t="s">
        <v>54</v>
      </c>
      <c r="J18" s="8" t="s">
        <v>53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60"/>
    </row>
    <row r="19" spans="1:21" s="10" customFormat="1" x14ac:dyDescent="0.2">
      <c r="A19" s="8"/>
      <c r="B19" s="8"/>
      <c r="C19" s="8"/>
      <c r="D19" s="8" t="s">
        <v>82</v>
      </c>
      <c r="E19" s="25" t="s">
        <v>63</v>
      </c>
      <c r="F19" s="25"/>
      <c r="G19" s="56"/>
      <c r="H19" s="56" t="s">
        <v>83</v>
      </c>
      <c r="I19" s="8" t="s">
        <v>54</v>
      </c>
      <c r="J19" s="8" t="s">
        <v>53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60"/>
    </row>
    <row r="20" spans="1:21" s="10" customFormat="1" x14ac:dyDescent="0.2">
      <c r="A20" s="8"/>
      <c r="B20" s="8"/>
      <c r="C20" s="8"/>
      <c r="D20" s="8" t="s">
        <v>84</v>
      </c>
      <c r="E20" s="25" t="s">
        <v>85</v>
      </c>
      <c r="F20" s="25"/>
      <c r="G20" s="56"/>
      <c r="H20" s="56" t="s">
        <v>86</v>
      </c>
      <c r="I20" s="8" t="s">
        <v>54</v>
      </c>
      <c r="J20" s="8" t="s">
        <v>53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60"/>
    </row>
    <row r="21" spans="1:21" s="10" customFormat="1" x14ac:dyDescent="0.2">
      <c r="A21" s="8">
        <v>10</v>
      </c>
      <c r="B21" s="8"/>
      <c r="C21" s="8"/>
      <c r="D21" s="8" t="s">
        <v>74</v>
      </c>
      <c r="E21" s="25" t="s">
        <v>73</v>
      </c>
      <c r="F21" s="25"/>
      <c r="G21" s="56" t="s">
        <v>114</v>
      </c>
      <c r="H21" s="56" t="s">
        <v>87</v>
      </c>
      <c r="I21" s="8" t="s">
        <v>54</v>
      </c>
      <c r="J21" s="8" t="s">
        <v>53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60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D305-2623-4A15-9144-7366B935FBFE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70" t="s">
        <v>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3" t="s">
        <v>6</v>
      </c>
      <c r="B3" s="74"/>
      <c r="C3" s="74"/>
      <c r="D3" s="74"/>
      <c r="E3" s="74"/>
      <c r="F3" s="74"/>
      <c r="G3" s="75"/>
      <c r="H3" s="76" t="s">
        <v>7</v>
      </c>
      <c r="I3" s="74"/>
      <c r="J3" s="74"/>
      <c r="K3" s="74"/>
      <c r="L3" s="74"/>
      <c r="M3" s="74"/>
      <c r="N3" s="75"/>
      <c r="O3" s="76" t="s">
        <v>8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9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7" t="s">
        <v>10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5"/>
      <c r="I5" s="96"/>
      <c r="J5" s="96"/>
      <c r="K5" s="96"/>
      <c r="L5" s="96"/>
      <c r="M5" s="96"/>
      <c r="N5" s="97"/>
      <c r="O5" s="103" t="s">
        <v>115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116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5"/>
      <c r="I8" s="96"/>
      <c r="J8" s="96"/>
      <c r="K8" s="96"/>
      <c r="L8" s="96"/>
      <c r="M8" s="96"/>
      <c r="N8" s="97"/>
      <c r="O8" s="98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98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98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98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98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98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98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98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98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98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98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98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98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98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98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98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98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98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98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98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98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98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98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98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98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98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98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5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SendSchdItmDtlBomMst_Upd01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2026-03-27T06:01:13Z</dcterms:modified>
  <cp:category/>
</cp:coreProperties>
</file>