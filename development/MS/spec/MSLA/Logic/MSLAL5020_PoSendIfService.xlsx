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368A926B-3283-4ED4-AD0A-0B30CE04E4EC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PoSendIf_Upd01" sheetId="5" r:id="rId2"/>
    <sheet name="PoSendIf_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<sst xmlns="http://schemas.openxmlformats.org/spreadsheetml/2006/main" count="231" uniqueCount="116">
  <si>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</si>
  <si>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</si>
  <si>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</si>
  <si>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</si>
  <si>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</si>
  <si>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</si>
  <si>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</si>
  <si>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</si>
  <si>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</si>
  <si>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</si>
  <si>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</si>
  <si>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</si>
  <si>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</si>
  <si>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</si>
  <si>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</si>
  <si>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</si>
  <si>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</si>
  <si>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</si>
  <si>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</si>
  <si>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</si>
  <si>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</si>
  <si>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</si>
  <si>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L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</si>
  <si>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</si>
  <si>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</si>
  <si>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</si>
  <si>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</si>
  <si>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</si>
  <si>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</si>
  <si>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</si>
  <si>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</si>
  <si>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</si>
  <si>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</si>
  <si>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</si>
  <si>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</si>
  <si>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</si>
  <si>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</si>
  <si>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</si>
  <si>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</si>
  <si>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</si>
  <si>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</si>
  <si>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</si>
  <si>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</si>
  <si>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</si>
  <si>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po_no</t>
  </si>
  <si>
    <t>#MA.PO_NO</t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</si>
  <si>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</si>
  <si>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</si>
  <si>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</si>
  <si>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</si>
  <si>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</si>
  <si>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</si>
  <si>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</si>
  <si>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</si>
  <si>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</si>
  <si>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PoSendIf_Upd01</t>
    <phoneticPr fontId="4"/>
  </si>
  <si>
    <t>PoSendIf_Upd01_Dtl</t>
    <phoneticPr fontId="4"/>
  </si>
  <si>
    <t>MSLAL5020</t>
    <phoneticPr fontId="4"/>
  </si>
  <si>
    <t>po_d_no</t>
    <phoneticPr fontId="1"/>
  </si>
  <si>
    <t>data_crud_typ</t>
    <phoneticPr fontId="1"/>
  </si>
  <si>
    <t>#MA.PO_D_NO</t>
    <phoneticPr fontId="1"/>
  </si>
  <si>
    <t>#MA.DATA_CRUD_TYP</t>
    <phoneticPr fontId="1"/>
  </si>
  <si>
    <t>発注送信ＩＦサービス</t>
    <rPh sb="0" eb="2">
      <t>ハッチュウ</t>
    </rPh>
    <rPh sb="2" eb="4">
      <t>ソウシン</t>
    </rPh>
    <phoneticPr fontId="1"/>
  </si>
  <si>
    <t>MSLAL_PoSendIfService</t>
    <phoneticPr fontId="4"/>
  </si>
  <si>
    <t>L</t>
    <phoneticPr fontId="4"/>
  </si>
  <si>
    <t>PoSendIf_Upd01_Dtl2</t>
    <phoneticPr fontId="4"/>
  </si>
  <si>
    <t>発注書込</t>
    <rPh sb="0" eb="2">
      <t>ハッチュウ</t>
    </rPh>
    <rPh sb="2" eb="4">
      <t>カキコ</t>
    </rPh>
    <phoneticPr fontId="1"/>
  </si>
  <si>
    <t>送信対象の発注をＩＦテーブルに書き込む</t>
    <rPh sb="0" eb="2">
      <t>ソウシン</t>
    </rPh>
    <rPh sb="2" eb="4">
      <t>タイショウ</t>
    </rPh>
    <rPh sb="5" eb="7">
      <t>ハッチュウ</t>
    </rPh>
    <rPh sb="15" eb="16">
      <t>カ</t>
    </rPh>
    <rPh sb="17" eb="18">
      <t>コ</t>
    </rPh>
    <phoneticPr fontId="5"/>
  </si>
  <si>
    <t>MS.MSUDL5010</t>
    <phoneticPr fontId="4"/>
  </si>
  <si>
    <t>"mcframe.serverMAUD.MAUDL5010.MAUDL_Operation"</t>
    <phoneticPr fontId="2"/>
  </si>
  <si>
    <t>発注ＮＯ</t>
    <phoneticPr fontId="1"/>
  </si>
  <si>
    <t>E</t>
    <phoneticPr fontId="2"/>
  </si>
  <si>
    <t>-</t>
    <phoneticPr fontId="2"/>
  </si>
  <si>
    <t>データ更新区分</t>
    <phoneticPr fontId="1"/>
  </si>
  <si>
    <t>発注明細ＮＯ</t>
    <phoneticPr fontId="1"/>
  </si>
  <si>
    <t>PoSendIf_Upd02_Dtl</t>
    <phoneticPr fontId="4"/>
  </si>
  <si>
    <t>data_no</t>
    <phoneticPr fontId="4"/>
  </si>
  <si>
    <t>#MA.IF_DATA_NO</t>
    <phoneticPr fontId="4"/>
  </si>
  <si>
    <t>データＮＯ</t>
    <phoneticPr fontId="1"/>
  </si>
  <si>
    <t>PoSendIf_Upd02</t>
    <phoneticPr fontId="4"/>
  </si>
  <si>
    <t>発注送信・再送信</t>
    <rPh sb="0" eb="2">
      <t>ハッチュウ</t>
    </rPh>
    <rPh sb="2" eb="4">
      <t>ソウシン</t>
    </rPh>
    <rPh sb="5" eb="8">
      <t>サイソウシン</t>
    </rPh>
    <phoneticPr fontId="1"/>
  </si>
  <si>
    <t>発注送信ＩＦを、送信または再送信します</t>
    <phoneticPr fontId="5"/>
  </si>
  <si>
    <t>err_flg</t>
    <phoneticPr fontId="4"/>
  </si>
  <si>
    <t>#MA.FLG</t>
    <phoneticPr fontId="4"/>
  </si>
  <si>
    <t>エラー</t>
    <phoneticPr fontId="1"/>
  </si>
  <si>
    <t>bef_aprv_sts_typ</t>
    <phoneticPr fontId="1"/>
  </si>
  <si>
    <t>#MA.APRV_STS_TYP</t>
    <phoneticPr fontId="1"/>
  </si>
  <si>
    <t>前回承認状況区分</t>
    <phoneticPr fontId="1"/>
  </si>
  <si>
    <t>is_src_aprvaf_srv_flg</t>
    <phoneticPr fontId="1"/>
  </si>
  <si>
    <t>#MA.FLG</t>
    <phoneticPr fontId="1"/>
  </si>
  <si>
    <t>呼出元承認後実行サービス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</si>
  <si>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</si>
  <si>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</si>
  <si>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</si>
  <si>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</si>
  <si>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</si>
  <si>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</si>
  <si>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</si>
  <si>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</si>
  <si>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</si>
  <si>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</si>
  <si>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</si>
  <si>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</si>
  <si>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</si>
  <si>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</si>
  <si>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PO No.</t>
  </si>
  <si>
    <t>Data update type</t>
  </si>
  <si>
    <t>Last approval status type</t>
  </si>
  <si>
    <t>Execution service after caller approval</t>
  </si>
  <si>
    <t>PO details No.</t>
  </si>
  <si>
    <t>項目名
Field Name</t>
    <phoneticPr fontId="4"/>
  </si>
  <si>
    <t>型
Type</t>
    <phoneticPr fontId="4"/>
  </si>
  <si>
    <t>Data No.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</si>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</sst>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9" xfId="0" applyFont="1" applyFill="1" applyBorder="1" applyAlignment="1"/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46</v>
      </c>
      <c r="E2" s="8" t="s">
        <v>57</v>
      </c>
      <c r="F2" s="7" t="s">
        <v>47</v>
      </c>
      <c r="G2" s="8" t="s">
        <v>48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49</v>
      </c>
      <c r="D3" s="7" t="s">
        <v>50</v>
      </c>
      <c r="E3" s="8" t="s">
        <v>63</v>
      </c>
      <c r="F3" s="7" t="s">
        <v>51</v>
      </c>
      <c r="G3" s="8"/>
      <c r="H3" s="5"/>
      <c r="I3" s="5"/>
    </row>
    <row r="4" spans="1:13" x14ac:dyDescent="0.2">
      <c r="A4" s="4"/>
      <c r="B4" s="7"/>
      <c r="C4" s="7"/>
      <c r="D4" s="7" t="s">
        <v>52</v>
      </c>
      <c r="E4" s="11" t="s">
        <v>62</v>
      </c>
      <c r="F4" s="7" t="s">
        <v>53</v>
      </c>
      <c r="G4" s="8" t="s">
        <v>68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24</v>
      </c>
      <c r="B1" s="52" t="s">
        <v>24</v>
      </c>
      <c r="C1" s="52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24</v>
      </c>
      <c r="B2" s="22"/>
      <c r="C2" s="22"/>
      <c r="D2" s="65" t="s">
        <v>91</v>
      </c>
      <c r="E2" s="7" t="s">
        <v>0</v>
      </c>
      <c r="F2" s="54" t="str">
        <f>IF(LogicCommon!C2="","",LogicCommon!C2)</f>
        <v>MS</v>
      </c>
      <c r="G2" s="7" t="s">
        <v>25</v>
      </c>
      <c r="H2" s="54" t="str">
        <f>IF(LogicCommon!E2="","",LogicCommon!E2)</f>
        <v>MSLAL5020</v>
      </c>
      <c r="I2" s="7" t="s">
        <v>32</v>
      </c>
      <c r="J2" s="8" t="s">
        <v>55</v>
      </c>
      <c r="K2" s="7" t="s">
        <v>33</v>
      </c>
      <c r="L2" s="54" t="str">
        <f>IF(LogicCommon!G2="","",LogicCommon!G2)</f>
        <v>MC</v>
      </c>
      <c r="M2" s="5" t="s">
        <v>34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24</v>
      </c>
      <c r="B3" s="56"/>
      <c r="C3" s="56"/>
      <c r="D3" s="57" t="str">
        <f>IF(LogicCommon!A3="","",LogicCommon!A3)</f>
        <v/>
      </c>
      <c r="E3" s="7" t="s">
        <v>1</v>
      </c>
      <c r="F3" s="54" t="str">
        <f>IF(LogicCommon!C3="","",LogicCommon!C3)</f>
        <v>MSLA</v>
      </c>
      <c r="G3" s="7" t="s">
        <v>35</v>
      </c>
      <c r="H3" s="54" t="str">
        <f>IF(LogicCommon!E3="","",LogicCommon!E3)</f>
        <v>MSLAL_PoSendIfService</v>
      </c>
      <c r="I3" s="7" t="s">
        <v>36</v>
      </c>
      <c r="J3" s="8" t="s">
        <v>54</v>
      </c>
      <c r="K3" s="7" t="s">
        <v>23</v>
      </c>
      <c r="L3" s="54" t="str">
        <f>IF(LogicCommon!G3="","",LogicCommon!G3)</f>
        <v/>
      </c>
      <c r="M3" s="48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55" t="s">
        <v>24</v>
      </c>
      <c r="B4" s="56"/>
      <c r="C4" s="56"/>
      <c r="D4" s="4"/>
      <c r="E4" s="7" t="s">
        <v>12</v>
      </c>
      <c r="F4" s="58" t="s">
        <v>38</v>
      </c>
      <c r="G4" s="7" t="s">
        <v>26</v>
      </c>
      <c r="H4" s="54" t="str">
        <f>IF(LogicCommon!E4="","",LogicCommon!E4)</f>
        <v>発注送信ＩＦサービス</v>
      </c>
      <c r="I4" s="7" t="s">
        <v>39</v>
      </c>
      <c r="J4" s="8" t="s">
        <v>66</v>
      </c>
      <c r="K4" s="7" t="s">
        <v>40</v>
      </c>
      <c r="L4" s="54" t="str">
        <f>IF(LogicCommon!G4="","",LogicCommon!G4)</f>
        <v>MS.MSUDL5010</v>
      </c>
      <c r="M4" s="59" t="s">
        <v>41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24</v>
      </c>
      <c r="B5" s="52"/>
      <c r="C5" s="52"/>
      <c r="D5" s="21"/>
      <c r="E5" s="7" t="s">
        <v>42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24</v>
      </c>
      <c r="B6" s="56"/>
      <c r="C6" s="56"/>
      <c r="D6" s="4" t="s">
        <v>4</v>
      </c>
      <c r="E6" s="12" t="s">
        <v>67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6"/>
      <c r="C8" s="67"/>
      <c r="D8" s="24" t="s">
        <v>92</v>
      </c>
      <c r="E8" s="24" t="s">
        <v>93</v>
      </c>
      <c r="F8" s="63"/>
      <c r="G8" s="24" t="s">
        <v>43</v>
      </c>
      <c r="H8" s="24" t="s">
        <v>94</v>
      </c>
      <c r="I8" s="63"/>
      <c r="J8" s="3"/>
      <c r="K8" s="8"/>
      <c r="L8" s="24" t="s">
        <v>19</v>
      </c>
      <c r="M8" s="25"/>
      <c r="N8" s="24" t="s">
        <v>28</v>
      </c>
      <c r="O8" s="25"/>
      <c r="P8" s="24" t="s">
        <v>29</v>
      </c>
      <c r="Q8" s="25"/>
      <c r="R8" s="3"/>
      <c r="S8" s="21"/>
      <c r="T8" s="115" t="s">
        <v>95</v>
      </c>
      <c r="U8" s="116"/>
    </row>
    <row r="9" spans="1:21" s="10" customFormat="1" ht="60" customHeight="1" x14ac:dyDescent="0.2">
      <c r="A9" s="8" t="s">
        <v>13</v>
      </c>
      <c r="B9" s="28"/>
      <c r="C9" s="29"/>
      <c r="D9" s="24" t="s">
        <v>96</v>
      </c>
      <c r="E9" s="42" t="s">
        <v>97</v>
      </c>
      <c r="F9" s="24" t="s">
        <v>98</v>
      </c>
      <c r="G9" s="24" t="s">
        <v>99</v>
      </c>
      <c r="H9" s="24" t="s">
        <v>100</v>
      </c>
      <c r="I9" s="43" t="s">
        <v>101</v>
      </c>
      <c r="J9" s="24" t="s">
        <v>102</v>
      </c>
      <c r="K9" s="65"/>
      <c r="L9" s="43"/>
      <c r="M9" s="24"/>
      <c r="N9" s="24"/>
      <c r="O9" s="24"/>
      <c r="P9" s="24"/>
      <c r="Q9" s="24"/>
      <c r="R9" s="115" t="s">
        <v>103</v>
      </c>
      <c r="S9" s="116"/>
      <c r="T9" s="115" t="s">
        <v>104</v>
      </c>
      <c r="U9" s="116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101</v>
      </c>
      <c r="M10" s="24" t="s">
        <v>102</v>
      </c>
      <c r="N10" s="24" t="s">
        <v>101</v>
      </c>
      <c r="O10" s="24" t="s">
        <v>102</v>
      </c>
      <c r="P10" s="24" t="s">
        <v>101</v>
      </c>
      <c r="Q10" s="24" t="s">
        <v>102</v>
      </c>
      <c r="R10" s="30"/>
      <c r="S10" s="30"/>
      <c r="T10" s="35"/>
      <c r="U10" s="45"/>
    </row>
    <row r="11" spans="1:21" s="10" customFormat="1" x14ac:dyDescent="0.2">
      <c r="A11" s="8">
        <v>10</v>
      </c>
      <c r="B11" s="28" t="s">
        <v>21</v>
      </c>
      <c r="C11" s="29"/>
      <c r="D11" s="23" t="s">
        <v>56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44</v>
      </c>
      <c r="E12" s="25" t="s">
        <v>45</v>
      </c>
      <c r="F12" s="25"/>
      <c r="G12" s="38" t="s">
        <v>105</v>
      </c>
      <c r="H12" s="38" t="s">
        <v>70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42"/>
      <c r="S12" s="43"/>
      <c r="T12" s="46"/>
      <c r="U12" s="47"/>
    </row>
    <row r="13" spans="1:21" s="10" customFormat="1" x14ac:dyDescent="0.2">
      <c r="A13" s="8">
        <v>10</v>
      </c>
      <c r="B13" s="8"/>
      <c r="C13" s="8"/>
      <c r="D13" s="8" t="s">
        <v>59</v>
      </c>
      <c r="E13" s="25" t="s">
        <v>61</v>
      </c>
      <c r="F13" s="25"/>
      <c r="G13" s="38" t="s">
        <v>106</v>
      </c>
      <c r="H13" s="38" t="s">
        <v>73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42"/>
      <c r="S13" s="43"/>
      <c r="T13" s="46"/>
      <c r="U13" s="47"/>
    </row>
    <row r="14" spans="1:21" s="10" customFormat="1" x14ac:dyDescent="0.2">
      <c r="A14" s="8">
        <v>10</v>
      </c>
      <c r="B14" s="8"/>
      <c r="C14" s="8"/>
      <c r="D14" s="8" t="s">
        <v>85</v>
      </c>
      <c r="E14" s="25" t="s">
        <v>86</v>
      </c>
      <c r="F14" s="25"/>
      <c r="G14" s="38" t="s">
        <v>107</v>
      </c>
      <c r="H14" s="38" t="s">
        <v>87</v>
      </c>
      <c r="I14" s="8" t="s">
        <v>71</v>
      </c>
      <c r="J14" s="8" t="s">
        <v>72</v>
      </c>
      <c r="K14" s="8"/>
      <c r="L14" s="8"/>
      <c r="M14" s="8"/>
      <c r="N14" s="8"/>
      <c r="O14" s="8"/>
      <c r="P14" s="8"/>
      <c r="Q14" s="8"/>
      <c r="R14" s="42"/>
      <c r="S14" s="43"/>
      <c r="T14" s="46"/>
      <c r="U14" s="47"/>
    </row>
    <row r="15" spans="1:21" s="10" customFormat="1" ht="26" x14ac:dyDescent="0.2">
      <c r="A15" s="8">
        <v>10</v>
      </c>
      <c r="B15" s="8"/>
      <c r="C15" s="8"/>
      <c r="D15" s="8" t="s">
        <v>88</v>
      </c>
      <c r="E15" s="25" t="s">
        <v>89</v>
      </c>
      <c r="F15" s="25"/>
      <c r="G15" s="38" t="s">
        <v>108</v>
      </c>
      <c r="H15" s="38" t="s">
        <v>90</v>
      </c>
      <c r="I15" s="8" t="s">
        <v>71</v>
      </c>
      <c r="J15" s="8" t="s">
        <v>72</v>
      </c>
      <c r="K15" s="8"/>
      <c r="L15" s="8"/>
      <c r="M15" s="8"/>
      <c r="N15" s="8"/>
      <c r="O15" s="8"/>
      <c r="P15" s="8"/>
      <c r="Q15" s="8"/>
      <c r="R15" s="42"/>
      <c r="S15" s="43"/>
      <c r="T15" s="46"/>
      <c r="U15" s="47"/>
    </row>
    <row r="16" spans="1:21" s="10" customFormat="1" x14ac:dyDescent="0.2">
      <c r="A16" s="55"/>
      <c r="U16" s="64"/>
    </row>
    <row r="17" spans="1:21" s="10" customFormat="1" x14ac:dyDescent="0.2">
      <c r="A17" s="8">
        <v>20</v>
      </c>
      <c r="B17" s="28" t="s">
        <v>21</v>
      </c>
      <c r="C17" s="29"/>
      <c r="D17" s="23" t="s">
        <v>65</v>
      </c>
      <c r="E17" s="26" t="s">
        <v>64</v>
      </c>
      <c r="F17" s="36"/>
      <c r="G17" s="23"/>
      <c r="H17" s="44"/>
      <c r="I17" s="37"/>
      <c r="J17" s="33"/>
      <c r="K17" s="33"/>
      <c r="L17" s="3"/>
      <c r="M17" s="3"/>
      <c r="N17" s="3"/>
      <c r="O17" s="3"/>
      <c r="P17" s="3"/>
      <c r="Q17" s="3"/>
      <c r="R17" s="48"/>
      <c r="S17" s="49"/>
      <c r="T17" s="50"/>
      <c r="U17" s="51"/>
    </row>
    <row r="18" spans="1:21" s="10" customFormat="1" x14ac:dyDescent="0.2">
      <c r="A18" s="8">
        <v>20</v>
      </c>
      <c r="B18" s="8"/>
      <c r="C18" s="8"/>
      <c r="D18" s="8" t="s">
        <v>44</v>
      </c>
      <c r="E18" s="25" t="s">
        <v>45</v>
      </c>
      <c r="F18" s="25"/>
      <c r="G18" s="38" t="s">
        <v>105</v>
      </c>
      <c r="H18" s="38" t="s">
        <v>70</v>
      </c>
      <c r="I18" s="8" t="s">
        <v>71</v>
      </c>
      <c r="J18" s="8" t="s">
        <v>72</v>
      </c>
      <c r="K18" s="8"/>
      <c r="L18" s="8"/>
      <c r="M18" s="8"/>
      <c r="N18" s="8"/>
      <c r="O18" s="8"/>
      <c r="P18" s="8"/>
      <c r="Q18" s="8"/>
      <c r="R18" s="42"/>
      <c r="S18" s="43"/>
      <c r="T18" s="46"/>
      <c r="U18" s="47"/>
    </row>
    <row r="19" spans="1:21" s="10" customFormat="1" x14ac:dyDescent="0.2">
      <c r="A19" s="8">
        <v>20</v>
      </c>
      <c r="B19" s="8"/>
      <c r="C19" s="8"/>
      <c r="D19" s="8" t="s">
        <v>58</v>
      </c>
      <c r="E19" s="25" t="s">
        <v>60</v>
      </c>
      <c r="F19" s="25"/>
      <c r="G19" s="38" t="s">
        <v>109</v>
      </c>
      <c r="H19" s="38" t="s">
        <v>74</v>
      </c>
      <c r="I19" s="8" t="s">
        <v>71</v>
      </c>
      <c r="J19" s="8" t="s">
        <v>72</v>
      </c>
      <c r="K19" s="8"/>
      <c r="L19" s="8"/>
      <c r="M19" s="8"/>
      <c r="N19" s="8"/>
      <c r="O19" s="8"/>
      <c r="P19" s="8"/>
      <c r="Q19" s="8"/>
      <c r="R19" s="42"/>
      <c r="S19" s="43"/>
      <c r="T19" s="46"/>
      <c r="U19" s="47"/>
    </row>
    <row r="20" spans="1:21" s="10" customFormat="1" x14ac:dyDescent="0.2">
      <c r="A20" s="8">
        <v>20</v>
      </c>
      <c r="B20" s="8"/>
      <c r="C20" s="8"/>
      <c r="D20" s="8" t="s">
        <v>59</v>
      </c>
      <c r="E20" s="25" t="s">
        <v>61</v>
      </c>
      <c r="F20" s="25"/>
      <c r="G20" s="38" t="s">
        <v>106</v>
      </c>
      <c r="H20" s="38" t="s">
        <v>73</v>
      </c>
      <c r="I20" s="8" t="s">
        <v>71</v>
      </c>
      <c r="J20" s="8" t="s">
        <v>72</v>
      </c>
      <c r="K20" s="8"/>
      <c r="L20" s="8"/>
      <c r="M20" s="8"/>
      <c r="N20" s="8"/>
      <c r="O20" s="8"/>
      <c r="P20" s="8"/>
      <c r="Q20" s="8"/>
      <c r="R20" s="42"/>
      <c r="S20" s="43"/>
      <c r="T20" s="46"/>
      <c r="U20" s="47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9168-D51C-4389-BA96-DCE833E0A52B}">
  <sheetPr>
    <pageSetUpPr fitToPage="1"/>
  </sheetPr>
  <dimension ref="A1:U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24</v>
      </c>
      <c r="B1" s="52" t="s">
        <v>24</v>
      </c>
      <c r="C1" s="52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24</v>
      </c>
      <c r="B2" s="22"/>
      <c r="C2" s="22"/>
      <c r="D2" s="65" t="s">
        <v>91</v>
      </c>
      <c r="E2" s="7" t="s">
        <v>0</v>
      </c>
      <c r="F2" s="54" t="str">
        <f>IF(LogicCommon!C2="","",LogicCommon!C2)</f>
        <v>MS</v>
      </c>
      <c r="G2" s="7" t="s">
        <v>25</v>
      </c>
      <c r="H2" s="54" t="str">
        <f>IF(LogicCommon!E2="","",LogicCommon!E2)</f>
        <v>MSLAL5020</v>
      </c>
      <c r="I2" s="7" t="s">
        <v>32</v>
      </c>
      <c r="J2" s="8" t="s">
        <v>79</v>
      </c>
      <c r="K2" s="7" t="s">
        <v>33</v>
      </c>
      <c r="L2" s="54" t="str">
        <f>IF(LogicCommon!G2="","",LogicCommon!G2)</f>
        <v>MC</v>
      </c>
      <c r="M2" s="5" t="s">
        <v>34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24</v>
      </c>
      <c r="B3" s="56"/>
      <c r="C3" s="56"/>
      <c r="D3" s="57" t="str">
        <f>IF(LogicCommon!A3="","",LogicCommon!A3)</f>
        <v/>
      </c>
      <c r="E3" s="7" t="s">
        <v>1</v>
      </c>
      <c r="F3" s="54" t="str">
        <f>IF(LogicCommon!C3="","",LogicCommon!C3)</f>
        <v>MSLA</v>
      </c>
      <c r="G3" s="7" t="s">
        <v>35</v>
      </c>
      <c r="H3" s="54" t="str">
        <f>IF(LogicCommon!E3="","",LogicCommon!E3)</f>
        <v>MSLAL_PoSendIfService</v>
      </c>
      <c r="I3" s="7" t="s">
        <v>36</v>
      </c>
      <c r="J3" s="8" t="s">
        <v>54</v>
      </c>
      <c r="K3" s="7" t="s">
        <v>23</v>
      </c>
      <c r="L3" s="54" t="str">
        <f>IF(LogicCommon!G3="","",LogicCommon!G3)</f>
        <v/>
      </c>
      <c r="M3" s="48"/>
      <c r="N3" s="7"/>
      <c r="O3" s="7" t="s">
        <v>37</v>
      </c>
      <c r="P3" s="8" t="s">
        <v>27</v>
      </c>
      <c r="Q3" s="4"/>
      <c r="R3" s="5"/>
      <c r="S3" s="5"/>
      <c r="T3" s="5"/>
      <c r="U3" s="5"/>
    </row>
    <row r="4" spans="1:21" s="10" customFormat="1" x14ac:dyDescent="0.2">
      <c r="A4" s="55" t="s">
        <v>24</v>
      </c>
      <c r="B4" s="56"/>
      <c r="C4" s="56"/>
      <c r="D4" s="4"/>
      <c r="E4" s="7" t="s">
        <v>12</v>
      </c>
      <c r="F4" s="58" t="s">
        <v>38</v>
      </c>
      <c r="G4" s="7" t="s">
        <v>26</v>
      </c>
      <c r="H4" s="54" t="str">
        <f>IF(LogicCommon!E4="","",LogicCommon!E4)</f>
        <v>発注送信ＩＦサービス</v>
      </c>
      <c r="I4" s="7" t="s">
        <v>39</v>
      </c>
      <c r="J4" s="8" t="s">
        <v>80</v>
      </c>
      <c r="K4" s="7" t="s">
        <v>40</v>
      </c>
      <c r="L4" s="54" t="str">
        <f>IF(LogicCommon!G4="","",LogicCommon!G4)</f>
        <v>MS.MSUDL5010</v>
      </c>
      <c r="M4" s="59" t="s">
        <v>41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24</v>
      </c>
      <c r="B5" s="52"/>
      <c r="C5" s="52"/>
      <c r="D5" s="21"/>
      <c r="E5" s="7" t="s">
        <v>42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24</v>
      </c>
      <c r="B6" s="56"/>
      <c r="C6" s="56"/>
      <c r="D6" s="4" t="s">
        <v>4</v>
      </c>
      <c r="E6" s="12" t="s">
        <v>81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6"/>
      <c r="C8" s="67"/>
      <c r="D8" s="24" t="s">
        <v>92</v>
      </c>
      <c r="E8" s="24" t="s">
        <v>93</v>
      </c>
      <c r="F8" s="63"/>
      <c r="G8" s="24" t="s">
        <v>43</v>
      </c>
      <c r="H8" s="24" t="s">
        <v>94</v>
      </c>
      <c r="I8" s="63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5" t="s">
        <v>95</v>
      </c>
      <c r="U8" s="116"/>
    </row>
    <row r="9" spans="1:21" s="10" customFormat="1" ht="60" customHeight="1" x14ac:dyDescent="0.2">
      <c r="A9" s="8" t="s">
        <v>13</v>
      </c>
      <c r="B9" s="28"/>
      <c r="C9" s="29"/>
      <c r="D9" s="24" t="s">
        <v>110</v>
      </c>
      <c r="E9" s="42" t="s">
        <v>111</v>
      </c>
      <c r="F9" s="24" t="s">
        <v>98</v>
      </c>
      <c r="G9" s="24" t="s">
        <v>99</v>
      </c>
      <c r="H9" s="24" t="s">
        <v>100</v>
      </c>
      <c r="I9" s="43" t="s">
        <v>101</v>
      </c>
      <c r="J9" s="24" t="s">
        <v>102</v>
      </c>
      <c r="K9" s="65"/>
      <c r="L9" s="43"/>
      <c r="M9" s="24"/>
      <c r="N9" s="24"/>
      <c r="O9" s="24"/>
      <c r="P9" s="24"/>
      <c r="Q9" s="24"/>
      <c r="R9" s="115" t="s">
        <v>103</v>
      </c>
      <c r="S9" s="116"/>
      <c r="T9" s="115" t="s">
        <v>104</v>
      </c>
      <c r="U9" s="116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101</v>
      </c>
      <c r="M10" s="24" t="s">
        <v>102</v>
      </c>
      <c r="N10" s="24" t="s">
        <v>101</v>
      </c>
      <c r="O10" s="24" t="s">
        <v>102</v>
      </c>
      <c r="P10" s="24" t="s">
        <v>101</v>
      </c>
      <c r="Q10" s="24" t="s">
        <v>102</v>
      </c>
      <c r="R10" s="30"/>
      <c r="S10" s="30"/>
      <c r="T10" s="35"/>
      <c r="U10" s="45"/>
    </row>
    <row r="11" spans="1:21" s="10" customFormat="1" x14ac:dyDescent="0.2">
      <c r="A11" s="8">
        <v>10</v>
      </c>
      <c r="B11" s="28" t="s">
        <v>21</v>
      </c>
      <c r="C11" s="29"/>
      <c r="D11" s="23" t="s">
        <v>75</v>
      </c>
      <c r="E11" s="26" t="s">
        <v>22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76</v>
      </c>
      <c r="E12" s="25" t="s">
        <v>77</v>
      </c>
      <c r="F12" s="25"/>
      <c r="G12" s="38" t="s">
        <v>112</v>
      </c>
      <c r="H12" s="38" t="s">
        <v>78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42"/>
      <c r="S12" s="43"/>
      <c r="T12" s="46"/>
      <c r="U12" s="47"/>
    </row>
    <row r="13" spans="1:21" s="10" customFormat="1" x14ac:dyDescent="0.2">
      <c r="A13" s="8">
        <v>10</v>
      </c>
      <c r="B13" s="8"/>
      <c r="C13" s="8"/>
      <c r="D13" s="8" t="s">
        <v>44</v>
      </c>
      <c r="E13" s="25" t="s">
        <v>45</v>
      </c>
      <c r="F13" s="25"/>
      <c r="G13" s="38" t="s">
        <v>105</v>
      </c>
      <c r="H13" s="38" t="s">
        <v>70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42"/>
      <c r="S13" s="43"/>
      <c r="T13" s="46"/>
      <c r="U13" s="47"/>
    </row>
    <row r="14" spans="1:21" s="10" customFormat="1" x14ac:dyDescent="0.2">
      <c r="A14" s="8">
        <v>10</v>
      </c>
      <c r="B14" s="8"/>
      <c r="C14" s="8"/>
      <c r="D14" s="8" t="s">
        <v>82</v>
      </c>
      <c r="E14" s="25" t="s">
        <v>83</v>
      </c>
      <c r="F14" s="25"/>
      <c r="G14" s="38" t="s">
        <v>113</v>
      </c>
      <c r="H14" s="38" t="s">
        <v>84</v>
      </c>
      <c r="I14" s="8" t="s">
        <v>72</v>
      </c>
      <c r="J14" s="8" t="s">
        <v>71</v>
      </c>
      <c r="K14" s="8"/>
      <c r="L14" s="8"/>
      <c r="M14" s="8"/>
      <c r="N14" s="8"/>
      <c r="O14" s="8"/>
      <c r="P14" s="8"/>
      <c r="Q14" s="8"/>
      <c r="R14" s="42"/>
      <c r="S14" s="43"/>
      <c r="T14" s="46"/>
      <c r="U14" s="47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9" customWidth="1"/>
    <col min="43" max="44" width="2.08984375" style="41" customWidth="1"/>
    <col min="45" max="71" width="2.08984375" style="39" customWidth="1"/>
    <col min="72" max="256" width="9" style="39"/>
    <col min="257" max="327" width="2.08984375" style="39" customWidth="1"/>
    <col min="328" max="512" width="9" style="39"/>
    <col min="513" max="583" width="2.08984375" style="39" customWidth="1"/>
    <col min="584" max="768" width="9" style="39"/>
    <col min="769" max="839" width="2.08984375" style="39" customWidth="1"/>
    <col min="840" max="1024" width="9" style="39"/>
    <col min="1025" max="1095" width="2.08984375" style="39" customWidth="1"/>
    <col min="1096" max="1280" width="9" style="39"/>
    <col min="1281" max="1351" width="2.08984375" style="39" customWidth="1"/>
    <col min="1352" max="1536" width="9" style="39"/>
    <col min="1537" max="1607" width="2.08984375" style="39" customWidth="1"/>
    <col min="1608" max="1792" width="9" style="39"/>
    <col min="1793" max="1863" width="2.08984375" style="39" customWidth="1"/>
    <col min="1864" max="2048" width="9" style="39"/>
    <col min="2049" max="2119" width="2.08984375" style="39" customWidth="1"/>
    <col min="2120" max="2304" width="9" style="39"/>
    <col min="2305" max="2375" width="2.08984375" style="39" customWidth="1"/>
    <col min="2376" max="2560" width="9" style="39"/>
    <col min="2561" max="2631" width="2.08984375" style="39" customWidth="1"/>
    <col min="2632" max="2816" width="9" style="39"/>
    <col min="2817" max="2887" width="2.08984375" style="39" customWidth="1"/>
    <col min="2888" max="3072" width="9" style="39"/>
    <col min="3073" max="3143" width="2.08984375" style="39" customWidth="1"/>
    <col min="3144" max="3328" width="9" style="39"/>
    <col min="3329" max="3399" width="2.08984375" style="39" customWidth="1"/>
    <col min="3400" max="3584" width="9" style="39"/>
    <col min="3585" max="3655" width="2.08984375" style="39" customWidth="1"/>
    <col min="3656" max="3840" width="9" style="39"/>
    <col min="3841" max="3911" width="2.08984375" style="39" customWidth="1"/>
    <col min="3912" max="4096" width="9" style="39"/>
    <col min="4097" max="4167" width="2.08984375" style="39" customWidth="1"/>
    <col min="4168" max="4352" width="9" style="39"/>
    <col min="4353" max="4423" width="2.08984375" style="39" customWidth="1"/>
    <col min="4424" max="4608" width="9" style="39"/>
    <col min="4609" max="4679" width="2.08984375" style="39" customWidth="1"/>
    <col min="4680" max="4864" width="9" style="39"/>
    <col min="4865" max="4935" width="2.08984375" style="39" customWidth="1"/>
    <col min="4936" max="5120" width="9" style="39"/>
    <col min="5121" max="5191" width="2.08984375" style="39" customWidth="1"/>
    <col min="5192" max="5376" width="9" style="39"/>
    <col min="5377" max="5447" width="2.08984375" style="39" customWidth="1"/>
    <col min="5448" max="5632" width="9" style="39"/>
    <col min="5633" max="5703" width="2.08984375" style="39" customWidth="1"/>
    <col min="5704" max="5888" width="9" style="39"/>
    <col min="5889" max="5959" width="2.08984375" style="39" customWidth="1"/>
    <col min="5960" max="6144" width="9" style="39"/>
    <col min="6145" max="6215" width="2.08984375" style="39" customWidth="1"/>
    <col min="6216" max="6400" width="9" style="39"/>
    <col min="6401" max="6471" width="2.08984375" style="39" customWidth="1"/>
    <col min="6472" max="6656" width="9" style="39"/>
    <col min="6657" max="6727" width="2.08984375" style="39" customWidth="1"/>
    <col min="6728" max="6912" width="9" style="39"/>
    <col min="6913" max="6983" width="2.08984375" style="39" customWidth="1"/>
    <col min="6984" max="7168" width="9" style="39"/>
    <col min="7169" max="7239" width="2.08984375" style="39" customWidth="1"/>
    <col min="7240" max="7424" width="9" style="39"/>
    <col min="7425" max="7495" width="2.08984375" style="39" customWidth="1"/>
    <col min="7496" max="7680" width="9" style="39"/>
    <col min="7681" max="7751" width="2.08984375" style="39" customWidth="1"/>
    <col min="7752" max="7936" width="9" style="39"/>
    <col min="7937" max="8007" width="2.08984375" style="39" customWidth="1"/>
    <col min="8008" max="8192" width="9" style="39"/>
    <col min="8193" max="8263" width="2.08984375" style="39" customWidth="1"/>
    <col min="8264" max="8448" width="9" style="39"/>
    <col min="8449" max="8519" width="2.08984375" style="39" customWidth="1"/>
    <col min="8520" max="8704" width="9" style="39"/>
    <col min="8705" max="8775" width="2.08984375" style="39" customWidth="1"/>
    <col min="8776" max="8960" width="9" style="39"/>
    <col min="8961" max="9031" width="2.08984375" style="39" customWidth="1"/>
    <col min="9032" max="9216" width="9" style="39"/>
    <col min="9217" max="9287" width="2.08984375" style="39" customWidth="1"/>
    <col min="9288" max="9472" width="9" style="39"/>
    <col min="9473" max="9543" width="2.08984375" style="39" customWidth="1"/>
    <col min="9544" max="9728" width="9" style="39"/>
    <col min="9729" max="9799" width="2.08984375" style="39" customWidth="1"/>
    <col min="9800" max="9984" width="9" style="39"/>
    <col min="9985" max="10055" width="2.08984375" style="39" customWidth="1"/>
    <col min="10056" max="10240" width="9" style="39"/>
    <col min="10241" max="10311" width="2.08984375" style="39" customWidth="1"/>
    <col min="10312" max="10496" width="9" style="39"/>
    <col min="10497" max="10567" width="2.08984375" style="39" customWidth="1"/>
    <col min="10568" max="10752" width="9" style="39"/>
    <col min="10753" max="10823" width="2.08984375" style="39" customWidth="1"/>
    <col min="10824" max="11008" width="9" style="39"/>
    <col min="11009" max="11079" width="2.08984375" style="39" customWidth="1"/>
    <col min="11080" max="11264" width="9" style="39"/>
    <col min="11265" max="11335" width="2.08984375" style="39" customWidth="1"/>
    <col min="11336" max="11520" width="9" style="39"/>
    <col min="11521" max="11591" width="2.08984375" style="39" customWidth="1"/>
    <col min="11592" max="11776" width="9" style="39"/>
    <col min="11777" max="11847" width="2.08984375" style="39" customWidth="1"/>
    <col min="11848" max="12032" width="9" style="39"/>
    <col min="12033" max="12103" width="2.08984375" style="39" customWidth="1"/>
    <col min="12104" max="12288" width="9" style="39"/>
    <col min="12289" max="12359" width="2.08984375" style="39" customWidth="1"/>
    <col min="12360" max="12544" width="9" style="39"/>
    <col min="12545" max="12615" width="2.08984375" style="39" customWidth="1"/>
    <col min="12616" max="12800" width="9" style="39"/>
    <col min="12801" max="12871" width="2.08984375" style="39" customWidth="1"/>
    <col min="12872" max="13056" width="9" style="39"/>
    <col min="13057" max="13127" width="2.08984375" style="39" customWidth="1"/>
    <col min="13128" max="13312" width="9" style="39"/>
    <col min="13313" max="13383" width="2.08984375" style="39" customWidth="1"/>
    <col min="13384" max="13568" width="9" style="39"/>
    <col min="13569" max="13639" width="2.08984375" style="39" customWidth="1"/>
    <col min="13640" max="13824" width="9" style="39"/>
    <col min="13825" max="13895" width="2.08984375" style="39" customWidth="1"/>
    <col min="13896" max="14080" width="9" style="39"/>
    <col min="14081" max="14151" width="2.08984375" style="39" customWidth="1"/>
    <col min="14152" max="14336" width="9" style="39"/>
    <col min="14337" max="14407" width="2.08984375" style="39" customWidth="1"/>
    <col min="14408" max="14592" width="9" style="39"/>
    <col min="14593" max="14663" width="2.08984375" style="39" customWidth="1"/>
    <col min="14664" max="14848" width="9" style="39"/>
    <col min="14849" max="14919" width="2.08984375" style="39" customWidth="1"/>
    <col min="14920" max="15104" width="9" style="39"/>
    <col min="15105" max="15175" width="2.08984375" style="39" customWidth="1"/>
    <col min="15176" max="15360" width="9" style="39"/>
    <col min="15361" max="15431" width="2.08984375" style="39" customWidth="1"/>
    <col min="15432" max="15616" width="9" style="39"/>
    <col min="15617" max="15687" width="2.08984375" style="39" customWidth="1"/>
    <col min="15688" max="15872" width="9" style="39"/>
    <col min="15873" max="15943" width="2.08984375" style="39" customWidth="1"/>
    <col min="15944" max="16128" width="9" style="39"/>
    <col min="16129" max="16199" width="2.08984375" style="39" customWidth="1"/>
    <col min="16200" max="16384" width="9" style="39"/>
  </cols>
  <sheetData>
    <row r="1" spans="1:57" ht="38.25" customHeight="1" thickBot="1" x14ac:dyDescent="0.25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</row>
    <row r="3" spans="1:57" ht="15" customHeight="1" thickBot="1" x14ac:dyDescent="0.25">
      <c r="A3" s="71" t="s">
        <v>6</v>
      </c>
      <c r="B3" s="72"/>
      <c r="C3" s="72"/>
      <c r="D3" s="72"/>
      <c r="E3" s="72"/>
      <c r="F3" s="72"/>
      <c r="G3" s="73"/>
      <c r="H3" s="74" t="s">
        <v>7</v>
      </c>
      <c r="I3" s="72"/>
      <c r="J3" s="72"/>
      <c r="K3" s="72"/>
      <c r="L3" s="72"/>
      <c r="M3" s="72"/>
      <c r="N3" s="73"/>
      <c r="O3" s="74" t="s">
        <v>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99" t="s">
        <v>114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115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PoSendIf_Upd01</vt:lpstr>
      <vt:lpstr>PoSendIf_Upd02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2026-03-27T06:01:16Z</dcterms:modified>
  <cp:category/>
</cp:coreProperties>
</file>