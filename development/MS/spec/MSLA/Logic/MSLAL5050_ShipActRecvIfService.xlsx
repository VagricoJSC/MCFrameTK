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0D5BB435-5B5C-470A-9254-84D3A1DE11FB}" xr6:coauthVersionLast="47" xr6:coauthVersionMax="47" xr10:uidLastSave="{00000000-0000-0000-0000-000000000000}"/>
  <bookViews>
    <workbookView xWindow="1710" yWindow="1710" windowWidth="21600" windowHeight="11265" tabRatio="794" firstSheet="2" activeTab="6" xr2:uid="{00000000-000D-0000-FFFF-FFFF00000000}"/>
  </bookViews>
  <sheets>
    <sheet name="LogicCommon" sheetId="3" r:id="rId1"/>
    <sheet name="ShipActRecvIf_Chk01" sheetId="9" r:id="rId2"/>
    <sheet name="ShipActRecvIf_Upd01" sheetId="5" r:id="rId3"/>
    <sheet name="ShipActRecvIf_Upd02" sheetId="6" r:id="rId4"/>
    <sheet name="ShipActRecvIf_Upd03" sheetId="7" r:id="rId5"/>
    <sheet name="ShipActRecvIf_Upd04" sheetId="8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<sst xmlns="http://schemas.openxmlformats.org/spreadsheetml/2006/main" count="400" uniqueCount="105">
  <si>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</si>
  <si>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</si>
  <si>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</si>
  <si>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</si>
  <si>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</si>
  <si>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</si>
  <si>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</si>
  <si>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</si>
  <si>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</si>
  <si>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</si>
  <si>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</si>
  <si>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</si>
  <si>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</si>
  <si>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</si>
  <si>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</si>
  <si>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</si>
  <si>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</si>
  <si>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</si>
  <si>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</si>
  <si>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</si>
  <si>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</si>
  <si>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</si>
  <si>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</si>
  <si>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TargetName</t>
    <phoneticPr fontId="1"/>
  </si>
  <si>
    <t>@</t>
    <phoneticPr fontId="3"/>
  </si>
  <si>
    <t>Pj.ID :</t>
    <phoneticPr fontId="1"/>
  </si>
  <si>
    <t>SuperClassPj.ID :</t>
    <phoneticPr fontId="1"/>
  </si>
  <si>
    <t>super/share</t>
    <phoneticPr fontId="1"/>
  </si>
  <si>
    <t>*</t>
    <phoneticPr fontId="1"/>
  </si>
  <si>
    <t>ImplOpe.ID: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</si>
  <si>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</si>
  <si>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</si>
  <si>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</si>
  <si>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</si>
  <si>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ID</t>
    <phoneticPr fontId="1"/>
  </si>
  <si>
    <t>L</t>
    <phoneticPr fontId="1"/>
  </si>
  <si>
    <t>Ope.ID :</t>
    <phoneticPr fontId="1"/>
  </si>
  <si>
    <t>Gene.Type :</t>
    <phoneticPr fontId="1"/>
  </si>
  <si>
    <t>ALL</t>
    <phoneticPr fontId="1"/>
  </si>
  <si>
    <t>ACType :</t>
    <phoneticPr fontId="1"/>
  </si>
  <si>
    <t>取込前チェック</t>
    <rPh sb="0" eb="2">
      <t>トリコミ</t>
    </rPh>
    <rPh sb="2" eb="3">
      <t>マエ</t>
    </rPh>
    <phoneticPr fontId="3"/>
  </si>
  <si>
    <t>K</t>
  </si>
  <si>
    <t>K</t>
    <phoneticPr fontId="3"/>
  </si>
  <si>
    <t>K</t>
    <phoneticPr fontId="3"/>
  </si>
  <si>
    <t>o</t>
    <phoneticPr fontId="3"/>
  </si>
  <si>
    <t>o</t>
    <phoneticPr fontId="1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</si>
  <si>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</si>
  <si>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</si>
  <si>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</si>
  <si>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</si>
  <si>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</si>
  <si>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</si>
  <si>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</si>
  <si>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</si>
  <si>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</si>
  <si>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</si>
  <si>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</si>
  <si>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</si>
  <si>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</si>
  <si>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</si>
  <si>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</si>
  <si>
    <t>LIST_IN_BASE</t>
  </si>
  <si>
    <t>CONST</t>
    <phoneticPr fontId="3"/>
  </si>
  <si>
    <t>NULL_VAL</t>
  </si>
  <si>
    <t>MSLA</t>
    <phoneticPr fontId="3"/>
  </si>
  <si>
    <t>MSLAL5050</t>
    <phoneticPr fontId="3"/>
  </si>
  <si>
    <t>MSLAL_ShipActRecvIfService</t>
    <phoneticPr fontId="3"/>
  </si>
  <si>
    <t>ShipActRecvIf_Upd01</t>
    <phoneticPr fontId="3"/>
  </si>
  <si>
    <t>ShipActRecvIf_Upd02</t>
    <phoneticPr fontId="3"/>
  </si>
  <si>
    <t>ShipActRecvIf_Upd03</t>
    <phoneticPr fontId="3"/>
  </si>
  <si>
    <t>ShipActRecvIf_Upd04</t>
    <phoneticPr fontId="3"/>
  </si>
  <si>
    <t>ShipActRecvIf_Chk01</t>
    <phoneticPr fontId="3"/>
  </si>
  <si>
    <t>MS.MSLAL6040</t>
    <phoneticPr fontId="3"/>
  </si>
  <si>
    <t>MS.MSLAL6040.ArrActRecvIf_Chk01</t>
    <phoneticPr fontId="3"/>
  </si>
  <si>
    <t>MS.MSLAL6040.ArrActRecvIf_Upd01</t>
    <phoneticPr fontId="3"/>
  </si>
  <si>
    <t>MS.MSLAL6040.ArrActRecvIf_Upd02</t>
    <phoneticPr fontId="3"/>
  </si>
  <si>
    <t>MS.MSLAL6040.ArrActRecvIf_Upd03</t>
    <phoneticPr fontId="3"/>
  </si>
  <si>
    <t>MS.MSLAL6040.ArrActRecvIf_Upd04</t>
    <phoneticPr fontId="3"/>
  </si>
  <si>
    <t>ＥＤＩ出荷実績受信ＩＦサービス</t>
    <rPh sb="7" eb="9">
      <t>ジュシン</t>
    </rPh>
    <phoneticPr fontId="3"/>
  </si>
  <si>
    <t>ＥＤＩ出荷実績取込１</t>
    <rPh sb="7" eb="9">
      <t>トリコミ</t>
    </rPh>
    <phoneticPr fontId="3"/>
  </si>
  <si>
    <t>ＥＤＩ出荷実績受信ＩＦ取込を行う。（ＥＳＢのリアルタイム取込から呼び出される）</t>
    <phoneticPr fontId="3"/>
  </si>
  <si>
    <t>ＥＤＩ出荷実績取込２</t>
    <rPh sb="7" eb="9">
      <t>トリコミ</t>
    </rPh>
    <phoneticPr fontId="3"/>
  </si>
  <si>
    <t>ＥＤＩ出荷実績受信ＩＦ取込を行う。（ＩＦデータ確認、およびＥＤＩ出荷実績ＩＦ取込バッチから呼び出される）</t>
    <phoneticPr fontId="3"/>
  </si>
  <si>
    <t>ＥＤＩ出荷実績取込３</t>
    <rPh sb="7" eb="9">
      <t>トリコミ</t>
    </rPh>
    <phoneticPr fontId="3"/>
  </si>
  <si>
    <t>ＥＤＩ出荷実績受信ＩＦ取込を行う。（マルチスレッド実行用）</t>
    <phoneticPr fontId="3"/>
  </si>
  <si>
    <t>ＥＤＩ出荷実績取込４</t>
    <rPh sb="7" eb="9">
      <t>トリコミ</t>
    </rPh>
    <phoneticPr fontId="3"/>
  </si>
  <si>
    <t>ＥＤＩ出荷実績受信ＩＦ取込を行う。（入荷実績受信ＩＦサービスを呼び出す本処理）</t>
    <rPh sb="7" eb="9">
      <t>ジュシン</t>
    </rPh>
    <rPh sb="11" eb="13">
      <t>トリコミ</t>
    </rPh>
    <rPh sb="14" eb="15">
      <t>オコナ</t>
    </rPh>
    <rPh sb="18" eb="20">
      <t>ニュウカ</t>
    </rPh>
    <rPh sb="20" eb="22">
      <t>ジッセキ</t>
    </rPh>
    <rPh sb="22" eb="24">
      <t>ジュシン</t>
    </rPh>
    <rPh sb="31" eb="32">
      <t>ヨ</t>
    </rPh>
    <rPh sb="33" eb="34">
      <t>ダ</t>
    </rPh>
    <rPh sb="35" eb="36">
      <t>ホン</t>
    </rPh>
    <rPh sb="36" eb="38">
      <t>ショリ</t>
    </rPh>
    <phoneticPr fontId="3"/>
  </si>
  <si>
    <t>ＥＤＩ出荷実績受信ＩＦ取込を行う前のチェック処理</t>
    <phoneticPr fontId="3"/>
  </si>
  <si>
    <t>ID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</si>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</sst>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0" borderId="5" xfId="0" applyFont="1" applyBorder="1">
      <alignment vertical="top" wrapText="1"/>
    </xf>
    <xf numFmtId="0" fontId="6" fillId="2" borderId="8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5" xfId="0" applyFont="1" applyFill="1" applyBorder="1" applyAlignment="1">
      <alignment vertical="top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 applyProtection="1">
      <alignment vertical="top"/>
      <protection locked="0"/>
    </xf>
    <xf numFmtId="0" fontId="6" fillId="0" borderId="5" xfId="0" applyFont="1" applyBorder="1" applyAlignment="1" applyProtection="1">
      <alignment vertical="top"/>
      <protection locked="0"/>
    </xf>
    <xf numFmtId="0" fontId="6" fillId="0" borderId="0" xfId="0" applyFont="1" applyAlignment="1" applyProtection="1">
      <alignment vertical="top"/>
      <protection locked="0"/>
    </xf>
    <xf numFmtId="0" fontId="6" fillId="0" borderId="4" xfId="0" applyFont="1" applyBorder="1" applyAlignment="1" applyProtection="1">
      <protection locked="0"/>
    </xf>
    <xf numFmtId="0" fontId="6" fillId="0" borderId="0" xfId="0" applyFont="1" applyAlignment="1" applyProtection="1">
      <protection locked="0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3" xfId="0" applyFont="1" applyBorder="1" applyAlignment="1" applyProtection="1">
      <alignment vertical="top"/>
      <protection locked="0"/>
    </xf>
    <xf numFmtId="0" fontId="6" fillId="0" borderId="7" xfId="0" applyFont="1" applyBorder="1" applyAlignment="1" applyProtection="1">
      <alignment vertical="top"/>
      <protection locked="0"/>
    </xf>
    <xf numFmtId="0" fontId="6" fillId="0" borderId="8" xfId="0" applyFont="1" applyBorder="1" applyProtection="1">
      <alignment vertical="top" wrapText="1"/>
      <protection locked="0"/>
    </xf>
    <xf numFmtId="0" fontId="6" fillId="0" borderId="9" xfId="0" applyFont="1" applyBorder="1" applyAlignment="1" applyProtection="1">
      <alignment vertical="top"/>
      <protection locked="0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8164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34" t="s">
        <v>16</v>
      </c>
      <c r="D2" s="7" t="s">
        <v>1</v>
      </c>
      <c r="E2" s="34" t="s">
        <v>65</v>
      </c>
      <c r="F2" s="7" t="s">
        <v>25</v>
      </c>
      <c r="G2" s="34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34" t="s">
        <v>64</v>
      </c>
      <c r="D3" s="7" t="s">
        <v>3</v>
      </c>
      <c r="E3" s="34" t="s">
        <v>66</v>
      </c>
      <c r="F3" s="7" t="s">
        <v>26</v>
      </c>
      <c r="G3" s="34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78</v>
      </c>
      <c r="F4" s="7" t="s">
        <v>5</v>
      </c>
      <c r="G4" s="34" t="s">
        <v>72</v>
      </c>
      <c r="I4" s="5"/>
      <c r="J4" s="4"/>
    </row>
    <row r="5" spans="1:13" x14ac:dyDescent="0.2">
      <c r="A5" s="6" t="s">
        <v>8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9.36328125" style="5" bestFit="1" customWidth="1"/>
    <col min="28" max="28" width="9.453125" style="5" bestFit="1" customWidth="1"/>
    <col min="29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9" customFormat="1" x14ac:dyDescent="0.2">
      <c r="A1" s="42" t="s">
        <v>28</v>
      </c>
      <c r="B1" s="42" t="s">
        <v>28</v>
      </c>
      <c r="C1" s="42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6" s="9" customFormat="1" ht="40" customHeight="1" x14ac:dyDescent="0.2">
      <c r="A2" s="21" t="s">
        <v>28</v>
      </c>
      <c r="B2" s="22"/>
      <c r="C2" s="22"/>
      <c r="D2" s="58" t="s">
        <v>89</v>
      </c>
      <c r="E2" s="7" t="s">
        <v>0</v>
      </c>
      <c r="F2" s="43" t="str">
        <f>IF(LogicCommon!C2="","",LogicCommon!C2)</f>
        <v>MS</v>
      </c>
      <c r="G2" s="7" t="s">
        <v>1</v>
      </c>
      <c r="H2" s="43" t="str">
        <f>IF(LogicCommon!E2="","",LogicCommon!E2)</f>
        <v>MSLAL5050</v>
      </c>
      <c r="I2" s="7" t="s">
        <v>36</v>
      </c>
      <c r="J2" s="34" t="s">
        <v>71</v>
      </c>
      <c r="K2" s="7" t="s">
        <v>25</v>
      </c>
      <c r="L2" s="43" t="str">
        <f>IF(LogicCommon!G2="","",LogicCommon!G2)</f>
        <v>MC</v>
      </c>
      <c r="M2" s="5" t="s">
        <v>30</v>
      </c>
      <c r="N2" s="44" t="s">
        <v>73</v>
      </c>
      <c r="O2" s="7"/>
      <c r="P2" s="7"/>
      <c r="Q2" s="4"/>
      <c r="R2" s="5"/>
      <c r="S2" s="5"/>
      <c r="T2" s="5"/>
      <c r="U2" s="5"/>
    </row>
    <row r="3" spans="1:36" s="9" customFormat="1" x14ac:dyDescent="0.2">
      <c r="A3" s="45" t="s">
        <v>28</v>
      </c>
      <c r="B3" s="46"/>
      <c r="C3" s="46"/>
      <c r="D3" s="47" t="str">
        <f>IF(LogicCommon!A3="","",LogicCommon!A3)</f>
        <v/>
      </c>
      <c r="E3" s="7" t="s">
        <v>2</v>
      </c>
      <c r="F3" s="43" t="str">
        <f>IF(LogicCommon!C3="","",LogicCommon!C3)</f>
        <v>MSLA</v>
      </c>
      <c r="G3" s="7" t="s">
        <v>3</v>
      </c>
      <c r="H3" s="43" t="str">
        <f>IF(LogicCommon!E3="","",LogicCommon!E3)</f>
        <v>MSLAL_ShipActRecvIfService</v>
      </c>
      <c r="I3" s="7" t="s">
        <v>31</v>
      </c>
      <c r="J3" s="34" t="s">
        <v>24</v>
      </c>
      <c r="K3" s="7" t="s">
        <v>26</v>
      </c>
      <c r="L3" s="43" t="str">
        <f>IF(LogicCommon!G3="","",LogicCommon!G3)</f>
        <v/>
      </c>
      <c r="M3" s="48"/>
      <c r="N3" s="7"/>
      <c r="O3" s="7" t="s">
        <v>37</v>
      </c>
      <c r="P3" s="34" t="s">
        <v>38</v>
      </c>
      <c r="Q3" s="4"/>
      <c r="R3" s="5"/>
      <c r="S3" s="5"/>
      <c r="T3" s="5"/>
      <c r="U3" s="5"/>
    </row>
    <row r="4" spans="1:36" s="9" customFormat="1" x14ac:dyDescent="0.2">
      <c r="A4" s="45" t="s">
        <v>28</v>
      </c>
      <c r="B4" s="46"/>
      <c r="C4" s="46"/>
      <c r="D4" s="4"/>
      <c r="E4" s="7" t="s">
        <v>17</v>
      </c>
      <c r="F4" s="49" t="s">
        <v>32</v>
      </c>
      <c r="G4" s="7" t="s">
        <v>4</v>
      </c>
      <c r="H4" s="43" t="str">
        <f>IF(LogicCommon!E4="","",LogicCommon!E4)</f>
        <v>ＥＤＩ出荷実績受信ＩＦサービス</v>
      </c>
      <c r="I4" s="7" t="s">
        <v>33</v>
      </c>
      <c r="J4" s="34" t="s">
        <v>40</v>
      </c>
      <c r="K4" s="7" t="s">
        <v>5</v>
      </c>
      <c r="L4" s="43" t="str">
        <f>IF(LogicCommon!G4="","",LogicCommon!G4)</f>
        <v>MS.MSLAL6040</v>
      </c>
      <c r="M4" s="50" t="s">
        <v>29</v>
      </c>
      <c r="N4" s="44"/>
      <c r="O4" s="51"/>
      <c r="P4" s="4"/>
      <c r="Q4" s="4"/>
      <c r="R4" s="5"/>
      <c r="S4" s="5"/>
      <c r="T4" s="5"/>
      <c r="U4" s="5"/>
    </row>
    <row r="5" spans="1:36" s="9" customFormat="1" x14ac:dyDescent="0.2">
      <c r="A5" s="52" t="s">
        <v>28</v>
      </c>
      <c r="B5" s="42"/>
      <c r="C5" s="42"/>
      <c r="D5" s="20"/>
      <c r="E5" s="7" t="s">
        <v>39</v>
      </c>
      <c r="F5" s="49"/>
      <c r="G5" s="53"/>
      <c r="H5" s="53"/>
      <c r="I5" s="53"/>
      <c r="J5" s="53"/>
      <c r="K5" s="53"/>
      <c r="L5" s="6"/>
      <c r="M5" s="5"/>
      <c r="N5" s="5"/>
      <c r="O5" s="51"/>
      <c r="P5" s="4"/>
      <c r="Q5" s="4"/>
      <c r="R5" s="5"/>
      <c r="S5" s="5"/>
      <c r="T5" s="5"/>
      <c r="U5" s="5"/>
    </row>
    <row r="6" spans="1:36" s="9" customFormat="1" x14ac:dyDescent="0.2">
      <c r="A6" s="45" t="s">
        <v>28</v>
      </c>
      <c r="B6" s="46"/>
      <c r="C6" s="46"/>
      <c r="D6" s="4" t="s">
        <v>8</v>
      </c>
      <c r="E6" s="11" t="s">
        <v>87</v>
      </c>
      <c r="F6" s="11"/>
      <c r="G6" s="11"/>
      <c r="H6" s="11"/>
      <c r="I6" s="11"/>
      <c r="J6" s="11"/>
      <c r="K6" s="11"/>
      <c r="L6" s="54"/>
      <c r="M6" s="14" t="s">
        <v>34</v>
      </c>
      <c r="N6" s="14"/>
      <c r="O6" s="14" t="s">
        <v>34</v>
      </c>
      <c r="P6" s="14"/>
      <c r="Q6" s="14" t="s">
        <v>34</v>
      </c>
      <c r="R6" s="4"/>
      <c r="S6" s="4"/>
      <c r="T6" s="4"/>
      <c r="U6" s="4"/>
      <c r="AD6" s="9" t="s">
        <v>88</v>
      </c>
      <c r="AF6" s="9" t="s">
        <v>88</v>
      </c>
    </row>
    <row r="7" spans="1:36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36" t="s">
        <v>41</v>
      </c>
      <c r="L7" s="36" t="s">
        <v>41</v>
      </c>
      <c r="M7" s="36" t="s">
        <v>41</v>
      </c>
      <c r="N7" s="36" t="s">
        <v>41</v>
      </c>
      <c r="O7" s="36" t="s">
        <v>41</v>
      </c>
      <c r="P7" s="36" t="s">
        <v>41</v>
      </c>
      <c r="Q7" s="36" t="s">
        <v>43</v>
      </c>
      <c r="R7" s="36" t="s">
        <v>41</v>
      </c>
      <c r="S7" s="36" t="s">
        <v>41</v>
      </c>
      <c r="T7" s="36" t="s">
        <v>41</v>
      </c>
      <c r="U7" s="36" t="s">
        <v>41</v>
      </c>
      <c r="V7" s="36" t="s">
        <v>41</v>
      </c>
      <c r="W7" s="36" t="s">
        <v>41</v>
      </c>
      <c r="X7" s="36" t="s">
        <v>41</v>
      </c>
      <c r="Y7" s="36" t="s">
        <v>41</v>
      </c>
      <c r="Z7" s="36" t="s">
        <v>41</v>
      </c>
      <c r="AA7" s="36" t="s">
        <v>42</v>
      </c>
      <c r="AB7" s="36" t="s">
        <v>41</v>
      </c>
      <c r="AC7" s="37" t="s">
        <v>44</v>
      </c>
      <c r="AD7" s="36"/>
      <c r="AE7" s="37" t="s">
        <v>45</v>
      </c>
      <c r="AF7" s="36"/>
      <c r="AG7" s="38"/>
      <c r="AH7" s="38"/>
      <c r="AI7" s="38"/>
      <c r="AJ7" s="38"/>
    </row>
    <row r="8" spans="1:36" s="9" customFormat="1" ht="60" customHeight="1" x14ac:dyDescent="0.2">
      <c r="A8" s="35" t="s">
        <v>18</v>
      </c>
      <c r="B8" s="59"/>
      <c r="C8" s="60"/>
      <c r="D8" s="23" t="s">
        <v>90</v>
      </c>
      <c r="E8" s="23" t="s">
        <v>91</v>
      </c>
      <c r="F8" s="54"/>
      <c r="G8" s="23" t="s">
        <v>27</v>
      </c>
      <c r="H8" s="23" t="s">
        <v>92</v>
      </c>
      <c r="I8" s="54"/>
      <c r="J8" s="3"/>
      <c r="K8" s="34" t="s">
        <v>46</v>
      </c>
      <c r="L8" s="34" t="s">
        <v>47</v>
      </c>
      <c r="M8" s="34" t="s">
        <v>48</v>
      </c>
      <c r="N8" s="34" t="s">
        <v>49</v>
      </c>
      <c r="O8" s="34" t="s">
        <v>50</v>
      </c>
      <c r="P8" s="34" t="s">
        <v>51</v>
      </c>
      <c r="Q8" s="34" t="s">
        <v>52</v>
      </c>
      <c r="R8" s="34" t="s">
        <v>53</v>
      </c>
      <c r="S8" s="34" t="s">
        <v>54</v>
      </c>
      <c r="T8" s="34" t="s">
        <v>55</v>
      </c>
      <c r="U8" s="34" t="s">
        <v>56</v>
      </c>
      <c r="V8" s="34" t="s">
        <v>57</v>
      </c>
      <c r="W8" s="34" t="s">
        <v>58</v>
      </c>
      <c r="X8" s="34" t="s">
        <v>59</v>
      </c>
      <c r="Y8" s="34" t="s">
        <v>60</v>
      </c>
      <c r="Z8" s="34" t="s">
        <v>61</v>
      </c>
      <c r="AA8" s="34" t="s">
        <v>62</v>
      </c>
      <c r="AB8" s="34" t="s">
        <v>63</v>
      </c>
      <c r="AC8" s="37" t="s">
        <v>22</v>
      </c>
      <c r="AD8" s="36"/>
      <c r="AE8" s="37" t="s">
        <v>22</v>
      </c>
      <c r="AF8" s="36"/>
      <c r="AG8" s="61"/>
      <c r="AH8" s="62"/>
      <c r="AI8" s="63" t="s">
        <v>101</v>
      </c>
      <c r="AJ8" s="64"/>
    </row>
    <row r="9" spans="1:36" s="9" customFormat="1" ht="60" customHeight="1" x14ac:dyDescent="0.2">
      <c r="A9" s="34" t="s">
        <v>18</v>
      </c>
      <c r="B9" s="24"/>
      <c r="C9" s="55"/>
      <c r="D9" s="23" t="s">
        <v>93</v>
      </c>
      <c r="E9" s="65" t="s">
        <v>94</v>
      </c>
      <c r="F9" s="23" t="s">
        <v>95</v>
      </c>
      <c r="G9" s="23" t="s">
        <v>96</v>
      </c>
      <c r="H9" s="23" t="s">
        <v>97</v>
      </c>
      <c r="I9" s="66" t="s">
        <v>98</v>
      </c>
      <c r="J9" s="23" t="s">
        <v>99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37"/>
      <c r="AD9" s="37"/>
      <c r="AE9" s="37"/>
      <c r="AF9" s="37"/>
      <c r="AG9" s="117" t="s">
        <v>100</v>
      </c>
      <c r="AH9" s="118"/>
      <c r="AI9" s="117" t="s">
        <v>102</v>
      </c>
      <c r="AJ9" s="118"/>
    </row>
    <row r="10" spans="1:36" s="9" customFormat="1" x14ac:dyDescent="0.2">
      <c r="A10" s="24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40"/>
      <c r="AD10" s="40"/>
      <c r="AE10" s="40"/>
      <c r="AF10" s="40"/>
      <c r="AG10" s="25"/>
      <c r="AH10" s="25"/>
      <c r="AI10" s="30"/>
      <c r="AJ10" s="41"/>
    </row>
    <row r="11" spans="1:36" s="9" customFormat="1" x14ac:dyDescent="0.2">
      <c r="A11" s="21"/>
      <c r="B11" s="22"/>
      <c r="C11" s="22"/>
      <c r="D11" s="15" t="s">
        <v>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17"/>
    </row>
    <row r="12" spans="1:36" s="9" customFormat="1" x14ac:dyDescent="0.2">
      <c r="A12" s="45"/>
      <c r="AJ12" s="56"/>
    </row>
    <row r="13" spans="1:36" s="9" customFormat="1" x14ac:dyDescent="0.2">
      <c r="A13" s="45"/>
      <c r="AJ13" s="56"/>
    </row>
    <row r="14" spans="1:36" s="9" customFormat="1" x14ac:dyDescent="0.2">
      <c r="A14" s="45"/>
      <c r="AJ14" s="56"/>
    </row>
    <row r="15" spans="1:36" s="9" customFormat="1" x14ac:dyDescent="0.2">
      <c r="A15" s="45"/>
      <c r="AJ15" s="56"/>
    </row>
    <row r="16" spans="1:36" s="9" customFormat="1" x14ac:dyDescent="0.2">
      <c r="A16" s="45"/>
      <c r="AJ16" s="56"/>
    </row>
    <row r="17" spans="1:36" s="9" customFormat="1" x14ac:dyDescent="0.2">
      <c r="A17" s="45"/>
      <c r="AJ17" s="56"/>
    </row>
    <row r="18" spans="1:36" s="9" customFormat="1" x14ac:dyDescent="0.2">
      <c r="A18" s="45"/>
      <c r="AJ18" s="56"/>
    </row>
    <row r="19" spans="1:36" s="9" customFormat="1" x14ac:dyDescent="0.2">
      <c r="A19" s="45"/>
      <c r="AJ19" s="56"/>
    </row>
    <row r="20" spans="1:36" s="9" customFormat="1" x14ac:dyDescent="0.2">
      <c r="A20" s="45"/>
      <c r="AJ20" s="56"/>
    </row>
    <row r="21" spans="1:36" s="9" customFormat="1" x14ac:dyDescent="0.2">
      <c r="A21" s="45"/>
      <c r="AJ21" s="56"/>
    </row>
    <row r="22" spans="1:36" s="9" customFormat="1" x14ac:dyDescent="0.2">
      <c r="A22" s="45"/>
      <c r="AJ22" s="56"/>
    </row>
    <row r="23" spans="1:36" s="9" customFormat="1" x14ac:dyDescent="0.2">
      <c r="A23" s="45"/>
      <c r="AJ23" s="56"/>
    </row>
    <row r="24" spans="1:36" s="9" customFormat="1" x14ac:dyDescent="0.2">
      <c r="A24" s="52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57"/>
    </row>
  </sheetData>
  <mergeCells count="2">
    <mergeCell ref="AG9:AH9"/>
    <mergeCell ref="AI9:AJ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42" t="s">
        <v>28</v>
      </c>
      <c r="B1" s="42" t="s">
        <v>28</v>
      </c>
      <c r="C1" s="42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28</v>
      </c>
      <c r="B2" s="22"/>
      <c r="C2" s="22"/>
      <c r="D2" s="58" t="s">
        <v>89</v>
      </c>
      <c r="E2" s="7" t="s">
        <v>0</v>
      </c>
      <c r="F2" s="43" t="str">
        <f>IF(LogicCommon!C2="","",LogicCommon!C2)</f>
        <v>MS</v>
      </c>
      <c r="G2" s="7" t="s">
        <v>1</v>
      </c>
      <c r="H2" s="43" t="str">
        <f>IF(LogicCommon!E2="","",LogicCommon!E2)</f>
        <v>MSLAL5050</v>
      </c>
      <c r="I2" s="7" t="s">
        <v>36</v>
      </c>
      <c r="J2" s="34" t="s">
        <v>67</v>
      </c>
      <c r="K2" s="7" t="s">
        <v>25</v>
      </c>
      <c r="L2" s="43" t="str">
        <f>IF(LogicCommon!G2="","",LogicCommon!G2)</f>
        <v>MC</v>
      </c>
      <c r="M2" s="5" t="s">
        <v>30</v>
      </c>
      <c r="N2" s="44" t="s">
        <v>74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5" t="s">
        <v>28</v>
      </c>
      <c r="B3" s="46"/>
      <c r="C3" s="46"/>
      <c r="D3" s="47" t="str">
        <f>IF(LogicCommon!A3="","",LogicCommon!A3)</f>
        <v/>
      </c>
      <c r="E3" s="7" t="s">
        <v>2</v>
      </c>
      <c r="F3" s="43" t="str">
        <f>IF(LogicCommon!C3="","",LogicCommon!C3)</f>
        <v>MSLA</v>
      </c>
      <c r="G3" s="7" t="s">
        <v>3</v>
      </c>
      <c r="H3" s="43" t="str">
        <f>IF(LogicCommon!E3="","",LogicCommon!E3)</f>
        <v>MSLAL_ShipActRecvIfService</v>
      </c>
      <c r="I3" s="7" t="s">
        <v>31</v>
      </c>
      <c r="J3" s="34" t="s">
        <v>24</v>
      </c>
      <c r="K3" s="7" t="s">
        <v>26</v>
      </c>
      <c r="L3" s="43" t="str">
        <f>IF(LogicCommon!G3="","",LogicCommon!G3)</f>
        <v/>
      </c>
      <c r="M3" s="48"/>
      <c r="N3" s="7"/>
      <c r="O3" s="7" t="s">
        <v>37</v>
      </c>
      <c r="P3" s="34" t="s">
        <v>38</v>
      </c>
      <c r="Q3" s="4"/>
      <c r="R3" s="5"/>
      <c r="S3" s="5"/>
      <c r="T3" s="5"/>
      <c r="U3" s="5"/>
    </row>
    <row r="4" spans="1:21" s="9" customFormat="1" x14ac:dyDescent="0.2">
      <c r="A4" s="45" t="s">
        <v>28</v>
      </c>
      <c r="B4" s="46"/>
      <c r="C4" s="46"/>
      <c r="D4" s="4"/>
      <c r="E4" s="7" t="s">
        <v>17</v>
      </c>
      <c r="F4" s="49" t="s">
        <v>32</v>
      </c>
      <c r="G4" s="7" t="s">
        <v>4</v>
      </c>
      <c r="H4" s="43" t="str">
        <f>IF(LogicCommon!E4="","",LogicCommon!E4)</f>
        <v>ＥＤＩ出荷実績受信ＩＦサービス</v>
      </c>
      <c r="I4" s="7" t="s">
        <v>33</v>
      </c>
      <c r="J4" s="34" t="s">
        <v>79</v>
      </c>
      <c r="K4" s="7" t="s">
        <v>5</v>
      </c>
      <c r="L4" s="43" t="str">
        <f>IF(LogicCommon!G4="","",LogicCommon!G4)</f>
        <v>MS.MSLAL6040</v>
      </c>
      <c r="M4" s="50" t="s">
        <v>29</v>
      </c>
      <c r="N4" s="44"/>
      <c r="O4" s="51"/>
      <c r="P4" s="4"/>
      <c r="Q4" s="4"/>
      <c r="R4" s="5"/>
      <c r="S4" s="5"/>
      <c r="T4" s="5"/>
      <c r="U4" s="5"/>
    </row>
    <row r="5" spans="1:21" s="9" customFormat="1" x14ac:dyDescent="0.2">
      <c r="A5" s="52" t="s">
        <v>28</v>
      </c>
      <c r="B5" s="42"/>
      <c r="C5" s="42"/>
      <c r="D5" s="20"/>
      <c r="E5" s="7" t="s">
        <v>39</v>
      </c>
      <c r="F5" s="49"/>
      <c r="G5" s="53"/>
      <c r="H5" s="53"/>
      <c r="I5" s="53"/>
      <c r="J5" s="53"/>
      <c r="K5" s="53"/>
      <c r="L5" s="6"/>
      <c r="M5" s="5"/>
      <c r="N5" s="5"/>
      <c r="O5" s="51"/>
      <c r="P5" s="4"/>
      <c r="Q5" s="4"/>
      <c r="R5" s="5"/>
      <c r="S5" s="5"/>
      <c r="T5" s="5"/>
      <c r="U5" s="5"/>
    </row>
    <row r="6" spans="1:21" s="9" customFormat="1" x14ac:dyDescent="0.2">
      <c r="A6" s="45" t="s">
        <v>28</v>
      </c>
      <c r="B6" s="46"/>
      <c r="C6" s="46"/>
      <c r="D6" s="4" t="s">
        <v>8</v>
      </c>
      <c r="E6" s="11" t="s">
        <v>80</v>
      </c>
      <c r="F6" s="11"/>
      <c r="G6" s="11"/>
      <c r="H6" s="11"/>
      <c r="I6" s="11"/>
      <c r="J6" s="11"/>
      <c r="K6" s="11"/>
      <c r="L6" s="54"/>
      <c r="M6" s="14" t="s">
        <v>34</v>
      </c>
      <c r="N6" s="14"/>
      <c r="O6" s="14" t="s">
        <v>34</v>
      </c>
      <c r="P6" s="14"/>
      <c r="Q6" s="14" t="s">
        <v>34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34" t="s">
        <v>20</v>
      </c>
      <c r="L7" s="23" t="s">
        <v>21</v>
      </c>
      <c r="M7" s="35"/>
      <c r="N7" s="23" t="s">
        <v>21</v>
      </c>
      <c r="O7" s="35"/>
      <c r="P7" s="23" t="s">
        <v>21</v>
      </c>
      <c r="Q7" s="35"/>
      <c r="R7" s="4"/>
      <c r="S7" s="4"/>
      <c r="T7" s="4"/>
      <c r="U7" s="4"/>
    </row>
    <row r="8" spans="1:21" s="9" customFormat="1" ht="60" customHeight="1" x14ac:dyDescent="0.2">
      <c r="A8" s="35" t="s">
        <v>18</v>
      </c>
      <c r="B8" s="59"/>
      <c r="C8" s="60"/>
      <c r="D8" s="23" t="s">
        <v>90</v>
      </c>
      <c r="E8" s="23" t="s">
        <v>91</v>
      </c>
      <c r="F8" s="54"/>
      <c r="G8" s="23" t="s">
        <v>27</v>
      </c>
      <c r="H8" s="23" t="s">
        <v>92</v>
      </c>
      <c r="I8" s="54"/>
      <c r="J8" s="3"/>
      <c r="K8" s="34"/>
      <c r="L8" s="23" t="s">
        <v>22</v>
      </c>
      <c r="M8" s="35"/>
      <c r="N8" s="23" t="s">
        <v>23</v>
      </c>
      <c r="O8" s="35"/>
      <c r="P8" s="23" t="s">
        <v>23</v>
      </c>
      <c r="Q8" s="35"/>
      <c r="R8" s="3"/>
      <c r="S8" s="20"/>
      <c r="T8" s="117" t="s">
        <v>101</v>
      </c>
      <c r="U8" s="118"/>
    </row>
    <row r="9" spans="1:21" s="9" customFormat="1" ht="60" customHeight="1" x14ac:dyDescent="0.2">
      <c r="A9" s="34" t="s">
        <v>18</v>
      </c>
      <c r="B9" s="24"/>
      <c r="C9" s="55"/>
      <c r="D9" s="23" t="s">
        <v>93</v>
      </c>
      <c r="E9" s="65" t="s">
        <v>94</v>
      </c>
      <c r="F9" s="23" t="s">
        <v>95</v>
      </c>
      <c r="G9" s="23" t="s">
        <v>96</v>
      </c>
      <c r="H9" s="23" t="s">
        <v>97</v>
      </c>
      <c r="I9" s="66" t="s">
        <v>98</v>
      </c>
      <c r="J9" s="23" t="s">
        <v>99</v>
      </c>
      <c r="K9" s="58"/>
      <c r="L9" s="66"/>
      <c r="M9" s="23"/>
      <c r="N9" s="23"/>
      <c r="O9" s="23"/>
      <c r="P9" s="23"/>
      <c r="Q9" s="23"/>
      <c r="R9" s="117" t="s">
        <v>100</v>
      </c>
      <c r="S9" s="118"/>
      <c r="T9" s="117" t="s">
        <v>102</v>
      </c>
      <c r="U9" s="118"/>
    </row>
    <row r="10" spans="1:21" s="9" customFormat="1" ht="39" x14ac:dyDescent="0.2">
      <c r="A10" s="24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98</v>
      </c>
      <c r="M10" s="23" t="s">
        <v>99</v>
      </c>
      <c r="N10" s="23" t="s">
        <v>98</v>
      </c>
      <c r="O10" s="23" t="s">
        <v>99</v>
      </c>
      <c r="P10" s="23" t="s">
        <v>98</v>
      </c>
      <c r="Q10" s="23" t="s">
        <v>99</v>
      </c>
      <c r="R10" s="25"/>
      <c r="S10" s="25"/>
      <c r="T10" s="30"/>
      <c r="U10" s="41"/>
    </row>
    <row r="11" spans="1:21" s="9" customFormat="1" x14ac:dyDescent="0.2">
      <c r="A11" s="21"/>
      <c r="B11" s="22"/>
      <c r="C11" s="22"/>
      <c r="D11" s="15" t="s">
        <v>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7"/>
    </row>
    <row r="12" spans="1:21" s="9" customFormat="1" x14ac:dyDescent="0.2">
      <c r="A12" s="45"/>
      <c r="U12" s="56"/>
    </row>
    <row r="13" spans="1:21" s="9" customFormat="1" x14ac:dyDescent="0.2">
      <c r="A13" s="45"/>
      <c r="U13" s="56"/>
    </row>
    <row r="14" spans="1:21" s="9" customFormat="1" x14ac:dyDescent="0.2">
      <c r="A14" s="45"/>
      <c r="U14" s="56"/>
    </row>
    <row r="15" spans="1:21" s="9" customFormat="1" x14ac:dyDescent="0.2">
      <c r="A15" s="45"/>
      <c r="U15" s="56"/>
    </row>
    <row r="16" spans="1:21" s="9" customFormat="1" x14ac:dyDescent="0.2">
      <c r="A16" s="45"/>
      <c r="U16" s="56"/>
    </row>
    <row r="17" spans="1:21" s="9" customFormat="1" x14ac:dyDescent="0.2">
      <c r="A17" s="45"/>
      <c r="U17" s="56"/>
    </row>
    <row r="18" spans="1:21" s="9" customFormat="1" x14ac:dyDescent="0.2">
      <c r="A18" s="45"/>
      <c r="U18" s="56"/>
    </row>
    <row r="19" spans="1:21" s="9" customFormat="1" x14ac:dyDescent="0.2">
      <c r="A19" s="45"/>
      <c r="U19" s="56"/>
    </row>
    <row r="20" spans="1:21" s="9" customFormat="1" x14ac:dyDescent="0.2">
      <c r="A20" s="45"/>
      <c r="U20" s="56"/>
    </row>
    <row r="21" spans="1:21" s="9" customFormat="1" x14ac:dyDescent="0.2">
      <c r="A21" s="45"/>
      <c r="U21" s="56"/>
    </row>
    <row r="22" spans="1:21" s="9" customFormat="1" x14ac:dyDescent="0.2">
      <c r="A22" s="45"/>
      <c r="U22" s="56"/>
    </row>
    <row r="23" spans="1:21" s="9" customFormat="1" x14ac:dyDescent="0.2">
      <c r="A23" s="45"/>
      <c r="U23" s="56"/>
    </row>
    <row r="24" spans="1:21" s="9" customFormat="1" x14ac:dyDescent="0.2">
      <c r="A24" s="52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57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42" t="s">
        <v>28</v>
      </c>
      <c r="B1" s="42" t="s">
        <v>28</v>
      </c>
      <c r="C1" s="42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28</v>
      </c>
      <c r="B2" s="22"/>
      <c r="C2" s="22"/>
      <c r="D2" s="58" t="s">
        <v>89</v>
      </c>
      <c r="E2" s="7" t="s">
        <v>0</v>
      </c>
      <c r="F2" s="43" t="str">
        <f>IF(LogicCommon!C2="","",LogicCommon!C2)</f>
        <v>MS</v>
      </c>
      <c r="G2" s="7" t="s">
        <v>1</v>
      </c>
      <c r="H2" s="43" t="str">
        <f>IF(LogicCommon!E2="","",LogicCommon!E2)</f>
        <v>MSLAL5050</v>
      </c>
      <c r="I2" s="7" t="s">
        <v>36</v>
      </c>
      <c r="J2" s="34" t="s">
        <v>68</v>
      </c>
      <c r="K2" s="7" t="s">
        <v>25</v>
      </c>
      <c r="L2" s="43" t="str">
        <f>IF(LogicCommon!G2="","",LogicCommon!G2)</f>
        <v>MC</v>
      </c>
      <c r="M2" s="5" t="s">
        <v>30</v>
      </c>
      <c r="N2" s="44" t="s">
        <v>75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5" t="s">
        <v>28</v>
      </c>
      <c r="B3" s="46"/>
      <c r="C3" s="46"/>
      <c r="D3" s="47" t="str">
        <f>IF(LogicCommon!A3="","",LogicCommon!A3)</f>
        <v/>
      </c>
      <c r="E3" s="7" t="s">
        <v>2</v>
      </c>
      <c r="F3" s="43" t="str">
        <f>IF(LogicCommon!C3="","",LogicCommon!C3)</f>
        <v>MSLA</v>
      </c>
      <c r="G3" s="7" t="s">
        <v>3</v>
      </c>
      <c r="H3" s="43" t="str">
        <f>IF(LogicCommon!E3="","",LogicCommon!E3)</f>
        <v>MSLAL_ShipActRecvIfService</v>
      </c>
      <c r="I3" s="7" t="s">
        <v>31</v>
      </c>
      <c r="J3" s="34" t="s">
        <v>24</v>
      </c>
      <c r="K3" s="7" t="s">
        <v>26</v>
      </c>
      <c r="L3" s="43" t="str">
        <f>IF(LogicCommon!G3="","",LogicCommon!G3)</f>
        <v/>
      </c>
      <c r="M3" s="48"/>
      <c r="N3" s="7"/>
      <c r="O3" s="7" t="s">
        <v>37</v>
      </c>
      <c r="P3" s="34" t="s">
        <v>38</v>
      </c>
      <c r="Q3" s="4"/>
      <c r="R3" s="5"/>
      <c r="S3" s="5"/>
      <c r="T3" s="5"/>
      <c r="U3" s="5"/>
    </row>
    <row r="4" spans="1:21" s="9" customFormat="1" x14ac:dyDescent="0.2">
      <c r="A4" s="45" t="s">
        <v>28</v>
      </c>
      <c r="B4" s="46"/>
      <c r="C4" s="46"/>
      <c r="D4" s="4"/>
      <c r="E4" s="7" t="s">
        <v>17</v>
      </c>
      <c r="F4" s="49" t="s">
        <v>32</v>
      </c>
      <c r="G4" s="7" t="s">
        <v>4</v>
      </c>
      <c r="H4" s="43" t="str">
        <f>IF(LogicCommon!E4="","",LogicCommon!E4)</f>
        <v>ＥＤＩ出荷実績受信ＩＦサービス</v>
      </c>
      <c r="I4" s="7" t="s">
        <v>33</v>
      </c>
      <c r="J4" s="34" t="s">
        <v>81</v>
      </c>
      <c r="K4" s="7" t="s">
        <v>5</v>
      </c>
      <c r="L4" s="43" t="str">
        <f>IF(LogicCommon!G4="","",LogicCommon!G4)</f>
        <v>MS.MSLAL6040</v>
      </c>
      <c r="M4" s="50" t="s">
        <v>29</v>
      </c>
      <c r="N4" s="44"/>
      <c r="O4" s="51"/>
      <c r="P4" s="4"/>
      <c r="Q4" s="4"/>
      <c r="R4" s="5"/>
      <c r="S4" s="5"/>
      <c r="T4" s="5"/>
      <c r="U4" s="5"/>
    </row>
    <row r="5" spans="1:21" s="9" customFormat="1" x14ac:dyDescent="0.2">
      <c r="A5" s="52" t="s">
        <v>28</v>
      </c>
      <c r="B5" s="42"/>
      <c r="C5" s="42"/>
      <c r="D5" s="20"/>
      <c r="E5" s="7" t="s">
        <v>39</v>
      </c>
      <c r="F5" s="49"/>
      <c r="G5" s="53"/>
      <c r="H5" s="53"/>
      <c r="I5" s="53"/>
      <c r="J5" s="53"/>
      <c r="K5" s="53"/>
      <c r="L5" s="6"/>
      <c r="M5" s="5"/>
      <c r="N5" s="5"/>
      <c r="O5" s="51"/>
      <c r="P5" s="4"/>
      <c r="Q5" s="4"/>
      <c r="R5" s="5"/>
      <c r="S5" s="5"/>
      <c r="T5" s="5"/>
      <c r="U5" s="5"/>
    </row>
    <row r="6" spans="1:21" s="9" customFormat="1" x14ac:dyDescent="0.2">
      <c r="A6" s="45" t="s">
        <v>28</v>
      </c>
      <c r="B6" s="46"/>
      <c r="C6" s="46"/>
      <c r="D6" s="4" t="s">
        <v>8</v>
      </c>
      <c r="E6" s="11" t="s">
        <v>82</v>
      </c>
      <c r="F6" s="11"/>
      <c r="G6" s="11"/>
      <c r="H6" s="11"/>
      <c r="I6" s="11"/>
      <c r="J6" s="11"/>
      <c r="K6" s="11"/>
      <c r="L6" s="54"/>
      <c r="M6" s="14" t="s">
        <v>34</v>
      </c>
      <c r="N6" s="14"/>
      <c r="O6" s="14" t="s">
        <v>34</v>
      </c>
      <c r="P6" s="14"/>
      <c r="Q6" s="14" t="s">
        <v>34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34" t="s">
        <v>20</v>
      </c>
      <c r="L7" s="23" t="s">
        <v>21</v>
      </c>
      <c r="M7" s="35"/>
      <c r="N7" s="23" t="s">
        <v>21</v>
      </c>
      <c r="O7" s="35"/>
      <c r="P7" s="23" t="s">
        <v>21</v>
      </c>
      <c r="Q7" s="35"/>
      <c r="R7" s="4"/>
      <c r="S7" s="4"/>
      <c r="T7" s="4"/>
      <c r="U7" s="4"/>
    </row>
    <row r="8" spans="1:21" s="9" customFormat="1" ht="60" customHeight="1" x14ac:dyDescent="0.2">
      <c r="A8" s="35" t="s">
        <v>18</v>
      </c>
      <c r="B8" s="59"/>
      <c r="C8" s="60"/>
      <c r="D8" s="23" t="s">
        <v>90</v>
      </c>
      <c r="E8" s="23" t="s">
        <v>91</v>
      </c>
      <c r="F8" s="54"/>
      <c r="G8" s="23" t="s">
        <v>27</v>
      </c>
      <c r="H8" s="23" t="s">
        <v>92</v>
      </c>
      <c r="I8" s="54"/>
      <c r="J8" s="3"/>
      <c r="K8" s="34"/>
      <c r="L8" s="23" t="s">
        <v>22</v>
      </c>
      <c r="M8" s="35"/>
      <c r="N8" s="23" t="s">
        <v>23</v>
      </c>
      <c r="O8" s="35"/>
      <c r="P8" s="23" t="s">
        <v>23</v>
      </c>
      <c r="Q8" s="35"/>
      <c r="R8" s="3"/>
      <c r="S8" s="20"/>
      <c r="T8" s="117" t="s">
        <v>101</v>
      </c>
      <c r="U8" s="118"/>
    </row>
    <row r="9" spans="1:21" s="9" customFormat="1" ht="60" customHeight="1" x14ac:dyDescent="0.2">
      <c r="A9" s="34" t="s">
        <v>18</v>
      </c>
      <c r="B9" s="24"/>
      <c r="C9" s="55"/>
      <c r="D9" s="23" t="s">
        <v>93</v>
      </c>
      <c r="E9" s="65" t="s">
        <v>94</v>
      </c>
      <c r="F9" s="23" t="s">
        <v>95</v>
      </c>
      <c r="G9" s="23" t="s">
        <v>96</v>
      </c>
      <c r="H9" s="23" t="s">
        <v>97</v>
      </c>
      <c r="I9" s="66" t="s">
        <v>98</v>
      </c>
      <c r="J9" s="23" t="s">
        <v>99</v>
      </c>
      <c r="K9" s="58"/>
      <c r="L9" s="66"/>
      <c r="M9" s="23"/>
      <c r="N9" s="23"/>
      <c r="O9" s="23"/>
      <c r="P9" s="23"/>
      <c r="Q9" s="23"/>
      <c r="R9" s="117" t="s">
        <v>100</v>
      </c>
      <c r="S9" s="118"/>
      <c r="T9" s="117" t="s">
        <v>102</v>
      </c>
      <c r="U9" s="118"/>
    </row>
    <row r="10" spans="1:21" s="9" customFormat="1" ht="39" x14ac:dyDescent="0.2">
      <c r="A10" s="24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98</v>
      </c>
      <c r="M10" s="23" t="s">
        <v>99</v>
      </c>
      <c r="N10" s="23" t="s">
        <v>98</v>
      </c>
      <c r="O10" s="23" t="s">
        <v>99</v>
      </c>
      <c r="P10" s="23" t="s">
        <v>98</v>
      </c>
      <c r="Q10" s="23" t="s">
        <v>99</v>
      </c>
      <c r="R10" s="25"/>
      <c r="S10" s="25"/>
      <c r="T10" s="30"/>
      <c r="U10" s="41"/>
    </row>
    <row r="11" spans="1:21" s="9" customFormat="1" x14ac:dyDescent="0.2">
      <c r="A11" s="21"/>
      <c r="B11" s="22"/>
      <c r="C11" s="22"/>
      <c r="D11" s="15" t="s">
        <v>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7"/>
    </row>
    <row r="12" spans="1:21" s="9" customFormat="1" x14ac:dyDescent="0.2">
      <c r="A12" s="45"/>
      <c r="U12" s="56"/>
    </row>
    <row r="13" spans="1:21" s="9" customFormat="1" x14ac:dyDescent="0.2">
      <c r="A13" s="45"/>
      <c r="U13" s="56"/>
    </row>
    <row r="14" spans="1:21" s="9" customFormat="1" x14ac:dyDescent="0.2">
      <c r="A14" s="45"/>
      <c r="U14" s="56"/>
    </row>
    <row r="15" spans="1:21" s="9" customFormat="1" x14ac:dyDescent="0.2">
      <c r="A15" s="45"/>
      <c r="U15" s="56"/>
    </row>
    <row r="16" spans="1:21" s="9" customFormat="1" x14ac:dyDescent="0.2">
      <c r="A16" s="45"/>
      <c r="U16" s="56"/>
    </row>
    <row r="17" spans="1:21" s="9" customFormat="1" x14ac:dyDescent="0.2">
      <c r="A17" s="45"/>
      <c r="U17" s="56"/>
    </row>
    <row r="18" spans="1:21" s="9" customFormat="1" x14ac:dyDescent="0.2">
      <c r="A18" s="45"/>
      <c r="U18" s="56"/>
    </row>
    <row r="19" spans="1:21" s="9" customFormat="1" x14ac:dyDescent="0.2">
      <c r="A19" s="45"/>
      <c r="U19" s="56"/>
    </row>
    <row r="20" spans="1:21" s="9" customFormat="1" x14ac:dyDescent="0.2">
      <c r="A20" s="45"/>
      <c r="U20" s="56"/>
    </row>
    <row r="21" spans="1:21" s="9" customFormat="1" x14ac:dyDescent="0.2">
      <c r="A21" s="45"/>
      <c r="U21" s="56"/>
    </row>
    <row r="22" spans="1:21" s="9" customFormat="1" x14ac:dyDescent="0.2">
      <c r="A22" s="45"/>
      <c r="U22" s="56"/>
    </row>
    <row r="23" spans="1:21" s="9" customFormat="1" x14ac:dyDescent="0.2">
      <c r="A23" s="45"/>
      <c r="U23" s="56"/>
    </row>
    <row r="24" spans="1:21" s="9" customFormat="1" x14ac:dyDescent="0.2">
      <c r="A24" s="52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57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42" t="s">
        <v>28</v>
      </c>
      <c r="B1" s="42" t="s">
        <v>28</v>
      </c>
      <c r="C1" s="42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28</v>
      </c>
      <c r="B2" s="22"/>
      <c r="C2" s="22"/>
      <c r="D2" s="58" t="s">
        <v>89</v>
      </c>
      <c r="E2" s="7" t="s">
        <v>0</v>
      </c>
      <c r="F2" s="43" t="str">
        <f>IF(LogicCommon!C2="","",LogicCommon!C2)</f>
        <v>MS</v>
      </c>
      <c r="G2" s="7" t="s">
        <v>1</v>
      </c>
      <c r="H2" s="43" t="str">
        <f>IF(LogicCommon!E2="","",LogicCommon!E2)</f>
        <v>MSLAL5050</v>
      </c>
      <c r="I2" s="7" t="s">
        <v>36</v>
      </c>
      <c r="J2" s="34" t="s">
        <v>69</v>
      </c>
      <c r="K2" s="7" t="s">
        <v>25</v>
      </c>
      <c r="L2" s="43" t="str">
        <f>IF(LogicCommon!G2="","",LogicCommon!G2)</f>
        <v>MC</v>
      </c>
      <c r="M2" s="5" t="s">
        <v>30</v>
      </c>
      <c r="N2" s="44" t="s">
        <v>76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5" t="s">
        <v>28</v>
      </c>
      <c r="B3" s="46"/>
      <c r="C3" s="46"/>
      <c r="D3" s="47" t="str">
        <f>IF(LogicCommon!A3="","",LogicCommon!A3)</f>
        <v/>
      </c>
      <c r="E3" s="7" t="s">
        <v>2</v>
      </c>
      <c r="F3" s="43" t="str">
        <f>IF(LogicCommon!C3="","",LogicCommon!C3)</f>
        <v>MSLA</v>
      </c>
      <c r="G3" s="7" t="s">
        <v>3</v>
      </c>
      <c r="H3" s="43" t="str">
        <f>IF(LogicCommon!E3="","",LogicCommon!E3)</f>
        <v>MSLAL_ShipActRecvIfService</v>
      </c>
      <c r="I3" s="7" t="s">
        <v>31</v>
      </c>
      <c r="J3" s="34" t="s">
        <v>24</v>
      </c>
      <c r="K3" s="7" t="s">
        <v>26</v>
      </c>
      <c r="L3" s="43" t="str">
        <f>IF(LogicCommon!G3="","",LogicCommon!G3)</f>
        <v/>
      </c>
      <c r="M3" s="48"/>
      <c r="N3" s="7"/>
      <c r="O3" s="7" t="s">
        <v>37</v>
      </c>
      <c r="P3" s="34" t="s">
        <v>38</v>
      </c>
      <c r="Q3" s="4"/>
      <c r="R3" s="5"/>
      <c r="S3" s="5"/>
      <c r="T3" s="5"/>
      <c r="U3" s="5"/>
    </row>
    <row r="4" spans="1:21" s="9" customFormat="1" x14ac:dyDescent="0.2">
      <c r="A4" s="45" t="s">
        <v>28</v>
      </c>
      <c r="B4" s="46"/>
      <c r="C4" s="46"/>
      <c r="D4" s="4"/>
      <c r="E4" s="7" t="s">
        <v>17</v>
      </c>
      <c r="F4" s="49" t="s">
        <v>32</v>
      </c>
      <c r="G4" s="7" t="s">
        <v>4</v>
      </c>
      <c r="H4" s="43" t="str">
        <f>IF(LogicCommon!E4="","",LogicCommon!E4)</f>
        <v>ＥＤＩ出荷実績受信ＩＦサービス</v>
      </c>
      <c r="I4" s="7" t="s">
        <v>33</v>
      </c>
      <c r="J4" s="34" t="s">
        <v>83</v>
      </c>
      <c r="K4" s="7" t="s">
        <v>5</v>
      </c>
      <c r="L4" s="43" t="str">
        <f>IF(LogicCommon!G4="","",LogicCommon!G4)</f>
        <v>MS.MSLAL6040</v>
      </c>
      <c r="M4" s="50" t="s">
        <v>29</v>
      </c>
      <c r="N4" s="44"/>
      <c r="O4" s="51"/>
      <c r="P4" s="4"/>
      <c r="Q4" s="4"/>
      <c r="R4" s="5"/>
      <c r="S4" s="5"/>
      <c r="T4" s="5"/>
      <c r="U4" s="5"/>
    </row>
    <row r="5" spans="1:21" s="9" customFormat="1" x14ac:dyDescent="0.2">
      <c r="A5" s="52" t="s">
        <v>28</v>
      </c>
      <c r="B5" s="42"/>
      <c r="C5" s="42"/>
      <c r="D5" s="20"/>
      <c r="E5" s="7" t="s">
        <v>39</v>
      </c>
      <c r="F5" s="49"/>
      <c r="G5" s="53"/>
      <c r="H5" s="53"/>
      <c r="I5" s="53"/>
      <c r="J5" s="53"/>
      <c r="K5" s="53"/>
      <c r="L5" s="6"/>
      <c r="M5" s="5"/>
      <c r="N5" s="5"/>
      <c r="O5" s="51"/>
      <c r="P5" s="4"/>
      <c r="Q5" s="4"/>
      <c r="R5" s="5"/>
      <c r="S5" s="5"/>
      <c r="T5" s="5"/>
      <c r="U5" s="5"/>
    </row>
    <row r="6" spans="1:21" s="9" customFormat="1" x14ac:dyDescent="0.2">
      <c r="A6" s="45" t="s">
        <v>28</v>
      </c>
      <c r="B6" s="46"/>
      <c r="C6" s="46"/>
      <c r="D6" s="4" t="s">
        <v>8</v>
      </c>
      <c r="E6" s="11" t="s">
        <v>84</v>
      </c>
      <c r="F6" s="11"/>
      <c r="G6" s="11"/>
      <c r="H6" s="11"/>
      <c r="I6" s="11"/>
      <c r="J6" s="11"/>
      <c r="K6" s="11"/>
      <c r="L6" s="54"/>
      <c r="M6" s="14" t="s">
        <v>34</v>
      </c>
      <c r="N6" s="14"/>
      <c r="O6" s="14" t="s">
        <v>34</v>
      </c>
      <c r="P6" s="14"/>
      <c r="Q6" s="14" t="s">
        <v>34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34" t="s">
        <v>20</v>
      </c>
      <c r="L7" s="23" t="s">
        <v>21</v>
      </c>
      <c r="M7" s="35"/>
      <c r="N7" s="23" t="s">
        <v>21</v>
      </c>
      <c r="O7" s="35"/>
      <c r="P7" s="23" t="s">
        <v>21</v>
      </c>
      <c r="Q7" s="35"/>
      <c r="R7" s="4"/>
      <c r="S7" s="4"/>
      <c r="T7" s="4"/>
      <c r="U7" s="4"/>
    </row>
    <row r="8" spans="1:21" s="9" customFormat="1" ht="60" customHeight="1" x14ac:dyDescent="0.2">
      <c r="A8" s="35" t="s">
        <v>18</v>
      </c>
      <c r="B8" s="59"/>
      <c r="C8" s="60"/>
      <c r="D8" s="23" t="s">
        <v>90</v>
      </c>
      <c r="E8" s="23" t="s">
        <v>91</v>
      </c>
      <c r="F8" s="54"/>
      <c r="G8" s="23" t="s">
        <v>27</v>
      </c>
      <c r="H8" s="23" t="s">
        <v>92</v>
      </c>
      <c r="I8" s="54"/>
      <c r="J8" s="3"/>
      <c r="K8" s="34"/>
      <c r="L8" s="23" t="s">
        <v>22</v>
      </c>
      <c r="M8" s="35"/>
      <c r="N8" s="23" t="s">
        <v>23</v>
      </c>
      <c r="O8" s="35"/>
      <c r="P8" s="23" t="s">
        <v>23</v>
      </c>
      <c r="Q8" s="35"/>
      <c r="R8" s="3"/>
      <c r="S8" s="20"/>
      <c r="T8" s="117" t="s">
        <v>101</v>
      </c>
      <c r="U8" s="118"/>
    </row>
    <row r="9" spans="1:21" s="9" customFormat="1" ht="60" customHeight="1" x14ac:dyDescent="0.2">
      <c r="A9" s="34" t="s">
        <v>18</v>
      </c>
      <c r="B9" s="24"/>
      <c r="C9" s="55"/>
      <c r="D9" s="23" t="s">
        <v>93</v>
      </c>
      <c r="E9" s="65" t="s">
        <v>94</v>
      </c>
      <c r="F9" s="23" t="s">
        <v>95</v>
      </c>
      <c r="G9" s="23" t="s">
        <v>96</v>
      </c>
      <c r="H9" s="23" t="s">
        <v>97</v>
      </c>
      <c r="I9" s="66" t="s">
        <v>98</v>
      </c>
      <c r="J9" s="23" t="s">
        <v>99</v>
      </c>
      <c r="K9" s="58"/>
      <c r="L9" s="66"/>
      <c r="M9" s="23"/>
      <c r="N9" s="23"/>
      <c r="O9" s="23"/>
      <c r="P9" s="23"/>
      <c r="Q9" s="23"/>
      <c r="R9" s="117" t="s">
        <v>100</v>
      </c>
      <c r="S9" s="118"/>
      <c r="T9" s="117" t="s">
        <v>102</v>
      </c>
      <c r="U9" s="118"/>
    </row>
    <row r="10" spans="1:21" s="9" customFormat="1" ht="39" x14ac:dyDescent="0.2">
      <c r="A10" s="24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98</v>
      </c>
      <c r="M10" s="23" t="s">
        <v>99</v>
      </c>
      <c r="N10" s="23" t="s">
        <v>98</v>
      </c>
      <c r="O10" s="23" t="s">
        <v>99</v>
      </c>
      <c r="P10" s="23" t="s">
        <v>98</v>
      </c>
      <c r="Q10" s="23" t="s">
        <v>99</v>
      </c>
      <c r="R10" s="25"/>
      <c r="S10" s="25"/>
      <c r="T10" s="30"/>
      <c r="U10" s="41"/>
    </row>
    <row r="11" spans="1:21" s="9" customFormat="1" x14ac:dyDescent="0.2">
      <c r="A11" s="21"/>
      <c r="B11" s="22"/>
      <c r="C11" s="22"/>
      <c r="D11" s="15" t="s">
        <v>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7"/>
    </row>
    <row r="12" spans="1:21" s="9" customFormat="1" x14ac:dyDescent="0.2">
      <c r="A12" s="45"/>
      <c r="U12" s="56"/>
    </row>
    <row r="13" spans="1:21" s="9" customFormat="1" x14ac:dyDescent="0.2">
      <c r="A13" s="45"/>
      <c r="U13" s="56"/>
    </row>
    <row r="14" spans="1:21" s="9" customFormat="1" x14ac:dyDescent="0.2">
      <c r="A14" s="45"/>
      <c r="U14" s="56"/>
    </row>
    <row r="15" spans="1:21" s="9" customFormat="1" x14ac:dyDescent="0.2">
      <c r="A15" s="45"/>
      <c r="U15" s="56"/>
    </row>
    <row r="16" spans="1:21" s="9" customFormat="1" x14ac:dyDescent="0.2">
      <c r="A16" s="45"/>
      <c r="U16" s="56"/>
    </row>
    <row r="17" spans="1:21" s="9" customFormat="1" x14ac:dyDescent="0.2">
      <c r="A17" s="45"/>
      <c r="U17" s="56"/>
    </row>
    <row r="18" spans="1:21" s="9" customFormat="1" x14ac:dyDescent="0.2">
      <c r="A18" s="45"/>
      <c r="U18" s="56"/>
    </row>
    <row r="19" spans="1:21" s="9" customFormat="1" x14ac:dyDescent="0.2">
      <c r="A19" s="45"/>
      <c r="U19" s="56"/>
    </row>
    <row r="20" spans="1:21" s="9" customFormat="1" x14ac:dyDescent="0.2">
      <c r="A20" s="45"/>
      <c r="U20" s="56"/>
    </row>
    <row r="21" spans="1:21" s="9" customFormat="1" x14ac:dyDescent="0.2">
      <c r="A21" s="45"/>
      <c r="U21" s="56"/>
    </row>
    <row r="22" spans="1:21" s="9" customFormat="1" x14ac:dyDescent="0.2">
      <c r="A22" s="45"/>
      <c r="U22" s="56"/>
    </row>
    <row r="23" spans="1:21" s="9" customFormat="1" x14ac:dyDescent="0.2">
      <c r="A23" s="45"/>
      <c r="U23" s="56"/>
    </row>
    <row r="24" spans="1:21" s="9" customFormat="1" x14ac:dyDescent="0.2">
      <c r="A24" s="52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57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42" t="s">
        <v>28</v>
      </c>
      <c r="B1" s="42" t="s">
        <v>28</v>
      </c>
      <c r="C1" s="42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28</v>
      </c>
      <c r="B2" s="22"/>
      <c r="C2" s="22"/>
      <c r="D2" s="58" t="s">
        <v>89</v>
      </c>
      <c r="E2" s="7" t="s">
        <v>0</v>
      </c>
      <c r="F2" s="43" t="str">
        <f>IF(LogicCommon!C2="","",LogicCommon!C2)</f>
        <v>MS</v>
      </c>
      <c r="G2" s="7" t="s">
        <v>1</v>
      </c>
      <c r="H2" s="43" t="str">
        <f>IF(LogicCommon!E2="","",LogicCommon!E2)</f>
        <v>MSLAL5050</v>
      </c>
      <c r="I2" s="7" t="s">
        <v>36</v>
      </c>
      <c r="J2" s="34" t="s">
        <v>70</v>
      </c>
      <c r="K2" s="7" t="s">
        <v>25</v>
      </c>
      <c r="L2" s="43" t="str">
        <f>IF(LogicCommon!G2="","",LogicCommon!G2)</f>
        <v>MC</v>
      </c>
      <c r="M2" s="5" t="s">
        <v>30</v>
      </c>
      <c r="N2" s="44" t="s">
        <v>77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5" t="s">
        <v>28</v>
      </c>
      <c r="B3" s="46"/>
      <c r="C3" s="46"/>
      <c r="D3" s="47" t="str">
        <f>IF(LogicCommon!A3="","",LogicCommon!A3)</f>
        <v/>
      </c>
      <c r="E3" s="7" t="s">
        <v>2</v>
      </c>
      <c r="F3" s="43" t="str">
        <f>IF(LogicCommon!C3="","",LogicCommon!C3)</f>
        <v>MSLA</v>
      </c>
      <c r="G3" s="7" t="s">
        <v>3</v>
      </c>
      <c r="H3" s="43" t="str">
        <f>IF(LogicCommon!E3="","",LogicCommon!E3)</f>
        <v>MSLAL_ShipActRecvIfService</v>
      </c>
      <c r="I3" s="7" t="s">
        <v>31</v>
      </c>
      <c r="J3" s="34" t="s">
        <v>24</v>
      </c>
      <c r="K3" s="7" t="s">
        <v>26</v>
      </c>
      <c r="L3" s="43" t="str">
        <f>IF(LogicCommon!G3="","",LogicCommon!G3)</f>
        <v/>
      </c>
      <c r="M3" s="48"/>
      <c r="N3" s="7"/>
      <c r="O3" s="7" t="s">
        <v>37</v>
      </c>
      <c r="P3" s="34" t="s">
        <v>38</v>
      </c>
      <c r="Q3" s="4"/>
      <c r="R3" s="5"/>
      <c r="S3" s="5"/>
      <c r="T3" s="5"/>
      <c r="U3" s="5"/>
    </row>
    <row r="4" spans="1:21" s="9" customFormat="1" x14ac:dyDescent="0.2">
      <c r="A4" s="45" t="s">
        <v>28</v>
      </c>
      <c r="B4" s="46"/>
      <c r="C4" s="46"/>
      <c r="D4" s="4"/>
      <c r="E4" s="7" t="s">
        <v>17</v>
      </c>
      <c r="F4" s="49" t="s">
        <v>32</v>
      </c>
      <c r="G4" s="7" t="s">
        <v>4</v>
      </c>
      <c r="H4" s="43" t="str">
        <f>IF(LogicCommon!E4="","",LogicCommon!E4)</f>
        <v>ＥＤＩ出荷実績受信ＩＦサービス</v>
      </c>
      <c r="I4" s="7" t="s">
        <v>33</v>
      </c>
      <c r="J4" s="34" t="s">
        <v>85</v>
      </c>
      <c r="K4" s="7" t="s">
        <v>5</v>
      </c>
      <c r="L4" s="43" t="str">
        <f>IF(LogicCommon!G4="","",LogicCommon!G4)</f>
        <v>MS.MSLAL6040</v>
      </c>
      <c r="M4" s="50" t="s">
        <v>29</v>
      </c>
      <c r="N4" s="44"/>
      <c r="O4" s="51"/>
      <c r="P4" s="4"/>
      <c r="Q4" s="4"/>
      <c r="R4" s="5"/>
      <c r="S4" s="5"/>
      <c r="T4" s="5"/>
      <c r="U4" s="5"/>
    </row>
    <row r="5" spans="1:21" s="9" customFormat="1" x14ac:dyDescent="0.2">
      <c r="A5" s="52" t="s">
        <v>28</v>
      </c>
      <c r="B5" s="42"/>
      <c r="C5" s="42"/>
      <c r="D5" s="20"/>
      <c r="E5" s="7" t="s">
        <v>39</v>
      </c>
      <c r="F5" s="49"/>
      <c r="G5" s="53"/>
      <c r="H5" s="53"/>
      <c r="I5" s="53"/>
      <c r="J5" s="53"/>
      <c r="K5" s="53"/>
      <c r="L5" s="6"/>
      <c r="M5" s="5"/>
      <c r="N5" s="5"/>
      <c r="O5" s="51"/>
      <c r="P5" s="4"/>
      <c r="Q5" s="4"/>
      <c r="R5" s="5"/>
      <c r="S5" s="5"/>
      <c r="T5" s="5"/>
      <c r="U5" s="5"/>
    </row>
    <row r="6" spans="1:21" s="9" customFormat="1" x14ac:dyDescent="0.2">
      <c r="A6" s="45" t="s">
        <v>28</v>
      </c>
      <c r="B6" s="46"/>
      <c r="C6" s="46"/>
      <c r="D6" s="4" t="s">
        <v>8</v>
      </c>
      <c r="E6" s="11" t="s">
        <v>86</v>
      </c>
      <c r="F6" s="11"/>
      <c r="G6" s="11"/>
      <c r="H6" s="11"/>
      <c r="I6" s="11"/>
      <c r="J6" s="11"/>
      <c r="K6" s="11"/>
      <c r="L6" s="54"/>
      <c r="M6" s="14" t="s">
        <v>34</v>
      </c>
      <c r="N6" s="14"/>
      <c r="O6" s="14" t="s">
        <v>34</v>
      </c>
      <c r="P6" s="14"/>
      <c r="Q6" s="14" t="s">
        <v>34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34" t="s">
        <v>20</v>
      </c>
      <c r="L7" s="23" t="s">
        <v>21</v>
      </c>
      <c r="M7" s="35"/>
      <c r="N7" s="23" t="s">
        <v>21</v>
      </c>
      <c r="O7" s="35"/>
      <c r="P7" s="23" t="s">
        <v>21</v>
      </c>
      <c r="Q7" s="35"/>
      <c r="R7" s="4"/>
      <c r="S7" s="4"/>
      <c r="T7" s="4"/>
      <c r="U7" s="4"/>
    </row>
    <row r="8" spans="1:21" s="9" customFormat="1" ht="60" customHeight="1" x14ac:dyDescent="0.2">
      <c r="A8" s="35" t="s">
        <v>18</v>
      </c>
      <c r="B8" s="59"/>
      <c r="C8" s="60"/>
      <c r="D8" s="23" t="s">
        <v>90</v>
      </c>
      <c r="E8" s="23" t="s">
        <v>91</v>
      </c>
      <c r="F8" s="54"/>
      <c r="G8" s="23" t="s">
        <v>27</v>
      </c>
      <c r="H8" s="23" t="s">
        <v>92</v>
      </c>
      <c r="I8" s="54"/>
      <c r="J8" s="3"/>
      <c r="K8" s="34"/>
      <c r="L8" s="23" t="s">
        <v>22</v>
      </c>
      <c r="M8" s="35"/>
      <c r="N8" s="23" t="s">
        <v>23</v>
      </c>
      <c r="O8" s="35"/>
      <c r="P8" s="23" t="s">
        <v>23</v>
      </c>
      <c r="Q8" s="35"/>
      <c r="R8" s="3"/>
      <c r="S8" s="20"/>
      <c r="T8" s="117" t="s">
        <v>101</v>
      </c>
      <c r="U8" s="118"/>
    </row>
    <row r="9" spans="1:21" s="9" customFormat="1" ht="60" customHeight="1" x14ac:dyDescent="0.2">
      <c r="A9" s="34" t="s">
        <v>18</v>
      </c>
      <c r="B9" s="24"/>
      <c r="C9" s="55"/>
      <c r="D9" s="23" t="s">
        <v>93</v>
      </c>
      <c r="E9" s="65" t="s">
        <v>94</v>
      </c>
      <c r="F9" s="23" t="s">
        <v>95</v>
      </c>
      <c r="G9" s="23" t="s">
        <v>96</v>
      </c>
      <c r="H9" s="23" t="s">
        <v>97</v>
      </c>
      <c r="I9" s="66" t="s">
        <v>98</v>
      </c>
      <c r="J9" s="23" t="s">
        <v>99</v>
      </c>
      <c r="K9" s="58"/>
      <c r="L9" s="66"/>
      <c r="M9" s="23"/>
      <c r="N9" s="23"/>
      <c r="O9" s="23"/>
      <c r="P9" s="23"/>
      <c r="Q9" s="23"/>
      <c r="R9" s="117" t="s">
        <v>100</v>
      </c>
      <c r="S9" s="118"/>
      <c r="T9" s="117" t="s">
        <v>102</v>
      </c>
      <c r="U9" s="118"/>
    </row>
    <row r="10" spans="1:21" s="9" customFormat="1" ht="39" x14ac:dyDescent="0.2">
      <c r="A10" s="24" t="s">
        <v>18</v>
      </c>
      <c r="B10" s="26"/>
      <c r="C10" s="26"/>
      <c r="D10" s="27"/>
      <c r="E10" s="25"/>
      <c r="F10" s="25"/>
      <c r="G10" s="28"/>
      <c r="H10" s="28"/>
      <c r="I10" s="25"/>
      <c r="J10" s="25"/>
      <c r="K10" s="29"/>
      <c r="L10" s="23" t="s">
        <v>98</v>
      </c>
      <c r="M10" s="23" t="s">
        <v>99</v>
      </c>
      <c r="N10" s="23" t="s">
        <v>98</v>
      </c>
      <c r="O10" s="23" t="s">
        <v>99</v>
      </c>
      <c r="P10" s="23" t="s">
        <v>98</v>
      </c>
      <c r="Q10" s="23" t="s">
        <v>99</v>
      </c>
      <c r="R10" s="25"/>
      <c r="S10" s="25"/>
      <c r="T10" s="30"/>
      <c r="U10" s="41"/>
    </row>
    <row r="11" spans="1:21" s="9" customFormat="1" x14ac:dyDescent="0.2">
      <c r="A11" s="21"/>
      <c r="B11" s="22"/>
      <c r="C11" s="22"/>
      <c r="D11" s="15" t="s">
        <v>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7"/>
    </row>
    <row r="12" spans="1:21" s="9" customFormat="1" x14ac:dyDescent="0.2">
      <c r="A12" s="45"/>
      <c r="U12" s="56"/>
    </row>
    <row r="13" spans="1:21" s="9" customFormat="1" x14ac:dyDescent="0.2">
      <c r="A13" s="45"/>
      <c r="U13" s="56"/>
    </row>
    <row r="14" spans="1:21" s="9" customFormat="1" x14ac:dyDescent="0.2">
      <c r="A14" s="45"/>
      <c r="U14" s="56"/>
    </row>
    <row r="15" spans="1:21" s="9" customFormat="1" x14ac:dyDescent="0.2">
      <c r="A15" s="45"/>
      <c r="U15" s="56"/>
    </row>
    <row r="16" spans="1:21" s="9" customFormat="1" x14ac:dyDescent="0.2">
      <c r="A16" s="45"/>
      <c r="U16" s="56"/>
    </row>
    <row r="17" spans="1:21" s="9" customFormat="1" x14ac:dyDescent="0.2">
      <c r="A17" s="45"/>
      <c r="U17" s="56"/>
    </row>
    <row r="18" spans="1:21" s="9" customFormat="1" x14ac:dyDescent="0.2">
      <c r="A18" s="45"/>
      <c r="U18" s="56"/>
    </row>
    <row r="19" spans="1:21" s="9" customFormat="1" x14ac:dyDescent="0.2">
      <c r="A19" s="45"/>
      <c r="U19" s="56"/>
    </row>
    <row r="20" spans="1:21" s="9" customFormat="1" x14ac:dyDescent="0.2">
      <c r="A20" s="45"/>
      <c r="U20" s="56"/>
    </row>
    <row r="21" spans="1:21" s="9" customFormat="1" x14ac:dyDescent="0.2">
      <c r="A21" s="45"/>
      <c r="U21" s="56"/>
    </row>
    <row r="22" spans="1:21" s="9" customFormat="1" x14ac:dyDescent="0.2">
      <c r="A22" s="45"/>
      <c r="U22" s="56"/>
    </row>
    <row r="23" spans="1:21" s="9" customFormat="1" x14ac:dyDescent="0.2">
      <c r="A23" s="45"/>
      <c r="U23" s="56"/>
    </row>
    <row r="24" spans="1:21" s="9" customFormat="1" x14ac:dyDescent="0.2">
      <c r="A24" s="52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57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1" customWidth="1"/>
    <col min="43" max="44" width="2.08984375" style="33" customWidth="1"/>
    <col min="45" max="71" width="2.08984375" style="31" customWidth="1"/>
    <col min="72" max="256" width="9" style="31"/>
    <col min="257" max="327" width="2.08984375" style="31" customWidth="1"/>
    <col min="328" max="512" width="9" style="31"/>
    <col min="513" max="583" width="2.08984375" style="31" customWidth="1"/>
    <col min="584" max="768" width="9" style="31"/>
    <col min="769" max="839" width="2.08984375" style="31" customWidth="1"/>
    <col min="840" max="1024" width="9" style="31"/>
    <col min="1025" max="1095" width="2.08984375" style="31" customWidth="1"/>
    <col min="1096" max="1280" width="9" style="31"/>
    <col min="1281" max="1351" width="2.08984375" style="31" customWidth="1"/>
    <col min="1352" max="1536" width="9" style="31"/>
    <col min="1537" max="1607" width="2.08984375" style="31" customWidth="1"/>
    <col min="1608" max="1792" width="9" style="31"/>
    <col min="1793" max="1863" width="2.08984375" style="31" customWidth="1"/>
    <col min="1864" max="2048" width="9" style="31"/>
    <col min="2049" max="2119" width="2.08984375" style="31" customWidth="1"/>
    <col min="2120" max="2304" width="9" style="31"/>
    <col min="2305" max="2375" width="2.08984375" style="31" customWidth="1"/>
    <col min="2376" max="2560" width="9" style="31"/>
    <col min="2561" max="2631" width="2.08984375" style="31" customWidth="1"/>
    <col min="2632" max="2816" width="9" style="31"/>
    <col min="2817" max="2887" width="2.08984375" style="31" customWidth="1"/>
    <col min="2888" max="3072" width="9" style="31"/>
    <col min="3073" max="3143" width="2.08984375" style="31" customWidth="1"/>
    <col min="3144" max="3328" width="9" style="31"/>
    <col min="3329" max="3399" width="2.08984375" style="31" customWidth="1"/>
    <col min="3400" max="3584" width="9" style="31"/>
    <col min="3585" max="3655" width="2.08984375" style="31" customWidth="1"/>
    <col min="3656" max="3840" width="9" style="31"/>
    <col min="3841" max="3911" width="2.08984375" style="31" customWidth="1"/>
    <col min="3912" max="4096" width="9" style="31"/>
    <col min="4097" max="4167" width="2.08984375" style="31" customWidth="1"/>
    <col min="4168" max="4352" width="9" style="31"/>
    <col min="4353" max="4423" width="2.08984375" style="31" customWidth="1"/>
    <col min="4424" max="4608" width="9" style="31"/>
    <col min="4609" max="4679" width="2.08984375" style="31" customWidth="1"/>
    <col min="4680" max="4864" width="9" style="31"/>
    <col min="4865" max="4935" width="2.08984375" style="31" customWidth="1"/>
    <col min="4936" max="5120" width="9" style="31"/>
    <col min="5121" max="5191" width="2.08984375" style="31" customWidth="1"/>
    <col min="5192" max="5376" width="9" style="31"/>
    <col min="5377" max="5447" width="2.08984375" style="31" customWidth="1"/>
    <col min="5448" max="5632" width="9" style="31"/>
    <col min="5633" max="5703" width="2.08984375" style="31" customWidth="1"/>
    <col min="5704" max="5888" width="9" style="31"/>
    <col min="5889" max="5959" width="2.08984375" style="31" customWidth="1"/>
    <col min="5960" max="6144" width="9" style="31"/>
    <col min="6145" max="6215" width="2.08984375" style="31" customWidth="1"/>
    <col min="6216" max="6400" width="9" style="31"/>
    <col min="6401" max="6471" width="2.08984375" style="31" customWidth="1"/>
    <col min="6472" max="6656" width="9" style="31"/>
    <col min="6657" max="6727" width="2.08984375" style="31" customWidth="1"/>
    <col min="6728" max="6912" width="9" style="31"/>
    <col min="6913" max="6983" width="2.08984375" style="31" customWidth="1"/>
    <col min="6984" max="7168" width="9" style="31"/>
    <col min="7169" max="7239" width="2.08984375" style="31" customWidth="1"/>
    <col min="7240" max="7424" width="9" style="31"/>
    <col min="7425" max="7495" width="2.08984375" style="31" customWidth="1"/>
    <col min="7496" max="7680" width="9" style="31"/>
    <col min="7681" max="7751" width="2.08984375" style="31" customWidth="1"/>
    <col min="7752" max="7936" width="9" style="31"/>
    <col min="7937" max="8007" width="2.08984375" style="31" customWidth="1"/>
    <col min="8008" max="8192" width="9" style="31"/>
    <col min="8193" max="8263" width="2.08984375" style="31" customWidth="1"/>
    <col min="8264" max="8448" width="9" style="31"/>
    <col min="8449" max="8519" width="2.08984375" style="31" customWidth="1"/>
    <col min="8520" max="8704" width="9" style="31"/>
    <col min="8705" max="8775" width="2.08984375" style="31" customWidth="1"/>
    <col min="8776" max="8960" width="9" style="31"/>
    <col min="8961" max="9031" width="2.08984375" style="31" customWidth="1"/>
    <col min="9032" max="9216" width="9" style="31"/>
    <col min="9217" max="9287" width="2.08984375" style="31" customWidth="1"/>
    <col min="9288" max="9472" width="9" style="31"/>
    <col min="9473" max="9543" width="2.08984375" style="31" customWidth="1"/>
    <col min="9544" max="9728" width="9" style="31"/>
    <col min="9729" max="9799" width="2.08984375" style="31" customWidth="1"/>
    <col min="9800" max="9984" width="9" style="31"/>
    <col min="9985" max="10055" width="2.08984375" style="31" customWidth="1"/>
    <col min="10056" max="10240" width="9" style="31"/>
    <col min="10241" max="10311" width="2.08984375" style="31" customWidth="1"/>
    <col min="10312" max="10496" width="9" style="31"/>
    <col min="10497" max="10567" width="2.08984375" style="31" customWidth="1"/>
    <col min="10568" max="10752" width="9" style="31"/>
    <col min="10753" max="10823" width="2.08984375" style="31" customWidth="1"/>
    <col min="10824" max="11008" width="9" style="31"/>
    <col min="11009" max="11079" width="2.08984375" style="31" customWidth="1"/>
    <col min="11080" max="11264" width="9" style="31"/>
    <col min="11265" max="11335" width="2.08984375" style="31" customWidth="1"/>
    <col min="11336" max="11520" width="9" style="31"/>
    <col min="11521" max="11591" width="2.08984375" style="31" customWidth="1"/>
    <col min="11592" max="11776" width="9" style="31"/>
    <col min="11777" max="11847" width="2.08984375" style="31" customWidth="1"/>
    <col min="11848" max="12032" width="9" style="31"/>
    <col min="12033" max="12103" width="2.08984375" style="31" customWidth="1"/>
    <col min="12104" max="12288" width="9" style="31"/>
    <col min="12289" max="12359" width="2.08984375" style="31" customWidth="1"/>
    <col min="12360" max="12544" width="9" style="31"/>
    <col min="12545" max="12615" width="2.08984375" style="31" customWidth="1"/>
    <col min="12616" max="12800" width="9" style="31"/>
    <col min="12801" max="12871" width="2.08984375" style="31" customWidth="1"/>
    <col min="12872" max="13056" width="9" style="31"/>
    <col min="13057" max="13127" width="2.08984375" style="31" customWidth="1"/>
    <col min="13128" max="13312" width="9" style="31"/>
    <col min="13313" max="13383" width="2.08984375" style="31" customWidth="1"/>
    <col min="13384" max="13568" width="9" style="31"/>
    <col min="13569" max="13639" width="2.08984375" style="31" customWidth="1"/>
    <col min="13640" max="13824" width="9" style="31"/>
    <col min="13825" max="13895" width="2.08984375" style="31" customWidth="1"/>
    <col min="13896" max="14080" width="9" style="31"/>
    <col min="14081" max="14151" width="2.08984375" style="31" customWidth="1"/>
    <col min="14152" max="14336" width="9" style="31"/>
    <col min="14337" max="14407" width="2.08984375" style="31" customWidth="1"/>
    <col min="14408" max="14592" width="9" style="31"/>
    <col min="14593" max="14663" width="2.08984375" style="31" customWidth="1"/>
    <col min="14664" max="14848" width="9" style="31"/>
    <col min="14849" max="14919" width="2.08984375" style="31" customWidth="1"/>
    <col min="14920" max="15104" width="9" style="31"/>
    <col min="15105" max="15175" width="2.08984375" style="31" customWidth="1"/>
    <col min="15176" max="15360" width="9" style="31"/>
    <col min="15361" max="15431" width="2.08984375" style="31" customWidth="1"/>
    <col min="15432" max="15616" width="9" style="31"/>
    <col min="15617" max="15687" width="2.08984375" style="31" customWidth="1"/>
    <col min="15688" max="15872" width="9" style="31"/>
    <col min="15873" max="15943" width="2.08984375" style="31" customWidth="1"/>
    <col min="15944" max="16128" width="9" style="31"/>
    <col min="16129" max="16199" width="2.08984375" style="31" customWidth="1"/>
    <col min="16200" max="16384" width="9" style="31"/>
  </cols>
  <sheetData>
    <row r="1" spans="1:57" ht="38.25" customHeight="1" thickBot="1" x14ac:dyDescent="0.25">
      <c r="A1" s="96" t="s">
        <v>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57" ht="15" customHeight="1" thickBot="1" x14ac:dyDescent="0.25">
      <c r="A3" s="99" t="s">
        <v>10</v>
      </c>
      <c r="B3" s="100"/>
      <c r="C3" s="100"/>
      <c r="D3" s="100"/>
      <c r="E3" s="100"/>
      <c r="F3" s="100"/>
      <c r="G3" s="101"/>
      <c r="H3" s="102" t="s">
        <v>11</v>
      </c>
      <c r="I3" s="100"/>
      <c r="J3" s="100"/>
      <c r="K3" s="100"/>
      <c r="L3" s="100"/>
      <c r="M3" s="100"/>
      <c r="N3" s="101"/>
      <c r="O3" s="102" t="s">
        <v>12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13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14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103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104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ShipActRecvIf_Chk01</vt:lpstr>
      <vt:lpstr>ShipActRecvIf_Upd01</vt:lpstr>
      <vt:lpstr>ShipActRecvIf_Upd02</vt:lpstr>
      <vt:lpstr>ShipActRecvIf_Upd03</vt:lpstr>
      <vt:lpstr>ShipActRecvIf_Upd04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2026-03-27T06:01:17Z</dcterms:modified>
  <cp:category/>
</cp:coreProperties>
</file>