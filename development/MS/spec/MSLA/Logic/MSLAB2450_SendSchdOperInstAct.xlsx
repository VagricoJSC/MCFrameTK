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54A2C635-1DA7-45AF-AAA4-5339316B205A}" xr6:coauthVersionLast="47" xr6:coauthVersionMax="47" xr10:uidLastSave="{00000000-0000-0000-0000-000000000000}"/>
  <bookViews>
    <workbookView xWindow="1710" yWindow="1710" windowWidth="21600" windowHeight="11265" tabRatio="794" activeTab="1" xr2:uid="{00000000-000D-0000-FFFF-FFFF00000000}"/>
  </bookViews>
  <sheets>
    <sheet name="LogicCommon" sheetId="3" r:id="rId1"/>
    <sheet name="SendSchdOperInstAc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<sst xmlns="http://schemas.openxmlformats.org/spreadsheetml/2006/main" count="141" uniqueCount="113">
  <si>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</si>
  <si>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</si>
  <si>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</si>
  <si>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</si>
  <si>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</si>
  <si>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</si>
  <si>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</si>
  <si>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</si>
  <si>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</si>
  <si>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</si>
  <si>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</si>
  <si>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</si>
  <si>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</si>
  <si>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</si>
  <si>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</si>
  <si>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</si>
  <si>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</si>
  <si>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</si>
  <si>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</si>
  <si>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</si>
  <si>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</si>
  <si>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</si>
  <si>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</si>
  <si>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</si>
  <si>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</si>
  <si>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</si>
  <si>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</si>
  <si>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</si>
  <si>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</si>
  <si>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</si>
  <si>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</si>
  <si>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</si>
  <si>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</si>
  <si>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</si>
  <si>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</si>
  <si>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</si>
  <si>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</si>
  <si>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</si>
  <si>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</si>
  <si>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</si>
  <si>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</si>
  <si>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</si>
  <si>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</si>
  <si>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</si>
  <si>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</si>
  <si>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</si>
  <si>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</si>
  <si>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</si>
  <si>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</si>
  <si>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</si>
  <si>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</si>
  <si>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</si>
  <si>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</si>
  <si>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</si>
  <si>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</si>
  <si>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</si>
  <si>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</si>
  <si>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</si>
  <si>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</si>
  <si>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</si>
  <si>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</si>
  <si>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</si>
  <si>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#MA.DT</t>
    <phoneticPr fontId="4"/>
  </si>
  <si>
    <t>#MA.SITE_CD</t>
    <phoneticPr fontId="4"/>
  </si>
  <si>
    <t>#MA.LOC_CD</t>
    <phoneticPr fontId="4"/>
  </si>
  <si>
    <t>site_cd</t>
    <phoneticPr fontId="4"/>
  </si>
  <si>
    <t>mfg_loc_cd</t>
    <phoneticPr fontId="4"/>
  </si>
  <si>
    <t>工場・物流倉庫ＣＤ</t>
    <phoneticPr fontId="4"/>
  </si>
  <si>
    <t>#MS.IF_SCHEDULER_TYP</t>
    <phoneticPr fontId="4"/>
  </si>
  <si>
    <t>if_scheduler_typ</t>
    <phoneticPr fontId="4"/>
  </si>
  <si>
    <t>MS.MSLAB5010</t>
    <phoneticPr fontId="4"/>
  </si>
  <si>
    <t>$super$</t>
    <phoneticPr fontId="4"/>
  </si>
  <si>
    <t>MS.MSLAB5010.SchedulerSendBatchBase_Upd01.SchedulerSendBatchBase_Upd01_Cnd</t>
    <phoneticPr fontId="4"/>
  </si>
  <si>
    <t>"mcframe.serverMSLA.MSLAB5010.MSLAB_SchedulerSendBatchBase.SchedulerSendBatchBase_Upd01"</t>
    <phoneticPr fontId="2"/>
  </si>
  <si>
    <t>製造場所グループＣＤ</t>
    <phoneticPr fontId="4"/>
  </si>
  <si>
    <t>term_from</t>
    <phoneticPr fontId="4"/>
  </si>
  <si>
    <t>対象期間ＦＲＯＭ</t>
    <phoneticPr fontId="4"/>
  </si>
  <si>
    <t>term_to</t>
    <phoneticPr fontId="4"/>
  </si>
  <si>
    <t>対象期間ＴＯ</t>
    <phoneticPr fontId="4"/>
  </si>
  <si>
    <t>連携スケジューラ区分</t>
    <phoneticPr fontId="4"/>
  </si>
  <si>
    <t>製造場所ＣＤ</t>
    <rPh sb="0" eb="2">
      <t>セイゾウ</t>
    </rPh>
    <phoneticPr fontId="4"/>
  </si>
  <si>
    <t>MSLAB2450</t>
    <phoneticPr fontId="4"/>
  </si>
  <si>
    <t>MSLAB_SendSchdOperInstAct</t>
    <phoneticPr fontId="4"/>
  </si>
  <si>
    <t>スケジューラ用工程指図実績ＩＦ送信</t>
    <rPh sb="6" eb="7">
      <t>ヨウ</t>
    </rPh>
    <rPh sb="7" eb="9">
      <t>コウテイ</t>
    </rPh>
    <rPh sb="9" eb="11">
      <t>サシズ</t>
    </rPh>
    <rPh sb="11" eb="13">
      <t>ジッセキ</t>
    </rPh>
    <rPh sb="15" eb="17">
      <t>ソウシン</t>
    </rPh>
    <phoneticPr fontId="1"/>
  </si>
  <si>
    <t>SendSchdOperInstAct_Upd01</t>
    <phoneticPr fontId="4"/>
  </si>
  <si>
    <t>スケジューラ連携用の工程指図、工程実績情報をＩＦテーブルに登録する。</t>
    <rPh sb="6" eb="8">
      <t>レンケイ</t>
    </rPh>
    <rPh sb="8" eb="9">
      <t>ヨウ</t>
    </rPh>
    <rPh sb="10" eb="12">
      <t>コウテイ</t>
    </rPh>
    <rPh sb="12" eb="14">
      <t>サシズ</t>
    </rPh>
    <rPh sb="15" eb="17">
      <t>コウテイ</t>
    </rPh>
    <rPh sb="17" eb="19">
      <t>ジッセキ</t>
    </rPh>
    <rPh sb="19" eb="21">
      <t>ジョウホウ</t>
    </rPh>
    <rPh sb="29" eb="31">
      <t>トウロク</t>
    </rPh>
    <phoneticPr fontId="1"/>
  </si>
  <si>
    <t>SendSchdOperInstAct_Upd01_Cnd</t>
    <phoneticPr fontId="4"/>
  </si>
  <si>
    <t>mfg_loc_grp_cd</t>
    <phoneticPr fontId="4"/>
  </si>
  <si>
    <t>#MA.LOC_GRP_CD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</si>
  <si>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</si>
  <si>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</si>
  <si>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</si>
  <si>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</si>
  <si>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</si>
  <si>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</si>
  <si>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</si>
  <si>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</si>
  <si>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</si>
  <si>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</si>
  <si>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</si>
  <si>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</si>
  <si>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</si>
  <si>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</si>
  <si>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</si>
  <si>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WG cd.</t>
  </si>
  <si>
    <t>Mfg. location group cd.</t>
  </si>
  <si>
    <t>Factory/Distribution warehouse cd.</t>
  </si>
  <si>
    <t>Mfg. location cd.</t>
  </si>
  <si>
    <t>Term FROM</t>
  </si>
  <si>
    <t>Term TO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</si>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</sst>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0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wrapText="1"/>
    </xf>
    <xf numFmtId="0" fontId="7" fillId="2" borderId="9" xfId="0" applyFont="1" applyFill="1" applyBorder="1" applyAlignment="1">
      <alignment vertical="top"/>
    </xf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3" borderId="9" xfId="0" applyFont="1" applyFill="1" applyBorder="1" applyAlignment="1"/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130" zoomScaleNormal="130" zoomScaleSheetLayoutView="85" workbookViewId="0">
      <selection activeCell="E3" sqref="E3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81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82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83</v>
      </c>
      <c r="F4" s="7" t="s">
        <v>48</v>
      </c>
      <c r="G4" s="8" t="s">
        <v>70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tabSelected="1" topLeftCell="A10" zoomScale="115" zoomScaleNormal="115" zoomScaleSheetLayoutView="85" workbookViewId="0">
      <selection activeCell="D16" sqref="D16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1" t="s">
        <v>89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MSLAB2450</v>
      </c>
      <c r="I2" s="7" t="s">
        <v>30</v>
      </c>
      <c r="J2" s="8" t="s">
        <v>84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73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MSLAB_SendSchdOperInstAct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スケジューラ用工程指図実績ＩＦ送信</v>
      </c>
      <c r="I4" s="7" t="s">
        <v>37</v>
      </c>
      <c r="J4" s="8" t="s">
        <v>57</v>
      </c>
      <c r="K4" s="7" t="s">
        <v>38</v>
      </c>
      <c r="L4" s="35" t="str">
        <f>IF(LogicCommon!G4="","",LogicCommon!G4)</f>
        <v>MS.MSLAB5010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85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2"/>
      <c r="C8" s="63"/>
      <c r="D8" s="24" t="s">
        <v>90</v>
      </c>
      <c r="E8" s="24" t="s">
        <v>91</v>
      </c>
      <c r="F8" s="45"/>
      <c r="G8" s="24" t="s">
        <v>41</v>
      </c>
      <c r="H8" s="24" t="s">
        <v>92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68" t="s">
        <v>93</v>
      </c>
      <c r="U8" s="69"/>
    </row>
    <row r="9" spans="1:21" s="10" customFormat="1" ht="60" customHeight="1" x14ac:dyDescent="0.2">
      <c r="A9" s="8" t="s">
        <v>13</v>
      </c>
      <c r="B9" s="27"/>
      <c r="C9" s="47"/>
      <c r="D9" s="24" t="s">
        <v>94</v>
      </c>
      <c r="E9" s="64" t="s">
        <v>95</v>
      </c>
      <c r="F9" s="24" t="s">
        <v>96</v>
      </c>
      <c r="G9" s="24" t="s">
        <v>97</v>
      </c>
      <c r="H9" s="24" t="s">
        <v>98</v>
      </c>
      <c r="I9" s="65" t="s">
        <v>99</v>
      </c>
      <c r="J9" s="24" t="s">
        <v>100</v>
      </c>
      <c r="K9" s="61"/>
      <c r="L9" s="66"/>
      <c r="M9" s="67"/>
      <c r="N9" s="67"/>
      <c r="O9" s="67"/>
      <c r="P9" s="67"/>
      <c r="Q9" s="67"/>
      <c r="R9" s="68" t="s">
        <v>101</v>
      </c>
      <c r="S9" s="69"/>
      <c r="T9" s="68" t="s">
        <v>102</v>
      </c>
      <c r="U9" s="69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ht="39" x14ac:dyDescent="0.2">
      <c r="A11" s="8">
        <v>10</v>
      </c>
      <c r="B11" s="27" t="s">
        <v>51</v>
      </c>
      <c r="C11" s="47"/>
      <c r="D11" s="23" t="s">
        <v>86</v>
      </c>
      <c r="E11" s="26" t="s">
        <v>52</v>
      </c>
      <c r="F11" s="32"/>
      <c r="G11" s="23" t="s">
        <v>71</v>
      </c>
      <c r="H11" s="46" t="s">
        <v>72</v>
      </c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55</v>
      </c>
      <c r="E12" s="25" t="s">
        <v>56</v>
      </c>
      <c r="F12" s="25"/>
      <c r="G12" s="56" t="s">
        <v>103</v>
      </c>
      <c r="H12" s="56" t="s">
        <v>58</v>
      </c>
      <c r="I12" s="8" t="s">
        <v>54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55"/>
      <c r="U12" s="60"/>
    </row>
    <row r="13" spans="1:21" s="10" customFormat="1" x14ac:dyDescent="0.2">
      <c r="A13" s="8">
        <v>10</v>
      </c>
      <c r="B13" s="8"/>
      <c r="C13" s="8"/>
      <c r="D13" s="8" t="s">
        <v>59</v>
      </c>
      <c r="E13" s="25" t="s">
        <v>60</v>
      </c>
      <c r="F13" s="25"/>
      <c r="G13" s="56" t="s">
        <v>104</v>
      </c>
      <c r="H13" s="56" t="s">
        <v>61</v>
      </c>
      <c r="I13" s="8" t="s">
        <v>54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55"/>
      <c r="U13" s="60"/>
    </row>
    <row r="14" spans="1:21" s="10" customFormat="1" x14ac:dyDescent="0.2">
      <c r="A14" s="8">
        <v>10</v>
      </c>
      <c r="B14" s="8"/>
      <c r="C14" s="8"/>
      <c r="D14" s="8" t="s">
        <v>87</v>
      </c>
      <c r="E14" s="25" t="s">
        <v>88</v>
      </c>
      <c r="F14" s="25"/>
      <c r="G14" s="56" t="s">
        <v>105</v>
      </c>
      <c r="H14" s="56" t="s">
        <v>74</v>
      </c>
      <c r="I14" s="8" t="s">
        <v>54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55"/>
      <c r="U14" s="60"/>
    </row>
    <row r="15" spans="1:21" s="10" customFormat="1" ht="26" x14ac:dyDescent="0.2">
      <c r="A15" s="8">
        <v>10</v>
      </c>
      <c r="B15" s="8"/>
      <c r="C15" s="8"/>
      <c r="D15" s="8" t="s">
        <v>65</v>
      </c>
      <c r="E15" s="25" t="s">
        <v>63</v>
      </c>
      <c r="F15" s="25"/>
      <c r="G15" s="56" t="s">
        <v>106</v>
      </c>
      <c r="H15" s="56" t="s">
        <v>67</v>
      </c>
      <c r="I15" s="8" t="s">
        <v>54</v>
      </c>
      <c r="J15" s="8" t="s">
        <v>53</v>
      </c>
      <c r="K15" s="8"/>
      <c r="L15" s="8"/>
      <c r="M15" s="8"/>
      <c r="N15" s="8"/>
      <c r="O15" s="8"/>
      <c r="P15" s="8"/>
      <c r="Q15" s="8"/>
      <c r="R15" s="53"/>
      <c r="S15" s="54"/>
      <c r="T15" s="55"/>
      <c r="U15" s="60"/>
    </row>
    <row r="16" spans="1:21" s="10" customFormat="1" x14ac:dyDescent="0.2">
      <c r="A16" s="8">
        <v>10</v>
      </c>
      <c r="B16" s="8"/>
      <c r="C16" s="8"/>
      <c r="D16" s="8" t="s">
        <v>66</v>
      </c>
      <c r="E16" s="25" t="s">
        <v>64</v>
      </c>
      <c r="F16" s="25"/>
      <c r="G16" s="56" t="s">
        <v>107</v>
      </c>
      <c r="H16" s="56" t="s">
        <v>80</v>
      </c>
      <c r="I16" s="8" t="s">
        <v>54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60"/>
    </row>
    <row r="17" spans="1:21" s="10" customFormat="1" x14ac:dyDescent="0.2">
      <c r="A17" s="8">
        <v>10</v>
      </c>
      <c r="B17" s="8"/>
      <c r="C17" s="8"/>
      <c r="D17" s="8" t="s">
        <v>75</v>
      </c>
      <c r="E17" s="25" t="s">
        <v>62</v>
      </c>
      <c r="F17" s="25"/>
      <c r="G17" s="56" t="s">
        <v>108</v>
      </c>
      <c r="H17" s="56" t="s">
        <v>76</v>
      </c>
      <c r="I17" s="8" t="s">
        <v>54</v>
      </c>
      <c r="J17" s="8" t="s">
        <v>53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60"/>
    </row>
    <row r="18" spans="1:21" s="10" customFormat="1" x14ac:dyDescent="0.2">
      <c r="A18" s="8">
        <v>10</v>
      </c>
      <c r="B18" s="8"/>
      <c r="C18" s="8"/>
      <c r="D18" s="8" t="s">
        <v>77</v>
      </c>
      <c r="E18" s="25" t="s">
        <v>62</v>
      </c>
      <c r="F18" s="25"/>
      <c r="G18" s="56" t="s">
        <v>109</v>
      </c>
      <c r="H18" s="56" t="s">
        <v>78</v>
      </c>
      <c r="I18" s="8" t="s">
        <v>54</v>
      </c>
      <c r="J18" s="8" t="s">
        <v>53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60"/>
    </row>
    <row r="19" spans="1:21" s="10" customFormat="1" x14ac:dyDescent="0.2">
      <c r="A19" s="8">
        <v>10</v>
      </c>
      <c r="B19" s="8"/>
      <c r="C19" s="8"/>
      <c r="D19" s="8" t="s">
        <v>69</v>
      </c>
      <c r="E19" s="25" t="s">
        <v>68</v>
      </c>
      <c r="F19" s="25"/>
      <c r="G19" s="56" t="s">
        <v>110</v>
      </c>
      <c r="H19" s="56" t="s">
        <v>79</v>
      </c>
      <c r="I19" s="8" t="s">
        <v>54</v>
      </c>
      <c r="J19" s="8" t="s">
        <v>53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60"/>
    </row>
  </sheetData>
  <mergeCells count="3">
    <mergeCell ref="T8:U8"/>
    <mergeCell ref="R9:S9"/>
    <mergeCell ref="T9:U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305-2623-4A15-9144-7366B935FBFE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98" t="s">
        <v>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100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101" t="s">
        <v>6</v>
      </c>
      <c r="B3" s="102"/>
      <c r="C3" s="102"/>
      <c r="D3" s="102"/>
      <c r="E3" s="102"/>
      <c r="F3" s="102"/>
      <c r="G3" s="103"/>
      <c r="H3" s="104" t="s">
        <v>7</v>
      </c>
      <c r="I3" s="102"/>
      <c r="J3" s="102"/>
      <c r="K3" s="102"/>
      <c r="L3" s="102"/>
      <c r="M3" s="102"/>
      <c r="N3" s="103"/>
      <c r="O3" s="104" t="s">
        <v>8</v>
      </c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5"/>
      <c r="AN3" s="105"/>
      <c r="AO3" s="105"/>
      <c r="AP3" s="106"/>
      <c r="AQ3" s="104" t="s">
        <v>9</v>
      </c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8"/>
    </row>
    <row r="4" spans="1:57" ht="15" customHeight="1" x14ac:dyDescent="0.2">
      <c r="A4" s="109">
        <v>1</v>
      </c>
      <c r="B4" s="110"/>
      <c r="C4" s="110"/>
      <c r="D4" s="110"/>
      <c r="E4" s="110"/>
      <c r="F4" s="110"/>
      <c r="G4" s="111"/>
      <c r="H4" s="112"/>
      <c r="I4" s="113"/>
      <c r="J4" s="113"/>
      <c r="K4" s="113"/>
      <c r="L4" s="113"/>
      <c r="M4" s="113"/>
      <c r="N4" s="114"/>
      <c r="O4" s="115" t="s">
        <v>10</v>
      </c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6"/>
      <c r="AH4" s="116"/>
      <c r="AI4" s="116"/>
      <c r="AJ4" s="116"/>
      <c r="AK4" s="116"/>
      <c r="AL4" s="116"/>
      <c r="AM4" s="116"/>
      <c r="AN4" s="116"/>
      <c r="AO4" s="116"/>
      <c r="AP4" s="117"/>
      <c r="AQ4" s="118"/>
      <c r="AR4" s="116"/>
      <c r="AS4" s="116"/>
      <c r="AT4" s="116"/>
      <c r="AU4" s="116"/>
      <c r="AV4" s="116"/>
      <c r="AW4" s="116"/>
      <c r="AX4" s="116"/>
      <c r="AY4" s="116"/>
      <c r="AZ4" s="116"/>
      <c r="BA4" s="116"/>
      <c r="BB4" s="116"/>
      <c r="BC4" s="116"/>
      <c r="BD4" s="116"/>
      <c r="BE4" s="119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2" t="s">
        <v>111</v>
      </c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  <c r="AQ5" s="95" t="s">
        <v>112</v>
      </c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7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84"/>
      <c r="I6" s="85"/>
      <c r="J6" s="85"/>
      <c r="K6" s="85"/>
      <c r="L6" s="85"/>
      <c r="M6" s="85"/>
      <c r="N6" s="86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84"/>
      <c r="I7" s="85"/>
      <c r="J7" s="85"/>
      <c r="K7" s="85"/>
      <c r="L7" s="85"/>
      <c r="M7" s="85"/>
      <c r="N7" s="86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SendSchdOperInstAct_Upd01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2026-03-27T06:01:14Z</dcterms:modified>
  <cp:category/>
</cp:coreProperties>
</file>