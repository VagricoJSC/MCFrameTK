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90C17B7B-4B4A-41F2-B21F-12B492AA515D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MfgInstSendIf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<sst xmlns="http://schemas.openxmlformats.org/spreadsheetml/2006/main" count="155" uniqueCount="94">
  <si>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</si>
  <si>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</si>
  <si>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</si>
  <si>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</si>
  <si>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</si>
  <si>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</si>
  <si>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</si>
  <si>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</si>
  <si>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</si>
  <si>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</si>
  <si>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</si>
  <si>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</si>
  <si>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</si>
  <si>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</si>
  <si>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</si>
  <si>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</si>
  <si>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</si>
  <si>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</si>
  <si>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</si>
  <si>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</si>
  <si>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</si>
  <si>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</si>
  <si>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</si>
  <si>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</si>
  <si>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TargetName</t>
    <phoneticPr fontId="1"/>
  </si>
  <si>
    <t>@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</si>
  <si>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</si>
  <si>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</si>
  <si>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</si>
  <si>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</si>
  <si>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</si>
  <si>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</si>
  <si>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</si>
  <si>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</si>
  <si>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</si>
  <si>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</si>
  <si>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</si>
  <si>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</si>
  <si>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</si>
  <si>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</si>
  <si>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</si>
  <si>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</si>
  <si>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E</t>
    <phoneticPr fontId="1"/>
  </si>
  <si>
    <t>MSLA</t>
    <phoneticPr fontId="3"/>
  </si>
  <si>
    <t>#MA.DATA_CRUD_TYP</t>
  </si>
  <si>
    <t>MSLAL6210</t>
    <phoneticPr fontId="3"/>
  </si>
  <si>
    <t>MSLAL_MfgInstSendIfService</t>
    <phoneticPr fontId="3"/>
  </si>
  <si>
    <t>製造指図送信ＩＦサービス</t>
    <rPh sb="0" eb="2">
      <t>セイゾウ</t>
    </rPh>
    <rPh sb="2" eb="4">
      <t>サシズ</t>
    </rPh>
    <rPh sb="4" eb="6">
      <t>ソウシン</t>
    </rPh>
    <phoneticPr fontId="3"/>
  </si>
  <si>
    <t>L</t>
    <phoneticPr fontId="3"/>
  </si>
  <si>
    <t>data_crud_typ</t>
  </si>
  <si>
    <t>データ更新区分</t>
    <phoneticPr fontId="3"/>
  </si>
  <si>
    <t>MfgInstSendIf_Upd01</t>
    <phoneticPr fontId="3"/>
  </si>
  <si>
    <t>製造指図書込</t>
    <rPh sb="0" eb="2">
      <t>セイゾウ</t>
    </rPh>
    <phoneticPr fontId="3"/>
  </si>
  <si>
    <t>oper_inst_no</t>
    <phoneticPr fontId="3"/>
  </si>
  <si>
    <t>#MA.OPER_INST_NO</t>
    <phoneticPr fontId="3"/>
  </si>
  <si>
    <t>MfgInstSendIf_Upd01_DtlOper</t>
    <phoneticPr fontId="3"/>
  </si>
  <si>
    <t>#MA.INPT_SCHD_NO</t>
  </si>
  <si>
    <t>#MA.YIELD_SCHD_NO</t>
  </si>
  <si>
    <t>inpt_schd_no</t>
    <phoneticPr fontId="3"/>
  </si>
  <si>
    <t>yield_schd_no</t>
    <phoneticPr fontId="3"/>
  </si>
  <si>
    <t>MfgInstSendIf_Upd01_DtlInpt</t>
    <phoneticPr fontId="3"/>
  </si>
  <si>
    <t>MfgInstSendIf_Upd01_DtlYield</t>
    <phoneticPr fontId="3"/>
  </si>
  <si>
    <t>MS.MSUDL5010</t>
    <phoneticPr fontId="3"/>
  </si>
  <si>
    <t>"mcframe.serverMAUD.MAUDL5010.MAUDL_Operation"</t>
    <phoneticPr fontId="3"/>
  </si>
  <si>
    <t>工程指図ＮＯ</t>
    <phoneticPr fontId="3"/>
  </si>
  <si>
    <t>投入予定ＮＯ</t>
    <phoneticPr fontId="3"/>
  </si>
  <si>
    <t>出来高予定ＮＯ</t>
    <phoneticPr fontId="3"/>
  </si>
  <si>
    <t>送信対象の製造指図（工程指図・出来高予定・投入予定・工数予定）をＩＦテーブルに書き込む</t>
    <rPh sb="0" eb="2">
      <t>ソウシン</t>
    </rPh>
    <rPh sb="2" eb="4">
      <t>タイショウ</t>
    </rPh>
    <rPh sb="7" eb="9">
      <t>サシズ</t>
    </rPh>
    <rPh sb="12" eb="14">
      <t>サシズ</t>
    </rPh>
    <rPh sb="15" eb="18">
      <t>デキダカ</t>
    </rPh>
    <rPh sb="18" eb="20">
      <t>ヨテイ</t>
    </rPh>
    <rPh sb="23" eb="25">
      <t>ヨテイ</t>
    </rPh>
    <rPh sb="26" eb="28">
      <t>コウスウ</t>
    </rPh>
    <rPh sb="28" eb="30">
      <t>ヨテイ</t>
    </rPh>
    <phoneticPr fontId="3"/>
  </si>
  <si>
    <t>MfgInstSendIf_Upd01_DtlWk</t>
    <phoneticPr fontId="3"/>
  </si>
  <si>
    <t>wk_schd_no</t>
    <phoneticPr fontId="3"/>
  </si>
  <si>
    <t>#MA.WK_SCHD_NO</t>
    <phoneticPr fontId="3"/>
  </si>
  <si>
    <t>製造指図（工程指図・出来高予定・投入予定・工数予定）をＭＥＳなどの外部システムへ送信するための処理を提供する</t>
    <rPh sb="2" eb="4">
      <t>サシズ</t>
    </rPh>
    <rPh sb="7" eb="9">
      <t>サシズ</t>
    </rPh>
    <rPh sb="10" eb="13">
      <t>デキダカ</t>
    </rPh>
    <rPh sb="13" eb="15">
      <t>ヨテイ</t>
    </rPh>
    <rPh sb="18" eb="20">
      <t>ヨテイ</t>
    </rPh>
    <rPh sb="21" eb="23">
      <t>コウスウ</t>
    </rPh>
    <rPh sb="23" eb="25">
      <t>ヨテイ</t>
    </rPh>
    <rPh sb="33" eb="35">
      <t>ガイブ</t>
    </rPh>
    <rPh sb="40" eb="42">
      <t>ソウシン</t>
    </rPh>
    <rPh sb="47" eb="49">
      <t>ショリ</t>
    </rPh>
    <rPh sb="50" eb="52">
      <t>テイキョウ</t>
    </rPh>
    <phoneticPr fontId="3"/>
  </si>
  <si>
    <t>工数予定ＮＯ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</si>
  <si>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</si>
  <si>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</si>
  <si>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</si>
  <si>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</si>
  <si>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</si>
  <si>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</si>
  <si>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</si>
  <si>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</si>
  <si>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</si>
  <si>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</si>
  <si>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</si>
  <si>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</si>
  <si>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</si>
  <si>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</si>
  <si>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order No.</t>
  </si>
  <si>
    <t>Data update type</t>
  </si>
  <si>
    <t>Input schedule No.</t>
  </si>
  <si>
    <t>Output schedule No.</t>
  </si>
  <si>
    <t>Man-hour schedule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</si>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</sst>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9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2" borderId="3" xfId="0" applyFont="1" applyFill="1" applyBorder="1" applyAlignment="1">
      <alignment vertical="top"/>
    </xf>
    <xf numFmtId="0" fontId="6" fillId="2" borderId="29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1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9" xfId="0" applyFont="1" applyBorder="1" applyAlignment="1"/>
    <xf numFmtId="0" fontId="6" fillId="3" borderId="2" xfId="0" applyFont="1" applyFill="1" applyBorder="1" applyAlignment="1">
      <alignment vertical="top"/>
    </xf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177" fontId="8" fillId="0" borderId="2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5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29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27" t="s">
        <v>16</v>
      </c>
      <c r="D2" s="7" t="s">
        <v>1</v>
      </c>
      <c r="E2" s="27" t="s">
        <v>45</v>
      </c>
      <c r="F2" s="7" t="s">
        <v>26</v>
      </c>
      <c r="G2" s="27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27" t="s">
        <v>43</v>
      </c>
      <c r="D3" s="7" t="s">
        <v>3</v>
      </c>
      <c r="E3" s="27" t="s">
        <v>46</v>
      </c>
      <c r="F3" s="7" t="s">
        <v>27</v>
      </c>
      <c r="G3" s="27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47</v>
      </c>
      <c r="F4" s="7" t="s">
        <v>5</v>
      </c>
      <c r="G4" s="27" t="s">
        <v>62</v>
      </c>
      <c r="I4" s="5"/>
      <c r="J4" s="4"/>
    </row>
    <row r="5" spans="1:13" x14ac:dyDescent="0.2">
      <c r="A5" s="6" t="s">
        <v>8</v>
      </c>
      <c r="B5" s="50" t="s">
        <v>71</v>
      </c>
      <c r="C5" s="55"/>
      <c r="D5" s="50"/>
      <c r="E5" s="50"/>
      <c r="F5" s="56"/>
      <c r="G5" s="56"/>
      <c r="H5" s="11"/>
      <c r="I5" s="11"/>
      <c r="J5" s="4"/>
    </row>
    <row r="6" spans="1:13" s="8" customFormat="1" x14ac:dyDescent="0.2">
      <c r="A6" s="12" t="s">
        <v>6</v>
      </c>
      <c r="B6" s="6"/>
      <c r="C6" s="13"/>
      <c r="D6" s="6"/>
      <c r="E6" s="6"/>
      <c r="F6" s="6"/>
      <c r="G6" s="6"/>
      <c r="H6" s="6"/>
      <c r="I6" s="14"/>
    </row>
    <row r="7" spans="1:13" s="8" customFormat="1" x14ac:dyDescent="0.2">
      <c r="A7" s="5"/>
      <c r="B7" s="4"/>
      <c r="C7" s="15"/>
      <c r="D7" s="4"/>
      <c r="E7" s="4"/>
      <c r="F7" s="4"/>
      <c r="G7" s="4"/>
      <c r="H7" s="4"/>
      <c r="I7" s="16"/>
    </row>
    <row r="8" spans="1:13" x14ac:dyDescent="0.2">
      <c r="B8" s="4"/>
      <c r="I8" s="16"/>
    </row>
    <row r="9" spans="1:13" x14ac:dyDescent="0.2">
      <c r="B9" s="4"/>
      <c r="I9" s="16"/>
      <c r="J9" s="4"/>
    </row>
    <row r="10" spans="1:13" x14ac:dyDescent="0.2">
      <c r="B10" s="4"/>
      <c r="I10" s="16"/>
      <c r="J10" s="4"/>
    </row>
    <row r="11" spans="1:13" x14ac:dyDescent="0.2">
      <c r="B11" s="4"/>
      <c r="I11" s="16"/>
      <c r="J11" s="4"/>
    </row>
    <row r="12" spans="1:13" x14ac:dyDescent="0.2">
      <c r="B12" s="4"/>
      <c r="I12" s="16"/>
      <c r="J12" s="4"/>
    </row>
    <row r="13" spans="1:13" x14ac:dyDescent="0.2">
      <c r="B13" s="4"/>
      <c r="I13" s="16"/>
      <c r="J13" s="4"/>
    </row>
    <row r="14" spans="1:13" x14ac:dyDescent="0.2">
      <c r="B14" s="4"/>
      <c r="I14" s="16"/>
      <c r="J14" s="4"/>
    </row>
    <row r="15" spans="1:13" x14ac:dyDescent="0.2">
      <c r="B15" s="4"/>
      <c r="I15" s="16"/>
      <c r="J15" s="4"/>
    </row>
    <row r="16" spans="1:13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17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6328125" style="5" customWidth="1"/>
    <col min="6" max="6" width="8.36328125" style="4" bestFit="1" customWidth="1"/>
    <col min="7" max="7" width="30.81640625" style="4" customWidth="1"/>
    <col min="8" max="8" width="38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35" t="s">
        <v>30</v>
      </c>
      <c r="B1" s="35" t="s">
        <v>30</v>
      </c>
      <c r="C1" s="35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36" t="s">
        <v>30</v>
      </c>
      <c r="B2" s="18"/>
      <c r="C2" s="18"/>
      <c r="D2" s="57" t="s">
        <v>73</v>
      </c>
      <c r="E2" s="7" t="s">
        <v>0</v>
      </c>
      <c r="F2" s="37" t="str">
        <f>IF(LogicCommon!C2="","",LogicCommon!C2)</f>
        <v>MS</v>
      </c>
      <c r="G2" s="7" t="s">
        <v>1</v>
      </c>
      <c r="H2" s="37" t="str">
        <f>IF(LogicCommon!E2="","",LogicCommon!E2)</f>
        <v>MSLAL6210</v>
      </c>
      <c r="I2" s="7" t="s">
        <v>38</v>
      </c>
      <c r="J2" s="27" t="s">
        <v>51</v>
      </c>
      <c r="K2" s="7" t="s">
        <v>26</v>
      </c>
      <c r="L2" s="37" t="str">
        <f>IF(LogicCommon!G2="","",LogicCommon!G2)</f>
        <v>MC</v>
      </c>
      <c r="M2" s="5" t="s">
        <v>32</v>
      </c>
      <c r="N2" s="28" t="s">
        <v>63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38" t="s">
        <v>30</v>
      </c>
      <c r="B3" s="39"/>
      <c r="C3" s="39"/>
      <c r="D3" s="40" t="str">
        <f>IF(LogicCommon!A3="","",LogicCommon!A3)</f>
        <v/>
      </c>
      <c r="E3" s="7" t="s">
        <v>2</v>
      </c>
      <c r="F3" s="37" t="str">
        <f>IF(LogicCommon!C3="","",LogicCommon!C3)</f>
        <v>MSLA</v>
      </c>
      <c r="G3" s="7" t="s">
        <v>3</v>
      </c>
      <c r="H3" s="37" t="str">
        <f>IF(LogicCommon!E3="","",LogicCommon!E3)</f>
        <v>MSLAL_MfgInstSendIfService</v>
      </c>
      <c r="I3" s="7" t="s">
        <v>33</v>
      </c>
      <c r="J3" s="27" t="s">
        <v>25</v>
      </c>
      <c r="K3" s="7" t="s">
        <v>27</v>
      </c>
      <c r="L3" s="37" t="str">
        <f>IF(LogicCommon!G3="","",LogicCommon!G3)</f>
        <v/>
      </c>
      <c r="M3" s="41"/>
      <c r="N3" s="7"/>
      <c r="O3" s="7" t="s">
        <v>39</v>
      </c>
      <c r="P3" s="27" t="s">
        <v>40</v>
      </c>
      <c r="Q3" s="4"/>
      <c r="R3" s="5"/>
      <c r="S3" s="5"/>
      <c r="T3" s="5"/>
      <c r="U3" s="5"/>
    </row>
    <row r="4" spans="1:21" s="9" customFormat="1" x14ac:dyDescent="0.2">
      <c r="A4" s="38" t="s">
        <v>30</v>
      </c>
      <c r="B4" s="39"/>
      <c r="C4" s="39"/>
      <c r="D4" s="4"/>
      <c r="E4" s="7" t="s">
        <v>17</v>
      </c>
      <c r="F4" s="42" t="s">
        <v>34</v>
      </c>
      <c r="G4" s="7" t="s">
        <v>4</v>
      </c>
      <c r="H4" s="37" t="str">
        <f>IF(LogicCommon!E4="","",LogicCommon!E4)</f>
        <v>製造指図送信ＩＦサービス</v>
      </c>
      <c r="I4" s="7" t="s">
        <v>35</v>
      </c>
      <c r="J4" s="27" t="s">
        <v>52</v>
      </c>
      <c r="K4" s="7" t="s">
        <v>5</v>
      </c>
      <c r="L4" s="37" t="str">
        <f>IF(LogicCommon!G4="","",LogicCommon!G4)</f>
        <v>MS.MSUDL5010</v>
      </c>
      <c r="M4" s="43" t="s">
        <v>31</v>
      </c>
      <c r="N4" s="28"/>
      <c r="O4" s="44"/>
      <c r="P4" s="4"/>
      <c r="Q4" s="4"/>
      <c r="R4" s="5"/>
      <c r="S4" s="5"/>
      <c r="T4" s="5"/>
      <c r="U4" s="5"/>
    </row>
    <row r="5" spans="1:21" s="9" customFormat="1" x14ac:dyDescent="0.2">
      <c r="A5" s="45" t="s">
        <v>30</v>
      </c>
      <c r="B5" s="35"/>
      <c r="C5" s="35"/>
      <c r="D5" s="17"/>
      <c r="E5" s="7" t="s">
        <v>41</v>
      </c>
      <c r="F5" s="42"/>
      <c r="G5" s="46"/>
      <c r="H5" s="46"/>
      <c r="I5" s="46"/>
      <c r="J5" s="46"/>
      <c r="K5" s="46"/>
      <c r="L5" s="6"/>
      <c r="M5" s="5"/>
      <c r="N5" s="5"/>
      <c r="O5" s="44"/>
      <c r="P5" s="4"/>
      <c r="Q5" s="4"/>
      <c r="R5" s="5"/>
      <c r="S5" s="5"/>
      <c r="T5" s="5"/>
      <c r="U5" s="5"/>
    </row>
    <row r="6" spans="1:21" s="9" customFormat="1" x14ac:dyDescent="0.2">
      <c r="A6" s="38" t="s">
        <v>30</v>
      </c>
      <c r="B6" s="39"/>
      <c r="C6" s="39"/>
      <c r="D6" s="4" t="s">
        <v>8</v>
      </c>
      <c r="E6" s="50" t="s">
        <v>67</v>
      </c>
      <c r="F6" s="50"/>
      <c r="G6" s="50"/>
      <c r="H6" s="50"/>
      <c r="I6" s="50"/>
      <c r="J6" s="50"/>
      <c r="K6" s="50"/>
      <c r="L6" s="47"/>
      <c r="M6" s="11" t="s">
        <v>36</v>
      </c>
      <c r="N6" s="11"/>
      <c r="O6" s="11" t="s">
        <v>36</v>
      </c>
      <c r="P6" s="11"/>
      <c r="Q6" s="11" t="s">
        <v>36</v>
      </c>
      <c r="R6" s="4"/>
      <c r="S6" s="4"/>
      <c r="T6" s="4"/>
      <c r="U6" s="4"/>
    </row>
    <row r="7" spans="1:21" s="9" customFormat="1" x14ac:dyDescent="0.2">
      <c r="A7" s="18" t="s">
        <v>18</v>
      </c>
      <c r="B7" s="18"/>
      <c r="C7" s="18"/>
      <c r="D7" s="6"/>
      <c r="E7" s="6"/>
      <c r="F7" s="6"/>
      <c r="G7" s="6"/>
      <c r="H7" s="6"/>
      <c r="I7" s="6" t="s">
        <v>19</v>
      </c>
      <c r="J7" s="6"/>
      <c r="K7" s="27" t="s">
        <v>20</v>
      </c>
      <c r="L7" s="19" t="s">
        <v>21</v>
      </c>
      <c r="M7" s="29"/>
      <c r="N7" s="19" t="s">
        <v>21</v>
      </c>
      <c r="O7" s="29"/>
      <c r="P7" s="19" t="s">
        <v>21</v>
      </c>
      <c r="Q7" s="29"/>
      <c r="R7" s="4"/>
      <c r="S7" s="4"/>
      <c r="T7" s="4"/>
      <c r="U7" s="4"/>
    </row>
    <row r="8" spans="1:21" s="9" customFormat="1" ht="60" customHeight="1" x14ac:dyDescent="0.2">
      <c r="A8" s="29" t="s">
        <v>18</v>
      </c>
      <c r="B8" s="58"/>
      <c r="C8" s="59"/>
      <c r="D8" s="19" t="s">
        <v>74</v>
      </c>
      <c r="E8" s="19" t="s">
        <v>75</v>
      </c>
      <c r="F8" s="47"/>
      <c r="G8" s="19" t="s">
        <v>29</v>
      </c>
      <c r="H8" s="19" t="s">
        <v>76</v>
      </c>
      <c r="I8" s="47"/>
      <c r="J8" s="3"/>
      <c r="K8" s="27"/>
      <c r="L8" s="19" t="s">
        <v>22</v>
      </c>
      <c r="M8" s="29"/>
      <c r="N8" s="19" t="s">
        <v>24</v>
      </c>
      <c r="O8" s="29"/>
      <c r="P8" s="19" t="s">
        <v>24</v>
      </c>
      <c r="Q8" s="29"/>
      <c r="R8" s="3"/>
      <c r="S8" s="17"/>
      <c r="T8" s="114" t="s">
        <v>77</v>
      </c>
      <c r="U8" s="115"/>
    </row>
    <row r="9" spans="1:21" s="9" customFormat="1" ht="60" customHeight="1" x14ac:dyDescent="0.2">
      <c r="A9" s="27" t="s">
        <v>18</v>
      </c>
      <c r="B9" s="31"/>
      <c r="C9" s="32"/>
      <c r="D9" s="19" t="s">
        <v>78</v>
      </c>
      <c r="E9" s="60" t="s">
        <v>79</v>
      </c>
      <c r="F9" s="19" t="s">
        <v>80</v>
      </c>
      <c r="G9" s="19" t="s">
        <v>81</v>
      </c>
      <c r="H9" s="19" t="s">
        <v>82</v>
      </c>
      <c r="I9" s="61" t="s">
        <v>83</v>
      </c>
      <c r="J9" s="19" t="s">
        <v>84</v>
      </c>
      <c r="K9" s="57"/>
      <c r="L9" s="61"/>
      <c r="M9" s="19"/>
      <c r="N9" s="19"/>
      <c r="O9" s="19"/>
      <c r="P9" s="19"/>
      <c r="Q9" s="19"/>
      <c r="R9" s="114" t="s">
        <v>85</v>
      </c>
      <c r="S9" s="115"/>
      <c r="T9" s="114" t="s">
        <v>86</v>
      </c>
      <c r="U9" s="115"/>
    </row>
    <row r="10" spans="1:21" s="9" customFormat="1" ht="39" x14ac:dyDescent="0.2">
      <c r="A10" s="31" t="s">
        <v>18</v>
      </c>
      <c r="B10" s="22"/>
      <c r="C10" s="22"/>
      <c r="D10" s="23"/>
      <c r="E10" s="21"/>
      <c r="F10" s="21"/>
      <c r="G10" s="24"/>
      <c r="H10" s="24"/>
      <c r="I10" s="21"/>
      <c r="J10" s="21"/>
      <c r="K10" s="25"/>
      <c r="L10" s="19" t="s">
        <v>83</v>
      </c>
      <c r="M10" s="19" t="s">
        <v>84</v>
      </c>
      <c r="N10" s="19" t="s">
        <v>83</v>
      </c>
      <c r="O10" s="19" t="s">
        <v>84</v>
      </c>
      <c r="P10" s="19" t="s">
        <v>83</v>
      </c>
      <c r="Q10" s="19" t="s">
        <v>84</v>
      </c>
      <c r="R10" s="21"/>
      <c r="S10" s="21"/>
      <c r="T10" s="26"/>
      <c r="U10" s="49"/>
    </row>
    <row r="11" spans="1:21" s="9" customFormat="1" x14ac:dyDescent="0.2">
      <c r="A11" s="27">
        <v>10</v>
      </c>
      <c r="B11" s="31" t="s">
        <v>23</v>
      </c>
      <c r="C11" s="32"/>
      <c r="D11" s="28" t="s">
        <v>55</v>
      </c>
      <c r="E11" s="30" t="s">
        <v>48</v>
      </c>
      <c r="F11" s="33"/>
      <c r="G11" s="28"/>
      <c r="H11" s="20"/>
      <c r="I11" s="34"/>
      <c r="J11" s="24"/>
      <c r="K11" s="24"/>
      <c r="L11" s="30"/>
      <c r="M11" s="30"/>
      <c r="N11" s="30"/>
      <c r="O11" s="30"/>
      <c r="P11" s="30"/>
      <c r="Q11" s="30"/>
      <c r="R11" s="34"/>
      <c r="S11" s="33"/>
      <c r="T11" s="112"/>
      <c r="U11" s="113"/>
    </row>
    <row r="12" spans="1:21" s="9" customFormat="1" x14ac:dyDescent="0.2">
      <c r="A12" s="27">
        <v>10</v>
      </c>
      <c r="B12" s="27"/>
      <c r="C12" s="27"/>
      <c r="D12" s="27" t="s">
        <v>53</v>
      </c>
      <c r="E12" s="29" t="s">
        <v>54</v>
      </c>
      <c r="F12" s="29"/>
      <c r="G12" s="51" t="s">
        <v>87</v>
      </c>
      <c r="H12" s="51" t="s">
        <v>64</v>
      </c>
      <c r="I12" s="27" t="s">
        <v>42</v>
      </c>
      <c r="J12" s="27" t="s">
        <v>28</v>
      </c>
      <c r="K12" s="27"/>
      <c r="L12" s="27"/>
      <c r="M12" s="27"/>
      <c r="N12" s="27"/>
      <c r="O12" s="27"/>
      <c r="P12" s="27"/>
      <c r="Q12" s="27"/>
      <c r="R12" s="114"/>
      <c r="S12" s="115"/>
      <c r="T12" s="112"/>
      <c r="U12" s="113"/>
    </row>
    <row r="13" spans="1:21" s="9" customFormat="1" x14ac:dyDescent="0.2">
      <c r="A13" s="27">
        <v>10</v>
      </c>
      <c r="B13" s="27"/>
      <c r="C13" s="27"/>
      <c r="D13" s="27" t="s">
        <v>49</v>
      </c>
      <c r="E13" s="29" t="s">
        <v>44</v>
      </c>
      <c r="F13" s="29"/>
      <c r="G13" s="51" t="s">
        <v>88</v>
      </c>
      <c r="H13" s="51" t="s">
        <v>50</v>
      </c>
      <c r="I13" s="27" t="s">
        <v>42</v>
      </c>
      <c r="J13" s="27" t="s">
        <v>28</v>
      </c>
      <c r="K13" s="27"/>
      <c r="L13" s="27"/>
      <c r="M13" s="27"/>
      <c r="N13" s="27"/>
      <c r="O13" s="27"/>
      <c r="P13" s="27"/>
      <c r="Q13" s="27"/>
      <c r="R13" s="114"/>
      <c r="S13" s="115"/>
      <c r="T13" s="112"/>
      <c r="U13" s="113"/>
    </row>
    <row r="14" spans="1:21" s="9" customFormat="1" x14ac:dyDescent="0.2">
      <c r="A14" s="38"/>
      <c r="U14" s="48"/>
    </row>
    <row r="15" spans="1:21" s="9" customFormat="1" x14ac:dyDescent="0.2">
      <c r="A15" s="27">
        <v>20</v>
      </c>
      <c r="B15" s="31" t="s">
        <v>23</v>
      </c>
      <c r="C15" s="32"/>
      <c r="D15" s="28" t="s">
        <v>60</v>
      </c>
      <c r="E15" s="30" t="s">
        <v>48</v>
      </c>
      <c r="F15" s="33"/>
      <c r="G15" s="28"/>
      <c r="H15" s="20"/>
      <c r="I15" s="34"/>
      <c r="J15" s="24"/>
      <c r="K15" s="24"/>
      <c r="L15" s="30"/>
      <c r="M15" s="30"/>
      <c r="N15" s="30"/>
      <c r="O15" s="30"/>
      <c r="P15" s="30"/>
      <c r="Q15" s="30"/>
      <c r="R15" s="34"/>
      <c r="S15" s="33"/>
      <c r="T15" s="112"/>
      <c r="U15" s="113"/>
    </row>
    <row r="16" spans="1:21" s="9" customFormat="1" x14ac:dyDescent="0.2">
      <c r="A16" s="27">
        <v>20</v>
      </c>
      <c r="B16" s="27"/>
      <c r="C16" s="27"/>
      <c r="D16" s="27" t="s">
        <v>58</v>
      </c>
      <c r="E16" s="29" t="s">
        <v>56</v>
      </c>
      <c r="F16" s="29"/>
      <c r="G16" s="51" t="s">
        <v>89</v>
      </c>
      <c r="H16" s="51" t="s">
        <v>65</v>
      </c>
      <c r="I16" s="27" t="s">
        <v>42</v>
      </c>
      <c r="J16" s="27" t="s">
        <v>28</v>
      </c>
      <c r="K16" s="27"/>
      <c r="L16" s="27"/>
      <c r="M16" s="27"/>
      <c r="N16" s="27"/>
      <c r="O16" s="27"/>
      <c r="P16" s="27"/>
      <c r="Q16" s="27"/>
      <c r="R16" s="114"/>
      <c r="S16" s="115"/>
      <c r="T16" s="112"/>
      <c r="U16" s="113"/>
    </row>
    <row r="17" spans="1:21" s="9" customFormat="1" x14ac:dyDescent="0.2">
      <c r="A17" s="27">
        <v>20</v>
      </c>
      <c r="B17" s="27"/>
      <c r="C17" s="27"/>
      <c r="D17" s="27" t="s">
        <v>49</v>
      </c>
      <c r="E17" s="29" t="s">
        <v>44</v>
      </c>
      <c r="F17" s="29"/>
      <c r="G17" s="51" t="s">
        <v>88</v>
      </c>
      <c r="H17" s="51" t="s">
        <v>50</v>
      </c>
      <c r="I17" s="27" t="s">
        <v>42</v>
      </c>
      <c r="J17" s="27" t="s">
        <v>28</v>
      </c>
      <c r="K17" s="27"/>
      <c r="L17" s="27"/>
      <c r="M17" s="27"/>
      <c r="N17" s="27"/>
      <c r="O17" s="27"/>
      <c r="P17" s="27"/>
      <c r="Q17" s="27"/>
      <c r="R17" s="114"/>
      <c r="S17" s="115"/>
      <c r="T17" s="112"/>
      <c r="U17" s="113"/>
    </row>
    <row r="18" spans="1:21" s="9" customFormat="1" x14ac:dyDescent="0.2">
      <c r="A18" s="38"/>
      <c r="U18" s="48"/>
    </row>
    <row r="19" spans="1:21" s="9" customFormat="1" x14ac:dyDescent="0.2">
      <c r="A19" s="27">
        <v>30</v>
      </c>
      <c r="B19" s="31" t="s">
        <v>23</v>
      </c>
      <c r="C19" s="32"/>
      <c r="D19" s="28" t="s">
        <v>61</v>
      </c>
      <c r="E19" s="30" t="s">
        <v>48</v>
      </c>
      <c r="F19" s="33"/>
      <c r="G19" s="28"/>
      <c r="H19" s="20"/>
      <c r="I19" s="34"/>
      <c r="J19" s="24"/>
      <c r="K19" s="24"/>
      <c r="L19" s="30"/>
      <c r="M19" s="30"/>
      <c r="N19" s="30"/>
      <c r="O19" s="30"/>
      <c r="P19" s="30"/>
      <c r="Q19" s="30"/>
      <c r="R19" s="34"/>
      <c r="S19" s="33"/>
      <c r="T19" s="112"/>
      <c r="U19" s="113"/>
    </row>
    <row r="20" spans="1:21" s="9" customFormat="1" x14ac:dyDescent="0.2">
      <c r="A20" s="27">
        <v>30</v>
      </c>
      <c r="B20" s="27"/>
      <c r="C20" s="27"/>
      <c r="D20" s="27" t="s">
        <v>59</v>
      </c>
      <c r="E20" s="29" t="s">
        <v>57</v>
      </c>
      <c r="F20" s="29"/>
      <c r="G20" s="51" t="s">
        <v>90</v>
      </c>
      <c r="H20" s="51" t="s">
        <v>66</v>
      </c>
      <c r="I20" s="27" t="s">
        <v>42</v>
      </c>
      <c r="J20" s="27" t="s">
        <v>28</v>
      </c>
      <c r="K20" s="27"/>
      <c r="L20" s="27"/>
      <c r="M20" s="27"/>
      <c r="N20" s="27"/>
      <c r="O20" s="27"/>
      <c r="P20" s="27"/>
      <c r="Q20" s="27"/>
      <c r="R20" s="114"/>
      <c r="S20" s="115"/>
      <c r="T20" s="112"/>
      <c r="U20" s="113"/>
    </row>
    <row r="21" spans="1:21" s="9" customFormat="1" x14ac:dyDescent="0.2">
      <c r="A21" s="27">
        <v>30</v>
      </c>
      <c r="B21" s="27"/>
      <c r="C21" s="27"/>
      <c r="D21" s="27" t="s">
        <v>49</v>
      </c>
      <c r="E21" s="29" t="s">
        <v>44</v>
      </c>
      <c r="F21" s="29"/>
      <c r="G21" s="51" t="s">
        <v>88</v>
      </c>
      <c r="H21" s="51" t="s">
        <v>50</v>
      </c>
      <c r="I21" s="27" t="s">
        <v>42</v>
      </c>
      <c r="J21" s="27" t="s">
        <v>28</v>
      </c>
      <c r="K21" s="27"/>
      <c r="L21" s="27"/>
      <c r="M21" s="27"/>
      <c r="N21" s="27"/>
      <c r="O21" s="27"/>
      <c r="P21" s="27"/>
      <c r="Q21" s="27"/>
      <c r="R21" s="114"/>
      <c r="S21" s="115"/>
      <c r="T21" s="112"/>
      <c r="U21" s="113"/>
    </row>
    <row r="22" spans="1:21" s="9" customFormat="1" x14ac:dyDescent="0.2">
      <c r="A22" s="38"/>
      <c r="U22" s="48"/>
    </row>
    <row r="23" spans="1:21" s="9" customFormat="1" x14ac:dyDescent="0.2">
      <c r="A23" s="27">
        <v>40</v>
      </c>
      <c r="B23" s="31" t="s">
        <v>23</v>
      </c>
      <c r="C23" s="32"/>
      <c r="D23" s="28" t="s">
        <v>68</v>
      </c>
      <c r="E23" s="30" t="s">
        <v>48</v>
      </c>
      <c r="F23" s="33"/>
      <c r="G23" s="28"/>
      <c r="H23" s="20"/>
      <c r="I23" s="34"/>
      <c r="J23" s="24"/>
      <c r="K23" s="24"/>
      <c r="L23" s="30"/>
      <c r="M23" s="30"/>
      <c r="N23" s="30"/>
      <c r="O23" s="30"/>
      <c r="P23" s="30"/>
      <c r="Q23" s="30"/>
      <c r="R23" s="34"/>
      <c r="S23" s="33"/>
      <c r="T23" s="112"/>
      <c r="U23" s="113"/>
    </row>
    <row r="24" spans="1:21" s="9" customFormat="1" x14ac:dyDescent="0.2">
      <c r="A24" s="27">
        <v>40</v>
      </c>
      <c r="B24" s="27"/>
      <c r="C24" s="27"/>
      <c r="D24" s="27" t="s">
        <v>69</v>
      </c>
      <c r="E24" s="29" t="s">
        <v>70</v>
      </c>
      <c r="F24" s="29"/>
      <c r="G24" s="51" t="s">
        <v>91</v>
      </c>
      <c r="H24" s="51" t="s">
        <v>72</v>
      </c>
      <c r="I24" s="27" t="s">
        <v>42</v>
      </c>
      <c r="J24" s="27" t="s">
        <v>28</v>
      </c>
      <c r="K24" s="27"/>
      <c r="L24" s="27"/>
      <c r="M24" s="27"/>
      <c r="N24" s="27"/>
      <c r="O24" s="27"/>
      <c r="P24" s="27"/>
      <c r="Q24" s="27"/>
      <c r="R24" s="114"/>
      <c r="S24" s="115"/>
      <c r="T24" s="112"/>
      <c r="U24" s="113"/>
    </row>
    <row r="25" spans="1:21" s="9" customFormat="1" x14ac:dyDescent="0.2">
      <c r="A25" s="27">
        <v>40</v>
      </c>
      <c r="B25" s="27"/>
      <c r="C25" s="27"/>
      <c r="D25" s="27" t="s">
        <v>49</v>
      </c>
      <c r="E25" s="29" t="s">
        <v>44</v>
      </c>
      <c r="F25" s="29"/>
      <c r="G25" s="51" t="s">
        <v>88</v>
      </c>
      <c r="H25" s="51" t="s">
        <v>50</v>
      </c>
      <c r="I25" s="27" t="s">
        <v>42</v>
      </c>
      <c r="J25" s="27" t="s">
        <v>28</v>
      </c>
      <c r="K25" s="27"/>
      <c r="L25" s="27"/>
      <c r="M25" s="27"/>
      <c r="N25" s="27"/>
      <c r="O25" s="27"/>
      <c r="P25" s="27"/>
      <c r="Q25" s="27"/>
      <c r="R25" s="114"/>
      <c r="S25" s="115"/>
      <c r="T25" s="112"/>
      <c r="U25" s="113"/>
    </row>
  </sheetData>
  <mergeCells count="23">
    <mergeCell ref="T23:U23"/>
    <mergeCell ref="R24:S24"/>
    <mergeCell ref="T24:U24"/>
    <mergeCell ref="R25:S25"/>
    <mergeCell ref="T25:U25"/>
    <mergeCell ref="R13:S13"/>
    <mergeCell ref="T13:U13"/>
    <mergeCell ref="T8:U8"/>
    <mergeCell ref="R9:S9"/>
    <mergeCell ref="T9:U9"/>
    <mergeCell ref="T11:U11"/>
    <mergeCell ref="R12:S12"/>
    <mergeCell ref="T12:U12"/>
    <mergeCell ref="T15:U15"/>
    <mergeCell ref="R16:S16"/>
    <mergeCell ref="T16:U16"/>
    <mergeCell ref="R17:S17"/>
    <mergeCell ref="T17:U17"/>
    <mergeCell ref="T19:U19"/>
    <mergeCell ref="R20:S20"/>
    <mergeCell ref="T20:U20"/>
    <mergeCell ref="R21:S21"/>
    <mergeCell ref="T21:U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4AA4-4FD8-42FF-BBA4-DA5B7AA567FF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2" customWidth="1"/>
    <col min="43" max="44" width="2.08984375" style="54" customWidth="1"/>
    <col min="45" max="71" width="2.08984375" style="52" customWidth="1"/>
    <col min="72" max="256" width="8.81640625" style="52"/>
    <col min="257" max="327" width="2.08984375" style="52" customWidth="1"/>
    <col min="328" max="512" width="8.81640625" style="52"/>
    <col min="513" max="583" width="2.08984375" style="52" customWidth="1"/>
    <col min="584" max="768" width="8.81640625" style="52"/>
    <col min="769" max="839" width="2.08984375" style="52" customWidth="1"/>
    <col min="840" max="1024" width="8.81640625" style="52"/>
    <col min="1025" max="1095" width="2.08984375" style="52" customWidth="1"/>
    <col min="1096" max="1280" width="8.81640625" style="52"/>
    <col min="1281" max="1351" width="2.08984375" style="52" customWidth="1"/>
    <col min="1352" max="1536" width="8.81640625" style="52"/>
    <col min="1537" max="1607" width="2.08984375" style="52" customWidth="1"/>
    <col min="1608" max="1792" width="8.81640625" style="52"/>
    <col min="1793" max="1863" width="2.08984375" style="52" customWidth="1"/>
    <col min="1864" max="2048" width="8.81640625" style="52"/>
    <col min="2049" max="2119" width="2.08984375" style="52" customWidth="1"/>
    <col min="2120" max="2304" width="8.81640625" style="52"/>
    <col min="2305" max="2375" width="2.08984375" style="52" customWidth="1"/>
    <col min="2376" max="2560" width="8.81640625" style="52"/>
    <col min="2561" max="2631" width="2.08984375" style="52" customWidth="1"/>
    <col min="2632" max="2816" width="8.81640625" style="52"/>
    <col min="2817" max="2887" width="2.08984375" style="52" customWidth="1"/>
    <col min="2888" max="3072" width="8.81640625" style="52"/>
    <col min="3073" max="3143" width="2.08984375" style="52" customWidth="1"/>
    <col min="3144" max="3328" width="8.81640625" style="52"/>
    <col min="3329" max="3399" width="2.08984375" style="52" customWidth="1"/>
    <col min="3400" max="3584" width="8.81640625" style="52"/>
    <col min="3585" max="3655" width="2.08984375" style="52" customWidth="1"/>
    <col min="3656" max="3840" width="8.81640625" style="52"/>
    <col min="3841" max="3911" width="2.08984375" style="52" customWidth="1"/>
    <col min="3912" max="4096" width="8.81640625" style="52"/>
    <col min="4097" max="4167" width="2.08984375" style="52" customWidth="1"/>
    <col min="4168" max="4352" width="8.81640625" style="52"/>
    <col min="4353" max="4423" width="2.08984375" style="52" customWidth="1"/>
    <col min="4424" max="4608" width="8.81640625" style="52"/>
    <col min="4609" max="4679" width="2.08984375" style="52" customWidth="1"/>
    <col min="4680" max="4864" width="8.81640625" style="52"/>
    <col min="4865" max="4935" width="2.08984375" style="52" customWidth="1"/>
    <col min="4936" max="5120" width="8.81640625" style="52"/>
    <col min="5121" max="5191" width="2.08984375" style="52" customWidth="1"/>
    <col min="5192" max="5376" width="8.81640625" style="52"/>
    <col min="5377" max="5447" width="2.08984375" style="52" customWidth="1"/>
    <col min="5448" max="5632" width="8.81640625" style="52"/>
    <col min="5633" max="5703" width="2.08984375" style="52" customWidth="1"/>
    <col min="5704" max="5888" width="8.81640625" style="52"/>
    <col min="5889" max="5959" width="2.08984375" style="52" customWidth="1"/>
    <col min="5960" max="6144" width="8.81640625" style="52"/>
    <col min="6145" max="6215" width="2.08984375" style="52" customWidth="1"/>
    <col min="6216" max="6400" width="8.81640625" style="52"/>
    <col min="6401" max="6471" width="2.08984375" style="52" customWidth="1"/>
    <col min="6472" max="6656" width="8.81640625" style="52"/>
    <col min="6657" max="6727" width="2.08984375" style="52" customWidth="1"/>
    <col min="6728" max="6912" width="8.81640625" style="52"/>
    <col min="6913" max="6983" width="2.08984375" style="52" customWidth="1"/>
    <col min="6984" max="7168" width="8.81640625" style="52"/>
    <col min="7169" max="7239" width="2.08984375" style="52" customWidth="1"/>
    <col min="7240" max="7424" width="8.81640625" style="52"/>
    <col min="7425" max="7495" width="2.08984375" style="52" customWidth="1"/>
    <col min="7496" max="7680" width="8.81640625" style="52"/>
    <col min="7681" max="7751" width="2.08984375" style="52" customWidth="1"/>
    <col min="7752" max="7936" width="8.81640625" style="52"/>
    <col min="7937" max="8007" width="2.08984375" style="52" customWidth="1"/>
    <col min="8008" max="8192" width="8.81640625" style="52"/>
    <col min="8193" max="8263" width="2.08984375" style="52" customWidth="1"/>
    <col min="8264" max="8448" width="8.81640625" style="52"/>
    <col min="8449" max="8519" width="2.08984375" style="52" customWidth="1"/>
    <col min="8520" max="8704" width="8.81640625" style="52"/>
    <col min="8705" max="8775" width="2.08984375" style="52" customWidth="1"/>
    <col min="8776" max="8960" width="8.81640625" style="52"/>
    <col min="8961" max="9031" width="2.08984375" style="52" customWidth="1"/>
    <col min="9032" max="9216" width="8.81640625" style="52"/>
    <col min="9217" max="9287" width="2.08984375" style="52" customWidth="1"/>
    <col min="9288" max="9472" width="8.81640625" style="52"/>
    <col min="9473" max="9543" width="2.08984375" style="52" customWidth="1"/>
    <col min="9544" max="9728" width="8.81640625" style="52"/>
    <col min="9729" max="9799" width="2.08984375" style="52" customWidth="1"/>
    <col min="9800" max="9984" width="8.81640625" style="52"/>
    <col min="9985" max="10055" width="2.08984375" style="52" customWidth="1"/>
    <col min="10056" max="10240" width="8.81640625" style="52"/>
    <col min="10241" max="10311" width="2.08984375" style="52" customWidth="1"/>
    <col min="10312" max="10496" width="8.81640625" style="52"/>
    <col min="10497" max="10567" width="2.08984375" style="52" customWidth="1"/>
    <col min="10568" max="10752" width="8.81640625" style="52"/>
    <col min="10753" max="10823" width="2.08984375" style="52" customWidth="1"/>
    <col min="10824" max="11008" width="8.81640625" style="52"/>
    <col min="11009" max="11079" width="2.08984375" style="52" customWidth="1"/>
    <col min="11080" max="11264" width="8.81640625" style="52"/>
    <col min="11265" max="11335" width="2.08984375" style="52" customWidth="1"/>
    <col min="11336" max="11520" width="8.81640625" style="52"/>
    <col min="11521" max="11591" width="2.08984375" style="52" customWidth="1"/>
    <col min="11592" max="11776" width="8.81640625" style="52"/>
    <col min="11777" max="11847" width="2.08984375" style="52" customWidth="1"/>
    <col min="11848" max="12032" width="8.81640625" style="52"/>
    <col min="12033" max="12103" width="2.08984375" style="52" customWidth="1"/>
    <col min="12104" max="12288" width="8.81640625" style="52"/>
    <col min="12289" max="12359" width="2.08984375" style="52" customWidth="1"/>
    <col min="12360" max="12544" width="8.81640625" style="52"/>
    <col min="12545" max="12615" width="2.08984375" style="52" customWidth="1"/>
    <col min="12616" max="12800" width="8.81640625" style="52"/>
    <col min="12801" max="12871" width="2.08984375" style="52" customWidth="1"/>
    <col min="12872" max="13056" width="8.81640625" style="52"/>
    <col min="13057" max="13127" width="2.08984375" style="52" customWidth="1"/>
    <col min="13128" max="13312" width="8.81640625" style="52"/>
    <col min="13313" max="13383" width="2.08984375" style="52" customWidth="1"/>
    <col min="13384" max="13568" width="8.81640625" style="52"/>
    <col min="13569" max="13639" width="2.08984375" style="52" customWidth="1"/>
    <col min="13640" max="13824" width="8.81640625" style="52"/>
    <col min="13825" max="13895" width="2.08984375" style="52" customWidth="1"/>
    <col min="13896" max="14080" width="8.81640625" style="52"/>
    <col min="14081" max="14151" width="2.08984375" style="52" customWidth="1"/>
    <col min="14152" max="14336" width="8.81640625" style="52"/>
    <col min="14337" max="14407" width="2.08984375" style="52" customWidth="1"/>
    <col min="14408" max="14592" width="8.81640625" style="52"/>
    <col min="14593" max="14663" width="2.08984375" style="52" customWidth="1"/>
    <col min="14664" max="14848" width="8.81640625" style="52"/>
    <col min="14849" max="14919" width="2.08984375" style="52" customWidth="1"/>
    <col min="14920" max="15104" width="8.81640625" style="52"/>
    <col min="15105" max="15175" width="2.08984375" style="52" customWidth="1"/>
    <col min="15176" max="15360" width="8.81640625" style="52"/>
    <col min="15361" max="15431" width="2.08984375" style="52" customWidth="1"/>
    <col min="15432" max="15616" width="8.81640625" style="52"/>
    <col min="15617" max="15687" width="2.08984375" style="52" customWidth="1"/>
    <col min="15688" max="15872" width="8.81640625" style="52"/>
    <col min="15873" max="15943" width="2.08984375" style="52" customWidth="1"/>
    <col min="15944" max="16128" width="8.81640625" style="52"/>
    <col min="16129" max="16199" width="2.08984375" style="52" customWidth="1"/>
    <col min="16200" max="16384" width="8.81640625" style="52"/>
  </cols>
  <sheetData>
    <row r="1" spans="1:57" ht="38.25" customHeight="1" thickBot="1" x14ac:dyDescent="0.25">
      <c r="A1" s="90" t="s">
        <v>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93" t="s">
        <v>10</v>
      </c>
      <c r="B3" s="94"/>
      <c r="C3" s="94"/>
      <c r="D3" s="94"/>
      <c r="E3" s="94"/>
      <c r="F3" s="94"/>
      <c r="G3" s="95"/>
      <c r="H3" s="96" t="s">
        <v>11</v>
      </c>
      <c r="I3" s="94"/>
      <c r="J3" s="94"/>
      <c r="K3" s="94"/>
      <c r="L3" s="94"/>
      <c r="M3" s="94"/>
      <c r="N3" s="95"/>
      <c r="O3" s="96" t="s">
        <v>12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13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7" t="s">
        <v>14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4" t="s">
        <v>92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93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9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9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62"/>
      <c r="B35" s="63"/>
      <c r="C35" s="63"/>
      <c r="D35" s="63"/>
      <c r="E35" s="63"/>
      <c r="F35" s="63"/>
      <c r="G35" s="64"/>
      <c r="H35" s="65"/>
      <c r="I35" s="66"/>
      <c r="J35" s="66"/>
      <c r="K35" s="66"/>
      <c r="L35" s="66"/>
      <c r="M35" s="66"/>
      <c r="N35" s="6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1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MfgInstSendIf_Upd01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2026-03-27T06:01:24Z</dcterms:modified>
  <cp:category/>
</cp:coreProperties>
</file>