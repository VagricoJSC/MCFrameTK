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5711DD30-637B-4165-BD1F-B3E929164CBA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PoRecvConv_Conv01" sheetId="5" r:id="rId2"/>
    <sheet name="PoRecv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<sst xmlns="http://schemas.openxmlformats.org/spreadsheetml/2006/main" count="160" uniqueCount="74">
  <si>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</si>
  <si>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</si>
  <si>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</si>
  <si>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</si>
  <si>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</si>
  <si>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</si>
  <si>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</si>
  <si>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</si>
  <si>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</si>
  <si>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</si>
  <si>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</si>
  <si>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</si>
  <si>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</si>
  <si>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</si>
  <si>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</si>
  <si>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</si>
  <si>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</si>
  <si>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</si>
  <si>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</si>
  <si>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</si>
  <si>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</si>
  <si>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</si>
  <si>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</si>
  <si>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</si>
  <si>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</si>
  <si>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</si>
  <si>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</si>
  <si>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</si>
  <si>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</si>
  <si>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</si>
  <si>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</si>
  <si>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</si>
  <si>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</si>
  <si>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</si>
  <si>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</si>
  <si>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</si>
  <si>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</si>
  <si>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</si>
  <si>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</si>
  <si>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</si>
  <si>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</si>
  <si>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</si>
  <si>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</si>
  <si>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</si>
  <si>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</si>
  <si>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</si>
  <si>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</si>
  <si>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</si>
  <si>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MSLAL9610</t>
    <phoneticPr fontId="4"/>
  </si>
  <si>
    <t>MSLAL_PoRecvConvService</t>
    <phoneticPr fontId="4"/>
  </si>
  <si>
    <t>発注受信変換サービス</t>
    <rPh sb="0" eb="2">
      <t>ハッチュウ</t>
    </rPh>
    <rPh sb="2" eb="4">
      <t>ジュシン</t>
    </rPh>
    <phoneticPr fontId="4"/>
  </si>
  <si>
    <t>PoRecvConv_Conv02</t>
    <phoneticPr fontId="4"/>
  </si>
  <si>
    <t>PoRecvConv_Conv01</t>
    <phoneticPr fontId="4"/>
  </si>
  <si>
    <t>PF.PFUDL5010</t>
    <phoneticPr fontId="4"/>
  </si>
  <si>
    <t>PF.PFUDL5010.ConvBase01</t>
    <phoneticPr fontId="1"/>
  </si>
  <si>
    <t>PF.PFUDL5010.ConvBase03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</si>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</sst>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48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49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11" t="s">
        <v>50</v>
      </c>
      <c r="F4" s="7" t="s">
        <v>44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5" t="s">
        <v>19</v>
      </c>
      <c r="B1" s="35" t="s">
        <v>19</v>
      </c>
      <c r="C1" s="35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6" t="s">
        <v>19</v>
      </c>
      <c r="B2" s="22"/>
      <c r="C2" s="22"/>
      <c r="D2" s="51" t="s">
        <v>56</v>
      </c>
      <c r="E2" s="7" t="s">
        <v>0</v>
      </c>
      <c r="F2" s="37" t="str">
        <f>IF(LogicCommon!C2="","",LogicCommon!C2)</f>
        <v>MS</v>
      </c>
      <c r="G2" s="7" t="s">
        <v>20</v>
      </c>
      <c r="H2" s="37" t="str">
        <f>IF(LogicCommon!E2="","",LogicCommon!E2)</f>
        <v>MSLAL9610</v>
      </c>
      <c r="I2" s="7" t="s">
        <v>25</v>
      </c>
      <c r="J2" s="8" t="s">
        <v>52</v>
      </c>
      <c r="K2" s="7" t="s">
        <v>26</v>
      </c>
      <c r="L2" s="37" t="str">
        <f>IF(LogicCommon!G2="","",LogicCommon!G2)</f>
        <v>MC</v>
      </c>
      <c r="M2" s="5" t="s">
        <v>27</v>
      </c>
      <c r="N2" s="38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19</v>
      </c>
      <c r="B3" s="40"/>
      <c r="C3" s="40"/>
      <c r="D3" s="41" t="str">
        <f>IF(LogicCommon!A3="","",LogicCommon!A3)</f>
        <v/>
      </c>
      <c r="E3" s="7" t="s">
        <v>1</v>
      </c>
      <c r="F3" s="37" t="str">
        <f>IF(LogicCommon!C3="","",LogicCommon!C3)</f>
        <v>MSLA</v>
      </c>
      <c r="G3" s="7" t="s">
        <v>28</v>
      </c>
      <c r="H3" s="37" t="str">
        <f>IF(LogicCommon!E3="","",LogicCommon!E3)</f>
        <v>MSLAL_PoRecvConvService</v>
      </c>
      <c r="I3" s="7" t="s">
        <v>29</v>
      </c>
      <c r="J3" s="8" t="s">
        <v>45</v>
      </c>
      <c r="K3" s="7" t="s">
        <v>18</v>
      </c>
      <c r="L3" s="37" t="str">
        <f>IF(LogicCommon!G3="","",LogicCommon!G3)</f>
        <v/>
      </c>
      <c r="M3" s="4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9" t="s">
        <v>19</v>
      </c>
      <c r="B4" s="40"/>
      <c r="C4" s="40"/>
      <c r="D4" s="4"/>
      <c r="E4" s="7" t="s">
        <v>12</v>
      </c>
      <c r="F4" s="43" t="s">
        <v>31</v>
      </c>
      <c r="G4" s="7" t="s">
        <v>21</v>
      </c>
      <c r="H4" s="37" t="str">
        <f>IF(LogicCommon!E4="","",LogicCommon!E4)</f>
        <v>発注受信変換サービス</v>
      </c>
      <c r="I4" s="7" t="s">
        <v>32</v>
      </c>
      <c r="J4" s="8" t="s">
        <v>46</v>
      </c>
      <c r="K4" s="7" t="s">
        <v>33</v>
      </c>
      <c r="L4" s="37" t="str">
        <f>IF(LogicCommon!G4="","",LogicCommon!G4)</f>
        <v>PF.PFUDL5010</v>
      </c>
      <c r="M4" s="44" t="s">
        <v>34</v>
      </c>
      <c r="N4" s="38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19</v>
      </c>
      <c r="B5" s="35"/>
      <c r="C5" s="35"/>
      <c r="D5" s="21"/>
      <c r="E5" s="7" t="s">
        <v>35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19</v>
      </c>
      <c r="B6" s="40"/>
      <c r="C6" s="40"/>
      <c r="D6" s="4" t="s">
        <v>4</v>
      </c>
      <c r="E6" s="12"/>
      <c r="F6" s="12"/>
      <c r="G6" s="12"/>
      <c r="H6" s="12"/>
      <c r="I6" s="12"/>
      <c r="J6" s="12"/>
      <c r="K6" s="12"/>
      <c r="L6" s="48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8"/>
      <c r="G8" s="23" t="s">
        <v>36</v>
      </c>
      <c r="H8" s="23" t="s">
        <v>59</v>
      </c>
      <c r="I8" s="4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60</v>
      </c>
      <c r="U8" s="106"/>
    </row>
    <row r="9" spans="1:21" s="10" customFormat="1" ht="60" customHeight="1" x14ac:dyDescent="0.2">
      <c r="A9" s="8" t="s">
        <v>13</v>
      </c>
      <c r="B9" s="25"/>
      <c r="C9" s="49"/>
      <c r="D9" s="23" t="s">
        <v>61</v>
      </c>
      <c r="E9" s="54" t="s">
        <v>62</v>
      </c>
      <c r="F9" s="23" t="s">
        <v>63</v>
      </c>
      <c r="G9" s="23" t="s">
        <v>64</v>
      </c>
      <c r="H9" s="23" t="s">
        <v>65</v>
      </c>
      <c r="I9" s="50" t="s">
        <v>66</v>
      </c>
      <c r="J9" s="23" t="s">
        <v>67</v>
      </c>
      <c r="K9" s="51"/>
      <c r="L9" s="50"/>
      <c r="M9" s="23"/>
      <c r="N9" s="50"/>
      <c r="O9" s="23"/>
      <c r="P9" s="50"/>
      <c r="Q9" s="23"/>
      <c r="R9" s="105" t="s">
        <v>68</v>
      </c>
      <c r="S9" s="106"/>
      <c r="T9" s="105" t="s">
        <v>69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34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50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5" t="s">
        <v>19</v>
      </c>
      <c r="B1" s="35" t="s">
        <v>19</v>
      </c>
      <c r="C1" s="35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6" t="s">
        <v>19</v>
      </c>
      <c r="B2" s="22"/>
      <c r="C2" s="22"/>
      <c r="D2" s="51" t="s">
        <v>56</v>
      </c>
      <c r="E2" s="7" t="s">
        <v>0</v>
      </c>
      <c r="F2" s="37" t="str">
        <f>IF(LogicCommon!C2="","",LogicCommon!C2)</f>
        <v>MS</v>
      </c>
      <c r="G2" s="7" t="s">
        <v>20</v>
      </c>
      <c r="H2" s="37" t="str">
        <f>IF(LogicCommon!E2="","",LogicCommon!E2)</f>
        <v>MSLAL9610</v>
      </c>
      <c r="I2" s="7" t="s">
        <v>25</v>
      </c>
      <c r="J2" s="8" t="s">
        <v>51</v>
      </c>
      <c r="K2" s="7" t="s">
        <v>26</v>
      </c>
      <c r="L2" s="37" t="str">
        <f>IF(LogicCommon!G2="","",LogicCommon!G2)</f>
        <v>MC</v>
      </c>
      <c r="M2" s="5" t="s">
        <v>27</v>
      </c>
      <c r="N2" s="38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19</v>
      </c>
      <c r="B3" s="40"/>
      <c r="C3" s="40"/>
      <c r="D3" s="41" t="str">
        <f>IF(LogicCommon!A3="","",LogicCommon!A3)</f>
        <v/>
      </c>
      <c r="E3" s="7" t="s">
        <v>1</v>
      </c>
      <c r="F3" s="37" t="str">
        <f>IF(LogicCommon!C3="","",LogicCommon!C3)</f>
        <v>MSLA</v>
      </c>
      <c r="G3" s="7" t="s">
        <v>28</v>
      </c>
      <c r="H3" s="37" t="str">
        <f>IF(LogicCommon!E3="","",LogicCommon!E3)</f>
        <v>MSLAL_PoRecvConvService</v>
      </c>
      <c r="I3" s="7" t="s">
        <v>29</v>
      </c>
      <c r="J3" s="8" t="s">
        <v>45</v>
      </c>
      <c r="K3" s="7" t="s">
        <v>18</v>
      </c>
      <c r="L3" s="37" t="str">
        <f>IF(LogicCommon!G3="","",LogicCommon!G3)</f>
        <v/>
      </c>
      <c r="M3" s="4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9" t="s">
        <v>19</v>
      </c>
      <c r="B4" s="40"/>
      <c r="C4" s="40"/>
      <c r="D4" s="4"/>
      <c r="E4" s="7" t="s">
        <v>12</v>
      </c>
      <c r="F4" s="43" t="s">
        <v>31</v>
      </c>
      <c r="G4" s="7" t="s">
        <v>21</v>
      </c>
      <c r="H4" s="37" t="str">
        <f>IF(LogicCommon!E4="","",LogicCommon!E4)</f>
        <v>発注受信変換サービス</v>
      </c>
      <c r="I4" s="7" t="s">
        <v>32</v>
      </c>
      <c r="J4" s="8" t="s">
        <v>47</v>
      </c>
      <c r="K4" s="7" t="s">
        <v>33</v>
      </c>
      <c r="L4" s="37" t="str">
        <f>IF(LogicCommon!G4="","",LogicCommon!G4)</f>
        <v>PF.PFUDL5010</v>
      </c>
      <c r="M4" s="44" t="s">
        <v>34</v>
      </c>
      <c r="N4" s="38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19</v>
      </c>
      <c r="B5" s="35"/>
      <c r="C5" s="35"/>
      <c r="D5" s="21"/>
      <c r="E5" s="7" t="s">
        <v>35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19</v>
      </c>
      <c r="B6" s="40"/>
      <c r="C6" s="40"/>
      <c r="D6" s="4" t="s">
        <v>4</v>
      </c>
      <c r="E6" s="12"/>
      <c r="F6" s="12"/>
      <c r="G6" s="12"/>
      <c r="H6" s="12"/>
      <c r="I6" s="12"/>
      <c r="J6" s="12"/>
      <c r="K6" s="12"/>
      <c r="L6" s="48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8"/>
      <c r="G8" s="23" t="s">
        <v>36</v>
      </c>
      <c r="H8" s="23" t="s">
        <v>59</v>
      </c>
      <c r="I8" s="4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60</v>
      </c>
      <c r="U8" s="106"/>
    </row>
    <row r="9" spans="1:21" s="10" customFormat="1" ht="60" customHeight="1" x14ac:dyDescent="0.2">
      <c r="A9" s="8" t="s">
        <v>13</v>
      </c>
      <c r="B9" s="25"/>
      <c r="C9" s="49"/>
      <c r="D9" s="23" t="s">
        <v>70</v>
      </c>
      <c r="E9" s="54" t="s">
        <v>71</v>
      </c>
      <c r="F9" s="23" t="s">
        <v>63</v>
      </c>
      <c r="G9" s="23" t="s">
        <v>64</v>
      </c>
      <c r="H9" s="23" t="s">
        <v>65</v>
      </c>
      <c r="I9" s="50" t="s">
        <v>66</v>
      </c>
      <c r="J9" s="23" t="s">
        <v>67</v>
      </c>
      <c r="K9" s="51"/>
      <c r="L9" s="50"/>
      <c r="M9" s="23"/>
      <c r="N9" s="50"/>
      <c r="O9" s="23"/>
      <c r="P9" s="50"/>
      <c r="Q9" s="23"/>
      <c r="R9" s="105" t="s">
        <v>68</v>
      </c>
      <c r="S9" s="106"/>
      <c r="T9" s="105" t="s">
        <v>69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34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50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1" customWidth="1"/>
    <col min="43" max="44" width="2.08984375" style="33" customWidth="1"/>
    <col min="45" max="71" width="2.08984375" style="31" customWidth="1"/>
    <col min="72" max="256" width="9" style="31"/>
    <col min="257" max="327" width="2.08984375" style="31" customWidth="1"/>
    <col min="328" max="512" width="9" style="31"/>
    <col min="513" max="583" width="2.08984375" style="31" customWidth="1"/>
    <col min="584" max="768" width="9" style="31"/>
    <col min="769" max="839" width="2.08984375" style="31" customWidth="1"/>
    <col min="840" max="1024" width="9" style="31"/>
    <col min="1025" max="1095" width="2.08984375" style="31" customWidth="1"/>
    <col min="1096" max="1280" width="9" style="31"/>
    <col min="1281" max="1351" width="2.08984375" style="31" customWidth="1"/>
    <col min="1352" max="1536" width="9" style="31"/>
    <col min="1537" max="1607" width="2.08984375" style="31" customWidth="1"/>
    <col min="1608" max="1792" width="9" style="31"/>
    <col min="1793" max="1863" width="2.08984375" style="31" customWidth="1"/>
    <col min="1864" max="2048" width="9" style="31"/>
    <col min="2049" max="2119" width="2.08984375" style="31" customWidth="1"/>
    <col min="2120" max="2304" width="9" style="31"/>
    <col min="2305" max="2375" width="2.08984375" style="31" customWidth="1"/>
    <col min="2376" max="2560" width="9" style="31"/>
    <col min="2561" max="2631" width="2.08984375" style="31" customWidth="1"/>
    <col min="2632" max="2816" width="9" style="31"/>
    <col min="2817" max="2887" width="2.08984375" style="31" customWidth="1"/>
    <col min="2888" max="3072" width="9" style="31"/>
    <col min="3073" max="3143" width="2.08984375" style="31" customWidth="1"/>
    <col min="3144" max="3328" width="9" style="31"/>
    <col min="3329" max="3399" width="2.08984375" style="31" customWidth="1"/>
    <col min="3400" max="3584" width="9" style="31"/>
    <col min="3585" max="3655" width="2.08984375" style="31" customWidth="1"/>
    <col min="3656" max="3840" width="9" style="31"/>
    <col min="3841" max="3911" width="2.08984375" style="31" customWidth="1"/>
    <col min="3912" max="4096" width="9" style="31"/>
    <col min="4097" max="4167" width="2.08984375" style="31" customWidth="1"/>
    <col min="4168" max="4352" width="9" style="31"/>
    <col min="4353" max="4423" width="2.08984375" style="31" customWidth="1"/>
    <col min="4424" max="4608" width="9" style="31"/>
    <col min="4609" max="4679" width="2.08984375" style="31" customWidth="1"/>
    <col min="4680" max="4864" width="9" style="31"/>
    <col min="4865" max="4935" width="2.08984375" style="31" customWidth="1"/>
    <col min="4936" max="5120" width="9" style="31"/>
    <col min="5121" max="5191" width="2.08984375" style="31" customWidth="1"/>
    <col min="5192" max="5376" width="9" style="31"/>
    <col min="5377" max="5447" width="2.08984375" style="31" customWidth="1"/>
    <col min="5448" max="5632" width="9" style="31"/>
    <col min="5633" max="5703" width="2.08984375" style="31" customWidth="1"/>
    <col min="5704" max="5888" width="9" style="31"/>
    <col min="5889" max="5959" width="2.08984375" style="31" customWidth="1"/>
    <col min="5960" max="6144" width="9" style="31"/>
    <col min="6145" max="6215" width="2.08984375" style="31" customWidth="1"/>
    <col min="6216" max="6400" width="9" style="31"/>
    <col min="6401" max="6471" width="2.08984375" style="31" customWidth="1"/>
    <col min="6472" max="6656" width="9" style="31"/>
    <col min="6657" max="6727" width="2.08984375" style="31" customWidth="1"/>
    <col min="6728" max="6912" width="9" style="31"/>
    <col min="6913" max="6983" width="2.08984375" style="31" customWidth="1"/>
    <col min="6984" max="7168" width="9" style="31"/>
    <col min="7169" max="7239" width="2.08984375" style="31" customWidth="1"/>
    <col min="7240" max="7424" width="9" style="31"/>
    <col min="7425" max="7495" width="2.08984375" style="31" customWidth="1"/>
    <col min="7496" max="7680" width="9" style="31"/>
    <col min="7681" max="7751" width="2.08984375" style="31" customWidth="1"/>
    <col min="7752" max="7936" width="9" style="31"/>
    <col min="7937" max="8007" width="2.08984375" style="31" customWidth="1"/>
    <col min="8008" max="8192" width="9" style="31"/>
    <col min="8193" max="8263" width="2.08984375" style="31" customWidth="1"/>
    <col min="8264" max="8448" width="9" style="31"/>
    <col min="8449" max="8519" width="2.08984375" style="31" customWidth="1"/>
    <col min="8520" max="8704" width="9" style="31"/>
    <col min="8705" max="8775" width="2.08984375" style="31" customWidth="1"/>
    <col min="8776" max="8960" width="9" style="31"/>
    <col min="8961" max="9031" width="2.08984375" style="31" customWidth="1"/>
    <col min="9032" max="9216" width="9" style="31"/>
    <col min="9217" max="9287" width="2.08984375" style="31" customWidth="1"/>
    <col min="9288" max="9472" width="9" style="31"/>
    <col min="9473" max="9543" width="2.08984375" style="31" customWidth="1"/>
    <col min="9544" max="9728" width="9" style="31"/>
    <col min="9729" max="9799" width="2.08984375" style="31" customWidth="1"/>
    <col min="9800" max="9984" width="9" style="31"/>
    <col min="9985" max="10055" width="2.08984375" style="31" customWidth="1"/>
    <col min="10056" max="10240" width="9" style="31"/>
    <col min="10241" max="10311" width="2.08984375" style="31" customWidth="1"/>
    <col min="10312" max="10496" width="9" style="31"/>
    <col min="10497" max="10567" width="2.08984375" style="31" customWidth="1"/>
    <col min="10568" max="10752" width="9" style="31"/>
    <col min="10753" max="10823" width="2.08984375" style="31" customWidth="1"/>
    <col min="10824" max="11008" width="9" style="31"/>
    <col min="11009" max="11079" width="2.08984375" style="31" customWidth="1"/>
    <col min="11080" max="11264" width="9" style="31"/>
    <col min="11265" max="11335" width="2.08984375" style="31" customWidth="1"/>
    <col min="11336" max="11520" width="9" style="31"/>
    <col min="11521" max="11591" width="2.08984375" style="31" customWidth="1"/>
    <col min="11592" max="11776" width="9" style="31"/>
    <col min="11777" max="11847" width="2.08984375" style="31" customWidth="1"/>
    <col min="11848" max="12032" width="9" style="31"/>
    <col min="12033" max="12103" width="2.08984375" style="31" customWidth="1"/>
    <col min="12104" max="12288" width="9" style="31"/>
    <col min="12289" max="12359" width="2.08984375" style="31" customWidth="1"/>
    <col min="12360" max="12544" width="9" style="31"/>
    <col min="12545" max="12615" width="2.08984375" style="31" customWidth="1"/>
    <col min="12616" max="12800" width="9" style="31"/>
    <col min="12801" max="12871" width="2.08984375" style="31" customWidth="1"/>
    <col min="12872" max="13056" width="9" style="31"/>
    <col min="13057" max="13127" width="2.08984375" style="31" customWidth="1"/>
    <col min="13128" max="13312" width="9" style="31"/>
    <col min="13313" max="13383" width="2.08984375" style="31" customWidth="1"/>
    <col min="13384" max="13568" width="9" style="31"/>
    <col min="13569" max="13639" width="2.08984375" style="31" customWidth="1"/>
    <col min="13640" max="13824" width="9" style="31"/>
    <col min="13825" max="13895" width="2.08984375" style="31" customWidth="1"/>
    <col min="13896" max="14080" width="9" style="31"/>
    <col min="14081" max="14151" width="2.08984375" style="31" customWidth="1"/>
    <col min="14152" max="14336" width="9" style="31"/>
    <col min="14337" max="14407" width="2.08984375" style="31" customWidth="1"/>
    <col min="14408" max="14592" width="9" style="31"/>
    <col min="14593" max="14663" width="2.08984375" style="31" customWidth="1"/>
    <col min="14664" max="14848" width="9" style="31"/>
    <col min="14849" max="14919" width="2.08984375" style="31" customWidth="1"/>
    <col min="14920" max="15104" width="9" style="31"/>
    <col min="15105" max="15175" width="2.08984375" style="31" customWidth="1"/>
    <col min="15176" max="15360" width="9" style="31"/>
    <col min="15361" max="15431" width="2.08984375" style="31" customWidth="1"/>
    <col min="15432" max="15616" width="9" style="31"/>
    <col min="15617" max="15687" width="2.08984375" style="31" customWidth="1"/>
    <col min="15688" max="15872" width="9" style="31"/>
    <col min="15873" max="15943" width="2.08984375" style="31" customWidth="1"/>
    <col min="15944" max="16128" width="9" style="31"/>
    <col min="16129" max="16199" width="2.08984375" style="31" customWidth="1"/>
    <col min="16200" max="16384" width="9" style="31"/>
  </cols>
  <sheetData>
    <row r="1" spans="1:57" ht="38.25" customHeight="1" thickBot="1" x14ac:dyDescent="0.25">
      <c r="A1" s="84" t="s">
        <v>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87" t="s">
        <v>6</v>
      </c>
      <c r="B3" s="88"/>
      <c r="C3" s="88"/>
      <c r="D3" s="88"/>
      <c r="E3" s="88"/>
      <c r="F3" s="88"/>
      <c r="G3" s="89"/>
      <c r="H3" s="90" t="s">
        <v>7</v>
      </c>
      <c r="I3" s="88"/>
      <c r="J3" s="88"/>
      <c r="K3" s="88"/>
      <c r="L3" s="88"/>
      <c r="M3" s="88"/>
      <c r="N3" s="89"/>
      <c r="O3" s="90" t="s">
        <v>8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9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10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8" t="s">
        <v>72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73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75"/>
      <c r="I6" s="76"/>
      <c r="J6" s="76"/>
      <c r="K6" s="76"/>
      <c r="L6" s="76"/>
      <c r="M6" s="76"/>
      <c r="N6" s="77"/>
      <c r="O6" s="68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75"/>
      <c r="I7" s="76"/>
      <c r="J7" s="76"/>
      <c r="K7" s="76"/>
      <c r="L7" s="76"/>
      <c r="M7" s="76"/>
      <c r="N7" s="77"/>
      <c r="O7" s="68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55"/>
      <c r="B35" s="56"/>
      <c r="C35" s="56"/>
      <c r="D35" s="56"/>
      <c r="E35" s="56"/>
      <c r="F35" s="56"/>
      <c r="G35" s="57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PoRecvConv_Conv01</vt:lpstr>
      <vt:lpstr>PoRecvConv_Conv02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2026-03-27T06:01:42Z</dcterms:modified>
  <cp:category/>
</cp:coreProperties>
</file>