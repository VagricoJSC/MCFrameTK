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463A345-6BC9-4AD2-B166-F307F3ED1B70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ExRpt_Prnt01" sheetId="13" r:id="rId2"/>
    <sheet name="ExRpt_Prnt02" sheetId="12" r:id="rId3"/>
    <sheet name="ExRpt_Prnt03" sheetId="14" r:id="rId4"/>
    <sheet name="ExRpt_Prnt04" sheetId="10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1" i="12" l="1"/>
  <c r="A16" i="14" l="1"/>
  <c r="L4" i="14"/>
  <c r="H4" i="14"/>
  <c r="L3" i="14"/>
  <c r="H3" i="14"/>
  <c r="F3" i="14"/>
  <c r="D3" i="14"/>
  <c r="L2" i="14"/>
  <c r="H2" i="14"/>
  <c r="F2" i="14"/>
  <c r="A19" i="13"/>
  <c r="L4" i="13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A14" i="10" l="1"/>
  <c r="L4" i="10" l="1"/>
  <c r="H4" i="10"/>
  <c r="L3" i="10"/>
  <c r="H3" i="10"/>
  <c r="F3" i="10"/>
  <c r="D3" i="10"/>
  <c r="L2" i="10"/>
  <c r="H2" i="10"/>
  <c r="F2" i="10"/>
</calcChain>
</file>

<file path=xl/sharedStrings.xml><?xml version="1.0" encoding="utf-8"?>
<sst xmlns="http://schemas.openxmlformats.org/spreadsheetml/2006/main" count="498" uniqueCount="165">
  <si>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</si>
  <si>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</si>
  <si>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</si>
  <si>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</si>
  <si>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</si>
  <si>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</si>
  <si>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</si>
  <si>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</si>
  <si>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</si>
  <si>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</si>
  <si>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</si>
  <si>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</si>
  <si>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</si>
  <si>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</si>
  <si>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</si>
  <si>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</si>
  <si>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</si>
  <si>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</si>
  <si>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</si>
  <si>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</si>
  <si>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</si>
  <si>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ACType :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</si>
  <si>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</si>
  <si>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</si>
  <si>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</si>
  <si>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</si>
  <si>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*</t>
  </si>
  <si>
    <t>#MA.FLG</t>
  </si>
  <si>
    <t>iv_no</t>
  </si>
  <si>
    <t>#MA.IV_NO</t>
  </si>
  <si>
    <t>err_flg</t>
  </si>
  <si>
    <t>パッキングリスト印刷</t>
    <rPh sb="8" eb="10">
      <t>インサツ</t>
    </rPh>
    <phoneticPr fontId="3"/>
  </si>
  <si>
    <t>pl_prnt_flg</t>
    <phoneticPr fontId="3"/>
  </si>
  <si>
    <t>dlv_id_nm</t>
    <phoneticPr fontId="3"/>
  </si>
  <si>
    <t>#MA.FLG</t>
    <phoneticPr fontId="3"/>
  </si>
  <si>
    <t>#MS.SHIP_RQST_ID_CD</t>
    <phoneticPr fontId="3"/>
  </si>
  <si>
    <t>#MS.DLV_ID_CD</t>
    <phoneticPr fontId="3"/>
  </si>
  <si>
    <t>#MS.DLV_ID_NM</t>
    <phoneticPr fontId="3"/>
  </si>
  <si>
    <t>ship_rqst_id_cd</t>
    <phoneticPr fontId="3"/>
  </si>
  <si>
    <t>dlv_id_cd</t>
    <phoneticPr fontId="3"/>
  </si>
  <si>
    <t>#MS.SHIP_RQST_ID_NM</t>
    <phoneticPr fontId="3"/>
  </si>
  <si>
    <t>ship_rqst_id_nm</t>
    <phoneticPr fontId="3"/>
  </si>
  <si>
    <t>R</t>
    <phoneticPr fontId="3"/>
  </si>
  <si>
    <t>MSBEL5720</t>
    <phoneticPr fontId="3"/>
  </si>
  <si>
    <t>パッキングリストを印刷する（複数印刷用）</t>
    <rPh sb="9" eb="11">
      <t>インサツ</t>
    </rPh>
    <rPh sb="14" eb="16">
      <t>フクスウ</t>
    </rPh>
    <rPh sb="16" eb="18">
      <t>インサツ</t>
    </rPh>
    <rPh sb="18" eb="19">
      <t>ヨウ</t>
    </rPh>
    <phoneticPr fontId="3"/>
  </si>
  <si>
    <t>パッキングリストを印刷する（単票印刷用）</t>
    <rPh sb="9" eb="11">
      <t>インサツ</t>
    </rPh>
    <rPh sb="14" eb="16">
      <t>タンピョウ</t>
    </rPh>
    <rPh sb="16" eb="18">
      <t>インサツ</t>
    </rPh>
    <rPh sb="18" eb="19">
      <t>ヨウ</t>
    </rPh>
    <phoneticPr fontId="3"/>
  </si>
  <si>
    <t>err_flg</t>
    <phoneticPr fontId="3"/>
  </si>
  <si>
    <t>#MA.FLG</t>
    <phoneticPr fontId="3"/>
  </si>
  <si>
    <t>インボイスを印刷する（複数印刷用）</t>
    <rPh sb="6" eb="8">
      <t>インサツ</t>
    </rPh>
    <rPh sb="11" eb="13">
      <t>フクスウ</t>
    </rPh>
    <rPh sb="13" eb="15">
      <t>インサツ</t>
    </rPh>
    <rPh sb="15" eb="16">
      <t>ヨウ</t>
    </rPh>
    <phoneticPr fontId="3"/>
  </si>
  <si>
    <t>インボイス印刷</t>
    <rPh sb="5" eb="7">
      <t>インサツ</t>
    </rPh>
    <phoneticPr fontId="3"/>
  </si>
  <si>
    <t>インボイスを印刷する（単票印刷用）</t>
    <rPh sb="6" eb="8">
      <t>インサツ</t>
    </rPh>
    <rPh sb="11" eb="13">
      <t>タンピョウ</t>
    </rPh>
    <rPh sb="13" eb="15">
      <t>インサツ</t>
    </rPh>
    <rPh sb="15" eb="16">
      <t>ヨウ</t>
    </rPh>
    <phoneticPr fontId="3"/>
  </si>
  <si>
    <t>prnt_lcl_cd</t>
    <phoneticPr fontId="3"/>
  </si>
  <si>
    <t>#MA.LCL_CD</t>
    <phoneticPr fontId="3"/>
  </si>
  <si>
    <t>iv_no</t>
    <phoneticPr fontId="3"/>
  </si>
  <si>
    <t>#MA.IV_NO</t>
    <phoneticPr fontId="3"/>
  </si>
  <si>
    <t>iv_no</t>
    <phoneticPr fontId="3"/>
  </si>
  <si>
    <t>輸出帳票サービス</t>
    <phoneticPr fontId="3"/>
  </si>
  <si>
    <t>MSBEL_ExRptService</t>
    <phoneticPr fontId="3"/>
  </si>
  <si>
    <t>ExRpt_Prnt01</t>
  </si>
  <si>
    <t>ExRpt_Prnt01_Cnd</t>
  </si>
  <si>
    <t>ExRpt_Prnt02</t>
  </si>
  <si>
    <t>ExRpt_Prnt02_Cnd</t>
  </si>
  <si>
    <t>ExRpt_Prnt03</t>
  </si>
  <si>
    <t>ExRpt_Prnt04</t>
  </si>
  <si>
    <t>Pj.ID :</t>
    <phoneticPr fontId="1"/>
  </si>
  <si>
    <t>SuperClassPj.ID :</t>
    <phoneticPr fontId="1"/>
  </si>
  <si>
    <t xml:space="preserve">Ope.Name : </t>
    <phoneticPr fontId="1"/>
  </si>
  <si>
    <t>インボイスＮＯ</t>
    <phoneticPr fontId="3"/>
  </si>
  <si>
    <t>TargetName</t>
    <phoneticPr fontId="1"/>
  </si>
  <si>
    <t>Ope.Method :</t>
    <phoneticPr fontId="1"/>
  </si>
  <si>
    <t>ImplOpe.ID:</t>
    <phoneticPr fontId="1"/>
  </si>
  <si>
    <t>TargetName</t>
    <phoneticPr fontId="1"/>
  </si>
  <si>
    <t>000000</t>
    <phoneticPr fontId="1"/>
  </si>
  <si>
    <t>TargetName</t>
    <phoneticPr fontId="1"/>
  </si>
  <si>
    <t>$share$</t>
    <phoneticPr fontId="3"/>
  </si>
  <si>
    <t>$share$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</si>
  <si>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</si>
  <si>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</si>
  <si>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</si>
  <si>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</si>
  <si>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</si>
  <si>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</si>
  <si>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</si>
  <si>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>E</t>
    <phoneticPr fontId="3"/>
  </si>
  <si>
    <t>-</t>
    <phoneticPr fontId="3"/>
  </si>
  <si>
    <t>エラーＦＬＧ</t>
    <phoneticPr fontId="3"/>
  </si>
  <si>
    <t>super/share</t>
    <phoneticPr fontId="1"/>
  </si>
  <si>
    <t>出荷依頼先識別ＣＤ</t>
    <phoneticPr fontId="3"/>
  </si>
  <si>
    <t>出荷依頼先識別名</t>
    <phoneticPr fontId="3"/>
  </si>
  <si>
    <t>納品先識別ＣＤ</t>
    <phoneticPr fontId="3"/>
  </si>
  <si>
    <t>納品先識別名</t>
    <phoneticPr fontId="3"/>
  </si>
  <si>
    <t>パッキングリスト発行済</t>
    <phoneticPr fontId="3"/>
  </si>
  <si>
    <t>帳票出力ロケールＣＤ</t>
    <phoneticPr fontId="3"/>
  </si>
  <si>
    <t>ExRpt_Prnt01.ExRpt_Prnt01_Cnd</t>
    <phoneticPr fontId="3"/>
  </si>
  <si>
    <t>ExRpt_Prnt02.ExRpt_Prnt02_Cnd</t>
    <phoneticPr fontId="3"/>
  </si>
  <si>
    <t>ship_rqst_id_alt_nm1</t>
  </si>
  <si>
    <t>#MA.BP_ALT_NM1</t>
  </si>
  <si>
    <t>#MA.BP_ALT_NM1</t>
    <phoneticPr fontId="3"/>
  </si>
  <si>
    <t>ship_rqst_id_alt_nm2</t>
  </si>
  <si>
    <t>#MA.BP_ALT_NM2</t>
  </si>
  <si>
    <t>ship_rqst_id_alt_nm3</t>
  </si>
  <si>
    <t>#MA.BP_ALT_NM3</t>
  </si>
  <si>
    <t>ship_rqst_id_alt_nm4</t>
  </si>
  <si>
    <t>#MA.BP_ALT_NM4</t>
  </si>
  <si>
    <t>dlv_id_alt_nm1</t>
  </si>
  <si>
    <t>納品先別名１</t>
    <phoneticPr fontId="1"/>
  </si>
  <si>
    <t>dlv_id_alt_nm2</t>
  </si>
  <si>
    <t>dlv_id_alt_nm3</t>
  </si>
  <si>
    <t>dlv_id_alt_nm4</t>
  </si>
  <si>
    <t>MS.MSUDL5010</t>
    <phoneticPr fontId="3"/>
  </si>
  <si>
    <t>"mcframe.serverMAUD.MAUDL5010.MAUDL_Operation"</t>
    <phoneticPr fontId="3"/>
  </si>
  <si>
    <t>得意先別名１</t>
    <phoneticPr fontId="3"/>
  </si>
  <si>
    <t>得意先別名２</t>
    <phoneticPr fontId="3"/>
  </si>
  <si>
    <t>得意先別名３</t>
    <phoneticPr fontId="3"/>
  </si>
  <si>
    <t>得意先別名４</t>
    <phoneticPr fontId="3"/>
  </si>
  <si>
    <t>納品先別名２</t>
    <phoneticPr fontId="3"/>
  </si>
  <si>
    <t>納品先別名３</t>
    <phoneticPr fontId="3"/>
  </si>
  <si>
    <t>納品先別名４</t>
    <phoneticPr fontId="3"/>
  </si>
  <si>
    <t>ExRpt_Prnt01_Hdr</t>
    <phoneticPr fontId="3"/>
  </si>
  <si>
    <t>indiv_prnt_flg</t>
  </si>
  <si>
    <t>ExRpt_Prnt02_Hdr</t>
    <phoneticPr fontId="3"/>
  </si>
  <si>
    <t>iv_rev</t>
    <phoneticPr fontId="3"/>
  </si>
  <si>
    <t>インボイス改訂番号</t>
    <rPh sb="5" eb="7">
      <t>カイテイ</t>
    </rPh>
    <rPh sb="7" eb="9">
      <t>バンゴウ</t>
    </rPh>
    <phoneticPr fontId="3"/>
  </si>
  <si>
    <t>ExRpt_Prnt01_Cnd</t>
    <phoneticPr fontId="3"/>
  </si>
  <si>
    <t>iv_mng_no</t>
    <phoneticPr fontId="3"/>
  </si>
  <si>
    <t>#MA.IV_MNG_NO</t>
    <phoneticPr fontId="3"/>
  </si>
  <si>
    <t>インボイス管理ＮＯ</t>
    <phoneticPr fontId="3"/>
  </si>
  <si>
    <t>#MA.SLIP_REV</t>
    <phoneticPr fontId="3"/>
  </si>
  <si>
    <t>indiv_prnt_flg</t>
    <phoneticPr fontId="3"/>
  </si>
  <si>
    <t>個別発行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</si>
  <si>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</si>
  <si>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</si>
  <si>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</si>
  <si>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</si>
  <si>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</si>
  <si>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</si>
  <si>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</si>
  <si>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</si>
  <si>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</si>
  <si>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</si>
  <si>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</si>
  <si>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</si>
  <si>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3"/>
  </si>
  <si>
    <t>項目備考
Field Remarks</t>
    <phoneticPr fontId="1"/>
  </si>
  <si>
    <t>Invoice management No.</t>
  </si>
  <si>
    <t>Invoice No.</t>
  </si>
  <si>
    <t>Invoice rev. number</t>
  </si>
  <si>
    <t>Error flg.</t>
  </si>
  <si>
    <t>Individual issue</t>
  </si>
  <si>
    <t>Shipping requested alias cd.</t>
  </si>
  <si>
    <t>Shipping requested alias name</t>
  </si>
  <si>
    <t>Customer alias name 1</t>
  </si>
  <si>
    <t>Customer alias name 2</t>
  </si>
  <si>
    <t>Customer alias name 3</t>
  </si>
  <si>
    <t>Customer alias name 4</t>
  </si>
  <si>
    <t>Delivery destination identification cd.</t>
  </si>
  <si>
    <t>Delivery destination identification name</t>
  </si>
  <si>
    <t>Delivery destination alias name 1</t>
  </si>
  <si>
    <t>Delivery destination alias name 2</t>
  </si>
  <si>
    <t>Delivery destination alias name 3</t>
  </si>
  <si>
    <t>Delivery destination alias name 4</t>
  </si>
  <si>
    <t>Packing list issued</t>
  </si>
  <si>
    <t>Report output locale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</si>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</sst>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 applyProtection="1">
      <alignment vertical="top"/>
      <protection locked="0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2" borderId="9" xfId="0" applyFont="1" applyFill="1" applyBorder="1" applyAlignment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2" xfId="0" applyFont="1" applyFill="1" applyBorder="1">
      <alignment vertical="top"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F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43</v>
      </c>
      <c r="F2" s="7" t="s">
        <v>64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57</v>
      </c>
      <c r="F3" s="7" t="s">
        <v>65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56</v>
      </c>
      <c r="F4" s="7" t="s">
        <v>5</v>
      </c>
      <c r="G4" s="8" t="s">
        <v>109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5.81640625" style="5" customWidth="1"/>
    <col min="20" max="20" width="13.90625" style="5" bestFit="1" customWidth="1"/>
    <col min="21" max="21" width="12.81640625" style="5" bestFit="1" customWidth="1"/>
    <col min="22" max="22" width="6.453125" style="5" bestFit="1" customWidth="1"/>
    <col min="23" max="23" width="27.90625" style="5" customWidth="1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34" width="9" style="5"/>
    <col min="35" max="35" width="18.453125" style="5" customWidth="1"/>
    <col min="36" max="16384" width="9" style="5"/>
  </cols>
  <sheetData>
    <row r="1" spans="1:20" s="10" customFormat="1" x14ac:dyDescent="0.2">
      <c r="A1" s="49" t="s">
        <v>77</v>
      </c>
      <c r="B1" s="49" t="s">
        <v>77</v>
      </c>
      <c r="C1" s="49"/>
      <c r="D1" s="1" t="s">
        <v>78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50" t="s">
        <v>77</v>
      </c>
      <c r="B2" s="22"/>
      <c r="C2" s="22"/>
      <c r="D2" s="62" t="s">
        <v>130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MSBEL5720</v>
      </c>
      <c r="I2" s="7" t="s">
        <v>79</v>
      </c>
      <c r="J2" s="8" t="s">
        <v>58</v>
      </c>
      <c r="K2" s="7" t="s">
        <v>64</v>
      </c>
      <c r="L2" s="51" t="str">
        <f>IF(LogicCommon!G2="","",LogicCommon!G2)</f>
        <v>MC</v>
      </c>
      <c r="M2" s="5" t="s">
        <v>80</v>
      </c>
      <c r="N2" s="23" t="s">
        <v>110</v>
      </c>
      <c r="O2" s="7"/>
      <c r="P2" s="7"/>
      <c r="Q2" s="4"/>
      <c r="R2" s="5"/>
      <c r="S2" s="5"/>
      <c r="T2" s="5"/>
    </row>
    <row r="3" spans="1:20" s="10" customFormat="1" x14ac:dyDescent="0.2">
      <c r="A3" s="52" t="s">
        <v>77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MSBE</v>
      </c>
      <c r="G3" s="7" t="s">
        <v>3</v>
      </c>
      <c r="H3" s="51" t="str">
        <f>IF(LogicCommon!E3="","",LogicCommon!E3)</f>
        <v>MSBEL_ExRptService</v>
      </c>
      <c r="I3" s="7" t="s">
        <v>69</v>
      </c>
      <c r="J3" s="8" t="s">
        <v>58</v>
      </c>
      <c r="K3" s="7" t="s">
        <v>65</v>
      </c>
      <c r="L3" s="51" t="str">
        <f>IF(LogicCommon!G3="","",LogicCommon!G3)</f>
        <v/>
      </c>
      <c r="M3" s="55"/>
      <c r="N3" s="7"/>
      <c r="O3" s="7" t="s">
        <v>81</v>
      </c>
      <c r="P3" s="8" t="s">
        <v>82</v>
      </c>
      <c r="Q3" s="4"/>
      <c r="R3" s="5"/>
      <c r="S3" s="5"/>
      <c r="T3" s="5"/>
    </row>
    <row r="4" spans="1:20" s="10" customFormat="1" x14ac:dyDescent="0.2">
      <c r="A4" s="52" t="s">
        <v>77</v>
      </c>
      <c r="B4" s="53"/>
      <c r="C4" s="53"/>
      <c r="D4" s="4"/>
      <c r="E4" s="7" t="s">
        <v>20</v>
      </c>
      <c r="F4" s="56" t="s">
        <v>72</v>
      </c>
      <c r="G4" s="7" t="s">
        <v>4</v>
      </c>
      <c r="H4" s="51" t="str">
        <f>IF(LogicCommon!E4="","",LogicCommon!E4)</f>
        <v>輸出帳票サービス</v>
      </c>
      <c r="I4" s="7" t="s">
        <v>66</v>
      </c>
      <c r="J4" s="8" t="s">
        <v>49</v>
      </c>
      <c r="K4" s="7" t="s">
        <v>5</v>
      </c>
      <c r="L4" s="51" t="str">
        <f>IF(LogicCommon!G4="","",LogicCommon!G4)</f>
        <v>MS.MSUDL5010</v>
      </c>
      <c r="M4" s="57" t="s">
        <v>70</v>
      </c>
      <c r="N4" s="23"/>
      <c r="O4" s="58"/>
      <c r="P4" s="4"/>
      <c r="Q4" s="4"/>
      <c r="R4" s="5"/>
      <c r="S4" s="5"/>
      <c r="T4" s="5"/>
    </row>
    <row r="5" spans="1:20" s="10" customFormat="1" x14ac:dyDescent="0.2">
      <c r="A5" s="59" t="s">
        <v>77</v>
      </c>
      <c r="B5" s="49"/>
      <c r="C5" s="49"/>
      <c r="D5" s="21"/>
      <c r="E5" s="7" t="s">
        <v>21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 x14ac:dyDescent="0.2">
      <c r="A6" s="52" t="s">
        <v>77</v>
      </c>
      <c r="B6" s="53"/>
      <c r="C6" s="53"/>
      <c r="D6" s="4" t="s">
        <v>10</v>
      </c>
      <c r="E6" s="12" t="s">
        <v>48</v>
      </c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</row>
    <row r="7" spans="1:20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/>
      <c r="L7" s="24" t="s">
        <v>24</v>
      </c>
      <c r="M7" s="25"/>
      <c r="N7" s="24" t="s">
        <v>24</v>
      </c>
      <c r="O7" s="26"/>
      <c r="P7" s="24" t="s">
        <v>24</v>
      </c>
      <c r="Q7" s="26"/>
      <c r="R7" s="4"/>
      <c r="S7" s="4"/>
      <c r="T7" s="4"/>
    </row>
    <row r="8" spans="1:20" s="10" customFormat="1" ht="60" customHeight="1" x14ac:dyDescent="0.2">
      <c r="A8" s="26" t="s">
        <v>22</v>
      </c>
      <c r="B8" s="63"/>
      <c r="C8" s="64"/>
      <c r="D8" s="24" t="s">
        <v>131</v>
      </c>
      <c r="E8" s="24" t="s">
        <v>132</v>
      </c>
      <c r="F8" s="61"/>
      <c r="G8" s="24" t="s">
        <v>86</v>
      </c>
      <c r="H8" s="24" t="s">
        <v>133</v>
      </c>
      <c r="I8" s="61"/>
      <c r="J8" s="3"/>
      <c r="K8" s="8"/>
      <c r="L8" s="24" t="s">
        <v>25</v>
      </c>
      <c r="M8" s="8"/>
      <c r="N8" s="24" t="s">
        <v>68</v>
      </c>
      <c r="O8" s="26"/>
      <c r="P8" s="24" t="s">
        <v>68</v>
      </c>
      <c r="Q8" s="26"/>
      <c r="R8" s="3"/>
      <c r="S8" s="114" t="s">
        <v>134</v>
      </c>
      <c r="T8" s="115"/>
    </row>
    <row r="9" spans="1:20" s="10" customFormat="1" ht="60" customHeight="1" x14ac:dyDescent="0.2">
      <c r="A9" s="8" t="s">
        <v>22</v>
      </c>
      <c r="B9" s="29"/>
      <c r="C9" s="30"/>
      <c r="D9" s="24" t="s">
        <v>135</v>
      </c>
      <c r="E9" s="65" t="s">
        <v>136</v>
      </c>
      <c r="F9" s="24" t="s">
        <v>137</v>
      </c>
      <c r="G9" s="24" t="s">
        <v>138</v>
      </c>
      <c r="H9" s="24" t="s">
        <v>139</v>
      </c>
      <c r="I9" s="66" t="s">
        <v>140</v>
      </c>
      <c r="J9" s="24" t="s">
        <v>141</v>
      </c>
      <c r="K9" s="62"/>
      <c r="L9" s="66"/>
      <c r="M9" s="24"/>
      <c r="N9" s="24"/>
      <c r="O9" s="24"/>
      <c r="P9" s="24"/>
      <c r="Q9" s="24"/>
      <c r="R9" s="65" t="s">
        <v>142</v>
      </c>
      <c r="S9" s="114" t="s">
        <v>143</v>
      </c>
      <c r="T9" s="115"/>
    </row>
    <row r="10" spans="1:20" s="10" customFormat="1" ht="39" x14ac:dyDescent="0.2">
      <c r="A10" s="29" t="s">
        <v>22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140</v>
      </c>
      <c r="M10" s="24" t="s">
        <v>141</v>
      </c>
      <c r="N10" s="24" t="s">
        <v>140</v>
      </c>
      <c r="O10" s="24" t="s">
        <v>141</v>
      </c>
      <c r="P10" s="24" t="s">
        <v>140</v>
      </c>
      <c r="Q10" s="24" t="s">
        <v>141</v>
      </c>
      <c r="R10" s="33"/>
      <c r="S10" s="38"/>
      <c r="T10" s="48"/>
    </row>
    <row r="11" spans="1:20" s="10" customFormat="1" x14ac:dyDescent="0.2">
      <c r="A11" s="8">
        <v>10</v>
      </c>
      <c r="B11" s="29" t="s">
        <v>26</v>
      </c>
      <c r="C11" s="30"/>
      <c r="D11" s="23" t="s">
        <v>59</v>
      </c>
      <c r="E11" s="27" t="s">
        <v>9</v>
      </c>
      <c r="F11" s="32"/>
      <c r="G11" s="23"/>
      <c r="H11" s="28"/>
      <c r="I11" s="31"/>
      <c r="J11" s="36"/>
      <c r="K11" s="36"/>
      <c r="L11" s="27"/>
      <c r="M11" s="27"/>
      <c r="N11" s="27"/>
      <c r="O11" s="27"/>
      <c r="P11" s="27"/>
      <c r="Q11" s="27"/>
      <c r="R11" s="24"/>
      <c r="S11" s="39"/>
      <c r="T11" s="40"/>
    </row>
    <row r="12" spans="1:20" s="10" customFormat="1" x14ac:dyDescent="0.2">
      <c r="A12" s="8">
        <v>10</v>
      </c>
      <c r="B12" s="8"/>
      <c r="C12" s="8"/>
      <c r="D12" s="8" t="s">
        <v>124</v>
      </c>
      <c r="E12" s="26" t="s">
        <v>125</v>
      </c>
      <c r="F12" s="26"/>
      <c r="G12" s="41" t="s">
        <v>144</v>
      </c>
      <c r="H12" s="41" t="s">
        <v>126</v>
      </c>
      <c r="I12" s="8" t="s">
        <v>83</v>
      </c>
      <c r="J12" s="8" t="s">
        <v>84</v>
      </c>
      <c r="K12" s="8"/>
      <c r="L12" s="8"/>
      <c r="M12" s="8"/>
      <c r="N12" s="8"/>
      <c r="O12" s="8"/>
      <c r="P12" s="8"/>
      <c r="Q12" s="8"/>
      <c r="R12" s="24"/>
      <c r="S12" s="39"/>
      <c r="T12" s="40"/>
    </row>
    <row r="13" spans="1:20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41" t="s">
        <v>145</v>
      </c>
      <c r="H13" s="41" t="s">
        <v>67</v>
      </c>
      <c r="I13" s="8" t="s">
        <v>83</v>
      </c>
      <c r="J13" s="8" t="s">
        <v>84</v>
      </c>
      <c r="K13" s="8"/>
      <c r="L13" s="8"/>
      <c r="M13" s="8"/>
      <c r="N13" s="8"/>
      <c r="O13" s="8"/>
      <c r="P13" s="8"/>
      <c r="Q13" s="8"/>
      <c r="R13" s="24"/>
      <c r="S13" s="39"/>
      <c r="T13" s="40"/>
    </row>
    <row r="14" spans="1:20" s="10" customFormat="1" x14ac:dyDescent="0.2">
      <c r="A14" s="8">
        <v>10</v>
      </c>
      <c r="B14" s="8"/>
      <c r="C14" s="8"/>
      <c r="D14" s="8" t="s">
        <v>121</v>
      </c>
      <c r="E14" s="26" t="s">
        <v>127</v>
      </c>
      <c r="F14" s="26"/>
      <c r="G14" s="41" t="s">
        <v>146</v>
      </c>
      <c r="H14" s="41" t="s">
        <v>122</v>
      </c>
      <c r="I14" s="8" t="s">
        <v>83</v>
      </c>
      <c r="J14" s="8" t="s">
        <v>84</v>
      </c>
      <c r="K14" s="8"/>
      <c r="L14" s="8"/>
      <c r="M14" s="8"/>
      <c r="N14" s="8"/>
      <c r="O14" s="8"/>
      <c r="P14" s="8"/>
      <c r="Q14" s="8"/>
      <c r="R14" s="24"/>
      <c r="S14" s="39"/>
      <c r="T14" s="40"/>
    </row>
    <row r="15" spans="1:20" s="10" customFormat="1" x14ac:dyDescent="0.2">
      <c r="A15" s="8">
        <v>10</v>
      </c>
      <c r="B15" s="8"/>
      <c r="C15" s="8"/>
      <c r="D15" s="8" t="s">
        <v>46</v>
      </c>
      <c r="E15" s="26" t="s">
        <v>34</v>
      </c>
      <c r="F15" s="26"/>
      <c r="G15" s="41" t="s">
        <v>147</v>
      </c>
      <c r="H15" s="41" t="s">
        <v>85</v>
      </c>
      <c r="I15" s="8" t="s">
        <v>84</v>
      </c>
      <c r="J15" s="8" t="s">
        <v>83</v>
      </c>
      <c r="K15" s="8"/>
      <c r="L15" s="8"/>
      <c r="M15" s="8"/>
      <c r="N15" s="8"/>
      <c r="O15" s="8"/>
      <c r="P15" s="8"/>
      <c r="Q15" s="8"/>
      <c r="R15" s="24"/>
      <c r="S15" s="39"/>
      <c r="T15" s="40"/>
    </row>
    <row r="16" spans="1:20" s="10" customFormat="1" ht="39" x14ac:dyDescent="0.2">
      <c r="A16" s="29" t="s">
        <v>22</v>
      </c>
      <c r="B16" s="34"/>
      <c r="C16" s="34"/>
      <c r="D16" s="35"/>
      <c r="E16" s="33"/>
      <c r="F16" s="33"/>
      <c r="G16" s="36"/>
      <c r="H16" s="36"/>
      <c r="I16" s="33"/>
      <c r="J16" s="33"/>
      <c r="K16" s="37"/>
      <c r="L16" s="24" t="s">
        <v>140</v>
      </c>
      <c r="M16" s="24" t="s">
        <v>141</v>
      </c>
      <c r="N16" s="24" t="s">
        <v>140</v>
      </c>
      <c r="O16" s="24" t="s">
        <v>141</v>
      </c>
      <c r="P16" s="24" t="s">
        <v>140</v>
      </c>
      <c r="Q16" s="24" t="s">
        <v>141</v>
      </c>
      <c r="R16" s="33"/>
      <c r="S16" s="38"/>
      <c r="T16" s="48"/>
    </row>
    <row r="17" spans="1:20" s="10" customFormat="1" x14ac:dyDescent="0.2">
      <c r="A17" s="8">
        <v>20</v>
      </c>
      <c r="B17" s="29" t="s">
        <v>26</v>
      </c>
      <c r="C17" s="30"/>
      <c r="D17" s="23" t="s">
        <v>118</v>
      </c>
      <c r="E17" s="27" t="s">
        <v>8</v>
      </c>
      <c r="F17" s="32"/>
      <c r="G17" s="23"/>
      <c r="H17" s="28"/>
      <c r="I17" s="31"/>
      <c r="J17" s="36"/>
      <c r="K17" s="36"/>
      <c r="L17" s="27"/>
      <c r="M17" s="27"/>
      <c r="N17" s="27"/>
      <c r="O17" s="27"/>
      <c r="P17" s="27"/>
      <c r="Q17" s="27"/>
      <c r="R17" s="24"/>
      <c r="S17" s="39"/>
      <c r="T17" s="40"/>
    </row>
    <row r="18" spans="1:20" s="10" customFormat="1" x14ac:dyDescent="0.2">
      <c r="A18" s="8">
        <v>20</v>
      </c>
      <c r="B18" s="8"/>
      <c r="C18" s="8"/>
      <c r="D18" s="8" t="s">
        <v>128</v>
      </c>
      <c r="E18" s="26" t="s">
        <v>34</v>
      </c>
      <c r="F18" s="26"/>
      <c r="G18" s="41" t="s">
        <v>148</v>
      </c>
      <c r="H18" s="41" t="s">
        <v>129</v>
      </c>
      <c r="I18" s="8" t="s">
        <v>83</v>
      </c>
      <c r="J18" s="8" t="s">
        <v>84</v>
      </c>
      <c r="K18" s="8"/>
      <c r="L18" s="8"/>
      <c r="M18" s="8"/>
      <c r="N18" s="8"/>
      <c r="O18" s="8"/>
      <c r="P18" s="8"/>
      <c r="Q18" s="8"/>
      <c r="R18" s="24"/>
      <c r="S18" s="39"/>
      <c r="T18" s="40"/>
    </row>
    <row r="19" spans="1:20" s="10" customFormat="1" x14ac:dyDescent="0.2">
      <c r="A19" s="59" t="str">
        <f>IF(D19="","",IF(B19="*",MAX($A$10:A14)+10,MAX($A$10:A14)))</f>
        <v/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42"/>
    </row>
  </sheetData>
  <mergeCells count="2">
    <mergeCell ref="S8:T8"/>
    <mergeCell ref="S9:T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5.81640625" style="5" customWidth="1"/>
    <col min="20" max="20" width="13.90625" style="5" bestFit="1" customWidth="1"/>
    <col min="21" max="21" width="12.81640625" style="5" bestFit="1" customWidth="1"/>
    <col min="22" max="22" width="6.453125" style="5" bestFit="1" customWidth="1"/>
    <col min="23" max="23" width="27.90625" style="5" customWidth="1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34" width="9" style="5"/>
    <col min="35" max="35" width="18.453125" style="5" customWidth="1"/>
    <col min="36" max="16384" width="9" style="5"/>
  </cols>
  <sheetData>
    <row r="1" spans="1:20" s="10" customFormat="1" x14ac:dyDescent="0.2">
      <c r="A1" s="49" t="s">
        <v>77</v>
      </c>
      <c r="B1" s="49" t="s">
        <v>77</v>
      </c>
      <c r="C1" s="49"/>
      <c r="D1" s="1" t="s">
        <v>78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50" t="s">
        <v>77</v>
      </c>
      <c r="B2" s="22"/>
      <c r="C2" s="22"/>
      <c r="D2" s="62" t="s">
        <v>130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MSBEL5720</v>
      </c>
      <c r="I2" s="7" t="s">
        <v>79</v>
      </c>
      <c r="J2" s="8" t="s">
        <v>60</v>
      </c>
      <c r="K2" s="7" t="s">
        <v>64</v>
      </c>
      <c r="L2" s="51" t="str">
        <f>IF(LogicCommon!G2="","",LogicCommon!G2)</f>
        <v>MC</v>
      </c>
      <c r="M2" s="5" t="s">
        <v>80</v>
      </c>
      <c r="N2" s="23" t="s">
        <v>110</v>
      </c>
      <c r="O2" s="7"/>
      <c r="P2" s="7"/>
      <c r="Q2" s="4"/>
      <c r="R2" s="5"/>
      <c r="S2" s="5"/>
      <c r="T2" s="5"/>
    </row>
    <row r="3" spans="1:20" s="10" customFormat="1" x14ac:dyDescent="0.2">
      <c r="A3" s="52" t="s">
        <v>77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MSBE</v>
      </c>
      <c r="G3" s="7" t="s">
        <v>3</v>
      </c>
      <c r="H3" s="51" t="str">
        <f>IF(LogicCommon!E3="","",LogicCommon!E3)</f>
        <v>MSBEL_ExRptService</v>
      </c>
      <c r="I3" s="7" t="s">
        <v>69</v>
      </c>
      <c r="J3" s="8" t="s">
        <v>60</v>
      </c>
      <c r="K3" s="7" t="s">
        <v>65</v>
      </c>
      <c r="L3" s="51" t="str">
        <f>IF(LogicCommon!G3="","",LogicCommon!G3)</f>
        <v/>
      </c>
      <c r="M3" s="55"/>
      <c r="N3" s="7"/>
      <c r="O3" s="7" t="s">
        <v>81</v>
      </c>
      <c r="P3" s="8" t="s">
        <v>82</v>
      </c>
      <c r="Q3" s="4"/>
      <c r="R3" s="5"/>
      <c r="S3" s="5"/>
      <c r="T3" s="5"/>
    </row>
    <row r="4" spans="1:20" s="10" customFormat="1" x14ac:dyDescent="0.2">
      <c r="A4" s="52" t="s">
        <v>77</v>
      </c>
      <c r="B4" s="53"/>
      <c r="C4" s="53"/>
      <c r="D4" s="4"/>
      <c r="E4" s="7" t="s">
        <v>20</v>
      </c>
      <c r="F4" s="56" t="s">
        <v>72</v>
      </c>
      <c r="G4" s="7" t="s">
        <v>4</v>
      </c>
      <c r="H4" s="51" t="str">
        <f>IF(LogicCommon!E4="","",LogicCommon!E4)</f>
        <v>輸出帳票サービス</v>
      </c>
      <c r="I4" s="7" t="s">
        <v>66</v>
      </c>
      <c r="J4" s="8" t="s">
        <v>31</v>
      </c>
      <c r="K4" s="7" t="s">
        <v>5</v>
      </c>
      <c r="L4" s="51" t="str">
        <f>IF(LogicCommon!G4="","",LogicCommon!G4)</f>
        <v>MS.MSUDL5010</v>
      </c>
      <c r="M4" s="57" t="s">
        <v>70</v>
      </c>
      <c r="N4" s="23"/>
      <c r="O4" s="58"/>
      <c r="P4" s="4"/>
      <c r="Q4" s="4"/>
      <c r="R4" s="5"/>
      <c r="S4" s="5"/>
      <c r="T4" s="5"/>
    </row>
    <row r="5" spans="1:20" s="10" customFormat="1" x14ac:dyDescent="0.2">
      <c r="A5" s="59" t="s">
        <v>77</v>
      </c>
      <c r="B5" s="49"/>
      <c r="C5" s="49"/>
      <c r="D5" s="21"/>
      <c r="E5" s="7" t="s">
        <v>21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 x14ac:dyDescent="0.2">
      <c r="A6" s="52" t="s">
        <v>77</v>
      </c>
      <c r="B6" s="53"/>
      <c r="C6" s="53"/>
      <c r="D6" s="4" t="s">
        <v>10</v>
      </c>
      <c r="E6" s="12" t="s">
        <v>44</v>
      </c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</row>
    <row r="7" spans="1:20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/>
      <c r="L7" s="24" t="s">
        <v>24</v>
      </c>
      <c r="M7" s="25"/>
      <c r="N7" s="24" t="s">
        <v>24</v>
      </c>
      <c r="O7" s="26"/>
      <c r="P7" s="24" t="s">
        <v>24</v>
      </c>
      <c r="Q7" s="26"/>
      <c r="R7" s="4"/>
      <c r="S7" s="4"/>
      <c r="T7" s="4"/>
    </row>
    <row r="8" spans="1:20" s="10" customFormat="1" ht="60" customHeight="1" x14ac:dyDescent="0.2">
      <c r="A8" s="26" t="s">
        <v>22</v>
      </c>
      <c r="B8" s="63"/>
      <c r="C8" s="64"/>
      <c r="D8" s="24" t="s">
        <v>131</v>
      </c>
      <c r="E8" s="24" t="s">
        <v>132</v>
      </c>
      <c r="F8" s="61"/>
      <c r="G8" s="24" t="s">
        <v>86</v>
      </c>
      <c r="H8" s="24" t="s">
        <v>133</v>
      </c>
      <c r="I8" s="61"/>
      <c r="J8" s="3"/>
      <c r="K8" s="8"/>
      <c r="L8" s="24" t="s">
        <v>25</v>
      </c>
      <c r="M8" s="8"/>
      <c r="N8" s="24" t="s">
        <v>71</v>
      </c>
      <c r="O8" s="26"/>
      <c r="P8" s="24" t="s">
        <v>68</v>
      </c>
      <c r="Q8" s="26"/>
      <c r="R8" s="3"/>
      <c r="S8" s="114" t="s">
        <v>134</v>
      </c>
      <c r="T8" s="115"/>
    </row>
    <row r="9" spans="1:20" s="10" customFormat="1" ht="60" customHeight="1" x14ac:dyDescent="0.2">
      <c r="A9" s="8" t="s">
        <v>22</v>
      </c>
      <c r="B9" s="29"/>
      <c r="C9" s="30"/>
      <c r="D9" s="24" t="s">
        <v>135</v>
      </c>
      <c r="E9" s="65" t="s">
        <v>136</v>
      </c>
      <c r="F9" s="24" t="s">
        <v>137</v>
      </c>
      <c r="G9" s="24" t="s">
        <v>138</v>
      </c>
      <c r="H9" s="24" t="s">
        <v>139</v>
      </c>
      <c r="I9" s="66" t="s">
        <v>140</v>
      </c>
      <c r="J9" s="24" t="s">
        <v>141</v>
      </c>
      <c r="K9" s="62"/>
      <c r="L9" s="66"/>
      <c r="M9" s="24"/>
      <c r="N9" s="24"/>
      <c r="O9" s="24"/>
      <c r="P9" s="24"/>
      <c r="Q9" s="24"/>
      <c r="R9" s="65" t="s">
        <v>142</v>
      </c>
      <c r="S9" s="114" t="s">
        <v>143</v>
      </c>
      <c r="T9" s="115"/>
    </row>
    <row r="10" spans="1:20" s="10" customFormat="1" ht="39" x14ac:dyDescent="0.2">
      <c r="A10" s="29" t="s">
        <v>22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140</v>
      </c>
      <c r="M10" s="24" t="s">
        <v>141</v>
      </c>
      <c r="N10" s="24" t="s">
        <v>140</v>
      </c>
      <c r="O10" s="24" t="s">
        <v>141</v>
      </c>
      <c r="P10" s="24" t="s">
        <v>140</v>
      </c>
      <c r="Q10" s="24" t="s">
        <v>141</v>
      </c>
      <c r="R10" s="33"/>
      <c r="S10" s="38"/>
      <c r="T10" s="48"/>
    </row>
    <row r="11" spans="1:20" s="10" customFormat="1" x14ac:dyDescent="0.2">
      <c r="A11" s="8">
        <v>10</v>
      </c>
      <c r="B11" s="29" t="s">
        <v>26</v>
      </c>
      <c r="C11" s="30"/>
      <c r="D11" s="23" t="s">
        <v>61</v>
      </c>
      <c r="E11" s="27" t="s">
        <v>9</v>
      </c>
      <c r="F11" s="32"/>
      <c r="G11" s="23"/>
      <c r="H11" s="28"/>
      <c r="I11" s="31"/>
      <c r="J11" s="36"/>
      <c r="K11" s="36"/>
      <c r="L11" s="27"/>
      <c r="M11" s="27"/>
      <c r="N11" s="27"/>
      <c r="O11" s="27"/>
      <c r="P11" s="27"/>
      <c r="Q11" s="27"/>
      <c r="R11" s="24"/>
      <c r="S11" s="39"/>
      <c r="T11" s="40"/>
    </row>
    <row r="12" spans="1:20" s="10" customFormat="1" x14ac:dyDescent="0.2">
      <c r="A12" s="8">
        <v>10</v>
      </c>
      <c r="B12" s="8"/>
      <c r="C12" s="8"/>
      <c r="D12" s="8" t="s">
        <v>28</v>
      </c>
      <c r="E12" s="26" t="s">
        <v>29</v>
      </c>
      <c r="F12" s="26"/>
      <c r="G12" s="41" t="s">
        <v>145</v>
      </c>
      <c r="H12" s="41" t="s">
        <v>67</v>
      </c>
      <c r="I12" s="8" t="s">
        <v>83</v>
      </c>
      <c r="J12" s="8" t="s">
        <v>83</v>
      </c>
      <c r="K12" s="8"/>
      <c r="L12" s="8"/>
      <c r="M12" s="8"/>
      <c r="N12" s="8"/>
      <c r="O12" s="8"/>
      <c r="P12" s="8"/>
      <c r="Q12" s="8"/>
      <c r="R12" s="24"/>
      <c r="S12" s="39"/>
      <c r="T12" s="40"/>
    </row>
    <row r="13" spans="1:20" s="10" customFormat="1" x14ac:dyDescent="0.2">
      <c r="A13" s="8">
        <v>10</v>
      </c>
      <c r="B13" s="8"/>
      <c r="C13" s="8"/>
      <c r="D13" s="8" t="s">
        <v>38</v>
      </c>
      <c r="E13" s="26" t="s">
        <v>35</v>
      </c>
      <c r="F13" s="26"/>
      <c r="G13" s="41" t="s">
        <v>149</v>
      </c>
      <c r="H13" s="41" t="s">
        <v>87</v>
      </c>
      <c r="I13" s="8" t="s">
        <v>84</v>
      </c>
      <c r="J13" s="8" t="s">
        <v>84</v>
      </c>
      <c r="K13" s="8"/>
      <c r="L13" s="8"/>
      <c r="M13" s="8"/>
      <c r="N13" s="8"/>
      <c r="O13" s="8"/>
      <c r="P13" s="8"/>
      <c r="Q13" s="8"/>
      <c r="R13" s="24"/>
      <c r="S13" s="39"/>
      <c r="T13" s="40"/>
    </row>
    <row r="14" spans="1:20" s="10" customFormat="1" x14ac:dyDescent="0.2">
      <c r="A14" s="8">
        <v>10</v>
      </c>
      <c r="B14" s="8"/>
      <c r="C14" s="8"/>
      <c r="D14" s="8" t="s">
        <v>41</v>
      </c>
      <c r="E14" s="26" t="s">
        <v>40</v>
      </c>
      <c r="F14" s="26"/>
      <c r="G14" s="41" t="s">
        <v>150</v>
      </c>
      <c r="H14" s="41" t="s">
        <v>88</v>
      </c>
      <c r="I14" s="8" t="s">
        <v>84</v>
      </c>
      <c r="J14" s="8" t="s">
        <v>84</v>
      </c>
      <c r="K14" s="8"/>
      <c r="L14" s="8"/>
      <c r="M14" s="8"/>
      <c r="N14" s="8"/>
      <c r="O14" s="8"/>
      <c r="P14" s="8"/>
      <c r="Q14" s="8"/>
      <c r="R14" s="24"/>
      <c r="S14" s="39"/>
      <c r="T14" s="40"/>
    </row>
    <row r="15" spans="1:20" s="10" customFormat="1" x14ac:dyDescent="0.2">
      <c r="A15" s="8">
        <v>10</v>
      </c>
      <c r="B15" s="8"/>
      <c r="C15" s="8"/>
      <c r="D15" s="8" t="s">
        <v>95</v>
      </c>
      <c r="E15" s="26" t="s">
        <v>97</v>
      </c>
      <c r="F15" s="26"/>
      <c r="G15" s="41" t="s">
        <v>151</v>
      </c>
      <c r="H15" s="41" t="s">
        <v>111</v>
      </c>
      <c r="I15" s="8" t="s">
        <v>84</v>
      </c>
      <c r="J15" s="8" t="s">
        <v>84</v>
      </c>
      <c r="K15" s="8"/>
      <c r="L15" s="8"/>
      <c r="M15" s="8"/>
      <c r="N15" s="8"/>
      <c r="O15" s="8"/>
      <c r="P15" s="8"/>
      <c r="Q15" s="8"/>
      <c r="R15" s="24"/>
      <c r="S15" s="39"/>
      <c r="T15" s="40"/>
    </row>
    <row r="16" spans="1:20" s="10" customFormat="1" x14ac:dyDescent="0.2">
      <c r="A16" s="8">
        <v>10</v>
      </c>
      <c r="B16" s="8"/>
      <c r="C16" s="8"/>
      <c r="D16" s="8" t="s">
        <v>98</v>
      </c>
      <c r="E16" s="26" t="s">
        <v>99</v>
      </c>
      <c r="F16" s="26"/>
      <c r="G16" s="41" t="s">
        <v>152</v>
      </c>
      <c r="H16" s="41" t="s">
        <v>112</v>
      </c>
      <c r="I16" s="8" t="s">
        <v>84</v>
      </c>
      <c r="J16" s="8" t="s">
        <v>84</v>
      </c>
      <c r="K16" s="8"/>
      <c r="L16" s="8"/>
      <c r="M16" s="8"/>
      <c r="N16" s="8"/>
      <c r="O16" s="8"/>
      <c r="P16" s="8"/>
      <c r="Q16" s="8"/>
      <c r="R16" s="24"/>
      <c r="S16" s="39"/>
      <c r="T16" s="40"/>
    </row>
    <row r="17" spans="1:20" s="10" customFormat="1" x14ac:dyDescent="0.2">
      <c r="A17" s="8">
        <v>10</v>
      </c>
      <c r="B17" s="8"/>
      <c r="C17" s="8"/>
      <c r="D17" s="8" t="s">
        <v>100</v>
      </c>
      <c r="E17" s="26" t="s">
        <v>101</v>
      </c>
      <c r="F17" s="26"/>
      <c r="G17" s="41" t="s">
        <v>153</v>
      </c>
      <c r="H17" s="41" t="s">
        <v>113</v>
      </c>
      <c r="I17" s="8" t="s">
        <v>84</v>
      </c>
      <c r="J17" s="8" t="s">
        <v>84</v>
      </c>
      <c r="K17" s="8"/>
      <c r="L17" s="8"/>
      <c r="M17" s="8"/>
      <c r="N17" s="8"/>
      <c r="O17" s="8"/>
      <c r="P17" s="8"/>
      <c r="Q17" s="8"/>
      <c r="R17" s="24"/>
      <c r="S17" s="39"/>
      <c r="T17" s="40"/>
    </row>
    <row r="18" spans="1:20" s="10" customFormat="1" x14ac:dyDescent="0.2">
      <c r="A18" s="8">
        <v>10</v>
      </c>
      <c r="B18" s="8"/>
      <c r="C18" s="8"/>
      <c r="D18" s="8" t="s">
        <v>102</v>
      </c>
      <c r="E18" s="26" t="s">
        <v>103</v>
      </c>
      <c r="F18" s="26"/>
      <c r="G18" s="41" t="s">
        <v>154</v>
      </c>
      <c r="H18" s="41" t="s">
        <v>114</v>
      </c>
      <c r="I18" s="8" t="s">
        <v>84</v>
      </c>
      <c r="J18" s="8" t="s">
        <v>84</v>
      </c>
      <c r="K18" s="8"/>
      <c r="L18" s="8"/>
      <c r="M18" s="8"/>
      <c r="N18" s="8"/>
      <c r="O18" s="8"/>
      <c r="P18" s="8"/>
      <c r="Q18" s="8"/>
      <c r="R18" s="24"/>
      <c r="S18" s="39"/>
      <c r="T18" s="40"/>
    </row>
    <row r="19" spans="1:20" s="10" customFormat="1" ht="26" x14ac:dyDescent="0.2">
      <c r="A19" s="8">
        <v>10</v>
      </c>
      <c r="B19" s="8"/>
      <c r="C19" s="8"/>
      <c r="D19" s="8" t="s">
        <v>39</v>
      </c>
      <c r="E19" s="26" t="s">
        <v>36</v>
      </c>
      <c r="F19" s="26"/>
      <c r="G19" s="41" t="s">
        <v>155</v>
      </c>
      <c r="H19" s="41" t="s">
        <v>89</v>
      </c>
      <c r="I19" s="8" t="s">
        <v>84</v>
      </c>
      <c r="J19" s="8" t="s">
        <v>84</v>
      </c>
      <c r="K19" s="8"/>
      <c r="L19" s="8"/>
      <c r="M19" s="8"/>
      <c r="N19" s="8"/>
      <c r="O19" s="8"/>
      <c r="P19" s="8"/>
      <c r="Q19" s="8"/>
      <c r="R19" s="24"/>
      <c r="S19" s="39"/>
      <c r="T19" s="40"/>
    </row>
    <row r="20" spans="1:20" s="10" customFormat="1" ht="26" x14ac:dyDescent="0.2">
      <c r="A20" s="8">
        <v>10</v>
      </c>
      <c r="B20" s="8"/>
      <c r="C20" s="8"/>
      <c r="D20" s="8" t="s">
        <v>33</v>
      </c>
      <c r="E20" s="26" t="s">
        <v>37</v>
      </c>
      <c r="F20" s="26"/>
      <c r="G20" s="41" t="s">
        <v>156</v>
      </c>
      <c r="H20" s="41" t="s">
        <v>90</v>
      </c>
      <c r="I20" s="8" t="s">
        <v>84</v>
      </c>
      <c r="J20" s="8" t="s">
        <v>84</v>
      </c>
      <c r="K20" s="8"/>
      <c r="L20" s="8"/>
      <c r="M20" s="8"/>
      <c r="N20" s="8"/>
      <c r="O20" s="8"/>
      <c r="P20" s="8"/>
      <c r="Q20" s="8"/>
      <c r="R20" s="24"/>
      <c r="S20" s="39"/>
      <c r="T20" s="40"/>
    </row>
    <row r="21" spans="1:20" s="10" customFormat="1" ht="26" x14ac:dyDescent="0.2">
      <c r="A21" s="8">
        <v>10</v>
      </c>
      <c r="B21" s="8"/>
      <c r="C21" s="8"/>
      <c r="D21" s="8" t="s">
        <v>104</v>
      </c>
      <c r="E21" s="47" t="s">
        <v>96</v>
      </c>
      <c r="F21" s="26"/>
      <c r="G21" s="41" t="s">
        <v>157</v>
      </c>
      <c r="H21" s="41" t="s">
        <v>105</v>
      </c>
      <c r="I21" s="8" t="s">
        <v>84</v>
      </c>
      <c r="J21" s="8" t="s">
        <v>84</v>
      </c>
      <c r="K21" s="8"/>
      <c r="L21" s="8"/>
      <c r="M21" s="8"/>
      <c r="N21" s="8"/>
      <c r="O21" s="8"/>
      <c r="P21" s="8"/>
      <c r="Q21" s="8"/>
      <c r="R21" s="24"/>
      <c r="S21" s="39"/>
      <c r="T21" s="40"/>
    </row>
    <row r="22" spans="1:20" s="10" customFormat="1" ht="26" x14ac:dyDescent="0.2">
      <c r="A22" s="8">
        <v>10</v>
      </c>
      <c r="B22" s="8"/>
      <c r="C22" s="8"/>
      <c r="D22" s="8" t="s">
        <v>106</v>
      </c>
      <c r="E22" s="47" t="s">
        <v>99</v>
      </c>
      <c r="F22" s="26"/>
      <c r="G22" s="41" t="s">
        <v>158</v>
      </c>
      <c r="H22" s="41" t="s">
        <v>115</v>
      </c>
      <c r="I22" s="8" t="s">
        <v>84</v>
      </c>
      <c r="J22" s="8" t="s">
        <v>84</v>
      </c>
      <c r="K22" s="8"/>
      <c r="L22" s="8"/>
      <c r="M22" s="8"/>
      <c r="N22" s="8"/>
      <c r="O22" s="8"/>
      <c r="P22" s="8"/>
      <c r="Q22" s="8"/>
      <c r="R22" s="24"/>
      <c r="S22" s="39"/>
      <c r="T22" s="40"/>
    </row>
    <row r="23" spans="1:20" s="10" customFormat="1" ht="26" x14ac:dyDescent="0.2">
      <c r="A23" s="8">
        <v>10</v>
      </c>
      <c r="B23" s="8"/>
      <c r="C23" s="8"/>
      <c r="D23" s="8" t="s">
        <v>107</v>
      </c>
      <c r="E23" s="47" t="s">
        <v>101</v>
      </c>
      <c r="F23" s="26"/>
      <c r="G23" s="41" t="s">
        <v>159</v>
      </c>
      <c r="H23" s="41" t="s">
        <v>116</v>
      </c>
      <c r="I23" s="8" t="s">
        <v>84</v>
      </c>
      <c r="J23" s="8" t="s">
        <v>84</v>
      </c>
      <c r="K23" s="8"/>
      <c r="L23" s="8"/>
      <c r="M23" s="8"/>
      <c r="N23" s="8"/>
      <c r="O23" s="8"/>
      <c r="P23" s="8"/>
      <c r="Q23" s="8"/>
      <c r="R23" s="24"/>
      <c r="S23" s="39"/>
      <c r="T23" s="40"/>
    </row>
    <row r="24" spans="1:20" s="10" customFormat="1" ht="26" x14ac:dyDescent="0.2">
      <c r="A24" s="8">
        <v>10</v>
      </c>
      <c r="B24" s="8"/>
      <c r="C24" s="8"/>
      <c r="D24" s="8" t="s">
        <v>108</v>
      </c>
      <c r="E24" s="47" t="s">
        <v>103</v>
      </c>
      <c r="F24" s="26"/>
      <c r="G24" s="41" t="s">
        <v>160</v>
      </c>
      <c r="H24" s="41" t="s">
        <v>117</v>
      </c>
      <c r="I24" s="8" t="s">
        <v>84</v>
      </c>
      <c r="J24" s="8" t="s">
        <v>84</v>
      </c>
      <c r="K24" s="8"/>
      <c r="L24" s="8"/>
      <c r="M24" s="8"/>
      <c r="N24" s="8"/>
      <c r="O24" s="8"/>
      <c r="P24" s="8"/>
      <c r="Q24" s="8"/>
      <c r="R24" s="24"/>
      <c r="S24" s="39"/>
      <c r="T24" s="40"/>
    </row>
    <row r="25" spans="1:20" s="10" customFormat="1" x14ac:dyDescent="0.2">
      <c r="A25" s="8">
        <v>10</v>
      </c>
      <c r="B25" s="8"/>
      <c r="C25" s="8"/>
      <c r="D25" s="8" t="s">
        <v>32</v>
      </c>
      <c r="E25" s="26" t="s">
        <v>34</v>
      </c>
      <c r="F25" s="26"/>
      <c r="G25" s="41" t="s">
        <v>161</v>
      </c>
      <c r="H25" s="41" t="s">
        <v>91</v>
      </c>
      <c r="I25" s="8" t="s">
        <v>84</v>
      </c>
      <c r="J25" s="8" t="s">
        <v>84</v>
      </c>
      <c r="K25" s="8"/>
      <c r="L25" s="8"/>
      <c r="M25" s="8"/>
      <c r="N25" s="8"/>
      <c r="O25" s="8"/>
      <c r="P25" s="8"/>
      <c r="Q25" s="8"/>
      <c r="R25" s="24"/>
      <c r="S25" s="39"/>
      <c r="T25" s="40"/>
    </row>
    <row r="26" spans="1:20" s="10" customFormat="1" x14ac:dyDescent="0.2">
      <c r="A26" s="8">
        <v>10</v>
      </c>
      <c r="B26" s="8"/>
      <c r="C26" s="8"/>
      <c r="D26" s="8" t="s">
        <v>51</v>
      </c>
      <c r="E26" s="26" t="s">
        <v>52</v>
      </c>
      <c r="F26" s="26"/>
      <c r="G26" s="41" t="s">
        <v>162</v>
      </c>
      <c r="H26" s="41" t="s">
        <v>92</v>
      </c>
      <c r="I26" s="8" t="s">
        <v>84</v>
      </c>
      <c r="J26" s="8" t="s">
        <v>84</v>
      </c>
      <c r="K26" s="8"/>
      <c r="L26" s="8"/>
      <c r="M26" s="8"/>
      <c r="N26" s="8"/>
      <c r="O26" s="8"/>
      <c r="P26" s="8"/>
      <c r="Q26" s="8"/>
      <c r="R26" s="24"/>
      <c r="S26" s="39"/>
      <c r="T26" s="40"/>
    </row>
    <row r="27" spans="1:20" s="10" customFormat="1" x14ac:dyDescent="0.2">
      <c r="A27" s="8">
        <v>10</v>
      </c>
      <c r="B27" s="8"/>
      <c r="C27" s="8"/>
      <c r="D27" s="8" t="s">
        <v>30</v>
      </c>
      <c r="E27" s="26" t="s">
        <v>27</v>
      </c>
      <c r="F27" s="26"/>
      <c r="G27" s="41" t="s">
        <v>147</v>
      </c>
      <c r="H27" s="41" t="s">
        <v>85</v>
      </c>
      <c r="I27" s="8" t="s">
        <v>84</v>
      </c>
      <c r="J27" s="8" t="s">
        <v>83</v>
      </c>
      <c r="K27" s="8"/>
      <c r="L27" s="8"/>
      <c r="M27" s="8"/>
      <c r="N27" s="8"/>
      <c r="O27" s="8"/>
      <c r="P27" s="8"/>
      <c r="Q27" s="8"/>
      <c r="R27" s="24"/>
      <c r="S27" s="39"/>
      <c r="T27" s="40"/>
    </row>
    <row r="28" spans="1:20" s="10" customFormat="1" ht="39" x14ac:dyDescent="0.2">
      <c r="A28" s="29" t="s">
        <v>22</v>
      </c>
      <c r="B28" s="34"/>
      <c r="C28" s="34"/>
      <c r="D28" s="35"/>
      <c r="E28" s="33"/>
      <c r="F28" s="33"/>
      <c r="G28" s="36"/>
      <c r="H28" s="36"/>
      <c r="I28" s="33"/>
      <c r="J28" s="33"/>
      <c r="K28" s="37"/>
      <c r="L28" s="24" t="s">
        <v>140</v>
      </c>
      <c r="M28" s="24" t="s">
        <v>141</v>
      </c>
      <c r="N28" s="24" t="s">
        <v>140</v>
      </c>
      <c r="O28" s="24" t="s">
        <v>141</v>
      </c>
      <c r="P28" s="24" t="s">
        <v>140</v>
      </c>
      <c r="Q28" s="24" t="s">
        <v>141</v>
      </c>
      <c r="R28" s="33"/>
      <c r="S28" s="38"/>
      <c r="T28" s="48"/>
    </row>
    <row r="29" spans="1:20" s="10" customFormat="1" x14ac:dyDescent="0.2">
      <c r="A29" s="8">
        <v>20</v>
      </c>
      <c r="B29" s="29" t="s">
        <v>26</v>
      </c>
      <c r="C29" s="30"/>
      <c r="D29" s="23" t="s">
        <v>120</v>
      </c>
      <c r="E29" s="27" t="s">
        <v>8</v>
      </c>
      <c r="F29" s="32"/>
      <c r="G29" s="23"/>
      <c r="H29" s="28"/>
      <c r="I29" s="31"/>
      <c r="J29" s="36"/>
      <c r="K29" s="36"/>
      <c r="L29" s="27"/>
      <c r="M29" s="27"/>
      <c r="N29" s="27"/>
      <c r="O29" s="27"/>
      <c r="P29" s="27"/>
      <c r="Q29" s="27"/>
      <c r="R29" s="24"/>
      <c r="S29" s="39"/>
      <c r="T29" s="40"/>
    </row>
    <row r="30" spans="1:20" s="10" customFormat="1" x14ac:dyDescent="0.2">
      <c r="A30" s="8">
        <v>20</v>
      </c>
      <c r="B30" s="8"/>
      <c r="C30" s="8"/>
      <c r="D30" s="8" t="s">
        <v>119</v>
      </c>
      <c r="E30" s="26" t="s">
        <v>27</v>
      </c>
      <c r="F30" s="26"/>
      <c r="G30" s="41" t="s">
        <v>148</v>
      </c>
      <c r="H30" s="41" t="s">
        <v>129</v>
      </c>
      <c r="I30" s="8" t="s">
        <v>83</v>
      </c>
      <c r="J30" s="8" t="s">
        <v>84</v>
      </c>
      <c r="K30" s="8"/>
      <c r="L30" s="8"/>
      <c r="M30" s="8"/>
      <c r="N30" s="8"/>
      <c r="O30" s="8"/>
      <c r="P30" s="8"/>
      <c r="Q30" s="8"/>
      <c r="R30" s="24"/>
      <c r="S30" s="39"/>
      <c r="T30" s="40"/>
    </row>
    <row r="31" spans="1:20" s="10" customFormat="1" ht="14.25" customHeight="1" x14ac:dyDescent="0.2">
      <c r="A31" s="59" t="str">
        <f>IF(D31="","",IF(B31="*",MAX($A$10:A27)+10,MAX($A$10:A27)))</f>
        <v/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42"/>
    </row>
  </sheetData>
  <mergeCells count="2">
    <mergeCell ref="S8:T8"/>
    <mergeCell ref="S9:T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5.81640625" style="5" customWidth="1"/>
    <col min="20" max="20" width="13.90625" style="5" bestFit="1" customWidth="1"/>
    <col min="21" max="21" width="12.81640625" style="5" bestFit="1" customWidth="1"/>
    <col min="22" max="22" width="6.453125" style="5" bestFit="1" customWidth="1"/>
    <col min="23" max="23" width="27.90625" style="5" customWidth="1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34" width="9" style="5"/>
    <col min="35" max="35" width="18.453125" style="5" customWidth="1"/>
    <col min="36" max="16384" width="9" style="5"/>
  </cols>
  <sheetData>
    <row r="1" spans="1:20" s="10" customFormat="1" x14ac:dyDescent="0.2">
      <c r="A1" s="49" t="s">
        <v>77</v>
      </c>
      <c r="B1" s="49" t="s">
        <v>77</v>
      </c>
      <c r="C1" s="49"/>
      <c r="D1" s="1" t="s">
        <v>78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50" t="s">
        <v>77</v>
      </c>
      <c r="B2" s="22"/>
      <c r="C2" s="22"/>
      <c r="D2" s="62" t="s">
        <v>130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MSBEL5720</v>
      </c>
      <c r="I2" s="7" t="s">
        <v>79</v>
      </c>
      <c r="J2" s="8" t="s">
        <v>62</v>
      </c>
      <c r="K2" s="7" t="s">
        <v>64</v>
      </c>
      <c r="L2" s="51" t="str">
        <f>IF(LogicCommon!G2="","",LogicCommon!G2)</f>
        <v>MC</v>
      </c>
      <c r="M2" s="5" t="s">
        <v>80</v>
      </c>
      <c r="N2" s="23" t="s">
        <v>110</v>
      </c>
      <c r="O2" s="7"/>
      <c r="P2" s="7"/>
      <c r="Q2" s="4"/>
      <c r="R2" s="5"/>
      <c r="S2" s="5"/>
      <c r="T2" s="5"/>
    </row>
    <row r="3" spans="1:20" s="10" customFormat="1" x14ac:dyDescent="0.2">
      <c r="A3" s="52" t="s">
        <v>77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MSBE</v>
      </c>
      <c r="G3" s="7" t="s">
        <v>3</v>
      </c>
      <c r="H3" s="51" t="str">
        <f>IF(LogicCommon!E3="","",LogicCommon!E3)</f>
        <v>MSBEL_ExRptService</v>
      </c>
      <c r="I3" s="7" t="s">
        <v>69</v>
      </c>
      <c r="J3" s="8" t="s">
        <v>62</v>
      </c>
      <c r="K3" s="7" t="s">
        <v>65</v>
      </c>
      <c r="L3" s="51" t="str">
        <f>IF(LogicCommon!G3="","",LogicCommon!G3)</f>
        <v/>
      </c>
      <c r="M3" s="55"/>
      <c r="N3" s="7"/>
      <c r="O3" s="7" t="s">
        <v>81</v>
      </c>
      <c r="P3" s="8" t="s">
        <v>82</v>
      </c>
      <c r="Q3" s="4"/>
      <c r="R3" s="5"/>
      <c r="S3" s="5"/>
      <c r="T3" s="5"/>
    </row>
    <row r="4" spans="1:20" s="10" customFormat="1" x14ac:dyDescent="0.2">
      <c r="A4" s="52" t="s">
        <v>77</v>
      </c>
      <c r="B4" s="53"/>
      <c r="C4" s="53"/>
      <c r="D4" s="4"/>
      <c r="E4" s="7" t="s">
        <v>20</v>
      </c>
      <c r="F4" s="56" t="s">
        <v>72</v>
      </c>
      <c r="G4" s="7" t="s">
        <v>4</v>
      </c>
      <c r="H4" s="51" t="str">
        <f>IF(LogicCommon!E4="","",LogicCommon!E4)</f>
        <v>輸出帳票サービス</v>
      </c>
      <c r="I4" s="7" t="s">
        <v>66</v>
      </c>
      <c r="J4" s="8" t="s">
        <v>49</v>
      </c>
      <c r="K4" s="7" t="s">
        <v>5</v>
      </c>
      <c r="L4" s="51" t="str">
        <f>IF(LogicCommon!G4="","",LogicCommon!G4)</f>
        <v>MS.MSUDL5010</v>
      </c>
      <c r="M4" s="57" t="s">
        <v>70</v>
      </c>
      <c r="N4" s="23"/>
      <c r="O4" s="58"/>
      <c r="P4" s="4"/>
      <c r="Q4" s="4"/>
      <c r="R4" s="5"/>
      <c r="S4" s="5"/>
      <c r="T4" s="5"/>
    </row>
    <row r="5" spans="1:20" s="10" customFormat="1" x14ac:dyDescent="0.2">
      <c r="A5" s="59" t="s">
        <v>77</v>
      </c>
      <c r="B5" s="49"/>
      <c r="C5" s="49"/>
      <c r="D5" s="21"/>
      <c r="E5" s="7" t="s">
        <v>21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 x14ac:dyDescent="0.2">
      <c r="A6" s="52" t="s">
        <v>77</v>
      </c>
      <c r="B6" s="53"/>
      <c r="C6" s="53"/>
      <c r="D6" s="4" t="s">
        <v>10</v>
      </c>
      <c r="E6" s="12" t="s">
        <v>50</v>
      </c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</row>
    <row r="7" spans="1:20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/>
      <c r="L7" s="24" t="s">
        <v>24</v>
      </c>
      <c r="M7" s="25"/>
      <c r="N7" s="24" t="s">
        <v>24</v>
      </c>
      <c r="O7" s="26"/>
      <c r="P7" s="24" t="s">
        <v>24</v>
      </c>
      <c r="Q7" s="26"/>
      <c r="R7" s="4"/>
      <c r="S7" s="4"/>
      <c r="T7" s="4"/>
    </row>
    <row r="8" spans="1:20" s="10" customFormat="1" ht="60" customHeight="1" x14ac:dyDescent="0.2">
      <c r="A8" s="26" t="s">
        <v>22</v>
      </c>
      <c r="B8" s="63"/>
      <c r="C8" s="64"/>
      <c r="D8" s="24" t="s">
        <v>131</v>
      </c>
      <c r="E8" s="24" t="s">
        <v>132</v>
      </c>
      <c r="F8" s="61"/>
      <c r="G8" s="24" t="s">
        <v>86</v>
      </c>
      <c r="H8" s="24" t="s">
        <v>133</v>
      </c>
      <c r="I8" s="61"/>
      <c r="J8" s="3"/>
      <c r="K8" s="8"/>
      <c r="L8" s="24" t="s">
        <v>25</v>
      </c>
      <c r="M8" s="8"/>
      <c r="N8" s="24" t="s">
        <v>68</v>
      </c>
      <c r="O8" s="26"/>
      <c r="P8" s="24" t="s">
        <v>73</v>
      </c>
      <c r="Q8" s="26"/>
      <c r="R8" s="3"/>
      <c r="S8" s="114" t="s">
        <v>134</v>
      </c>
      <c r="T8" s="115"/>
    </row>
    <row r="9" spans="1:20" s="10" customFormat="1" ht="60" customHeight="1" x14ac:dyDescent="0.2">
      <c r="A9" s="8" t="s">
        <v>22</v>
      </c>
      <c r="B9" s="29"/>
      <c r="C9" s="30"/>
      <c r="D9" s="24" t="s">
        <v>135</v>
      </c>
      <c r="E9" s="65" t="s">
        <v>136</v>
      </c>
      <c r="F9" s="24" t="s">
        <v>137</v>
      </c>
      <c r="G9" s="24" t="s">
        <v>138</v>
      </c>
      <c r="H9" s="24" t="s">
        <v>139</v>
      </c>
      <c r="I9" s="66" t="s">
        <v>140</v>
      </c>
      <c r="J9" s="24" t="s">
        <v>141</v>
      </c>
      <c r="K9" s="62"/>
      <c r="L9" s="66"/>
      <c r="M9" s="24"/>
      <c r="N9" s="24"/>
      <c r="O9" s="24"/>
      <c r="P9" s="24"/>
      <c r="Q9" s="24"/>
      <c r="R9" s="65" t="s">
        <v>142</v>
      </c>
      <c r="S9" s="114" t="s">
        <v>143</v>
      </c>
      <c r="T9" s="115"/>
    </row>
    <row r="10" spans="1:20" s="10" customFormat="1" ht="39" x14ac:dyDescent="0.2">
      <c r="A10" s="29" t="s">
        <v>22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140</v>
      </c>
      <c r="M10" s="24" t="s">
        <v>141</v>
      </c>
      <c r="N10" s="24" t="s">
        <v>140</v>
      </c>
      <c r="O10" s="24" t="s">
        <v>141</v>
      </c>
      <c r="P10" s="24" t="s">
        <v>140</v>
      </c>
      <c r="Q10" s="24" t="s">
        <v>141</v>
      </c>
      <c r="R10" s="33"/>
      <c r="S10" s="38"/>
      <c r="T10" s="48"/>
    </row>
    <row r="11" spans="1:20" s="10" customFormat="1" x14ac:dyDescent="0.2">
      <c r="A11" s="8">
        <v>10</v>
      </c>
      <c r="B11" s="29" t="s">
        <v>26</v>
      </c>
      <c r="C11" s="30"/>
      <c r="D11" s="23" t="s">
        <v>123</v>
      </c>
      <c r="E11" s="27" t="s">
        <v>42</v>
      </c>
      <c r="F11" s="32"/>
      <c r="G11" s="23" t="s">
        <v>74</v>
      </c>
      <c r="H11" s="43" t="s">
        <v>93</v>
      </c>
      <c r="I11" s="31"/>
      <c r="J11" s="36"/>
      <c r="K11" s="36"/>
      <c r="L11" s="27"/>
      <c r="M11" s="27"/>
      <c r="N11" s="27"/>
      <c r="O11" s="27"/>
      <c r="P11" s="27"/>
      <c r="Q11" s="27"/>
      <c r="R11" s="24"/>
      <c r="S11" s="39"/>
      <c r="T11" s="40"/>
    </row>
    <row r="12" spans="1:20" s="10" customFormat="1" x14ac:dyDescent="0.2">
      <c r="A12" s="8">
        <v>10</v>
      </c>
      <c r="B12" s="8"/>
      <c r="C12" s="8"/>
      <c r="D12" s="8" t="s">
        <v>124</v>
      </c>
      <c r="E12" s="26" t="s">
        <v>125</v>
      </c>
      <c r="F12" s="26"/>
      <c r="G12" s="41" t="s">
        <v>144</v>
      </c>
      <c r="H12" s="41" t="s">
        <v>126</v>
      </c>
      <c r="I12" s="8" t="s">
        <v>83</v>
      </c>
      <c r="J12" s="8" t="s">
        <v>84</v>
      </c>
      <c r="K12" s="8"/>
      <c r="L12" s="8"/>
      <c r="M12" s="8"/>
      <c r="N12" s="8"/>
      <c r="O12" s="8"/>
      <c r="P12" s="8"/>
      <c r="Q12" s="8"/>
      <c r="R12" s="24"/>
      <c r="S12" s="39"/>
      <c r="T12" s="40"/>
    </row>
    <row r="13" spans="1:20" s="10" customFormat="1" x14ac:dyDescent="0.2">
      <c r="A13" s="8">
        <v>10</v>
      </c>
      <c r="B13" s="8"/>
      <c r="C13" s="8"/>
      <c r="D13" s="8" t="s">
        <v>55</v>
      </c>
      <c r="E13" s="26" t="s">
        <v>54</v>
      </c>
      <c r="F13" s="26"/>
      <c r="G13" s="41" t="s">
        <v>145</v>
      </c>
      <c r="H13" s="41" t="s">
        <v>67</v>
      </c>
      <c r="I13" s="8" t="s">
        <v>83</v>
      </c>
      <c r="J13" s="8" t="s">
        <v>84</v>
      </c>
      <c r="K13" s="8"/>
      <c r="L13" s="8"/>
      <c r="M13" s="8"/>
      <c r="N13" s="8"/>
      <c r="O13" s="8"/>
      <c r="P13" s="8"/>
      <c r="Q13" s="8"/>
      <c r="R13" s="24"/>
      <c r="S13" s="39"/>
      <c r="T13" s="40"/>
    </row>
    <row r="14" spans="1:20" s="10" customFormat="1" x14ac:dyDescent="0.2">
      <c r="A14" s="8">
        <v>10</v>
      </c>
      <c r="B14" s="8"/>
      <c r="C14" s="8"/>
      <c r="D14" s="8" t="s">
        <v>121</v>
      </c>
      <c r="E14" s="26" t="s">
        <v>127</v>
      </c>
      <c r="F14" s="26"/>
      <c r="G14" s="41" t="s">
        <v>146</v>
      </c>
      <c r="H14" s="41" t="s">
        <v>122</v>
      </c>
      <c r="I14" s="8" t="s">
        <v>83</v>
      </c>
      <c r="J14" s="8" t="s">
        <v>84</v>
      </c>
      <c r="K14" s="8"/>
      <c r="L14" s="8"/>
      <c r="M14" s="8"/>
      <c r="N14" s="8"/>
      <c r="O14" s="8"/>
      <c r="P14" s="8"/>
      <c r="Q14" s="8"/>
      <c r="R14" s="24"/>
      <c r="S14" s="39"/>
      <c r="T14" s="40"/>
    </row>
    <row r="15" spans="1:20" s="10" customFormat="1" x14ac:dyDescent="0.2">
      <c r="A15" s="8">
        <v>10</v>
      </c>
      <c r="B15" s="8"/>
      <c r="C15" s="8"/>
      <c r="D15" s="8" t="s">
        <v>30</v>
      </c>
      <c r="E15" s="26" t="s">
        <v>27</v>
      </c>
      <c r="F15" s="26"/>
      <c r="G15" s="41" t="s">
        <v>147</v>
      </c>
      <c r="H15" s="41" t="s">
        <v>85</v>
      </c>
      <c r="I15" s="8" t="s">
        <v>84</v>
      </c>
      <c r="J15" s="8" t="s">
        <v>83</v>
      </c>
      <c r="K15" s="8"/>
      <c r="L15" s="8"/>
      <c r="M15" s="8"/>
      <c r="N15" s="8"/>
      <c r="O15" s="8"/>
      <c r="P15" s="8"/>
      <c r="Q15" s="8"/>
      <c r="R15" s="24"/>
      <c r="S15" s="39"/>
      <c r="T15" s="40"/>
    </row>
    <row r="16" spans="1:20" s="10" customFormat="1" x14ac:dyDescent="0.2">
      <c r="A16" s="59" t="str">
        <f>IF(D16="","",IF(B16="*",MAX($A$10:A13)+10,MAX($A$10:A13)))</f>
        <v/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42"/>
    </row>
  </sheetData>
  <mergeCells count="2">
    <mergeCell ref="S8:T8"/>
    <mergeCell ref="S9:T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.1796875" style="4" customWidth="1"/>
    <col min="9" max="10" width="15.81640625" style="4" customWidth="1"/>
    <col min="11" max="11" width="23.81640625" style="4" customWidth="1"/>
    <col min="12" max="12" width="14.36328125" style="4" customWidth="1"/>
    <col min="13" max="13" width="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5.81640625" style="5" customWidth="1"/>
    <col min="20" max="20" width="13.90625" style="5" bestFit="1" customWidth="1"/>
    <col min="21" max="21" width="12.81640625" style="5" bestFit="1" customWidth="1"/>
    <col min="22" max="22" width="6.453125" style="5" bestFit="1" customWidth="1"/>
    <col min="23" max="23" width="27.90625" style="5" customWidth="1"/>
    <col min="24" max="24" width="29.1796875" style="5" customWidth="1"/>
    <col min="25" max="25" width="30.08984375" style="5" customWidth="1"/>
    <col min="26" max="26" width="27.90625" style="5" customWidth="1"/>
    <col min="27" max="27" width="26.81640625" style="5" customWidth="1"/>
    <col min="28" max="34" width="9" style="5"/>
    <col min="35" max="35" width="18.453125" style="5" customWidth="1"/>
    <col min="36" max="16384" width="9" style="5"/>
  </cols>
  <sheetData>
    <row r="1" spans="1:20" s="10" customFormat="1" x14ac:dyDescent="0.2">
      <c r="A1" s="49" t="s">
        <v>77</v>
      </c>
      <c r="B1" s="49" t="s">
        <v>77</v>
      </c>
      <c r="C1" s="49"/>
      <c r="D1" s="1" t="s">
        <v>78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50" t="s">
        <v>77</v>
      </c>
      <c r="B2" s="22"/>
      <c r="C2" s="22"/>
      <c r="D2" s="62" t="s">
        <v>130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MSBEL5720</v>
      </c>
      <c r="I2" s="7" t="s">
        <v>79</v>
      </c>
      <c r="J2" s="8" t="s">
        <v>63</v>
      </c>
      <c r="K2" s="7" t="s">
        <v>64</v>
      </c>
      <c r="L2" s="51" t="str">
        <f>IF(LogicCommon!G2="","",LogicCommon!G2)</f>
        <v>MC</v>
      </c>
      <c r="M2" s="5" t="s">
        <v>80</v>
      </c>
      <c r="N2" s="23" t="s">
        <v>110</v>
      </c>
      <c r="O2" s="7"/>
      <c r="P2" s="7"/>
      <c r="Q2" s="4"/>
      <c r="R2" s="5"/>
      <c r="S2" s="5"/>
      <c r="T2" s="5"/>
    </row>
    <row r="3" spans="1:20" s="10" customFormat="1" x14ac:dyDescent="0.2">
      <c r="A3" s="52" t="s">
        <v>77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MSBE</v>
      </c>
      <c r="G3" s="7" t="s">
        <v>3</v>
      </c>
      <c r="H3" s="51" t="str">
        <f>IF(LogicCommon!E3="","",LogicCommon!E3)</f>
        <v>MSBEL_ExRptService</v>
      </c>
      <c r="I3" s="7" t="s">
        <v>69</v>
      </c>
      <c r="J3" s="8" t="s">
        <v>63</v>
      </c>
      <c r="K3" s="7" t="s">
        <v>65</v>
      </c>
      <c r="L3" s="51" t="str">
        <f>IF(LogicCommon!G3="","",LogicCommon!G3)</f>
        <v/>
      </c>
      <c r="M3" s="55"/>
      <c r="N3" s="7"/>
      <c r="O3" s="7" t="s">
        <v>81</v>
      </c>
      <c r="P3" s="8" t="s">
        <v>82</v>
      </c>
      <c r="Q3" s="4"/>
      <c r="R3" s="5"/>
      <c r="S3" s="5"/>
      <c r="T3" s="5"/>
    </row>
    <row r="4" spans="1:20" s="10" customFormat="1" x14ac:dyDescent="0.2">
      <c r="A4" s="52" t="s">
        <v>77</v>
      </c>
      <c r="B4" s="53"/>
      <c r="C4" s="53"/>
      <c r="D4" s="4"/>
      <c r="E4" s="7" t="s">
        <v>20</v>
      </c>
      <c r="F4" s="56" t="s">
        <v>72</v>
      </c>
      <c r="G4" s="7" t="s">
        <v>4</v>
      </c>
      <c r="H4" s="51" t="str">
        <f>IF(LogicCommon!E4="","",LogicCommon!E4)</f>
        <v>輸出帳票サービス</v>
      </c>
      <c r="I4" s="7" t="s">
        <v>66</v>
      </c>
      <c r="J4" s="8" t="s">
        <v>31</v>
      </c>
      <c r="K4" s="7" t="s">
        <v>5</v>
      </c>
      <c r="L4" s="51" t="str">
        <f>IF(LogicCommon!G4="","",LogicCommon!G4)</f>
        <v>MS.MSUDL5010</v>
      </c>
      <c r="M4" s="57" t="s">
        <v>70</v>
      </c>
      <c r="N4" s="23"/>
      <c r="O4" s="58"/>
      <c r="P4" s="4"/>
      <c r="Q4" s="4"/>
      <c r="R4" s="5"/>
      <c r="S4" s="5"/>
      <c r="T4" s="5"/>
    </row>
    <row r="5" spans="1:20" s="10" customFormat="1" x14ac:dyDescent="0.2">
      <c r="A5" s="59" t="s">
        <v>77</v>
      </c>
      <c r="B5" s="49"/>
      <c r="C5" s="49"/>
      <c r="D5" s="21"/>
      <c r="E5" s="7" t="s">
        <v>21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</row>
    <row r="6" spans="1:20" s="10" customFormat="1" x14ac:dyDescent="0.2">
      <c r="A6" s="52" t="s">
        <v>77</v>
      </c>
      <c r="B6" s="53"/>
      <c r="C6" s="53"/>
      <c r="D6" s="4" t="s">
        <v>10</v>
      </c>
      <c r="E6" s="12" t="s">
        <v>45</v>
      </c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</row>
    <row r="7" spans="1:20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/>
      <c r="L7" s="24" t="s">
        <v>24</v>
      </c>
      <c r="M7" s="25"/>
      <c r="N7" s="24" t="s">
        <v>24</v>
      </c>
      <c r="O7" s="26"/>
      <c r="P7" s="24" t="s">
        <v>24</v>
      </c>
      <c r="Q7" s="26"/>
      <c r="R7" s="4"/>
      <c r="S7" s="4"/>
      <c r="T7" s="4"/>
    </row>
    <row r="8" spans="1:20" s="10" customFormat="1" ht="60" customHeight="1" x14ac:dyDescent="0.2">
      <c r="A8" s="26" t="s">
        <v>22</v>
      </c>
      <c r="B8" s="63"/>
      <c r="C8" s="64"/>
      <c r="D8" s="24" t="s">
        <v>131</v>
      </c>
      <c r="E8" s="24" t="s">
        <v>132</v>
      </c>
      <c r="F8" s="61"/>
      <c r="G8" s="24" t="s">
        <v>86</v>
      </c>
      <c r="H8" s="24" t="s">
        <v>133</v>
      </c>
      <c r="I8" s="61"/>
      <c r="J8" s="3"/>
      <c r="K8" s="8"/>
      <c r="L8" s="24" t="s">
        <v>25</v>
      </c>
      <c r="M8" s="8"/>
      <c r="N8" s="24" t="s">
        <v>68</v>
      </c>
      <c r="O8" s="26"/>
      <c r="P8" s="24" t="s">
        <v>68</v>
      </c>
      <c r="Q8" s="26"/>
      <c r="R8" s="3"/>
      <c r="S8" s="114" t="s">
        <v>134</v>
      </c>
      <c r="T8" s="115"/>
    </row>
    <row r="9" spans="1:20" s="10" customFormat="1" ht="60" customHeight="1" x14ac:dyDescent="0.2">
      <c r="A9" s="8" t="s">
        <v>22</v>
      </c>
      <c r="B9" s="29"/>
      <c r="C9" s="30"/>
      <c r="D9" s="24" t="s">
        <v>135</v>
      </c>
      <c r="E9" s="65" t="s">
        <v>136</v>
      </c>
      <c r="F9" s="24" t="s">
        <v>137</v>
      </c>
      <c r="G9" s="24" t="s">
        <v>138</v>
      </c>
      <c r="H9" s="24" t="s">
        <v>139</v>
      </c>
      <c r="I9" s="66" t="s">
        <v>140</v>
      </c>
      <c r="J9" s="24" t="s">
        <v>141</v>
      </c>
      <c r="K9" s="62"/>
      <c r="L9" s="66"/>
      <c r="M9" s="24"/>
      <c r="N9" s="24"/>
      <c r="O9" s="24"/>
      <c r="P9" s="24"/>
      <c r="Q9" s="24"/>
      <c r="R9" s="65" t="s">
        <v>142</v>
      </c>
      <c r="S9" s="114" t="s">
        <v>143</v>
      </c>
      <c r="T9" s="115"/>
    </row>
    <row r="10" spans="1:20" s="10" customFormat="1" ht="39" x14ac:dyDescent="0.2">
      <c r="A10" s="29" t="s">
        <v>22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4" t="s">
        <v>140</v>
      </c>
      <c r="M10" s="24" t="s">
        <v>141</v>
      </c>
      <c r="N10" s="24" t="s">
        <v>140</v>
      </c>
      <c r="O10" s="24" t="s">
        <v>141</v>
      </c>
      <c r="P10" s="24" t="s">
        <v>140</v>
      </c>
      <c r="Q10" s="24" t="s">
        <v>141</v>
      </c>
      <c r="R10" s="33"/>
      <c r="S10" s="38"/>
      <c r="T10" s="48"/>
    </row>
    <row r="11" spans="1:20" s="10" customFormat="1" x14ac:dyDescent="0.2">
      <c r="A11" s="8">
        <v>10</v>
      </c>
      <c r="B11" s="29" t="s">
        <v>26</v>
      </c>
      <c r="C11" s="30"/>
      <c r="D11" s="23" t="s">
        <v>61</v>
      </c>
      <c r="E11" s="27" t="s">
        <v>8</v>
      </c>
      <c r="F11" s="32"/>
      <c r="G11" s="23" t="s">
        <v>75</v>
      </c>
      <c r="H11" s="43" t="s">
        <v>94</v>
      </c>
      <c r="I11" s="31"/>
      <c r="J11" s="36"/>
      <c r="K11" s="36"/>
      <c r="L11" s="27"/>
      <c r="M11" s="27"/>
      <c r="N11" s="27"/>
      <c r="O11" s="27"/>
      <c r="P11" s="27"/>
      <c r="Q11" s="27"/>
      <c r="R11" s="24"/>
      <c r="S11" s="39"/>
      <c r="T11" s="40"/>
    </row>
    <row r="12" spans="1:20" s="10" customFormat="1" x14ac:dyDescent="0.2">
      <c r="A12" s="8">
        <v>10</v>
      </c>
      <c r="B12" s="8"/>
      <c r="C12" s="8"/>
      <c r="D12" s="8" t="s">
        <v>28</v>
      </c>
      <c r="E12" s="26" t="s">
        <v>29</v>
      </c>
      <c r="F12" s="26"/>
      <c r="G12" s="41" t="s">
        <v>145</v>
      </c>
      <c r="H12" s="41" t="s">
        <v>67</v>
      </c>
      <c r="I12" s="8" t="s">
        <v>83</v>
      </c>
      <c r="J12" s="8" t="s">
        <v>83</v>
      </c>
      <c r="K12" s="8"/>
      <c r="L12" s="8"/>
      <c r="M12" s="8"/>
      <c r="N12" s="8"/>
      <c r="O12" s="8"/>
      <c r="P12" s="8"/>
      <c r="Q12" s="8"/>
      <c r="R12" s="24"/>
      <c r="S12" s="39"/>
      <c r="T12" s="40"/>
    </row>
    <row r="13" spans="1:20" s="10" customFormat="1" x14ac:dyDescent="0.2">
      <c r="A13" s="8">
        <v>10</v>
      </c>
      <c r="B13" s="8"/>
      <c r="C13" s="8"/>
      <c r="D13" s="8" t="s">
        <v>46</v>
      </c>
      <c r="E13" s="26" t="s">
        <v>47</v>
      </c>
      <c r="F13" s="26"/>
      <c r="G13" s="41" t="s">
        <v>147</v>
      </c>
      <c r="H13" s="41" t="s">
        <v>85</v>
      </c>
      <c r="I13" s="8" t="s">
        <v>84</v>
      </c>
      <c r="J13" s="8" t="s">
        <v>83</v>
      </c>
      <c r="K13" s="8"/>
      <c r="L13" s="8"/>
      <c r="M13" s="8"/>
      <c r="N13" s="8"/>
      <c r="O13" s="8"/>
      <c r="P13" s="8"/>
      <c r="Q13" s="8"/>
      <c r="R13" s="24"/>
      <c r="S13" s="39"/>
      <c r="T13" s="40"/>
    </row>
    <row r="14" spans="1:20" s="10" customFormat="1" x14ac:dyDescent="0.2">
      <c r="A14" s="59" t="str">
        <f>IF(D14="","",IF(B14="*",MAX($A$10:A13)+10,MAX($A$10:A13)))</f>
        <v/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42"/>
    </row>
  </sheetData>
  <mergeCells count="2">
    <mergeCell ref="S8:T8"/>
    <mergeCell ref="S9:T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83" t="s">
        <v>11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86" t="s">
        <v>12</v>
      </c>
      <c r="B3" s="87"/>
      <c r="C3" s="87"/>
      <c r="D3" s="87"/>
      <c r="E3" s="87"/>
      <c r="F3" s="87"/>
      <c r="G3" s="88"/>
      <c r="H3" s="89" t="s">
        <v>13</v>
      </c>
      <c r="I3" s="87"/>
      <c r="J3" s="87"/>
      <c r="K3" s="87"/>
      <c r="L3" s="87"/>
      <c r="M3" s="87"/>
      <c r="N3" s="88"/>
      <c r="O3" s="89" t="s">
        <v>14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9" t="s">
        <v>15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16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3" t="s">
        <v>163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164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104"/>
      <c r="B35" s="105"/>
      <c r="C35" s="105"/>
      <c r="D35" s="105"/>
      <c r="E35" s="105"/>
      <c r="F35" s="105"/>
      <c r="G35" s="106"/>
      <c r="H35" s="107"/>
      <c r="I35" s="108"/>
      <c r="J35" s="108"/>
      <c r="K35" s="108"/>
      <c r="L35" s="108"/>
      <c r="M35" s="108"/>
      <c r="N35" s="109"/>
      <c r="O35" s="107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7:G7"/>
    <mergeCell ref="H7:N7"/>
    <mergeCell ref="O7:AP7"/>
    <mergeCell ref="AQ7:BE7"/>
    <mergeCell ref="A10:G10"/>
    <mergeCell ref="H10:N10"/>
    <mergeCell ref="O10:AP10"/>
    <mergeCell ref="AQ10:BE10"/>
    <mergeCell ref="A9:G9"/>
    <mergeCell ref="H9:N9"/>
    <mergeCell ref="O9:AP9"/>
    <mergeCell ref="AQ9:BE9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ExRpt_Prnt01</vt:lpstr>
      <vt:lpstr>ExRpt_Prnt02</vt:lpstr>
      <vt:lpstr>ExRpt_Prnt03</vt:lpstr>
      <vt:lpstr>ExRpt_Prnt04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2026-03-27T05:58:52Z</dcterms:modified>
  <cp:category/>
</cp:coreProperties>
</file>