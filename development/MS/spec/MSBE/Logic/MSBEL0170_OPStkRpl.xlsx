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E1B50242-93BC-451E-B473-1D54FE4EB080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Srch01" sheetId="1" r:id="rId2"/>
    <sheet name="Sprt01" sheetId="5" r:id="rId3"/>
    <sheet name="Chk01" sheetId="7" r:id="rId4"/>
    <sheet name="Ins01" sheetId="6" r:id="rId5"/>
    <sheet name="来歴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F4" i="7"/>
  <c r="L3" i="7"/>
  <c r="H3" i="7"/>
  <c r="F3" i="7"/>
  <c r="D3" i="7"/>
  <c r="L2" i="7"/>
  <c r="H2" i="7"/>
  <c r="F2" i="7"/>
  <c r="L4" i="6"/>
  <c r="H4" i="6"/>
  <c r="F4" i="6"/>
  <c r="L3" i="6"/>
  <c r="H3" i="6"/>
  <c r="F3" i="6"/>
  <c r="D3" i="6"/>
  <c r="L2" i="6"/>
  <c r="H2" i="6"/>
  <c r="F2" i="6"/>
  <c r="L4" i="5" l="1"/>
  <c r="H4" i="5"/>
  <c r="F4" i="5"/>
  <c r="L3" i="5"/>
  <c r="H3" i="5"/>
  <c r="F3" i="5"/>
  <c r="D3" i="5"/>
  <c r="L2" i="5"/>
  <c r="H2" i="5"/>
  <c r="F2" i="5"/>
  <c r="L4" i="1" l="1"/>
  <c r="L3" i="1"/>
  <c r="L2" i="1"/>
  <c r="H4" i="1"/>
  <c r="H3" i="1"/>
  <c r="H2" i="1"/>
  <c r="F4" i="1"/>
  <c r="F3" i="1"/>
  <c r="F2" i="1"/>
  <c r="D3" i="1"/>
</calcChain>
</file>

<file path=xl/sharedStrings.xml><?xml version="1.0" encoding="utf-8"?>
<sst xmlns="http://schemas.openxmlformats.org/spreadsheetml/2006/main" count="1467" uniqueCount="508">
  <si>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</si>
  <si>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</si>
  <si>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</si>
  <si>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</si>
  <si>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</si>
  <si>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</si>
  <si>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</si>
  <si>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</si>
  <si>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</si>
  <si>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</si>
  <si>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</si>
  <si>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</si>
  <si>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</si>
  <si>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</si>
  <si>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</si>
  <si>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</si>
  <si>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</si>
  <si>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</si>
  <si>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</si>
  <si>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</si>
  <si>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</si>
  <si>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</si>
  <si>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</si>
  <si>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</si>
  <si>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</si>
  <si>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</si>
  <si>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R</t>
    <phoneticPr fontId="1"/>
  </si>
  <si>
    <t>mfg_loc_nm</t>
    <phoneticPr fontId="1"/>
  </si>
  <si>
    <t>MSBE</t>
    <phoneticPr fontId="4"/>
  </si>
  <si>
    <t>MSBEL0170</t>
    <phoneticPr fontId="4"/>
  </si>
  <si>
    <t>MSBEL_OPStkRpl</t>
    <phoneticPr fontId="4"/>
  </si>
  <si>
    <t>発注点在庫補充</t>
    <rPh sb="0" eb="2">
      <t>ハッチュウ</t>
    </rPh>
    <rPh sb="2" eb="3">
      <t>テン</t>
    </rPh>
    <rPh sb="3" eb="5">
      <t>ザイコ</t>
    </rPh>
    <rPh sb="5" eb="7">
      <t>ホジュウ</t>
    </rPh>
    <phoneticPr fontId="4"/>
  </si>
  <si>
    <t>Srch01_Cnd</t>
    <phoneticPr fontId="1"/>
  </si>
  <si>
    <t>master_dt</t>
    <phoneticPr fontId="4"/>
  </si>
  <si>
    <t>gr_schd_dt_to</t>
    <phoneticPr fontId="4"/>
  </si>
  <si>
    <t>gi_schd_dt_to</t>
    <phoneticPr fontId="4"/>
  </si>
  <si>
    <t>strg_site_cd</t>
    <phoneticPr fontId="1"/>
  </si>
  <si>
    <t>strg_site_nm</t>
    <phoneticPr fontId="1"/>
  </si>
  <si>
    <t>strg_wg_cd</t>
    <phoneticPr fontId="1"/>
  </si>
  <si>
    <t>strg_wg_nm</t>
    <phoneticPr fontId="1"/>
  </si>
  <si>
    <t>strg_lg_grp_cd</t>
    <phoneticPr fontId="1"/>
  </si>
  <si>
    <t>strg_lg_grp_nm</t>
    <phoneticPr fontId="1"/>
  </si>
  <si>
    <t>strg_loc_cd</t>
    <phoneticPr fontId="1"/>
  </si>
  <si>
    <t>strg_loc_nm</t>
    <phoneticPr fontId="1"/>
  </si>
  <si>
    <t>#MA.DT</t>
  </si>
  <si>
    <t>#MA.SITE_CD</t>
  </si>
  <si>
    <t>#MA.SITE_NM</t>
  </si>
  <si>
    <t>#MA.WG_CD</t>
  </si>
  <si>
    <t>#MA.WG_NM</t>
  </si>
  <si>
    <t>#MA.LG_GRP_CD</t>
  </si>
  <si>
    <t>#MA.LG_GRP_NM</t>
  </si>
  <si>
    <t>#MA.LOC_CD</t>
  </si>
  <si>
    <t>#MA.LOC_NM</t>
  </si>
  <si>
    <t>itm_typ</t>
    <phoneticPr fontId="1"/>
  </si>
  <si>
    <t>itm_typ_d_cd</t>
    <phoneticPr fontId="1"/>
  </si>
  <si>
    <t>itm_typ_d_nm</t>
    <phoneticPr fontId="1"/>
  </si>
  <si>
    <t>#MA.ITM_TYP</t>
    <phoneticPr fontId="1"/>
  </si>
  <si>
    <t>#MA.ITM_TYP_D_CD</t>
    <phoneticPr fontId="1"/>
  </si>
  <si>
    <t>#MA.ITM_TYP_D_NM</t>
    <phoneticPr fontId="1"/>
  </si>
  <si>
    <t>itm_cd</t>
    <phoneticPr fontId="1"/>
  </si>
  <si>
    <t>itm_sub1</t>
    <phoneticPr fontId="1"/>
  </si>
  <si>
    <t>itm_sub2</t>
  </si>
  <si>
    <t>itm_sub3</t>
  </si>
  <si>
    <t>itm_nm</t>
    <phoneticPr fontId="1"/>
  </si>
  <si>
    <t>#MA.ITM_CD</t>
    <phoneticPr fontId="1"/>
  </si>
  <si>
    <t>#MA.ITM_SUB1</t>
    <phoneticPr fontId="1"/>
  </si>
  <si>
    <t>#MA.ITM_SUB2</t>
  </si>
  <si>
    <t>#MA.ITM_SUB3</t>
  </si>
  <si>
    <t>#MA.ITM_NM</t>
    <phoneticPr fontId="1"/>
  </si>
  <si>
    <t>#MA.FLG</t>
    <phoneticPr fontId="1"/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</si>
  <si>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</si>
  <si>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</si>
  <si>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</si>
  <si>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</si>
  <si>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</si>
  <si>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</si>
  <si>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</si>
  <si>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</si>
  <si>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</si>
  <si>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</si>
  <si>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</si>
  <si>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</si>
  <si>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</si>
  <si>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</si>
  <si>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</si>
  <si>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</si>
  <si>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</si>
  <si>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</si>
  <si>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</si>
  <si>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</si>
  <si>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#MA.ITM_GRP_CD</t>
  </si>
  <si>
    <t>#MA.ITM_GRP_NM</t>
  </si>
  <si>
    <t>L</t>
    <phoneticPr fontId="1"/>
  </si>
  <si>
    <t>strg_loc_cd</t>
    <phoneticPr fontId="1"/>
  </si>
  <si>
    <t>mfg_loc_cd</t>
    <phoneticPr fontId="1"/>
  </si>
  <si>
    <t>bom_ptn</t>
    <phoneticPr fontId="1"/>
  </si>
  <si>
    <t>#MA.BOM_PTN</t>
    <phoneticPr fontId="1"/>
  </si>
  <si>
    <t>sppl_cd</t>
    <phoneticPr fontId="1"/>
  </si>
  <si>
    <t>sppl_nm</t>
    <phoneticPr fontId="1"/>
  </si>
  <si>
    <t>#MA.BP_CD</t>
    <phoneticPr fontId="1"/>
  </si>
  <si>
    <t>#MA.BP_NM</t>
    <phoneticPr fontId="1"/>
  </si>
  <si>
    <t>maker_cd</t>
    <phoneticPr fontId="1"/>
  </si>
  <si>
    <t>maker_nm</t>
    <phoneticPr fontId="1"/>
  </si>
  <si>
    <t>rqst_loc_cd</t>
    <phoneticPr fontId="1"/>
  </si>
  <si>
    <t>rqst_loc_nm</t>
    <phoneticPr fontId="1"/>
  </si>
  <si>
    <t>#MA.LOC_CD</t>
    <phoneticPr fontId="1"/>
  </si>
  <si>
    <t>#MA.LOC_NM</t>
    <phoneticPr fontId="1"/>
  </si>
  <si>
    <t>#MA.UNIT_CD</t>
  </si>
  <si>
    <t>#MA.UNIT_NM</t>
  </si>
  <si>
    <t>#MA.DEC_PLACE</t>
  </si>
  <si>
    <t>rqst_qty</t>
    <phoneticPr fontId="1"/>
  </si>
  <si>
    <t>stk_qty</t>
    <phoneticPr fontId="1"/>
  </si>
  <si>
    <t>gi_schd_flg</t>
    <phoneticPr fontId="1"/>
  </si>
  <si>
    <t>rord_stk_qty</t>
    <phoneticPr fontId="1"/>
  </si>
  <si>
    <t>rord_rqst_qty</t>
    <phoneticPr fontId="1"/>
  </si>
  <si>
    <t>shortage_qty</t>
    <phoneticPr fontId="1"/>
  </si>
  <si>
    <t>#MA.QTY</t>
    <phoneticPr fontId="1"/>
  </si>
  <si>
    <t>strg_site_cd</t>
  </si>
  <si>
    <t>strg_site_nm</t>
  </si>
  <si>
    <t>strg_lg_grp_cd</t>
  </si>
  <si>
    <t>strg_lg_grp_nm</t>
  </si>
  <si>
    <t>strg_wg_cd</t>
  </si>
  <si>
    <t>strg_wg_nm</t>
  </si>
  <si>
    <t>rqst_wg_cd</t>
  </si>
  <si>
    <t>rqst_wg_nm</t>
  </si>
  <si>
    <t>shortage_flg</t>
  </si>
  <si>
    <t>Srch01</t>
    <phoneticPr fontId="1"/>
  </si>
  <si>
    <t>検索</t>
    <rPh sb="0" eb="2">
      <t>ケンサク</t>
    </rPh>
    <phoneticPr fontId="1"/>
  </si>
  <si>
    <t>op_rpl_mtd_typ_nm</t>
    <phoneticPr fontId="1"/>
  </si>
  <si>
    <t>itm_grp_flg1</t>
  </si>
  <si>
    <t>#MA.FLG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</si>
  <si>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</si>
  <si>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</si>
  <si>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</si>
  <si>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</si>
  <si>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</si>
  <si>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</si>
  <si>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</si>
  <si>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</si>
  <si>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</si>
  <si>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Srch01_Rslt</t>
    <phoneticPr fontId="1"/>
  </si>
  <si>
    <t>unit_cd</t>
    <phoneticPr fontId="1"/>
  </si>
  <si>
    <t>unit_nm</t>
    <phoneticPr fontId="1"/>
  </si>
  <si>
    <t>dec_place</t>
    <phoneticPr fontId="1"/>
  </si>
  <si>
    <t>sno1_mng_typ</t>
  </si>
  <si>
    <t>#MA.SNO_MNG_TYP</t>
  </si>
  <si>
    <t>sno2_mng_typ</t>
  </si>
  <si>
    <t>sno3_mng_typ</t>
  </si>
  <si>
    <t>sno4_mng_typ</t>
  </si>
  <si>
    <t>op_rpl_mtd_typ</t>
    <phoneticPr fontId="1"/>
  </si>
  <si>
    <t>#MS.OP_RPL_MTD_TYP</t>
    <phoneticPr fontId="1"/>
  </si>
  <si>
    <t>#MS.OP_RPL_MTD_TYP_NM</t>
    <phoneticPr fontId="1"/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</si>
  <si>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</si>
  <si>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</si>
  <si>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</si>
  <si>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</si>
  <si>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</si>
  <si>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</si>
  <si>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</si>
  <si>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</si>
  <si>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Sprt01</t>
  </si>
  <si>
    <t>納入日計算</t>
  </si>
  <si>
    <t>inst_po_cnt_rmrks</t>
  </si>
  <si>
    <t>#MS.INST_PO_CNT_RMRKS</t>
  </si>
  <si>
    <t>#MA.STD_CONT_FCTR</t>
  </si>
  <si>
    <t>#MA.CONT_QTY</t>
  </si>
  <si>
    <t>cont_fctr_unit_cd</t>
  </si>
  <si>
    <t>cont_fctr_unit_nm</t>
  </si>
  <si>
    <t>st_schd_dt</t>
  </si>
  <si>
    <t>end_schd_dt</t>
  </si>
  <si>
    <t>Ins01</t>
  </si>
  <si>
    <t>登録</t>
    <rPh sb="0" eb="2">
      <t>トウロク</t>
    </rPh>
    <phoneticPr fontId="4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</si>
  <si>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</si>
  <si>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</si>
  <si>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</si>
  <si>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</si>
  <si>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</si>
  <si>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</si>
  <si>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</si>
  <si>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</si>
  <si>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</si>
  <si>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</si>
  <si>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</si>
  <si>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</si>
  <si>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</si>
  <si>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</si>
  <si>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</si>
  <si>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</si>
  <si>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</si>
  <si>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</si>
  <si>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</si>
  <si>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peg_no</t>
  </si>
  <si>
    <t>#MA.INT</t>
  </si>
  <si>
    <t>err_flg</t>
  </si>
  <si>
    <t>-</t>
    <phoneticPr fontId="1"/>
  </si>
  <si>
    <t>$share$</t>
  </si>
  <si>
    <t>登録前チェック</t>
    <rPh sb="0" eb="2">
      <t>トウロク</t>
    </rPh>
    <rPh sb="2" eb="3">
      <t>マエ</t>
    </rPh>
    <phoneticPr fontId="4"/>
  </si>
  <si>
    <t>Chk01</t>
  </si>
  <si>
    <t>ver_no</t>
  </si>
  <si>
    <t>#MA.VER_NO</t>
  </si>
  <si>
    <t>ver_flg</t>
    <phoneticPr fontId="1"/>
  </si>
  <si>
    <t>#MA.FLG</t>
    <phoneticPr fontId="1"/>
  </si>
  <si>
    <t>Chk01_Rslt</t>
    <phoneticPr fontId="1"/>
  </si>
  <si>
    <t>Ins01_Rslt</t>
    <phoneticPr fontId="1"/>
  </si>
  <si>
    <t>rtn_sts_typ</t>
  </si>
  <si>
    <t>#MA.RTN_STS_TYP</t>
  </si>
  <si>
    <t>std_cont_fctr</t>
    <phoneticPr fontId="1"/>
  </si>
  <si>
    <t>cont_fctr_dec_place</t>
    <phoneticPr fontId="1"/>
  </si>
  <si>
    <t>cont_fctr_flg</t>
    <phoneticPr fontId="1"/>
  </si>
  <si>
    <t>Sprt01_Rslt</t>
    <phoneticPr fontId="1"/>
  </si>
  <si>
    <t>itm_cd</t>
    <phoneticPr fontId="1"/>
  </si>
  <si>
    <t>strg_loc_cd</t>
    <phoneticPr fontId="1"/>
  </si>
  <si>
    <t>st_schd_dt</t>
    <phoneticPr fontId="1"/>
  </si>
  <si>
    <t>unit_cd</t>
  </si>
  <si>
    <t>gi_schd_qty</t>
    <phoneticPr fontId="1"/>
  </si>
  <si>
    <t>gr_schd_qty</t>
    <phoneticPr fontId="1"/>
  </si>
  <si>
    <t>gr_schd_cont_qty</t>
  </si>
  <si>
    <t>stk_cont_qty</t>
  </si>
  <si>
    <t>gi_schd_cont_qty</t>
    <phoneticPr fontId="1"/>
  </si>
  <si>
    <t>shortage_cont_qty</t>
  </si>
  <si>
    <t>mfg_loc_sppl_cd</t>
    <phoneticPr fontId="1"/>
  </si>
  <si>
    <t>gi_loc_cd</t>
  </si>
  <si>
    <t>ver_flg</t>
    <phoneticPr fontId="1"/>
  </si>
  <si>
    <t>#MA.FLG</t>
    <phoneticPr fontId="1"/>
  </si>
  <si>
    <t>asset_mng_typ</t>
  </si>
  <si>
    <t>#MA.ASSET_MNG_TYP</t>
  </si>
  <si>
    <t>rqst_wg_cd</t>
    <phoneticPr fontId="1"/>
  </si>
  <si>
    <t>#MA.WG_CD</t>
    <phoneticPr fontId="1"/>
  </si>
  <si>
    <t>asset_mng_typ</t>
    <phoneticPr fontId="1"/>
  </si>
  <si>
    <t>#MA.ASSET_MNG_TYP</t>
    <phoneticPr fontId="1"/>
  </si>
  <si>
    <t>MS</t>
    <phoneticPr fontId="4"/>
  </si>
  <si>
    <t>000000</t>
    <phoneticPr fontId="1"/>
  </si>
  <si>
    <t>Ope.Method :</t>
    <phoneticPr fontId="1"/>
  </si>
  <si>
    <t>格納工場・物流倉庫名</t>
    <phoneticPr fontId="2"/>
  </si>
  <si>
    <t>E</t>
    <phoneticPr fontId="1"/>
  </si>
  <si>
    <t>格納場所ＣＤ</t>
    <phoneticPr fontId="1"/>
  </si>
  <si>
    <t>品目区分</t>
    <phoneticPr fontId="1"/>
  </si>
  <si>
    <t>品目分類ＣＤ１</t>
    <phoneticPr fontId="1"/>
  </si>
  <si>
    <t>品目分類６</t>
    <phoneticPr fontId="1"/>
  </si>
  <si>
    <t>品目分類ＣＤ９</t>
    <phoneticPr fontId="1"/>
  </si>
  <si>
    <t>資産管理区分</t>
    <phoneticPr fontId="1"/>
  </si>
  <si>
    <t>MSC_OP_RPL_MTD_TYP</t>
    <phoneticPr fontId="1"/>
  </si>
  <si>
    <t>発注先名</t>
    <phoneticPr fontId="1"/>
  </si>
  <si>
    <t>発注点依頼数量</t>
    <phoneticPr fontId="1"/>
  </si>
  <si>
    <t>手配ＮＯ３管理区分</t>
    <phoneticPr fontId="1"/>
  </si>
  <si>
    <t>不足有効成分</t>
    <phoneticPr fontId="1"/>
  </si>
  <si>
    <t>有効成分小数部有効桁数</t>
    <phoneticPr fontId="1"/>
  </si>
  <si>
    <t>格納物流グループ名</t>
    <phoneticPr fontId="2"/>
  </si>
  <si>
    <t>ALL</t>
    <phoneticPr fontId="1"/>
  </si>
  <si>
    <t>CONST</t>
    <phoneticPr fontId="1"/>
  </si>
  <si>
    <t>TargetName</t>
    <phoneticPr fontId="1"/>
  </si>
  <si>
    <t>TargetName</t>
    <phoneticPr fontId="1"/>
  </si>
  <si>
    <t>shortage_flg</t>
    <phoneticPr fontId="1"/>
  </si>
  <si>
    <t>マスタ適用日</t>
    <phoneticPr fontId="5"/>
  </si>
  <si>
    <t>手配ＮＯ１</t>
    <phoneticPr fontId="4"/>
  </si>
  <si>
    <t>手配ＮＯ２</t>
    <phoneticPr fontId="4"/>
  </si>
  <si>
    <t>エラー</t>
    <phoneticPr fontId="1"/>
  </si>
  <si>
    <t>処理結果状況区分</t>
    <phoneticPr fontId="4"/>
  </si>
  <si>
    <t>品目ＣＤ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</si>
  <si>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</si>
  <si>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</si>
  <si>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</si>
  <si>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</si>
  <si>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Gene.Type :</t>
    <phoneticPr fontId="1"/>
  </si>
  <si>
    <t xml:space="preserve">Ope.Name : </t>
    <phoneticPr fontId="1"/>
  </si>
  <si>
    <t>ImplOpe.ID:</t>
    <phoneticPr fontId="1"/>
  </si>
  <si>
    <t>入庫予定日</t>
    <phoneticPr fontId="5"/>
  </si>
  <si>
    <t>出庫予定日</t>
    <phoneticPr fontId="5"/>
  </si>
  <si>
    <t>格納工場・物流倉庫ＣＤ</t>
    <phoneticPr fontId="2"/>
  </si>
  <si>
    <t>格納ワーキンググループＣＤ</t>
    <phoneticPr fontId="2"/>
  </si>
  <si>
    <t>格納ワーキンググループ名</t>
    <phoneticPr fontId="2"/>
  </si>
  <si>
    <t>格納物流グループＣＤ</t>
    <phoneticPr fontId="2"/>
  </si>
  <si>
    <t>格納場所名</t>
    <phoneticPr fontId="2"/>
  </si>
  <si>
    <t>品目区分詳細ＣＤ</t>
    <phoneticPr fontId="1"/>
  </si>
  <si>
    <t>品目区分詳細名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</si>
  <si>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</si>
  <si>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</si>
  <si>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</si>
  <si>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</si>
  <si>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不足のみ</t>
    <phoneticPr fontId="1"/>
  </si>
  <si>
    <t>品目分類１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</si>
  <si>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</si>
  <si>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</si>
  <si>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</si>
  <si>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</si>
  <si>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</si>
  <si>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</si>
  <si>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</si>
  <si>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</si>
  <si>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</si>
  <si>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</si>
  <si>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</si>
  <si>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</si>
  <si>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</si>
  <si>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</si>
  <si>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</si>
  <si>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</si>
  <si>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</si>
  <si>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</si>
  <si>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</si>
  <si>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</si>
  <si>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</si>
  <si>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</si>
  <si>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</si>
  <si>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</si>
  <si>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</si>
  <si>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</si>
  <si>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補充方法区分</t>
    <phoneticPr fontId="2"/>
  </si>
  <si>
    <t>補充方法区分名</t>
    <phoneticPr fontId="2"/>
  </si>
  <si>
    <t>製造場所ＣＤ</t>
    <phoneticPr fontId="2"/>
  </si>
  <si>
    <t>製造場所名</t>
    <phoneticPr fontId="2"/>
  </si>
  <si>
    <t>外注先ＣＤ</t>
    <phoneticPr fontId="1"/>
  </si>
  <si>
    <t>構成パタン</t>
    <phoneticPr fontId="2"/>
  </si>
  <si>
    <t>発注先ＣＤ</t>
    <phoneticPr fontId="1"/>
  </si>
  <si>
    <t>メーカＣＤ</t>
    <phoneticPr fontId="1"/>
  </si>
  <si>
    <t>メーカ名</t>
    <phoneticPr fontId="1"/>
  </si>
  <si>
    <t>依頼先場所ＣＤ</t>
    <phoneticPr fontId="1"/>
  </si>
  <si>
    <t>依頼先場所名</t>
    <phoneticPr fontId="1"/>
  </si>
  <si>
    <t>小数部有効桁数</t>
    <phoneticPr fontId="2"/>
  </si>
  <si>
    <t>依頼数量</t>
    <phoneticPr fontId="1"/>
  </si>
  <si>
    <t>入庫数量</t>
    <phoneticPr fontId="1"/>
  </si>
  <si>
    <t>在庫数量</t>
    <phoneticPr fontId="1"/>
  </si>
  <si>
    <t>出庫数量</t>
    <phoneticPr fontId="1"/>
  </si>
  <si>
    <t>出庫予定含む</t>
    <phoneticPr fontId="1"/>
  </si>
  <si>
    <t>発注点在庫数量</t>
    <phoneticPr fontId="1"/>
  </si>
  <si>
    <t>不足数量</t>
    <phoneticPr fontId="1"/>
  </si>
  <si>
    <t>基準単位</t>
    <phoneticPr fontId="2"/>
  </si>
  <si>
    <t>基準単位名</t>
    <phoneticPr fontId="2"/>
  </si>
  <si>
    <t>版管理対象</t>
    <phoneticPr fontId="1"/>
  </si>
  <si>
    <t>版ＮＯ</t>
    <phoneticPr fontId="1"/>
  </si>
  <si>
    <t>手配ＮＯ１管理区分</t>
    <phoneticPr fontId="1"/>
  </si>
  <si>
    <t>手配ＮＯ２管理区分</t>
    <phoneticPr fontId="1"/>
  </si>
  <si>
    <t>手配ＮＯ４管理区分</t>
    <phoneticPr fontId="1"/>
  </si>
  <si>
    <t>入庫有効成分</t>
    <phoneticPr fontId="1"/>
  </si>
  <si>
    <t>在庫有効成分</t>
    <phoneticPr fontId="1"/>
  </si>
  <si>
    <t>出庫有効成分</t>
    <phoneticPr fontId="1"/>
  </si>
  <si>
    <t>標準係数</t>
    <phoneticPr fontId="8"/>
  </si>
  <si>
    <t>有効成分対象</t>
    <phoneticPr fontId="1"/>
  </si>
  <si>
    <t>有効成分単位ＣＤ</t>
    <phoneticPr fontId="8"/>
  </si>
  <si>
    <t>有効成分単位名</t>
    <phoneticPr fontId="8"/>
  </si>
  <si>
    <t>依頼先ワーキンググループＣＤ</t>
    <phoneticPr fontId="2"/>
  </si>
  <si>
    <t>依頼先ワーキンググループ名</t>
    <phoneticPr fontId="2"/>
  </si>
  <si>
    <t>不足</t>
    <phoneticPr fontId="1"/>
  </si>
  <si>
    <t>出庫場所ＣＤ</t>
    <phoneticPr fontId="1"/>
  </si>
  <si>
    <t>super/share</t>
    <phoneticPr fontId="1"/>
  </si>
  <si>
    <t>紐付けＮＯ</t>
    <phoneticPr fontId="1"/>
  </si>
  <si>
    <t>着手予定日</t>
    <phoneticPr fontId="4"/>
  </si>
  <si>
    <t>納入希望日</t>
    <phoneticPr fontId="4"/>
  </si>
  <si>
    <t>単位ＣＤ</t>
    <phoneticPr fontId="1"/>
  </si>
  <si>
    <t>格納ワーキンググループＣＤ</t>
    <phoneticPr fontId="1"/>
  </si>
  <si>
    <t>格納工場・物流倉庫ＣＤ</t>
    <phoneticPr fontId="1"/>
  </si>
  <si>
    <t>依頼先ワーキンググループＣＤ</t>
    <phoneticPr fontId="1"/>
  </si>
  <si>
    <t>版ＮＯ</t>
    <phoneticPr fontId="4"/>
  </si>
  <si>
    <t>手配ＮＯ３</t>
    <phoneticPr fontId="4"/>
  </si>
  <si>
    <t>手配ＮＯ４</t>
    <phoneticPr fontId="4"/>
  </si>
  <si>
    <t>指図・発注連絡備考</t>
    <phoneticPr fontId="1"/>
  </si>
  <si>
    <t>MS.MSBEL0170.Chk01.Chk01_Rslt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</si>
  <si>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</si>
  <si>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</si>
  <si>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</si>
  <si>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</si>
  <si>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指図・発注連絡備考</t>
    <phoneticPr fontId="4"/>
  </si>
  <si>
    <t>MS.MSUDL5010</t>
    <phoneticPr fontId="1"/>
  </si>
  <si>
    <t>"mcframe.serverMAUD.MAUDL5010.MAUDL_Searcher"</t>
    <phoneticPr fontId="1"/>
  </si>
  <si>
    <t>"mcframe.serverMAUD.MAUDL5010.MAUDL_Operation"</t>
    <phoneticPr fontId="4"/>
  </si>
  <si>
    <t>MA.MAUDL5010.Checker</t>
    <phoneticPr fontId="4"/>
  </si>
  <si>
    <t>#MA.STR_LN_CD</t>
  </si>
  <si>
    <t>E</t>
    <phoneticPr fontId="4"/>
  </si>
  <si>
    <t>#MA.STR_LN_NM</t>
  </si>
  <si>
    <t>rqst_str_ln_cd</t>
    <phoneticPr fontId="1"/>
  </si>
  <si>
    <t>rqst_str_ln_nm</t>
    <phoneticPr fontId="1"/>
  </si>
  <si>
    <t>依頼先棚・ラインＣＤ</t>
    <phoneticPr fontId="4"/>
  </si>
  <si>
    <t>依頼先棚・ライン名</t>
    <phoneticPr fontId="4"/>
  </si>
  <si>
    <t>rqst_str_ln_tgt_flg</t>
    <phoneticPr fontId="1"/>
  </si>
  <si>
    <t>依頼先棚・ライン対象</t>
    <phoneticPr fontId="4"/>
  </si>
  <si>
    <t>#MA.FLG</t>
    <phoneticPr fontId="4"/>
  </si>
  <si>
    <t>依頼先棚・ライン無</t>
    <phoneticPr fontId="4"/>
  </si>
  <si>
    <t>rqst_str_ln_cd_none_flg</t>
    <phoneticPr fontId="4"/>
  </si>
  <si>
    <t>E</t>
  </si>
  <si>
    <t>#MA.BP_CD</t>
  </si>
  <si>
    <t>Srch01</t>
    <phoneticPr fontId="4"/>
  </si>
  <si>
    <t>strg_sppl_cd</t>
    <phoneticPr fontId="1"/>
  </si>
  <si>
    <t>Srch01_Rsltブロックに以下の項目を追加
strg_sppl_cd</t>
    <phoneticPr fontId="4"/>
  </si>
  <si>
    <t>MS7031#135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</si>
  <si>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</si>
  <si>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</si>
  <si>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</si>
  <si>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</si>
  <si>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</si>
  <si>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</si>
  <si>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</si>
  <si>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</si>
  <si>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</si>
  <si>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</si>
  <si>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</si>
  <si>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</si>
  <si>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</si>
  <si>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</si>
  <si>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Master application date</t>
  </si>
  <si>
    <t>Scheduled GR date</t>
  </si>
  <si>
    <t>Scheduled GI date</t>
  </si>
  <si>
    <t>Storage factory/distribution warehouse cd.</t>
  </si>
  <si>
    <t>Storage factory/distribution warehouse name</t>
  </si>
  <si>
    <t>Storage WG cd.</t>
  </si>
  <si>
    <t>Storage WG name</t>
  </si>
  <si>
    <t>Storage distribution group cd.</t>
  </si>
  <si>
    <t>Storage distribution group name</t>
  </si>
  <si>
    <t>Storage location cd.</t>
  </si>
  <si>
    <t>Storage location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</si>
  <si>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</si>
  <si>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</si>
  <si>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</si>
  <si>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</si>
  <si>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</si>
  <si>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</si>
  <si>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</si>
  <si>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</si>
  <si>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Shortage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</si>
  <si>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</si>
  <si>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</si>
  <si>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</si>
  <si>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</si>
  <si>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</si>
  <si>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</si>
  <si>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</si>
  <si>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</si>
  <si>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</si>
  <si>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</si>
  <si>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</si>
  <si>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</si>
  <si>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</si>
  <si>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</si>
  <si>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</si>
  <si>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</si>
  <si>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</si>
  <si>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</si>
  <si>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</si>
  <si>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</si>
  <si>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</si>
  <si>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</si>
  <si>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</si>
  <si>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</si>
  <si>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</si>
  <si>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</si>
  <si>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</si>
  <si>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</si>
  <si>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</si>
  <si>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</si>
  <si>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Asset management type</t>
  </si>
  <si>
    <t>Replenishment method type</t>
  </si>
  <si>
    <t>Replenishment method type name</t>
  </si>
  <si>
    <t>Mfg. location cd.</t>
  </si>
  <si>
    <t>Mfg. location name</t>
  </si>
  <si>
    <t>Subcontractor cd.</t>
  </si>
  <si>
    <t>BOM pattern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</si>
  <si>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</si>
  <si>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</si>
  <si>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</si>
  <si>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</si>
  <si>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</si>
  <si>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</si>
  <si>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For requested rack/line</t>
  </si>
  <si>
    <t>Rack/Line cd. (Requested)</t>
  </si>
  <si>
    <t>Rack/Line name (Requested)</t>
  </si>
  <si>
    <t>Without rack/line (Requested)</t>
  </si>
  <si>
    <t>Number of decimal places</t>
  </si>
  <si>
    <t>Request qty.</t>
  </si>
  <si>
    <t>GR qty.</t>
  </si>
  <si>
    <t>Inventory qty.</t>
  </si>
  <si>
    <t>GI qty.</t>
  </si>
  <si>
    <t>Include GI schedule</t>
  </si>
  <si>
    <t>Reorder point inventory qty.</t>
  </si>
  <si>
    <t>Insufficient qty.</t>
  </si>
  <si>
    <t>Reorder point request qty.</t>
  </si>
  <si>
    <t>Base unit</t>
  </si>
  <si>
    <t>Base unit name</t>
  </si>
  <si>
    <t>For version control</t>
  </si>
  <si>
    <t>Version No.</t>
  </si>
  <si>
    <t>SEIBAN No. 1 management type</t>
  </si>
  <si>
    <t>SEIBAN No. 2 management type</t>
  </si>
  <si>
    <t>SEIBAN No. 3 management type</t>
  </si>
  <si>
    <t>SEIBAN No. 4 management type</t>
  </si>
  <si>
    <t>GR active ingredient</t>
  </si>
  <si>
    <t>Inventory active ingredient</t>
  </si>
  <si>
    <t>GI active ingredient</t>
  </si>
  <si>
    <t>Shortage of active ingredient</t>
  </si>
  <si>
    <t>Standard coefficient</t>
  </si>
  <si>
    <t>For active ingredient</t>
  </si>
  <si>
    <t>Active ingredient unit cd.</t>
  </si>
  <si>
    <t>Active ingredient unit name</t>
  </si>
  <si>
    <t>Active ingredient number of decimal places</t>
  </si>
  <si>
    <t>Requested WG cd.</t>
  </si>
  <si>
    <t>Requested WG name</t>
  </si>
  <si>
    <t>Shortage</t>
  </si>
  <si>
    <t>GI location cd.</t>
  </si>
  <si>
    <t>Pegging No.</t>
  </si>
  <si>
    <t>Scheduled start date</t>
  </si>
  <si>
    <t>Desired delivery date</t>
  </si>
  <si>
    <t>Unit cd.</t>
  </si>
  <si>
    <t>SEIBAN No. 1</t>
  </si>
  <si>
    <t>SEIBAN No. 2</t>
  </si>
  <si>
    <t>SEIBAN No. 3</t>
  </si>
  <si>
    <t>SEIBAN No. 4</t>
  </si>
  <si>
    <t>Order/PO contact remarks</t>
  </si>
  <si>
    <t>Error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</si>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</sst>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/>
    <xf numFmtId="0" fontId="9" fillId="0" borderId="13" xfId="0" applyFont="1" applyBorder="1" applyAlignment="1">
      <alignment vertical="top"/>
    </xf>
    <xf numFmtId="0" fontId="9" fillId="0" borderId="33" xfId="0" applyFont="1" applyBorder="1" applyAlignment="1">
      <alignment vertical="top"/>
    </xf>
    <xf numFmtId="0" fontId="9" fillId="2" borderId="33" xfId="0" quotePrefix="1" applyFont="1" applyFill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8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center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/>
    <xf numFmtId="0" fontId="9" fillId="0" borderId="0" xfId="0" applyFont="1" applyAlignment="1">
      <alignment wrapText="1"/>
    </xf>
    <xf numFmtId="0" fontId="9" fillId="0" borderId="12" xfId="0" applyFont="1" applyBorder="1" applyAlignment="1">
      <alignment wrapText="1"/>
    </xf>
    <xf numFmtId="0" fontId="9" fillId="2" borderId="12" xfId="0" applyFont="1" applyFill="1" applyBorder="1" applyAlignment="1"/>
    <xf numFmtId="0" fontId="9" fillId="0" borderId="11" xfId="0" applyFont="1" applyBorder="1" applyAlignment="1">
      <alignment wrapText="1"/>
    </xf>
    <xf numFmtId="0" fontId="9" fillId="0" borderId="13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vertical="center"/>
    </xf>
    <xf numFmtId="0" fontId="9" fillId="0" borderId="3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0" borderId="12" xfId="0" applyFont="1" applyBorder="1" applyAlignment="1"/>
    <xf numFmtId="0" fontId="9" fillId="3" borderId="5" xfId="0" applyFont="1" applyFill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5" xfId="0" applyFont="1" applyFill="1" applyBorder="1" applyAlignment="1">
      <alignment vertical="top"/>
    </xf>
    <xf numFmtId="0" fontId="13" fillId="5" borderId="5" xfId="0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13" fillId="5" borderId="11" xfId="0" applyFont="1" applyFill="1" applyBorder="1">
      <alignment vertical="top" wrapText="1"/>
    </xf>
    <xf numFmtId="0" fontId="13" fillId="5" borderId="12" xfId="0" applyFont="1" applyFill="1" applyBorder="1">
      <alignment vertical="top" wrapText="1"/>
    </xf>
    <xf numFmtId="0" fontId="13" fillId="5" borderId="11" xfId="0" applyFont="1" applyFill="1" applyBorder="1" applyAlignment="1">
      <alignment wrapText="1"/>
    </xf>
    <xf numFmtId="0" fontId="13" fillId="5" borderId="12" xfId="0" applyFont="1" applyFill="1" applyBorder="1" applyAlignment="1">
      <alignment wrapText="1"/>
    </xf>
  </cellXfs>
  <cellStyles count="6">
    <cellStyle name="Comma [0]" xfId="1" xr:uid="{00000000-0005-0000-0000-00007B000000}"/>
    <cellStyle name="Currency [0]" xfId="2" xr:uid="{00000000-0005-0000-0000-00007F000000}"/>
    <cellStyle name="桁区切り" xfId="4" builtinId="6" hidden="1"/>
    <cellStyle name="常规_S005_プロトタイプデータまとめ_r07 " xfId="3" xr:uid="{00000000-0005-0000-0000-000045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1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230</v>
      </c>
      <c r="D2" s="7" t="s">
        <v>2</v>
      </c>
      <c r="E2" s="8" t="s">
        <v>29</v>
      </c>
      <c r="F2" s="7" t="s">
        <v>22</v>
      </c>
      <c r="G2" s="8" t="s">
        <v>23</v>
      </c>
      <c r="H2" s="7"/>
      <c r="I2" s="9"/>
    </row>
    <row r="3" spans="1:13" x14ac:dyDescent="0.2">
      <c r="A3" s="10"/>
      <c r="B3" s="7" t="s">
        <v>3</v>
      </c>
      <c r="C3" s="8" t="s">
        <v>28</v>
      </c>
      <c r="D3" s="7" t="s">
        <v>4</v>
      </c>
      <c r="E3" s="8" t="s">
        <v>30</v>
      </c>
      <c r="F3" s="7" t="s">
        <v>24</v>
      </c>
      <c r="G3" s="8"/>
      <c r="H3" s="7"/>
      <c r="I3" s="8"/>
    </row>
    <row r="4" spans="1:13" x14ac:dyDescent="0.2">
      <c r="A4" s="4"/>
      <c r="B4" s="7" t="s">
        <v>11</v>
      </c>
      <c r="C4" s="9" t="s">
        <v>231</v>
      </c>
      <c r="D4" s="7" t="s">
        <v>5</v>
      </c>
      <c r="E4" s="8" t="s">
        <v>31</v>
      </c>
      <c r="F4" s="7" t="s">
        <v>25</v>
      </c>
      <c r="G4" s="8" t="s">
        <v>362</v>
      </c>
      <c r="H4" s="11"/>
      <c r="I4" s="12"/>
    </row>
    <row r="5" spans="1:13" x14ac:dyDescent="0.2">
      <c r="A5" s="12"/>
      <c r="B5" s="13" t="s">
        <v>12</v>
      </c>
      <c r="C5" s="14"/>
      <c r="D5" s="6"/>
      <c r="E5" s="6"/>
      <c r="F5" s="6"/>
      <c r="G5" s="6"/>
      <c r="H5" s="6"/>
      <c r="I5" s="6"/>
      <c r="L5" s="11"/>
      <c r="M5" s="4"/>
    </row>
    <row r="6" spans="1:13" x14ac:dyDescent="0.2">
      <c r="A6" s="15" t="s">
        <v>15</v>
      </c>
      <c r="B6" s="16"/>
      <c r="C6" s="17"/>
      <c r="D6" s="16"/>
      <c r="E6" s="16"/>
      <c r="F6" s="18"/>
      <c r="G6" s="19"/>
      <c r="H6" s="19"/>
      <c r="I6" s="64"/>
      <c r="J6" s="4"/>
      <c r="K6" s="4"/>
      <c r="L6" s="4"/>
    </row>
    <row r="7" spans="1:13" s="23" customFormat="1" x14ac:dyDescent="0.2">
      <c r="A7" s="20" t="s">
        <v>6</v>
      </c>
      <c r="B7" s="6"/>
      <c r="C7" s="21"/>
      <c r="D7" s="6"/>
      <c r="E7" s="6"/>
      <c r="F7" s="6"/>
      <c r="G7" s="6"/>
      <c r="H7" s="6"/>
      <c r="I7" s="22"/>
    </row>
    <row r="8" spans="1:13" s="23" customFormat="1" x14ac:dyDescent="0.2">
      <c r="A8" s="24"/>
      <c r="B8" s="4"/>
      <c r="C8" s="25"/>
      <c r="D8" s="4"/>
      <c r="E8" s="4"/>
      <c r="F8" s="4"/>
      <c r="G8" s="4"/>
      <c r="H8" s="4"/>
      <c r="I8" s="12"/>
    </row>
    <row r="9" spans="1:13" x14ac:dyDescent="0.2">
      <c r="A9" s="24"/>
      <c r="B9" s="4"/>
      <c r="I9" s="12"/>
    </row>
    <row r="10" spans="1:13" x14ac:dyDescent="0.2">
      <c r="A10" s="24"/>
      <c r="B10" s="4"/>
      <c r="I10" s="12"/>
      <c r="J10" s="4"/>
    </row>
    <row r="11" spans="1:13" x14ac:dyDescent="0.2">
      <c r="A11" s="24"/>
      <c r="B11" s="4"/>
      <c r="I11" s="12"/>
      <c r="J11" s="4"/>
    </row>
    <row r="12" spans="1:13" x14ac:dyDescent="0.2">
      <c r="A12" s="24"/>
      <c r="B12" s="4"/>
      <c r="I12" s="12"/>
      <c r="J12" s="4"/>
    </row>
    <row r="13" spans="1:13" x14ac:dyDescent="0.2">
      <c r="A13" s="24"/>
      <c r="B13" s="4"/>
      <c r="I13" s="12"/>
      <c r="J13" s="4"/>
    </row>
    <row r="14" spans="1:13" x14ac:dyDescent="0.2">
      <c r="A14" s="24"/>
      <c r="B14" s="4"/>
      <c r="I14" s="12"/>
      <c r="J14" s="4"/>
    </row>
    <row r="15" spans="1:13" x14ac:dyDescent="0.2">
      <c r="A15" s="24"/>
      <c r="B15" s="4"/>
      <c r="I15" s="12"/>
      <c r="J15" s="4"/>
    </row>
    <row r="16" spans="1:13" x14ac:dyDescent="0.2">
      <c r="A16" s="24"/>
      <c r="B16" s="4"/>
      <c r="I16" s="12"/>
      <c r="J16" s="4"/>
    </row>
    <row r="17" spans="1:10" x14ac:dyDescent="0.2">
      <c r="A17" s="24"/>
      <c r="B17" s="4"/>
      <c r="I17" s="12"/>
      <c r="J17" s="4"/>
    </row>
    <row r="18" spans="1:10" x14ac:dyDescent="0.2">
      <c r="A18" s="24"/>
      <c r="B18" s="4"/>
      <c r="I18" s="12"/>
      <c r="J18" s="4"/>
    </row>
    <row r="19" spans="1:10" x14ac:dyDescent="0.2">
      <c r="A19" s="24"/>
      <c r="B19" s="4"/>
      <c r="I19" s="12"/>
      <c r="J19" s="4"/>
    </row>
    <row r="20" spans="1:10" x14ac:dyDescent="0.2">
      <c r="A20" s="26"/>
      <c r="B20" s="3"/>
      <c r="C20" s="2"/>
      <c r="D20" s="3"/>
      <c r="E20" s="3"/>
      <c r="F20" s="3"/>
      <c r="G20" s="3"/>
      <c r="H20" s="3"/>
      <c r="I20" s="27"/>
      <c r="J20" s="4"/>
    </row>
    <row r="21" spans="1:10" x14ac:dyDescent="0.2">
      <c r="B21" s="4"/>
      <c r="J21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39"/>
  <sheetViews>
    <sheetView topLeftCell="A98" zoomScale="85" zoomScaleNormal="85" zoomScaleSheetLayoutView="85" workbookViewId="0">
      <selection activeCell="D124" sqref="D124"/>
    </sheetView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1" width="22.363281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260</v>
      </c>
      <c r="B1" s="51" t="s">
        <v>260</v>
      </c>
      <c r="C1" s="51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8" t="s">
        <v>260</v>
      </c>
      <c r="B2" s="29"/>
      <c r="C2" s="29"/>
      <c r="D2" s="72" t="s">
        <v>384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MSBEL0170</v>
      </c>
      <c r="I2" s="7" t="s">
        <v>261</v>
      </c>
      <c r="J2" s="8" t="s">
        <v>126</v>
      </c>
      <c r="K2" s="7" t="s">
        <v>22</v>
      </c>
      <c r="L2" s="52" t="str">
        <f>IF(LogicCommon!G2="","",LogicCommon!G2)</f>
        <v>MC</v>
      </c>
      <c r="M2" s="5" t="s">
        <v>262</v>
      </c>
      <c r="N2" s="30" t="s">
        <v>363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260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MSBE</v>
      </c>
      <c r="G3" s="7" t="s">
        <v>4</v>
      </c>
      <c r="H3" s="52" t="str">
        <f>IF(LogicCommon!E3="","",LogicCommon!E3)</f>
        <v>MSBEL_OPStkRpl</v>
      </c>
      <c r="I3" s="7" t="s">
        <v>232</v>
      </c>
      <c r="J3" s="8" t="s">
        <v>126</v>
      </c>
      <c r="K3" s="7" t="s">
        <v>24</v>
      </c>
      <c r="L3" s="52" t="str">
        <f>IF(LogicCommon!G3="","",LogicCommon!G3)</f>
        <v/>
      </c>
      <c r="M3" s="56"/>
      <c r="N3" s="7"/>
      <c r="O3" s="7" t="s">
        <v>263</v>
      </c>
      <c r="P3" s="8" t="s">
        <v>248</v>
      </c>
      <c r="Q3" s="4"/>
      <c r="R3" s="5"/>
      <c r="S3" s="5"/>
      <c r="T3" s="5"/>
      <c r="U3" s="5"/>
    </row>
    <row r="4" spans="1:21" s="10" customFormat="1" x14ac:dyDescent="0.2">
      <c r="A4" s="53" t="s">
        <v>260</v>
      </c>
      <c r="B4" s="54"/>
      <c r="C4" s="54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52" t="str">
        <f>IF(LogicCommon!E4="","",LogicCommon!E4)</f>
        <v>発注点在庫補充</v>
      </c>
      <c r="I4" s="7" t="s">
        <v>264</v>
      </c>
      <c r="J4" s="8" t="s">
        <v>127</v>
      </c>
      <c r="K4" s="7" t="s">
        <v>25</v>
      </c>
      <c r="L4" s="52" t="str">
        <f>IF(LogicCommon!G4="","",LogicCommon!G4)</f>
        <v>MS.MSUDL5010</v>
      </c>
      <c r="M4" s="57" t="s">
        <v>265</v>
      </c>
      <c r="N4" s="30"/>
      <c r="O4" s="11"/>
      <c r="P4" s="4"/>
      <c r="Q4" s="4"/>
      <c r="R4" s="5"/>
      <c r="S4" s="5"/>
      <c r="T4" s="5"/>
      <c r="U4" s="5"/>
    </row>
    <row r="5" spans="1:21" s="10" customFormat="1" x14ac:dyDescent="0.2">
      <c r="A5" s="58" t="s">
        <v>260</v>
      </c>
      <c r="B5" s="51"/>
      <c r="C5" s="51"/>
      <c r="D5" s="27"/>
      <c r="E5" s="7" t="s">
        <v>12</v>
      </c>
      <c r="F5" s="9"/>
      <c r="G5" s="59"/>
      <c r="H5" s="59"/>
      <c r="I5" s="59"/>
      <c r="J5" s="59"/>
      <c r="K5" s="59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53" t="s">
        <v>260</v>
      </c>
      <c r="B6" s="54"/>
      <c r="C6" s="54"/>
      <c r="D6" s="4" t="s">
        <v>15</v>
      </c>
      <c r="E6" s="16"/>
      <c r="F6" s="16"/>
      <c r="G6" s="16"/>
      <c r="H6" s="16"/>
      <c r="I6" s="16"/>
      <c r="J6" s="16"/>
      <c r="K6" s="16"/>
      <c r="L6" s="60"/>
      <c r="M6" s="49"/>
      <c r="N6" s="49"/>
      <c r="O6" s="49" t="s">
        <v>259</v>
      </c>
      <c r="P6" s="49"/>
      <c r="Q6" s="49" t="s">
        <v>259</v>
      </c>
      <c r="R6" s="4"/>
      <c r="S6" s="4"/>
      <c r="T6" s="4"/>
      <c r="U6" s="4"/>
    </row>
    <row r="7" spans="1:21" s="10" customFormat="1" x14ac:dyDescent="0.2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31" t="s">
        <v>10</v>
      </c>
      <c r="O7" s="32"/>
      <c r="P7" s="31" t="s">
        <v>10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8</v>
      </c>
      <c r="B8" s="73"/>
      <c r="C8" s="74"/>
      <c r="D8" s="31" t="s">
        <v>385</v>
      </c>
      <c r="E8" s="31" t="s">
        <v>386</v>
      </c>
      <c r="F8" s="60"/>
      <c r="G8" s="31" t="s">
        <v>344</v>
      </c>
      <c r="H8" s="31" t="s">
        <v>387</v>
      </c>
      <c r="I8" s="60"/>
      <c r="J8" s="3"/>
      <c r="K8" s="8" t="s">
        <v>249</v>
      </c>
      <c r="L8" s="8"/>
      <c r="M8" s="8"/>
      <c r="N8" s="31" t="s">
        <v>250</v>
      </c>
      <c r="O8" s="32"/>
      <c r="P8" s="31" t="s">
        <v>251</v>
      </c>
      <c r="Q8" s="32"/>
      <c r="R8" s="3"/>
      <c r="S8" s="27"/>
      <c r="T8" s="125" t="s">
        <v>388</v>
      </c>
      <c r="U8" s="126"/>
    </row>
    <row r="9" spans="1:21" s="10" customFormat="1" ht="60" customHeight="1" x14ac:dyDescent="0.2">
      <c r="A9" s="8" t="s">
        <v>8</v>
      </c>
      <c r="B9" s="34"/>
      <c r="C9" s="35"/>
      <c r="D9" s="31" t="s">
        <v>389</v>
      </c>
      <c r="E9" s="63" t="s">
        <v>390</v>
      </c>
      <c r="F9" s="31" t="s">
        <v>391</v>
      </c>
      <c r="G9" s="31" t="s">
        <v>392</v>
      </c>
      <c r="H9" s="31" t="s">
        <v>393</v>
      </c>
      <c r="I9" s="64" t="s">
        <v>394</v>
      </c>
      <c r="J9" s="31" t="s">
        <v>395</v>
      </c>
      <c r="K9" s="72"/>
      <c r="L9" s="72"/>
      <c r="M9" s="72"/>
      <c r="N9" s="31"/>
      <c r="O9" s="31"/>
      <c r="P9" s="31"/>
      <c r="Q9" s="31"/>
      <c r="R9" s="125" t="s">
        <v>396</v>
      </c>
      <c r="S9" s="126"/>
      <c r="T9" s="125" t="s">
        <v>397</v>
      </c>
      <c r="U9" s="126"/>
    </row>
    <row r="10" spans="1:21" s="10" customFormat="1" ht="39" x14ac:dyDescent="0.2">
      <c r="A10" s="34" t="s">
        <v>8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40"/>
      <c r="M10" s="40"/>
      <c r="N10" s="31" t="s">
        <v>394</v>
      </c>
      <c r="O10" s="31" t="s">
        <v>395</v>
      </c>
      <c r="P10" s="31" t="s">
        <v>394</v>
      </c>
      <c r="Q10" s="31" t="s">
        <v>395</v>
      </c>
      <c r="R10" s="36"/>
      <c r="S10" s="36"/>
      <c r="T10" s="39"/>
      <c r="U10" s="65"/>
    </row>
    <row r="11" spans="1:21" s="10" customFormat="1" x14ac:dyDescent="0.2">
      <c r="A11" s="8">
        <v>10</v>
      </c>
      <c r="B11" s="34" t="s">
        <v>0</v>
      </c>
      <c r="C11" s="35"/>
      <c r="D11" s="30" t="s">
        <v>32</v>
      </c>
      <c r="E11" s="33" t="s">
        <v>26</v>
      </c>
      <c r="F11" s="41"/>
      <c r="G11" s="30"/>
      <c r="H11" s="42"/>
      <c r="I11" s="43"/>
      <c r="J11" s="38"/>
      <c r="K11" s="38"/>
      <c r="L11" s="38"/>
      <c r="M11" s="38"/>
      <c r="N11" s="33"/>
      <c r="O11" s="33"/>
      <c r="P11" s="33"/>
      <c r="Q11" s="33"/>
      <c r="R11" s="43"/>
      <c r="S11" s="41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33</v>
      </c>
      <c r="E12" s="32" t="s">
        <v>44</v>
      </c>
      <c r="F12" s="32"/>
      <c r="G12" s="66" t="s">
        <v>398</v>
      </c>
      <c r="H12" s="66" t="s">
        <v>253</v>
      </c>
      <c r="I12" s="8" t="s">
        <v>234</v>
      </c>
      <c r="J12" s="8" t="s">
        <v>194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34</v>
      </c>
      <c r="E13" s="32" t="s">
        <v>44</v>
      </c>
      <c r="F13" s="32"/>
      <c r="G13" s="66" t="s">
        <v>399</v>
      </c>
      <c r="H13" s="66" t="s">
        <v>266</v>
      </c>
      <c r="I13" s="8" t="s">
        <v>234</v>
      </c>
      <c r="J13" s="8" t="s">
        <v>194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35</v>
      </c>
      <c r="E14" s="32" t="s">
        <v>44</v>
      </c>
      <c r="F14" s="32"/>
      <c r="G14" s="66" t="s">
        <v>400</v>
      </c>
      <c r="H14" s="66" t="s">
        <v>267</v>
      </c>
      <c r="I14" s="8" t="s">
        <v>234</v>
      </c>
      <c r="J14" s="8" t="s">
        <v>194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ht="26" x14ac:dyDescent="0.2">
      <c r="A15" s="8">
        <v>10</v>
      </c>
      <c r="B15" s="8"/>
      <c r="C15" s="8"/>
      <c r="D15" s="8" t="s">
        <v>36</v>
      </c>
      <c r="E15" s="32" t="s">
        <v>45</v>
      </c>
      <c r="F15" s="32"/>
      <c r="G15" s="66" t="s">
        <v>401</v>
      </c>
      <c r="H15" s="66" t="s">
        <v>268</v>
      </c>
      <c r="I15" s="8" t="s">
        <v>234</v>
      </c>
      <c r="J15" s="8" t="s">
        <v>194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ht="26" x14ac:dyDescent="0.2">
      <c r="A16" s="8">
        <v>10</v>
      </c>
      <c r="B16" s="8"/>
      <c r="C16" s="8"/>
      <c r="D16" s="8" t="s">
        <v>37</v>
      </c>
      <c r="E16" s="32" t="s">
        <v>46</v>
      </c>
      <c r="F16" s="32"/>
      <c r="G16" s="66" t="s">
        <v>402</v>
      </c>
      <c r="H16" s="66" t="s">
        <v>233</v>
      </c>
      <c r="I16" s="8" t="s">
        <v>234</v>
      </c>
      <c r="J16" s="8" t="s">
        <v>194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38</v>
      </c>
      <c r="E17" s="32" t="s">
        <v>47</v>
      </c>
      <c r="F17" s="32"/>
      <c r="G17" s="66" t="s">
        <v>403</v>
      </c>
      <c r="H17" s="66" t="s">
        <v>269</v>
      </c>
      <c r="I17" s="8" t="s">
        <v>234</v>
      </c>
      <c r="J17" s="8" t="s">
        <v>194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39</v>
      </c>
      <c r="E18" s="32" t="s">
        <v>48</v>
      </c>
      <c r="F18" s="32"/>
      <c r="G18" s="66" t="s">
        <v>404</v>
      </c>
      <c r="H18" s="66" t="s">
        <v>270</v>
      </c>
      <c r="I18" s="8" t="s">
        <v>234</v>
      </c>
      <c r="J18" s="8" t="s">
        <v>194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40</v>
      </c>
      <c r="E19" s="32" t="s">
        <v>49</v>
      </c>
      <c r="F19" s="32"/>
      <c r="G19" s="66" t="s">
        <v>405</v>
      </c>
      <c r="H19" s="66" t="s">
        <v>271</v>
      </c>
      <c r="I19" s="8" t="s">
        <v>234</v>
      </c>
      <c r="J19" s="8" t="s">
        <v>194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ht="26" x14ac:dyDescent="0.2">
      <c r="A20" s="8">
        <v>10</v>
      </c>
      <c r="B20" s="8"/>
      <c r="C20" s="8"/>
      <c r="D20" s="8" t="s">
        <v>41</v>
      </c>
      <c r="E20" s="32" t="s">
        <v>50</v>
      </c>
      <c r="F20" s="32"/>
      <c r="G20" s="66" t="s">
        <v>406</v>
      </c>
      <c r="H20" s="66" t="s">
        <v>247</v>
      </c>
      <c r="I20" s="8" t="s">
        <v>234</v>
      </c>
      <c r="J20" s="8" t="s">
        <v>194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42</v>
      </c>
      <c r="E21" s="32" t="s">
        <v>51</v>
      </c>
      <c r="F21" s="32"/>
      <c r="G21" s="66" t="s">
        <v>407</v>
      </c>
      <c r="H21" s="66" t="s">
        <v>235</v>
      </c>
      <c r="I21" s="8" t="s">
        <v>234</v>
      </c>
      <c r="J21" s="8" t="s">
        <v>194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8">
        <v>10</v>
      </c>
      <c r="B22" s="8"/>
      <c r="C22" s="8"/>
      <c r="D22" s="8" t="s">
        <v>43</v>
      </c>
      <c r="E22" s="32" t="s">
        <v>52</v>
      </c>
      <c r="F22" s="32"/>
      <c r="G22" s="66" t="s">
        <v>408</v>
      </c>
      <c r="H22" s="66" t="s">
        <v>272</v>
      </c>
      <c r="I22" s="8" t="s">
        <v>234</v>
      </c>
      <c r="J22" s="8" t="s">
        <v>194</v>
      </c>
      <c r="K22" s="8"/>
      <c r="L22" s="8"/>
      <c r="M22" s="8"/>
      <c r="N22" s="8"/>
      <c r="O22" s="8"/>
      <c r="P22" s="8"/>
      <c r="Q22" s="8"/>
      <c r="R22" s="63"/>
      <c r="S22" s="64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53</v>
      </c>
      <c r="E23" s="32" t="s">
        <v>56</v>
      </c>
      <c r="F23" s="32"/>
      <c r="G23" s="66" t="s">
        <v>409</v>
      </c>
      <c r="H23" s="66" t="s">
        <v>236</v>
      </c>
      <c r="I23" s="8" t="s">
        <v>234</v>
      </c>
      <c r="J23" s="8" t="s">
        <v>194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8">
        <v>10</v>
      </c>
      <c r="B24" s="8"/>
      <c r="C24" s="8"/>
      <c r="D24" s="8" t="s">
        <v>54</v>
      </c>
      <c r="E24" s="32" t="s">
        <v>57</v>
      </c>
      <c r="F24" s="32"/>
      <c r="G24" s="66" t="s">
        <v>410</v>
      </c>
      <c r="H24" s="66" t="s">
        <v>273</v>
      </c>
      <c r="I24" s="8" t="s">
        <v>234</v>
      </c>
      <c r="J24" s="8" t="s">
        <v>194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8">
        <v>10</v>
      </c>
      <c r="B25" s="8"/>
      <c r="C25" s="8"/>
      <c r="D25" s="8" t="s">
        <v>55</v>
      </c>
      <c r="E25" s="32" t="s">
        <v>58</v>
      </c>
      <c r="F25" s="32"/>
      <c r="G25" s="66" t="s">
        <v>411</v>
      </c>
      <c r="H25" s="66" t="s">
        <v>274</v>
      </c>
      <c r="I25" s="8" t="s">
        <v>234</v>
      </c>
      <c r="J25" s="8" t="s">
        <v>194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8">
        <v>10</v>
      </c>
      <c r="B26" s="8"/>
      <c r="C26" s="8"/>
      <c r="D26" s="8" t="s">
        <v>59</v>
      </c>
      <c r="E26" s="32" t="s">
        <v>64</v>
      </c>
      <c r="F26" s="32"/>
      <c r="G26" s="66" t="s">
        <v>412</v>
      </c>
      <c r="H26" s="66" t="s">
        <v>258</v>
      </c>
      <c r="I26" s="8" t="s">
        <v>234</v>
      </c>
      <c r="J26" s="8" t="s">
        <v>194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x14ac:dyDescent="0.2">
      <c r="A27" s="8">
        <v>10</v>
      </c>
      <c r="B27" s="8"/>
      <c r="C27" s="8"/>
      <c r="D27" s="8" t="s">
        <v>60</v>
      </c>
      <c r="E27" s="32" t="s">
        <v>65</v>
      </c>
      <c r="F27" s="32"/>
      <c r="G27" s="66" t="s">
        <v>413</v>
      </c>
      <c r="H27" s="66" t="s">
        <v>275</v>
      </c>
      <c r="I27" s="8" t="s">
        <v>234</v>
      </c>
      <c r="J27" s="8" t="s">
        <v>194</v>
      </c>
      <c r="K27" s="8"/>
      <c r="L27" s="8"/>
      <c r="M27" s="8"/>
      <c r="N27" s="8"/>
      <c r="O27" s="8"/>
      <c r="P27" s="8"/>
      <c r="Q27" s="8"/>
      <c r="R27" s="125"/>
      <c r="S27" s="126"/>
      <c r="T27" s="127"/>
      <c r="U27" s="128"/>
    </row>
    <row r="28" spans="1:21" s="10" customFormat="1" x14ac:dyDescent="0.2">
      <c r="A28" s="8">
        <v>10</v>
      </c>
      <c r="B28" s="8"/>
      <c r="C28" s="8"/>
      <c r="D28" s="8" t="s">
        <v>61</v>
      </c>
      <c r="E28" s="32" t="s">
        <v>66</v>
      </c>
      <c r="F28" s="32"/>
      <c r="G28" s="66" t="s">
        <v>414</v>
      </c>
      <c r="H28" s="66" t="s">
        <v>276</v>
      </c>
      <c r="I28" s="8" t="s">
        <v>234</v>
      </c>
      <c r="J28" s="8" t="s">
        <v>194</v>
      </c>
      <c r="K28" s="8"/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 x14ac:dyDescent="0.2">
      <c r="A29" s="8">
        <v>10</v>
      </c>
      <c r="B29" s="8"/>
      <c r="C29" s="8"/>
      <c r="D29" s="8" t="s">
        <v>62</v>
      </c>
      <c r="E29" s="32" t="s">
        <v>67</v>
      </c>
      <c r="F29" s="32"/>
      <c r="G29" s="66" t="s">
        <v>415</v>
      </c>
      <c r="H29" s="66" t="s">
        <v>277</v>
      </c>
      <c r="I29" s="8" t="s">
        <v>234</v>
      </c>
      <c r="J29" s="8" t="s">
        <v>194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 x14ac:dyDescent="0.2">
      <c r="A30" s="8">
        <v>10</v>
      </c>
      <c r="B30" s="8"/>
      <c r="C30" s="8"/>
      <c r="D30" s="8" t="s">
        <v>63</v>
      </c>
      <c r="E30" s="32" t="s">
        <v>68</v>
      </c>
      <c r="F30" s="32"/>
      <c r="G30" s="66" t="s">
        <v>416</v>
      </c>
      <c r="H30" s="66" t="s">
        <v>278</v>
      </c>
      <c r="I30" s="8" t="s">
        <v>234</v>
      </c>
      <c r="J30" s="8" t="s">
        <v>194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 x14ac:dyDescent="0.2">
      <c r="A31" s="8">
        <v>10</v>
      </c>
      <c r="B31" s="8"/>
      <c r="C31" s="8"/>
      <c r="D31" s="8" t="s">
        <v>252</v>
      </c>
      <c r="E31" s="32" t="s">
        <v>69</v>
      </c>
      <c r="F31" s="32"/>
      <c r="G31" s="66" t="s">
        <v>417</v>
      </c>
      <c r="H31" s="66" t="s">
        <v>279</v>
      </c>
      <c r="I31" s="8" t="s">
        <v>234</v>
      </c>
      <c r="J31" s="8" t="s">
        <v>194</v>
      </c>
      <c r="K31" s="8"/>
      <c r="L31" s="8"/>
      <c r="M31" s="8"/>
      <c r="N31" s="8"/>
      <c r="O31" s="8"/>
      <c r="P31" s="8"/>
      <c r="Q31" s="8"/>
      <c r="R31" s="125"/>
      <c r="S31" s="126"/>
      <c r="T31" s="127"/>
      <c r="U31" s="128"/>
    </row>
    <row r="32" spans="1:21" s="10" customFormat="1" x14ac:dyDescent="0.2">
      <c r="A32" s="8">
        <v>10</v>
      </c>
      <c r="B32" s="8"/>
      <c r="C32" s="8"/>
      <c r="D32" s="8" t="s">
        <v>129</v>
      </c>
      <c r="E32" s="32" t="s">
        <v>130</v>
      </c>
      <c r="F32" s="32"/>
      <c r="G32" s="66" t="s">
        <v>418</v>
      </c>
      <c r="H32" s="66" t="s">
        <v>280</v>
      </c>
      <c r="I32" s="8" t="s">
        <v>234</v>
      </c>
      <c r="J32" s="8" t="s">
        <v>194</v>
      </c>
      <c r="K32" s="8"/>
      <c r="L32" s="8"/>
      <c r="M32" s="8"/>
      <c r="N32" s="8"/>
      <c r="O32" s="8"/>
      <c r="P32" s="8"/>
      <c r="Q32" s="8"/>
      <c r="R32" s="125"/>
      <c r="S32" s="126"/>
      <c r="T32" s="127"/>
      <c r="U32" s="128"/>
    </row>
    <row r="33" spans="1:21" s="10" customFormat="1" x14ac:dyDescent="0.2">
      <c r="A33" s="8">
        <v>10</v>
      </c>
      <c r="B33" s="8"/>
      <c r="C33" s="8"/>
      <c r="D33" s="8" t="s">
        <v>70</v>
      </c>
      <c r="E33" s="32" t="s">
        <v>90</v>
      </c>
      <c r="F33" s="32"/>
      <c r="G33" s="66" t="s">
        <v>419</v>
      </c>
      <c r="H33" s="66" t="s">
        <v>237</v>
      </c>
      <c r="I33" s="8" t="s">
        <v>234</v>
      </c>
      <c r="J33" s="8" t="s">
        <v>194</v>
      </c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71</v>
      </c>
      <c r="E34" s="32" t="s">
        <v>91</v>
      </c>
      <c r="F34" s="32"/>
      <c r="G34" s="66" t="s">
        <v>420</v>
      </c>
      <c r="H34" s="66" t="s">
        <v>281</v>
      </c>
      <c r="I34" s="8" t="s">
        <v>234</v>
      </c>
      <c r="J34" s="8" t="s">
        <v>194</v>
      </c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131</v>
      </c>
      <c r="E35" s="32" t="s">
        <v>130</v>
      </c>
      <c r="F35" s="32"/>
      <c r="G35" s="66" t="s">
        <v>421</v>
      </c>
      <c r="H35" s="66" t="s">
        <v>282</v>
      </c>
      <c r="I35" s="8" t="s">
        <v>234</v>
      </c>
      <c r="J35" s="8" t="s">
        <v>194</v>
      </c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72</v>
      </c>
      <c r="E36" s="32" t="s">
        <v>90</v>
      </c>
      <c r="F36" s="32"/>
      <c r="G36" s="66" t="s">
        <v>422</v>
      </c>
      <c r="H36" s="66" t="s">
        <v>283</v>
      </c>
      <c r="I36" s="8" t="s">
        <v>234</v>
      </c>
      <c r="J36" s="8" t="s">
        <v>194</v>
      </c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73</v>
      </c>
      <c r="E37" s="32" t="s">
        <v>91</v>
      </c>
      <c r="F37" s="32"/>
      <c r="G37" s="66" t="s">
        <v>423</v>
      </c>
      <c r="H37" s="66" t="s">
        <v>284</v>
      </c>
      <c r="I37" s="8" t="s">
        <v>234</v>
      </c>
      <c r="J37" s="8" t="s">
        <v>194</v>
      </c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132</v>
      </c>
      <c r="E38" s="32" t="s">
        <v>130</v>
      </c>
      <c r="F38" s="32"/>
      <c r="G38" s="66" t="s">
        <v>424</v>
      </c>
      <c r="H38" s="66" t="s">
        <v>285</v>
      </c>
      <c r="I38" s="8" t="s">
        <v>234</v>
      </c>
      <c r="J38" s="8" t="s">
        <v>194</v>
      </c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74</v>
      </c>
      <c r="E39" s="32" t="s">
        <v>90</v>
      </c>
      <c r="F39" s="32"/>
      <c r="G39" s="66" t="s">
        <v>425</v>
      </c>
      <c r="H39" s="66" t="s">
        <v>286</v>
      </c>
      <c r="I39" s="8" t="s">
        <v>234</v>
      </c>
      <c r="J39" s="8" t="s">
        <v>194</v>
      </c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10</v>
      </c>
      <c r="B40" s="8"/>
      <c r="C40" s="8"/>
      <c r="D40" s="8" t="s">
        <v>75</v>
      </c>
      <c r="E40" s="32" t="s">
        <v>91</v>
      </c>
      <c r="F40" s="32"/>
      <c r="G40" s="66" t="s">
        <v>426</v>
      </c>
      <c r="H40" s="66" t="s">
        <v>287</v>
      </c>
      <c r="I40" s="8" t="s">
        <v>234</v>
      </c>
      <c r="J40" s="8" t="s">
        <v>194</v>
      </c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10</v>
      </c>
      <c r="B41" s="8"/>
      <c r="C41" s="8"/>
      <c r="D41" s="8" t="s">
        <v>133</v>
      </c>
      <c r="E41" s="32" t="s">
        <v>130</v>
      </c>
      <c r="F41" s="32"/>
      <c r="G41" s="66" t="s">
        <v>427</v>
      </c>
      <c r="H41" s="66" t="s">
        <v>288</v>
      </c>
      <c r="I41" s="8" t="s">
        <v>234</v>
      </c>
      <c r="J41" s="8" t="s">
        <v>194</v>
      </c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76</v>
      </c>
      <c r="E42" s="32" t="s">
        <v>90</v>
      </c>
      <c r="F42" s="32"/>
      <c r="G42" s="66" t="s">
        <v>428</v>
      </c>
      <c r="H42" s="66" t="s">
        <v>289</v>
      </c>
      <c r="I42" s="8" t="s">
        <v>234</v>
      </c>
      <c r="J42" s="8" t="s">
        <v>194</v>
      </c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77</v>
      </c>
      <c r="E43" s="32" t="s">
        <v>91</v>
      </c>
      <c r="F43" s="32"/>
      <c r="G43" s="66" t="s">
        <v>429</v>
      </c>
      <c r="H43" s="66" t="s">
        <v>290</v>
      </c>
      <c r="I43" s="8" t="s">
        <v>234</v>
      </c>
      <c r="J43" s="8" t="s">
        <v>194</v>
      </c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134</v>
      </c>
      <c r="E44" s="32" t="s">
        <v>130</v>
      </c>
      <c r="F44" s="32"/>
      <c r="G44" s="66" t="s">
        <v>430</v>
      </c>
      <c r="H44" s="66" t="s">
        <v>291</v>
      </c>
      <c r="I44" s="8" t="s">
        <v>234</v>
      </c>
      <c r="J44" s="8" t="s">
        <v>194</v>
      </c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78</v>
      </c>
      <c r="E45" s="32" t="s">
        <v>90</v>
      </c>
      <c r="F45" s="32"/>
      <c r="G45" s="66" t="s">
        <v>431</v>
      </c>
      <c r="H45" s="66" t="s">
        <v>292</v>
      </c>
      <c r="I45" s="8" t="s">
        <v>234</v>
      </c>
      <c r="J45" s="8" t="s">
        <v>194</v>
      </c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79</v>
      </c>
      <c r="E46" s="32" t="s">
        <v>91</v>
      </c>
      <c r="F46" s="32"/>
      <c r="G46" s="66" t="s">
        <v>432</v>
      </c>
      <c r="H46" s="66" t="s">
        <v>293</v>
      </c>
      <c r="I46" s="8" t="s">
        <v>234</v>
      </c>
      <c r="J46" s="8" t="s">
        <v>194</v>
      </c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10</v>
      </c>
      <c r="B47" s="8"/>
      <c r="C47" s="8"/>
      <c r="D47" s="8" t="s">
        <v>135</v>
      </c>
      <c r="E47" s="32" t="s">
        <v>130</v>
      </c>
      <c r="F47" s="32"/>
      <c r="G47" s="66" t="s">
        <v>433</v>
      </c>
      <c r="H47" s="66" t="s">
        <v>238</v>
      </c>
      <c r="I47" s="8" t="s">
        <v>234</v>
      </c>
      <c r="J47" s="8" t="s">
        <v>194</v>
      </c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10</v>
      </c>
      <c r="B48" s="8"/>
      <c r="C48" s="8"/>
      <c r="D48" s="8" t="s">
        <v>80</v>
      </c>
      <c r="E48" s="32" t="s">
        <v>90</v>
      </c>
      <c r="F48" s="32"/>
      <c r="G48" s="66" t="s">
        <v>434</v>
      </c>
      <c r="H48" s="66" t="s">
        <v>294</v>
      </c>
      <c r="I48" s="8" t="s">
        <v>234</v>
      </c>
      <c r="J48" s="8" t="s">
        <v>194</v>
      </c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10</v>
      </c>
      <c r="B49" s="8"/>
      <c r="C49" s="8"/>
      <c r="D49" s="8" t="s">
        <v>81</v>
      </c>
      <c r="E49" s="32" t="s">
        <v>91</v>
      </c>
      <c r="F49" s="32"/>
      <c r="G49" s="66" t="s">
        <v>435</v>
      </c>
      <c r="H49" s="66" t="s">
        <v>295</v>
      </c>
      <c r="I49" s="8" t="s">
        <v>234</v>
      </c>
      <c r="J49" s="8" t="s">
        <v>194</v>
      </c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136</v>
      </c>
      <c r="E50" s="32" t="s">
        <v>130</v>
      </c>
      <c r="F50" s="32"/>
      <c r="G50" s="66" t="s">
        <v>436</v>
      </c>
      <c r="H50" s="66" t="s">
        <v>296</v>
      </c>
      <c r="I50" s="8" t="s">
        <v>234</v>
      </c>
      <c r="J50" s="8" t="s">
        <v>194</v>
      </c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82</v>
      </c>
      <c r="E51" s="32" t="s">
        <v>90</v>
      </c>
      <c r="F51" s="32"/>
      <c r="G51" s="66" t="s">
        <v>437</v>
      </c>
      <c r="H51" s="66" t="s">
        <v>297</v>
      </c>
      <c r="I51" s="8" t="s">
        <v>234</v>
      </c>
      <c r="J51" s="8" t="s">
        <v>194</v>
      </c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83</v>
      </c>
      <c r="E52" s="32" t="s">
        <v>91</v>
      </c>
      <c r="F52" s="32"/>
      <c r="G52" s="66" t="s">
        <v>438</v>
      </c>
      <c r="H52" s="66" t="s">
        <v>298</v>
      </c>
      <c r="I52" s="8" t="s">
        <v>234</v>
      </c>
      <c r="J52" s="8" t="s">
        <v>194</v>
      </c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10</v>
      </c>
      <c r="B53" s="8"/>
      <c r="C53" s="8"/>
      <c r="D53" s="8" t="s">
        <v>137</v>
      </c>
      <c r="E53" s="32" t="s">
        <v>130</v>
      </c>
      <c r="F53" s="32"/>
      <c r="G53" s="66" t="s">
        <v>439</v>
      </c>
      <c r="H53" s="66" t="s">
        <v>299</v>
      </c>
      <c r="I53" s="8" t="s">
        <v>234</v>
      </c>
      <c r="J53" s="8" t="s">
        <v>194</v>
      </c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x14ac:dyDescent="0.2">
      <c r="A54" s="8">
        <v>10</v>
      </c>
      <c r="B54" s="8"/>
      <c r="C54" s="8"/>
      <c r="D54" s="8" t="s">
        <v>84</v>
      </c>
      <c r="E54" s="32" t="s">
        <v>90</v>
      </c>
      <c r="F54" s="32"/>
      <c r="G54" s="66" t="s">
        <v>440</v>
      </c>
      <c r="H54" s="66" t="s">
        <v>300</v>
      </c>
      <c r="I54" s="8" t="s">
        <v>234</v>
      </c>
      <c r="J54" s="8" t="s">
        <v>194</v>
      </c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x14ac:dyDescent="0.2">
      <c r="A55" s="8">
        <v>10</v>
      </c>
      <c r="B55" s="8"/>
      <c r="C55" s="8"/>
      <c r="D55" s="8" t="s">
        <v>85</v>
      </c>
      <c r="E55" s="32" t="s">
        <v>91</v>
      </c>
      <c r="F55" s="32"/>
      <c r="G55" s="66" t="s">
        <v>441</v>
      </c>
      <c r="H55" s="66" t="s">
        <v>301</v>
      </c>
      <c r="I55" s="8" t="s">
        <v>234</v>
      </c>
      <c r="J55" s="8" t="s">
        <v>194</v>
      </c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x14ac:dyDescent="0.2">
      <c r="A56" s="8">
        <v>10</v>
      </c>
      <c r="B56" s="8"/>
      <c r="C56" s="8"/>
      <c r="D56" s="8" t="s">
        <v>138</v>
      </c>
      <c r="E56" s="32" t="s">
        <v>130</v>
      </c>
      <c r="F56" s="32"/>
      <c r="G56" s="66" t="s">
        <v>442</v>
      </c>
      <c r="H56" s="66" t="s">
        <v>302</v>
      </c>
      <c r="I56" s="8" t="s">
        <v>234</v>
      </c>
      <c r="J56" s="8" t="s">
        <v>194</v>
      </c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x14ac:dyDescent="0.2">
      <c r="A57" s="8">
        <v>10</v>
      </c>
      <c r="B57" s="8"/>
      <c r="C57" s="8"/>
      <c r="D57" s="8" t="s">
        <v>86</v>
      </c>
      <c r="E57" s="32" t="s">
        <v>90</v>
      </c>
      <c r="F57" s="32"/>
      <c r="G57" s="66" t="s">
        <v>443</v>
      </c>
      <c r="H57" s="66" t="s">
        <v>239</v>
      </c>
      <c r="I57" s="8" t="s">
        <v>234</v>
      </c>
      <c r="J57" s="8" t="s">
        <v>194</v>
      </c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x14ac:dyDescent="0.2">
      <c r="A58" s="8">
        <v>10</v>
      </c>
      <c r="B58" s="8"/>
      <c r="C58" s="8"/>
      <c r="D58" s="8" t="s">
        <v>87</v>
      </c>
      <c r="E58" s="32" t="s">
        <v>91</v>
      </c>
      <c r="F58" s="32"/>
      <c r="G58" s="66" t="s">
        <v>444</v>
      </c>
      <c r="H58" s="66" t="s">
        <v>303</v>
      </c>
      <c r="I58" s="8" t="s">
        <v>234</v>
      </c>
      <c r="J58" s="8" t="s">
        <v>194</v>
      </c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10</v>
      </c>
      <c r="B59" s="8"/>
      <c r="C59" s="8"/>
      <c r="D59" s="8" t="s">
        <v>139</v>
      </c>
      <c r="E59" s="32" t="s">
        <v>130</v>
      </c>
      <c r="F59" s="32"/>
      <c r="G59" s="66" t="s">
        <v>445</v>
      </c>
      <c r="H59" s="66" t="s">
        <v>304</v>
      </c>
      <c r="I59" s="8" t="s">
        <v>234</v>
      </c>
      <c r="J59" s="8" t="s">
        <v>194</v>
      </c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10</v>
      </c>
      <c r="B60" s="8"/>
      <c r="C60" s="8"/>
      <c r="D60" s="8" t="s">
        <v>88</v>
      </c>
      <c r="E60" s="32" t="s">
        <v>90</v>
      </c>
      <c r="F60" s="32"/>
      <c r="G60" s="66" t="s">
        <v>446</v>
      </c>
      <c r="H60" s="66" t="s">
        <v>305</v>
      </c>
      <c r="I60" s="8" t="s">
        <v>234</v>
      </c>
      <c r="J60" s="8" t="s">
        <v>194</v>
      </c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10</v>
      </c>
      <c r="B61" s="8"/>
      <c r="C61" s="8"/>
      <c r="D61" s="8" t="s">
        <v>89</v>
      </c>
      <c r="E61" s="32" t="s">
        <v>91</v>
      </c>
      <c r="F61" s="32"/>
      <c r="G61" s="66" t="s">
        <v>447</v>
      </c>
      <c r="H61" s="66" t="s">
        <v>306</v>
      </c>
      <c r="I61" s="8" t="s">
        <v>234</v>
      </c>
      <c r="J61" s="8" t="s">
        <v>194</v>
      </c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53"/>
      <c r="U62" s="44"/>
    </row>
    <row r="63" spans="1:21" s="10" customFormat="1" x14ac:dyDescent="0.2">
      <c r="A63" s="8">
        <v>20</v>
      </c>
      <c r="B63" s="34" t="s">
        <v>0</v>
      </c>
      <c r="C63" s="35"/>
      <c r="D63" s="30" t="s">
        <v>140</v>
      </c>
      <c r="E63" s="33" t="s">
        <v>92</v>
      </c>
      <c r="F63" s="45"/>
      <c r="G63" s="30"/>
      <c r="H63" s="42"/>
      <c r="I63" s="46"/>
      <c r="J63" s="47"/>
      <c r="K63" s="47"/>
      <c r="L63" s="33"/>
      <c r="M63" s="33"/>
      <c r="N63" s="33"/>
      <c r="O63" s="33"/>
      <c r="P63" s="33"/>
      <c r="Q63" s="33"/>
      <c r="R63" s="43"/>
      <c r="S63" s="41"/>
      <c r="T63" s="127"/>
      <c r="U63" s="128"/>
    </row>
    <row r="64" spans="1:21" s="10" customFormat="1" x14ac:dyDescent="0.2">
      <c r="A64" s="8">
        <v>20</v>
      </c>
      <c r="B64" s="8"/>
      <c r="C64" s="8"/>
      <c r="D64" s="8" t="s">
        <v>59</v>
      </c>
      <c r="E64" s="32" t="s">
        <v>64</v>
      </c>
      <c r="F64" s="32"/>
      <c r="G64" s="66" t="s">
        <v>412</v>
      </c>
      <c r="H64" s="66" t="s">
        <v>258</v>
      </c>
      <c r="I64" s="8" t="s">
        <v>194</v>
      </c>
      <c r="J64" s="8" t="s">
        <v>234</v>
      </c>
      <c r="K64" s="8"/>
      <c r="L64" s="8"/>
      <c r="M64" s="8"/>
      <c r="N64" s="8"/>
      <c r="O64" s="8"/>
      <c r="P64" s="8"/>
      <c r="Q64" s="8"/>
      <c r="R64" s="125"/>
      <c r="S64" s="126"/>
      <c r="T64" s="127"/>
      <c r="U64" s="128"/>
    </row>
    <row r="65" spans="1:21" s="10" customFormat="1" x14ac:dyDescent="0.2">
      <c r="A65" s="8">
        <v>20</v>
      </c>
      <c r="B65" s="8"/>
      <c r="C65" s="8"/>
      <c r="D65" s="8" t="s">
        <v>60</v>
      </c>
      <c r="E65" s="32" t="s">
        <v>65</v>
      </c>
      <c r="F65" s="32"/>
      <c r="G65" s="66" t="s">
        <v>413</v>
      </c>
      <c r="H65" s="66" t="s">
        <v>275</v>
      </c>
      <c r="I65" s="8" t="s">
        <v>194</v>
      </c>
      <c r="J65" s="8" t="s">
        <v>234</v>
      </c>
      <c r="K65" s="8"/>
      <c r="L65" s="8"/>
      <c r="M65" s="8"/>
      <c r="N65" s="8"/>
      <c r="O65" s="8"/>
      <c r="P65" s="8"/>
      <c r="Q65" s="8"/>
      <c r="R65" s="125"/>
      <c r="S65" s="126"/>
      <c r="T65" s="127"/>
      <c r="U65" s="128"/>
    </row>
    <row r="66" spans="1:21" s="10" customFormat="1" x14ac:dyDescent="0.2">
      <c r="A66" s="8">
        <v>20</v>
      </c>
      <c r="B66" s="8"/>
      <c r="C66" s="8"/>
      <c r="D66" s="8" t="s">
        <v>61</v>
      </c>
      <c r="E66" s="32" t="s">
        <v>66</v>
      </c>
      <c r="F66" s="32"/>
      <c r="G66" s="66" t="s">
        <v>414</v>
      </c>
      <c r="H66" s="66" t="s">
        <v>276</v>
      </c>
      <c r="I66" s="8" t="s">
        <v>194</v>
      </c>
      <c r="J66" s="8" t="s">
        <v>234</v>
      </c>
      <c r="K66" s="8"/>
      <c r="L66" s="8"/>
      <c r="M66" s="8"/>
      <c r="N66" s="8"/>
      <c r="O66" s="8"/>
      <c r="P66" s="8"/>
      <c r="Q66" s="8"/>
      <c r="R66" s="125"/>
      <c r="S66" s="126"/>
      <c r="T66" s="127"/>
      <c r="U66" s="128"/>
    </row>
    <row r="67" spans="1:21" s="10" customFormat="1" x14ac:dyDescent="0.2">
      <c r="A67" s="8">
        <v>20</v>
      </c>
      <c r="B67" s="8"/>
      <c r="C67" s="8"/>
      <c r="D67" s="8" t="s">
        <v>62</v>
      </c>
      <c r="E67" s="32" t="s">
        <v>67</v>
      </c>
      <c r="F67" s="32"/>
      <c r="G67" s="66" t="s">
        <v>415</v>
      </c>
      <c r="H67" s="66" t="s">
        <v>277</v>
      </c>
      <c r="I67" s="8" t="s">
        <v>194</v>
      </c>
      <c r="J67" s="8" t="s">
        <v>234</v>
      </c>
      <c r="K67" s="8"/>
      <c r="L67" s="8"/>
      <c r="M67" s="8"/>
      <c r="N67" s="8"/>
      <c r="O67" s="8"/>
      <c r="P67" s="8"/>
      <c r="Q67" s="8"/>
      <c r="R67" s="125"/>
      <c r="S67" s="126"/>
      <c r="T67" s="127"/>
      <c r="U67" s="128"/>
    </row>
    <row r="68" spans="1:21" s="10" customFormat="1" x14ac:dyDescent="0.2">
      <c r="A68" s="8">
        <v>20</v>
      </c>
      <c r="B68" s="8"/>
      <c r="C68" s="8"/>
      <c r="D68" s="8" t="s">
        <v>63</v>
      </c>
      <c r="E68" s="32" t="s">
        <v>68</v>
      </c>
      <c r="F68" s="32"/>
      <c r="G68" s="66" t="s">
        <v>416</v>
      </c>
      <c r="H68" s="66" t="s">
        <v>278</v>
      </c>
      <c r="I68" s="8" t="s">
        <v>194</v>
      </c>
      <c r="J68" s="8" t="s">
        <v>234</v>
      </c>
      <c r="K68" s="8"/>
      <c r="L68" s="8"/>
      <c r="M68" s="8"/>
      <c r="N68" s="8"/>
      <c r="O68" s="8"/>
      <c r="P68" s="8"/>
      <c r="Q68" s="8"/>
      <c r="R68" s="125"/>
      <c r="S68" s="126"/>
      <c r="T68" s="127"/>
      <c r="U68" s="128"/>
    </row>
    <row r="69" spans="1:21" s="10" customFormat="1" x14ac:dyDescent="0.2">
      <c r="A69" s="8">
        <v>20</v>
      </c>
      <c r="B69" s="8"/>
      <c r="C69" s="8"/>
      <c r="D69" s="8" t="s">
        <v>224</v>
      </c>
      <c r="E69" s="32" t="s">
        <v>225</v>
      </c>
      <c r="F69" s="32"/>
      <c r="G69" s="66" t="s">
        <v>448</v>
      </c>
      <c r="H69" s="66" t="s">
        <v>240</v>
      </c>
      <c r="I69" s="8" t="s">
        <v>194</v>
      </c>
      <c r="J69" s="8" t="s">
        <v>234</v>
      </c>
      <c r="K69" s="8"/>
      <c r="L69" s="8"/>
      <c r="M69" s="8"/>
      <c r="N69" s="8"/>
      <c r="O69" s="8"/>
      <c r="P69" s="8"/>
      <c r="Q69" s="8"/>
      <c r="R69" s="125"/>
      <c r="S69" s="126"/>
      <c r="T69" s="127"/>
      <c r="U69" s="128"/>
    </row>
    <row r="70" spans="1:21" s="10" customFormat="1" x14ac:dyDescent="0.2">
      <c r="A70" s="8">
        <v>20</v>
      </c>
      <c r="B70" s="8"/>
      <c r="C70" s="8"/>
      <c r="D70" s="8" t="s">
        <v>93</v>
      </c>
      <c r="E70" s="32" t="s">
        <v>51</v>
      </c>
      <c r="F70" s="32"/>
      <c r="G70" s="66" t="s">
        <v>407</v>
      </c>
      <c r="H70" s="66" t="s">
        <v>235</v>
      </c>
      <c r="I70" s="8" t="s">
        <v>194</v>
      </c>
      <c r="J70" s="8" t="s">
        <v>234</v>
      </c>
      <c r="K70" s="8"/>
      <c r="L70" s="8"/>
      <c r="M70" s="8"/>
      <c r="N70" s="8"/>
      <c r="O70" s="8"/>
      <c r="P70" s="8"/>
      <c r="Q70" s="8"/>
      <c r="R70" s="125"/>
      <c r="S70" s="126"/>
      <c r="T70" s="127"/>
      <c r="U70" s="128"/>
    </row>
    <row r="71" spans="1:21" s="10" customFormat="1" x14ac:dyDescent="0.2">
      <c r="A71" s="8">
        <v>20</v>
      </c>
      <c r="B71" s="8"/>
      <c r="C71" s="8"/>
      <c r="D71" s="8" t="s">
        <v>43</v>
      </c>
      <c r="E71" s="32" t="s">
        <v>52</v>
      </c>
      <c r="F71" s="32"/>
      <c r="G71" s="66" t="s">
        <v>408</v>
      </c>
      <c r="H71" s="66" t="s">
        <v>272</v>
      </c>
      <c r="I71" s="8" t="s">
        <v>194</v>
      </c>
      <c r="J71" s="8" t="s">
        <v>234</v>
      </c>
      <c r="K71" s="8"/>
      <c r="L71" s="8"/>
      <c r="M71" s="8"/>
      <c r="N71" s="8"/>
      <c r="O71" s="8"/>
      <c r="P71" s="8"/>
      <c r="Q71" s="8"/>
      <c r="R71" s="125"/>
      <c r="S71" s="126"/>
      <c r="T71" s="127"/>
      <c r="U71" s="128"/>
    </row>
    <row r="72" spans="1:21" s="10" customFormat="1" x14ac:dyDescent="0.2">
      <c r="A72" s="8">
        <v>20</v>
      </c>
      <c r="B72" s="8"/>
      <c r="C72" s="8"/>
      <c r="D72" s="8" t="s">
        <v>149</v>
      </c>
      <c r="E72" s="32" t="s">
        <v>150</v>
      </c>
      <c r="F72" s="32"/>
      <c r="G72" s="66" t="s">
        <v>449</v>
      </c>
      <c r="H72" s="66" t="s">
        <v>307</v>
      </c>
      <c r="I72" s="8" t="s">
        <v>194</v>
      </c>
      <c r="J72" s="8" t="s">
        <v>234</v>
      </c>
      <c r="K72" s="8" t="s">
        <v>241</v>
      </c>
      <c r="L72" s="8"/>
      <c r="M72" s="8"/>
      <c r="N72" s="8"/>
      <c r="O72" s="8"/>
      <c r="P72" s="8"/>
      <c r="Q72" s="8"/>
      <c r="R72" s="125"/>
      <c r="S72" s="126"/>
      <c r="T72" s="127"/>
      <c r="U72" s="128"/>
    </row>
    <row r="73" spans="1:21" s="10" customFormat="1" x14ac:dyDescent="0.2">
      <c r="A73" s="8">
        <v>20</v>
      </c>
      <c r="B73" s="8"/>
      <c r="C73" s="8"/>
      <c r="D73" s="8" t="s">
        <v>128</v>
      </c>
      <c r="E73" s="32" t="s">
        <v>151</v>
      </c>
      <c r="F73" s="32"/>
      <c r="G73" s="66" t="s">
        <v>450</v>
      </c>
      <c r="H73" s="66" t="s">
        <v>308</v>
      </c>
      <c r="I73" s="8" t="s">
        <v>194</v>
      </c>
      <c r="J73" s="8" t="s">
        <v>234</v>
      </c>
      <c r="K73" s="8"/>
      <c r="L73" s="8"/>
      <c r="M73" s="8"/>
      <c r="N73" s="8"/>
      <c r="O73" s="8"/>
      <c r="P73" s="8"/>
      <c r="Q73" s="8"/>
      <c r="R73" s="125"/>
      <c r="S73" s="126"/>
      <c r="T73" s="127"/>
      <c r="U73" s="128"/>
    </row>
    <row r="74" spans="1:21" s="10" customFormat="1" x14ac:dyDescent="0.2">
      <c r="A74" s="8">
        <v>20</v>
      </c>
      <c r="B74" s="8"/>
      <c r="C74" s="8"/>
      <c r="D74" s="8" t="s">
        <v>94</v>
      </c>
      <c r="E74" s="32" t="s">
        <v>51</v>
      </c>
      <c r="F74" s="32"/>
      <c r="G74" s="66" t="s">
        <v>451</v>
      </c>
      <c r="H74" s="66" t="s">
        <v>309</v>
      </c>
      <c r="I74" s="8" t="s">
        <v>194</v>
      </c>
      <c r="J74" s="8" t="s">
        <v>234</v>
      </c>
      <c r="K74" s="8"/>
      <c r="L74" s="8"/>
      <c r="M74" s="8"/>
      <c r="N74" s="8"/>
      <c r="O74" s="8"/>
      <c r="P74" s="8"/>
      <c r="Q74" s="8"/>
      <c r="R74" s="125"/>
      <c r="S74" s="126"/>
      <c r="T74" s="127"/>
      <c r="U74" s="128"/>
    </row>
    <row r="75" spans="1:21" s="10" customFormat="1" x14ac:dyDescent="0.2">
      <c r="A75" s="8">
        <v>20</v>
      </c>
      <c r="B75" s="8"/>
      <c r="C75" s="8"/>
      <c r="D75" s="8" t="s">
        <v>27</v>
      </c>
      <c r="E75" s="32" t="s">
        <v>52</v>
      </c>
      <c r="F75" s="32"/>
      <c r="G75" s="66" t="s">
        <v>452</v>
      </c>
      <c r="H75" s="66" t="s">
        <v>310</v>
      </c>
      <c r="I75" s="8" t="s">
        <v>194</v>
      </c>
      <c r="J75" s="8" t="s">
        <v>234</v>
      </c>
      <c r="K75" s="8"/>
      <c r="L75" s="8"/>
      <c r="M75" s="8"/>
      <c r="N75" s="8"/>
      <c r="O75" s="8"/>
      <c r="P75" s="8"/>
      <c r="Q75" s="8"/>
      <c r="R75" s="125"/>
      <c r="S75" s="126"/>
      <c r="T75" s="127"/>
      <c r="U75" s="128"/>
    </row>
    <row r="76" spans="1:21" s="10" customFormat="1" x14ac:dyDescent="0.2">
      <c r="A76" s="8">
        <v>20</v>
      </c>
      <c r="B76" s="8"/>
      <c r="C76" s="8"/>
      <c r="D76" s="8" t="s">
        <v>220</v>
      </c>
      <c r="E76" s="32" t="s">
        <v>99</v>
      </c>
      <c r="F76" s="32"/>
      <c r="G76" s="66" t="s">
        <v>453</v>
      </c>
      <c r="H76" s="66" t="s">
        <v>311</v>
      </c>
      <c r="I76" s="8" t="s">
        <v>194</v>
      </c>
      <c r="J76" s="8" t="s">
        <v>234</v>
      </c>
      <c r="K76" s="8"/>
      <c r="L76" s="8"/>
      <c r="M76" s="8"/>
      <c r="N76" s="8"/>
      <c r="O76" s="8"/>
      <c r="P76" s="8"/>
      <c r="Q76" s="8"/>
      <c r="R76" s="125"/>
      <c r="S76" s="126"/>
      <c r="T76" s="127"/>
      <c r="U76" s="128"/>
    </row>
    <row r="77" spans="1:21" s="10" customFormat="1" x14ac:dyDescent="0.2">
      <c r="A77" s="8">
        <v>20</v>
      </c>
      <c r="B77" s="8"/>
      <c r="C77" s="8"/>
      <c r="D77" s="8" t="s">
        <v>95</v>
      </c>
      <c r="E77" s="32" t="s">
        <v>96</v>
      </c>
      <c r="F77" s="32"/>
      <c r="G77" s="66" t="s">
        <v>454</v>
      </c>
      <c r="H77" s="66" t="s">
        <v>312</v>
      </c>
      <c r="I77" s="8" t="s">
        <v>194</v>
      </c>
      <c r="J77" s="8" t="s">
        <v>234</v>
      </c>
      <c r="K77" s="8"/>
      <c r="L77" s="8"/>
      <c r="M77" s="8"/>
      <c r="N77" s="8"/>
      <c r="O77" s="8"/>
      <c r="P77" s="8"/>
      <c r="Q77" s="8"/>
      <c r="R77" s="125"/>
      <c r="S77" s="126"/>
      <c r="T77" s="127"/>
      <c r="U77" s="128"/>
    </row>
    <row r="78" spans="1:21" s="10" customFormat="1" x14ac:dyDescent="0.2">
      <c r="A78" s="8">
        <v>20</v>
      </c>
      <c r="B78" s="8"/>
      <c r="C78" s="8"/>
      <c r="D78" s="8" t="s">
        <v>97</v>
      </c>
      <c r="E78" s="32" t="s">
        <v>99</v>
      </c>
      <c r="F78" s="32"/>
      <c r="G78" s="66" t="s">
        <v>455</v>
      </c>
      <c r="H78" s="66" t="s">
        <v>313</v>
      </c>
      <c r="I78" s="8" t="s">
        <v>194</v>
      </c>
      <c r="J78" s="8" t="s">
        <v>234</v>
      </c>
      <c r="K78" s="8"/>
      <c r="L78" s="8"/>
      <c r="M78" s="8"/>
      <c r="N78" s="8"/>
      <c r="O78" s="8"/>
      <c r="P78" s="8"/>
      <c r="Q78" s="8"/>
      <c r="R78" s="125"/>
      <c r="S78" s="126"/>
      <c r="T78" s="127"/>
      <c r="U78" s="128"/>
    </row>
    <row r="79" spans="1:21" s="10" customFormat="1" x14ac:dyDescent="0.2">
      <c r="A79" s="8">
        <v>20</v>
      </c>
      <c r="B79" s="8"/>
      <c r="C79" s="8"/>
      <c r="D79" s="8" t="s">
        <v>98</v>
      </c>
      <c r="E79" s="32" t="s">
        <v>100</v>
      </c>
      <c r="F79" s="32"/>
      <c r="G79" s="66" t="s">
        <v>456</v>
      </c>
      <c r="H79" s="66" t="s">
        <v>242</v>
      </c>
      <c r="I79" s="8" t="s">
        <v>194</v>
      </c>
      <c r="J79" s="8" t="s">
        <v>234</v>
      </c>
      <c r="K79" s="8"/>
      <c r="L79" s="8"/>
      <c r="M79" s="8"/>
      <c r="N79" s="8"/>
      <c r="O79" s="8"/>
      <c r="P79" s="8"/>
      <c r="Q79" s="8"/>
      <c r="R79" s="125"/>
      <c r="S79" s="126"/>
      <c r="T79" s="127"/>
      <c r="U79" s="128"/>
    </row>
    <row r="80" spans="1:21" s="10" customFormat="1" x14ac:dyDescent="0.2">
      <c r="A80" s="8">
        <v>20</v>
      </c>
      <c r="B80" s="8"/>
      <c r="C80" s="8"/>
      <c r="D80" s="8" t="s">
        <v>101</v>
      </c>
      <c r="E80" s="32" t="s">
        <v>99</v>
      </c>
      <c r="F80" s="32"/>
      <c r="G80" s="66" t="s">
        <v>457</v>
      </c>
      <c r="H80" s="66" t="s">
        <v>314</v>
      </c>
      <c r="I80" s="8" t="s">
        <v>194</v>
      </c>
      <c r="J80" s="8" t="s">
        <v>234</v>
      </c>
      <c r="K80" s="8"/>
      <c r="L80" s="8"/>
      <c r="M80" s="8"/>
      <c r="N80" s="8"/>
      <c r="O80" s="8"/>
      <c r="P80" s="8"/>
      <c r="Q80" s="8"/>
      <c r="R80" s="125"/>
      <c r="S80" s="126"/>
      <c r="T80" s="127"/>
      <c r="U80" s="128"/>
    </row>
    <row r="81" spans="1:21" s="10" customFormat="1" x14ac:dyDescent="0.2">
      <c r="A81" s="8">
        <v>20</v>
      </c>
      <c r="B81" s="8"/>
      <c r="C81" s="8"/>
      <c r="D81" s="8" t="s">
        <v>102</v>
      </c>
      <c r="E81" s="32" t="s">
        <v>100</v>
      </c>
      <c r="F81" s="32"/>
      <c r="G81" s="66" t="s">
        <v>458</v>
      </c>
      <c r="H81" s="66" t="s">
        <v>315</v>
      </c>
      <c r="I81" s="8" t="s">
        <v>194</v>
      </c>
      <c r="J81" s="8" t="s">
        <v>234</v>
      </c>
      <c r="K81" s="8"/>
      <c r="L81" s="8"/>
      <c r="M81" s="8"/>
      <c r="N81" s="8"/>
      <c r="O81" s="8"/>
      <c r="P81" s="8"/>
      <c r="Q81" s="8"/>
      <c r="R81" s="125"/>
      <c r="S81" s="126"/>
      <c r="T81" s="127"/>
      <c r="U81" s="128"/>
    </row>
    <row r="82" spans="1:21" s="10" customFormat="1" x14ac:dyDescent="0.2">
      <c r="A82" s="8">
        <v>20</v>
      </c>
      <c r="B82" s="8"/>
      <c r="C82" s="8"/>
      <c r="D82" s="8" t="s">
        <v>103</v>
      </c>
      <c r="E82" s="32" t="s">
        <v>105</v>
      </c>
      <c r="F82" s="32"/>
      <c r="G82" s="66" t="s">
        <v>459</v>
      </c>
      <c r="H82" s="66" t="s">
        <v>316</v>
      </c>
      <c r="I82" s="8" t="s">
        <v>194</v>
      </c>
      <c r="J82" s="8" t="s">
        <v>234</v>
      </c>
      <c r="K82" s="8"/>
      <c r="L82" s="8"/>
      <c r="M82" s="8"/>
      <c r="N82" s="8"/>
      <c r="O82" s="8"/>
      <c r="P82" s="8"/>
      <c r="Q82" s="8"/>
      <c r="R82" s="125"/>
      <c r="S82" s="126"/>
      <c r="T82" s="127"/>
      <c r="U82" s="128"/>
    </row>
    <row r="83" spans="1:21" s="10" customFormat="1" x14ac:dyDescent="0.2">
      <c r="A83" s="8">
        <v>20</v>
      </c>
      <c r="B83" s="8"/>
      <c r="C83" s="8"/>
      <c r="D83" s="8" t="s">
        <v>104</v>
      </c>
      <c r="E83" s="32" t="s">
        <v>106</v>
      </c>
      <c r="F83" s="32"/>
      <c r="G83" s="66" t="s">
        <v>460</v>
      </c>
      <c r="H83" s="66" t="s">
        <v>317</v>
      </c>
      <c r="I83" s="8" t="s">
        <v>194</v>
      </c>
      <c r="J83" s="8" t="s">
        <v>234</v>
      </c>
      <c r="K83" s="8"/>
      <c r="L83" s="8"/>
      <c r="M83" s="8"/>
      <c r="N83" s="8"/>
      <c r="O83" s="8"/>
      <c r="P83" s="8"/>
      <c r="Q83" s="8"/>
      <c r="R83" s="125"/>
      <c r="S83" s="126"/>
      <c r="T83" s="127"/>
      <c r="U83" s="128"/>
    </row>
    <row r="84" spans="1:21" s="10" customFormat="1" x14ac:dyDescent="0.2">
      <c r="A84" s="8">
        <v>20</v>
      </c>
      <c r="B84" s="8"/>
      <c r="C84" s="8"/>
      <c r="D84" s="8" t="s">
        <v>373</v>
      </c>
      <c r="E84" s="32" t="s">
        <v>130</v>
      </c>
      <c r="F84" s="32"/>
      <c r="G84" s="66" t="s">
        <v>461</v>
      </c>
      <c r="H84" s="66" t="s">
        <v>374</v>
      </c>
      <c r="I84" s="8" t="s">
        <v>194</v>
      </c>
      <c r="J84" s="8" t="s">
        <v>367</v>
      </c>
      <c r="K84" s="8"/>
      <c r="L84" s="8"/>
      <c r="M84" s="8"/>
      <c r="N84" s="8"/>
      <c r="O84" s="8"/>
      <c r="P84" s="8"/>
      <c r="Q84" s="8"/>
      <c r="R84" s="125"/>
      <c r="S84" s="126"/>
      <c r="T84" s="127"/>
      <c r="U84" s="128"/>
    </row>
    <row r="85" spans="1:21" s="10" customFormat="1" x14ac:dyDescent="0.2">
      <c r="A85" s="8">
        <v>20</v>
      </c>
      <c r="B85" s="8"/>
      <c r="C85" s="8"/>
      <c r="D85" s="8" t="s">
        <v>369</v>
      </c>
      <c r="E85" s="32" t="s">
        <v>366</v>
      </c>
      <c r="F85" s="32"/>
      <c r="G85" s="66" t="s">
        <v>462</v>
      </c>
      <c r="H85" s="66" t="s">
        <v>371</v>
      </c>
      <c r="I85" s="8" t="s">
        <v>194</v>
      </c>
      <c r="J85" s="8" t="s">
        <v>367</v>
      </c>
      <c r="K85" s="8"/>
      <c r="L85" s="8"/>
      <c r="M85" s="8"/>
      <c r="N85" s="8"/>
      <c r="O85" s="8"/>
      <c r="P85" s="8"/>
      <c r="Q85" s="8"/>
      <c r="R85" s="125"/>
      <c r="S85" s="126"/>
      <c r="T85" s="127"/>
      <c r="U85" s="128"/>
    </row>
    <row r="86" spans="1:21" s="10" customFormat="1" x14ac:dyDescent="0.2">
      <c r="A86" s="8">
        <v>20</v>
      </c>
      <c r="B86" s="8"/>
      <c r="C86" s="8"/>
      <c r="D86" s="8" t="s">
        <v>370</v>
      </c>
      <c r="E86" s="32" t="s">
        <v>368</v>
      </c>
      <c r="F86" s="32"/>
      <c r="G86" s="66" t="s">
        <v>463</v>
      </c>
      <c r="H86" s="66" t="s">
        <v>372</v>
      </c>
      <c r="I86" s="8" t="s">
        <v>194</v>
      </c>
      <c r="J86" s="8" t="s">
        <v>367</v>
      </c>
      <c r="K86" s="8"/>
      <c r="L86" s="8"/>
      <c r="M86" s="8"/>
      <c r="N86" s="8"/>
      <c r="O86" s="8"/>
      <c r="P86" s="8"/>
      <c r="Q86" s="8"/>
      <c r="R86" s="125"/>
      <c r="S86" s="126"/>
      <c r="T86" s="127"/>
      <c r="U86" s="128"/>
    </row>
    <row r="87" spans="1:21" s="10" customFormat="1" x14ac:dyDescent="0.2">
      <c r="A87" s="8">
        <v>20</v>
      </c>
      <c r="B87" s="8"/>
      <c r="C87" s="8"/>
      <c r="D87" s="8" t="s">
        <v>377</v>
      </c>
      <c r="E87" s="32" t="s">
        <v>375</v>
      </c>
      <c r="F87" s="32"/>
      <c r="G87" s="66" t="s">
        <v>464</v>
      </c>
      <c r="H87" s="66" t="s">
        <v>376</v>
      </c>
      <c r="I87" s="8" t="s">
        <v>194</v>
      </c>
      <c r="J87" s="8" t="s">
        <v>367</v>
      </c>
      <c r="K87" s="8"/>
      <c r="L87" s="8"/>
      <c r="M87" s="8"/>
      <c r="N87" s="8"/>
      <c r="O87" s="8"/>
      <c r="P87" s="8"/>
      <c r="Q87" s="8"/>
      <c r="R87" s="125"/>
      <c r="S87" s="126"/>
      <c r="T87" s="127"/>
      <c r="U87" s="128"/>
    </row>
    <row r="88" spans="1:21" s="10" customFormat="1" x14ac:dyDescent="0.2">
      <c r="A88" s="8">
        <v>20</v>
      </c>
      <c r="B88" s="8"/>
      <c r="C88" s="8"/>
      <c r="D88" s="8" t="s">
        <v>143</v>
      </c>
      <c r="E88" s="32" t="s">
        <v>109</v>
      </c>
      <c r="F88" s="32"/>
      <c r="G88" s="66" t="s">
        <v>465</v>
      </c>
      <c r="H88" s="66" t="s">
        <v>318</v>
      </c>
      <c r="I88" s="8" t="s">
        <v>194</v>
      </c>
      <c r="J88" s="8" t="s">
        <v>234</v>
      </c>
      <c r="K88" s="8"/>
      <c r="L88" s="8"/>
      <c r="M88" s="8"/>
      <c r="N88" s="8"/>
      <c r="O88" s="8"/>
      <c r="P88" s="8"/>
      <c r="Q88" s="8"/>
      <c r="R88" s="125"/>
      <c r="S88" s="126"/>
      <c r="T88" s="127"/>
      <c r="U88" s="128"/>
    </row>
    <row r="89" spans="1:21" s="10" customFormat="1" x14ac:dyDescent="0.2">
      <c r="A89" s="8">
        <v>20</v>
      </c>
      <c r="B89" s="8"/>
      <c r="C89" s="8"/>
      <c r="D89" s="8" t="s">
        <v>110</v>
      </c>
      <c r="E89" s="32" t="s">
        <v>116</v>
      </c>
      <c r="F89" s="32"/>
      <c r="G89" s="66" t="s">
        <v>466</v>
      </c>
      <c r="H89" s="66" t="s">
        <v>319</v>
      </c>
      <c r="I89" s="8" t="s">
        <v>194</v>
      </c>
      <c r="J89" s="8" t="s">
        <v>234</v>
      </c>
      <c r="K89" s="8"/>
      <c r="L89" s="8"/>
      <c r="M89" s="8"/>
      <c r="N89" s="8"/>
      <c r="O89" s="8"/>
      <c r="P89" s="8"/>
      <c r="Q89" s="8"/>
      <c r="R89" s="125"/>
      <c r="S89" s="126"/>
      <c r="T89" s="127"/>
      <c r="U89" s="128"/>
    </row>
    <row r="90" spans="1:21" s="10" customFormat="1" x14ac:dyDescent="0.2">
      <c r="A90" s="8">
        <v>20</v>
      </c>
      <c r="B90" s="8"/>
      <c r="C90" s="8"/>
      <c r="D90" s="8" t="s">
        <v>215</v>
      </c>
      <c r="E90" s="32" t="s">
        <v>116</v>
      </c>
      <c r="F90" s="32"/>
      <c r="G90" s="66" t="s">
        <v>467</v>
      </c>
      <c r="H90" s="66" t="s">
        <v>320</v>
      </c>
      <c r="I90" s="8" t="s">
        <v>194</v>
      </c>
      <c r="J90" s="8" t="s">
        <v>234</v>
      </c>
      <c r="K90" s="8"/>
      <c r="L90" s="8"/>
      <c r="M90" s="8"/>
      <c r="N90" s="8"/>
      <c r="O90" s="8"/>
      <c r="P90" s="8"/>
      <c r="Q90" s="8"/>
      <c r="R90" s="63"/>
      <c r="S90" s="64"/>
      <c r="T90" s="61"/>
      <c r="U90" s="62"/>
    </row>
    <row r="91" spans="1:21" s="10" customFormat="1" x14ac:dyDescent="0.2">
      <c r="A91" s="8">
        <v>20</v>
      </c>
      <c r="B91" s="8"/>
      <c r="C91" s="8"/>
      <c r="D91" s="8" t="s">
        <v>111</v>
      </c>
      <c r="E91" s="32" t="s">
        <v>116</v>
      </c>
      <c r="F91" s="32"/>
      <c r="G91" s="66" t="s">
        <v>468</v>
      </c>
      <c r="H91" s="66" t="s">
        <v>321</v>
      </c>
      <c r="I91" s="8" t="s">
        <v>194</v>
      </c>
      <c r="J91" s="8" t="s">
        <v>234</v>
      </c>
      <c r="K91" s="8"/>
      <c r="L91" s="8"/>
      <c r="M91" s="8"/>
      <c r="N91" s="8"/>
      <c r="O91" s="8"/>
      <c r="P91" s="8"/>
      <c r="Q91" s="8"/>
      <c r="R91" s="63"/>
      <c r="S91" s="64"/>
      <c r="T91" s="61"/>
      <c r="U91" s="62"/>
    </row>
    <row r="92" spans="1:21" s="10" customFormat="1" x14ac:dyDescent="0.2">
      <c r="A92" s="8">
        <v>20</v>
      </c>
      <c r="B92" s="8"/>
      <c r="C92" s="8"/>
      <c r="D92" s="8" t="s">
        <v>214</v>
      </c>
      <c r="E92" s="32" t="s">
        <v>116</v>
      </c>
      <c r="F92" s="32"/>
      <c r="G92" s="66" t="s">
        <v>469</v>
      </c>
      <c r="H92" s="66" t="s">
        <v>322</v>
      </c>
      <c r="I92" s="8" t="s">
        <v>194</v>
      </c>
      <c r="J92" s="8" t="s">
        <v>234</v>
      </c>
      <c r="K92" s="8"/>
      <c r="L92" s="8"/>
      <c r="M92" s="8"/>
      <c r="N92" s="8"/>
      <c r="O92" s="8"/>
      <c r="P92" s="8"/>
      <c r="Q92" s="8"/>
      <c r="R92" s="63"/>
      <c r="S92" s="64"/>
      <c r="T92" s="61"/>
      <c r="U92" s="62"/>
    </row>
    <row r="93" spans="1:21" s="10" customFormat="1" x14ac:dyDescent="0.2">
      <c r="A93" s="8">
        <v>20</v>
      </c>
      <c r="B93" s="8"/>
      <c r="C93" s="8"/>
      <c r="D93" s="8" t="s">
        <v>112</v>
      </c>
      <c r="E93" s="32" t="s">
        <v>69</v>
      </c>
      <c r="F93" s="32"/>
      <c r="G93" s="66" t="s">
        <v>470</v>
      </c>
      <c r="H93" s="66" t="s">
        <v>323</v>
      </c>
      <c r="I93" s="8" t="s">
        <v>194</v>
      </c>
      <c r="J93" s="8" t="s">
        <v>234</v>
      </c>
      <c r="K93" s="8"/>
      <c r="L93" s="8"/>
      <c r="M93" s="8"/>
      <c r="N93" s="8"/>
      <c r="O93" s="8"/>
      <c r="P93" s="8"/>
      <c r="Q93" s="8"/>
      <c r="R93" s="125"/>
      <c r="S93" s="126"/>
      <c r="T93" s="127"/>
      <c r="U93" s="128"/>
    </row>
    <row r="94" spans="1:21" s="10" customFormat="1" x14ac:dyDescent="0.2">
      <c r="A94" s="8">
        <v>20</v>
      </c>
      <c r="B94" s="8"/>
      <c r="C94" s="8"/>
      <c r="D94" s="8" t="s">
        <v>113</v>
      </c>
      <c r="E94" s="32" t="s">
        <v>116</v>
      </c>
      <c r="F94" s="32"/>
      <c r="G94" s="66" t="s">
        <v>471</v>
      </c>
      <c r="H94" s="66" t="s">
        <v>324</v>
      </c>
      <c r="I94" s="8" t="s">
        <v>194</v>
      </c>
      <c r="J94" s="8" t="s">
        <v>234</v>
      </c>
      <c r="K94" s="8"/>
      <c r="L94" s="8"/>
      <c r="M94" s="8"/>
      <c r="N94" s="8"/>
      <c r="O94" s="8"/>
      <c r="P94" s="8"/>
      <c r="Q94" s="8"/>
      <c r="R94" s="125"/>
      <c r="S94" s="126"/>
      <c r="T94" s="127"/>
      <c r="U94" s="128"/>
    </row>
    <row r="95" spans="1:21" s="10" customFormat="1" x14ac:dyDescent="0.2">
      <c r="A95" s="8">
        <v>20</v>
      </c>
      <c r="B95" s="8"/>
      <c r="C95" s="8"/>
      <c r="D95" s="8" t="s">
        <v>115</v>
      </c>
      <c r="E95" s="32" t="s">
        <v>116</v>
      </c>
      <c r="F95" s="32"/>
      <c r="G95" s="66" t="s">
        <v>472</v>
      </c>
      <c r="H95" s="66" t="s">
        <v>325</v>
      </c>
      <c r="I95" s="8" t="s">
        <v>194</v>
      </c>
      <c r="J95" s="8" t="s">
        <v>234</v>
      </c>
      <c r="K95" s="8"/>
      <c r="L95" s="8"/>
      <c r="M95" s="8"/>
      <c r="N95" s="8"/>
      <c r="O95" s="8"/>
      <c r="P95" s="8"/>
      <c r="Q95" s="8"/>
      <c r="R95" s="125"/>
      <c r="S95" s="126"/>
      <c r="T95" s="127"/>
      <c r="U95" s="128"/>
    </row>
    <row r="96" spans="1:21" s="10" customFormat="1" x14ac:dyDescent="0.2">
      <c r="A96" s="8">
        <v>20</v>
      </c>
      <c r="B96" s="8"/>
      <c r="C96" s="8"/>
      <c r="D96" s="8" t="s">
        <v>114</v>
      </c>
      <c r="E96" s="32" t="s">
        <v>116</v>
      </c>
      <c r="F96" s="32"/>
      <c r="G96" s="66" t="s">
        <v>473</v>
      </c>
      <c r="H96" s="66" t="s">
        <v>243</v>
      </c>
      <c r="I96" s="8" t="s">
        <v>194</v>
      </c>
      <c r="J96" s="8" t="s">
        <v>234</v>
      </c>
      <c r="K96" s="8"/>
      <c r="L96" s="8"/>
      <c r="M96" s="8"/>
      <c r="N96" s="8"/>
      <c r="O96" s="8"/>
      <c r="P96" s="8"/>
      <c r="Q96" s="8"/>
      <c r="R96" s="125"/>
      <c r="S96" s="126"/>
      <c r="T96" s="127"/>
      <c r="U96" s="128"/>
    </row>
    <row r="97" spans="1:21" s="10" customFormat="1" x14ac:dyDescent="0.2">
      <c r="A97" s="8">
        <v>20</v>
      </c>
      <c r="B97" s="8"/>
      <c r="C97" s="8"/>
      <c r="D97" s="8" t="s">
        <v>141</v>
      </c>
      <c r="E97" s="32" t="s">
        <v>107</v>
      </c>
      <c r="F97" s="32"/>
      <c r="G97" s="66" t="s">
        <v>474</v>
      </c>
      <c r="H97" s="66" t="s">
        <v>326</v>
      </c>
      <c r="I97" s="8" t="s">
        <v>194</v>
      </c>
      <c r="J97" s="8" t="s">
        <v>234</v>
      </c>
      <c r="K97" s="8"/>
      <c r="L97" s="8"/>
      <c r="M97" s="8"/>
      <c r="N97" s="8"/>
      <c r="O97" s="8"/>
      <c r="P97" s="8"/>
      <c r="Q97" s="8"/>
      <c r="R97" s="125"/>
      <c r="S97" s="126"/>
      <c r="T97" s="127"/>
      <c r="U97" s="128"/>
    </row>
    <row r="98" spans="1:21" s="10" customFormat="1" x14ac:dyDescent="0.2">
      <c r="A98" s="8">
        <v>20</v>
      </c>
      <c r="B98" s="8"/>
      <c r="C98" s="8"/>
      <c r="D98" s="8" t="s">
        <v>142</v>
      </c>
      <c r="E98" s="32" t="s">
        <v>108</v>
      </c>
      <c r="F98" s="32"/>
      <c r="G98" s="66" t="s">
        <v>475</v>
      </c>
      <c r="H98" s="66" t="s">
        <v>327</v>
      </c>
      <c r="I98" s="8" t="s">
        <v>194</v>
      </c>
      <c r="J98" s="8" t="s">
        <v>234</v>
      </c>
      <c r="K98" s="8"/>
      <c r="L98" s="8"/>
      <c r="M98" s="8"/>
      <c r="N98" s="8"/>
      <c r="O98" s="8"/>
      <c r="P98" s="8"/>
      <c r="Q98" s="8"/>
      <c r="R98" s="125"/>
      <c r="S98" s="126"/>
      <c r="T98" s="127"/>
      <c r="U98" s="128"/>
    </row>
    <row r="99" spans="1:21" s="10" customFormat="1" x14ac:dyDescent="0.2">
      <c r="A99" s="8">
        <v>20</v>
      </c>
      <c r="B99" s="8"/>
      <c r="C99" s="8"/>
      <c r="D99" s="8" t="s">
        <v>200</v>
      </c>
      <c r="E99" s="32" t="s">
        <v>201</v>
      </c>
      <c r="F99" s="32"/>
      <c r="G99" s="66" t="s">
        <v>476</v>
      </c>
      <c r="H99" s="66" t="s">
        <v>328</v>
      </c>
      <c r="I99" s="8" t="s">
        <v>194</v>
      </c>
      <c r="J99" s="8" t="s">
        <v>234</v>
      </c>
      <c r="K99" s="8"/>
      <c r="L99" s="8"/>
      <c r="M99" s="8"/>
      <c r="N99" s="8"/>
      <c r="O99" s="8"/>
      <c r="P99" s="8"/>
      <c r="Q99" s="8"/>
      <c r="R99" s="63"/>
      <c r="S99" s="64"/>
      <c r="T99" s="61"/>
      <c r="U99" s="62"/>
    </row>
    <row r="100" spans="1:21" s="10" customFormat="1" x14ac:dyDescent="0.2">
      <c r="A100" s="8">
        <v>20</v>
      </c>
      <c r="B100" s="8"/>
      <c r="C100" s="8"/>
      <c r="D100" s="8" t="s">
        <v>198</v>
      </c>
      <c r="E100" s="32" t="s">
        <v>199</v>
      </c>
      <c r="F100" s="32"/>
      <c r="G100" s="66" t="s">
        <v>477</v>
      </c>
      <c r="H100" s="66" t="s">
        <v>329</v>
      </c>
      <c r="I100" s="8" t="s">
        <v>194</v>
      </c>
      <c r="J100" s="8" t="s">
        <v>234</v>
      </c>
      <c r="K100" s="8"/>
      <c r="L100" s="8"/>
      <c r="M100" s="8"/>
      <c r="N100" s="8"/>
      <c r="O100" s="8"/>
      <c r="P100" s="8"/>
      <c r="Q100" s="8"/>
      <c r="R100" s="63"/>
      <c r="S100" s="64"/>
      <c r="T100" s="61"/>
      <c r="U100" s="62"/>
    </row>
    <row r="101" spans="1:21" s="10" customFormat="1" x14ac:dyDescent="0.2">
      <c r="A101" s="8">
        <v>20</v>
      </c>
      <c r="B101" s="8"/>
      <c r="C101" s="8"/>
      <c r="D101" s="8" t="s">
        <v>144</v>
      </c>
      <c r="E101" s="32" t="s">
        <v>145</v>
      </c>
      <c r="F101" s="32"/>
      <c r="G101" s="66" t="s">
        <v>478</v>
      </c>
      <c r="H101" s="66" t="s">
        <v>330</v>
      </c>
      <c r="I101" s="8" t="s">
        <v>194</v>
      </c>
      <c r="J101" s="8" t="s">
        <v>234</v>
      </c>
      <c r="K101" s="8"/>
      <c r="L101" s="8"/>
      <c r="M101" s="8"/>
      <c r="N101" s="8"/>
      <c r="O101" s="8"/>
      <c r="P101" s="8"/>
      <c r="Q101" s="8"/>
      <c r="R101" s="63"/>
      <c r="S101" s="64"/>
      <c r="T101" s="61"/>
      <c r="U101" s="62"/>
    </row>
    <row r="102" spans="1:21" s="10" customFormat="1" x14ac:dyDescent="0.2">
      <c r="A102" s="8">
        <v>20</v>
      </c>
      <c r="B102" s="8"/>
      <c r="C102" s="8"/>
      <c r="D102" s="8" t="s">
        <v>146</v>
      </c>
      <c r="E102" s="32" t="s">
        <v>145</v>
      </c>
      <c r="F102" s="32"/>
      <c r="G102" s="66" t="s">
        <v>479</v>
      </c>
      <c r="H102" s="66" t="s">
        <v>331</v>
      </c>
      <c r="I102" s="8" t="s">
        <v>194</v>
      </c>
      <c r="J102" s="8" t="s">
        <v>234</v>
      </c>
      <c r="K102" s="8"/>
      <c r="L102" s="8"/>
      <c r="M102" s="8"/>
      <c r="N102" s="8"/>
      <c r="O102" s="8"/>
      <c r="P102" s="8"/>
      <c r="Q102" s="8"/>
      <c r="R102" s="63"/>
      <c r="S102" s="64"/>
      <c r="T102" s="61"/>
      <c r="U102" s="62"/>
    </row>
    <row r="103" spans="1:21" s="10" customFormat="1" x14ac:dyDescent="0.2">
      <c r="A103" s="8">
        <v>20</v>
      </c>
      <c r="B103" s="8"/>
      <c r="C103" s="8"/>
      <c r="D103" s="8" t="s">
        <v>147</v>
      </c>
      <c r="E103" s="32" t="s">
        <v>145</v>
      </c>
      <c r="F103" s="32"/>
      <c r="G103" s="66" t="s">
        <v>480</v>
      </c>
      <c r="H103" s="66" t="s">
        <v>244</v>
      </c>
      <c r="I103" s="8" t="s">
        <v>194</v>
      </c>
      <c r="J103" s="8" t="s">
        <v>234</v>
      </c>
      <c r="K103" s="8"/>
      <c r="L103" s="8"/>
      <c r="M103" s="8"/>
      <c r="N103" s="8"/>
      <c r="O103" s="8"/>
      <c r="P103" s="8"/>
      <c r="Q103" s="8"/>
      <c r="R103" s="63"/>
      <c r="S103" s="64"/>
      <c r="T103" s="61"/>
      <c r="U103" s="62"/>
    </row>
    <row r="104" spans="1:21" s="10" customFormat="1" x14ac:dyDescent="0.2">
      <c r="A104" s="8">
        <v>20</v>
      </c>
      <c r="B104" s="8"/>
      <c r="C104" s="8"/>
      <c r="D104" s="8" t="s">
        <v>148</v>
      </c>
      <c r="E104" s="32" t="s">
        <v>145</v>
      </c>
      <c r="F104" s="32"/>
      <c r="G104" s="66" t="s">
        <v>481</v>
      </c>
      <c r="H104" s="66" t="s">
        <v>332</v>
      </c>
      <c r="I104" s="8" t="s">
        <v>194</v>
      </c>
      <c r="J104" s="8" t="s">
        <v>234</v>
      </c>
      <c r="K104" s="8"/>
      <c r="L104" s="8"/>
      <c r="M104" s="8"/>
      <c r="N104" s="8"/>
      <c r="O104" s="8"/>
      <c r="P104" s="8"/>
      <c r="Q104" s="8"/>
      <c r="R104" s="63"/>
      <c r="S104" s="64"/>
      <c r="T104" s="61"/>
      <c r="U104" s="62"/>
    </row>
    <row r="105" spans="1:21" s="10" customFormat="1" x14ac:dyDescent="0.2">
      <c r="A105" s="8">
        <v>20</v>
      </c>
      <c r="B105" s="8"/>
      <c r="C105" s="8"/>
      <c r="D105" s="8" t="s">
        <v>216</v>
      </c>
      <c r="E105" s="32" t="s">
        <v>165</v>
      </c>
      <c r="F105" s="32"/>
      <c r="G105" s="66" t="s">
        <v>482</v>
      </c>
      <c r="H105" s="66" t="s">
        <v>333</v>
      </c>
      <c r="I105" s="8" t="s">
        <v>194</v>
      </c>
      <c r="J105" s="8" t="s">
        <v>234</v>
      </c>
      <c r="K105" s="8"/>
      <c r="L105" s="8"/>
      <c r="M105" s="8"/>
      <c r="N105" s="8"/>
      <c r="O105" s="8"/>
      <c r="P105" s="8"/>
      <c r="Q105" s="8"/>
      <c r="R105" s="63"/>
      <c r="S105" s="64"/>
      <c r="T105" s="61"/>
      <c r="U105" s="62"/>
    </row>
    <row r="106" spans="1:21" s="10" customFormat="1" x14ac:dyDescent="0.2">
      <c r="A106" s="8">
        <v>20</v>
      </c>
      <c r="B106" s="8"/>
      <c r="C106" s="8"/>
      <c r="D106" s="8" t="s">
        <v>217</v>
      </c>
      <c r="E106" s="32" t="s">
        <v>165</v>
      </c>
      <c r="F106" s="32"/>
      <c r="G106" s="66" t="s">
        <v>483</v>
      </c>
      <c r="H106" s="66" t="s">
        <v>334</v>
      </c>
      <c r="I106" s="8" t="s">
        <v>194</v>
      </c>
      <c r="J106" s="8" t="s">
        <v>234</v>
      </c>
      <c r="K106" s="8"/>
      <c r="L106" s="8"/>
      <c r="M106" s="8"/>
      <c r="N106" s="8"/>
      <c r="O106" s="8"/>
      <c r="P106" s="8"/>
      <c r="Q106" s="8"/>
      <c r="R106" s="63"/>
      <c r="S106" s="64"/>
      <c r="T106" s="61"/>
      <c r="U106" s="62"/>
    </row>
    <row r="107" spans="1:21" s="10" customFormat="1" x14ac:dyDescent="0.2">
      <c r="A107" s="8">
        <v>20</v>
      </c>
      <c r="B107" s="8"/>
      <c r="C107" s="8"/>
      <c r="D107" s="8" t="s">
        <v>218</v>
      </c>
      <c r="E107" s="32" t="s">
        <v>165</v>
      </c>
      <c r="F107" s="32"/>
      <c r="G107" s="66" t="s">
        <v>484</v>
      </c>
      <c r="H107" s="66" t="s">
        <v>335</v>
      </c>
      <c r="I107" s="8" t="s">
        <v>194</v>
      </c>
      <c r="J107" s="8" t="s">
        <v>234</v>
      </c>
      <c r="K107" s="8"/>
      <c r="L107" s="8"/>
      <c r="M107" s="8"/>
      <c r="N107" s="8"/>
      <c r="O107" s="8"/>
      <c r="P107" s="8"/>
      <c r="Q107" s="8"/>
      <c r="R107" s="63"/>
      <c r="S107" s="64"/>
      <c r="T107" s="61"/>
      <c r="U107" s="62"/>
    </row>
    <row r="108" spans="1:21" s="10" customFormat="1" x14ac:dyDescent="0.2">
      <c r="A108" s="8">
        <v>20</v>
      </c>
      <c r="B108" s="8"/>
      <c r="C108" s="8"/>
      <c r="D108" s="8" t="s">
        <v>219</v>
      </c>
      <c r="E108" s="32" t="s">
        <v>165</v>
      </c>
      <c r="F108" s="32"/>
      <c r="G108" s="66" t="s">
        <v>485</v>
      </c>
      <c r="H108" s="66" t="s">
        <v>245</v>
      </c>
      <c r="I108" s="8" t="s">
        <v>194</v>
      </c>
      <c r="J108" s="8" t="s">
        <v>234</v>
      </c>
      <c r="K108" s="8"/>
      <c r="L108" s="8"/>
      <c r="M108" s="8"/>
      <c r="N108" s="8"/>
      <c r="O108" s="8"/>
      <c r="P108" s="8"/>
      <c r="Q108" s="8"/>
      <c r="R108" s="125"/>
      <c r="S108" s="126"/>
      <c r="T108" s="127"/>
      <c r="U108" s="128"/>
    </row>
    <row r="109" spans="1:21" s="10" customFormat="1" x14ac:dyDescent="0.2">
      <c r="A109" s="8">
        <v>20</v>
      </c>
      <c r="B109" s="8"/>
      <c r="C109" s="8"/>
      <c r="D109" s="8" t="s">
        <v>206</v>
      </c>
      <c r="E109" s="32" t="s">
        <v>164</v>
      </c>
      <c r="F109" s="32"/>
      <c r="G109" s="66" t="s">
        <v>486</v>
      </c>
      <c r="H109" s="66" t="s">
        <v>336</v>
      </c>
      <c r="I109" s="8" t="s">
        <v>194</v>
      </c>
      <c r="J109" s="8" t="s">
        <v>234</v>
      </c>
      <c r="K109" s="8"/>
      <c r="L109" s="8"/>
      <c r="M109" s="8"/>
      <c r="N109" s="8"/>
      <c r="O109" s="8"/>
      <c r="P109" s="8"/>
      <c r="Q109" s="8"/>
      <c r="R109" s="63"/>
      <c r="S109" s="64"/>
      <c r="T109" s="61"/>
      <c r="U109" s="62"/>
    </row>
    <row r="110" spans="1:21" s="10" customFormat="1" x14ac:dyDescent="0.2">
      <c r="A110" s="8">
        <v>20</v>
      </c>
      <c r="B110" s="8"/>
      <c r="C110" s="8"/>
      <c r="D110" s="8" t="s">
        <v>208</v>
      </c>
      <c r="E110" s="32" t="s">
        <v>69</v>
      </c>
      <c r="F110" s="32"/>
      <c r="G110" s="66" t="s">
        <v>487</v>
      </c>
      <c r="H110" s="66" t="s">
        <v>337</v>
      </c>
      <c r="I110" s="8" t="s">
        <v>194</v>
      </c>
      <c r="J110" s="8" t="s">
        <v>234</v>
      </c>
      <c r="K110" s="8"/>
      <c r="L110" s="8"/>
      <c r="M110" s="8"/>
      <c r="N110" s="8"/>
      <c r="O110" s="8"/>
      <c r="P110" s="8"/>
      <c r="Q110" s="8"/>
      <c r="R110" s="63"/>
      <c r="S110" s="64"/>
      <c r="T110" s="61"/>
      <c r="U110" s="62"/>
    </row>
    <row r="111" spans="1:21" s="10" customFormat="1" x14ac:dyDescent="0.2">
      <c r="A111" s="8">
        <v>20</v>
      </c>
      <c r="B111" s="8"/>
      <c r="C111" s="8"/>
      <c r="D111" s="8" t="s">
        <v>166</v>
      </c>
      <c r="E111" s="32" t="s">
        <v>107</v>
      </c>
      <c r="F111" s="32"/>
      <c r="G111" s="66" t="s">
        <v>488</v>
      </c>
      <c r="H111" s="66" t="s">
        <v>338</v>
      </c>
      <c r="I111" s="8" t="s">
        <v>194</v>
      </c>
      <c r="J111" s="8" t="s">
        <v>234</v>
      </c>
      <c r="K111" s="8"/>
      <c r="L111" s="8"/>
      <c r="M111" s="8"/>
      <c r="N111" s="8"/>
      <c r="O111" s="8"/>
      <c r="P111" s="8"/>
      <c r="Q111" s="8"/>
      <c r="R111" s="63"/>
      <c r="S111" s="64"/>
      <c r="T111" s="61"/>
      <c r="U111" s="62"/>
    </row>
    <row r="112" spans="1:21" s="10" customFormat="1" x14ac:dyDescent="0.2">
      <c r="A112" s="8">
        <v>20</v>
      </c>
      <c r="B112" s="8"/>
      <c r="C112" s="8"/>
      <c r="D112" s="8" t="s">
        <v>167</v>
      </c>
      <c r="E112" s="32" t="s">
        <v>108</v>
      </c>
      <c r="F112" s="32"/>
      <c r="G112" s="66" t="s">
        <v>489</v>
      </c>
      <c r="H112" s="66" t="s">
        <v>339</v>
      </c>
      <c r="I112" s="8" t="s">
        <v>194</v>
      </c>
      <c r="J112" s="8" t="s">
        <v>234</v>
      </c>
      <c r="K112" s="8"/>
      <c r="L112" s="8"/>
      <c r="M112" s="8"/>
      <c r="N112" s="8"/>
      <c r="O112" s="8"/>
      <c r="P112" s="8"/>
      <c r="Q112" s="8"/>
      <c r="R112" s="63"/>
      <c r="S112" s="64"/>
      <c r="T112" s="61"/>
      <c r="U112" s="62"/>
    </row>
    <row r="113" spans="1:21" s="10" customFormat="1" ht="26" x14ac:dyDescent="0.2">
      <c r="A113" s="8">
        <v>20</v>
      </c>
      <c r="B113" s="8"/>
      <c r="C113" s="8"/>
      <c r="D113" s="8" t="s">
        <v>207</v>
      </c>
      <c r="E113" s="32" t="s">
        <v>109</v>
      </c>
      <c r="F113" s="32"/>
      <c r="G113" s="66" t="s">
        <v>490</v>
      </c>
      <c r="H113" s="66" t="s">
        <v>246</v>
      </c>
      <c r="I113" s="8" t="s">
        <v>194</v>
      </c>
      <c r="J113" s="8" t="s">
        <v>234</v>
      </c>
      <c r="K113" s="8"/>
      <c r="L113" s="8"/>
      <c r="M113" s="8"/>
      <c r="N113" s="8"/>
      <c r="O113" s="8"/>
      <c r="P113" s="8"/>
      <c r="Q113" s="8"/>
      <c r="R113" s="63"/>
      <c r="S113" s="64"/>
      <c r="T113" s="61"/>
      <c r="U113" s="62"/>
    </row>
    <row r="114" spans="1:21" s="10" customFormat="1" ht="26" x14ac:dyDescent="0.2">
      <c r="A114" s="8">
        <v>20</v>
      </c>
      <c r="B114" s="8"/>
      <c r="C114" s="8"/>
      <c r="D114" s="8" t="s">
        <v>117</v>
      </c>
      <c r="E114" s="32" t="s">
        <v>45</v>
      </c>
      <c r="F114" s="32"/>
      <c r="G114" s="66" t="s">
        <v>401</v>
      </c>
      <c r="H114" s="66" t="s">
        <v>268</v>
      </c>
      <c r="I114" s="8" t="s">
        <v>194</v>
      </c>
      <c r="J114" s="8" t="s">
        <v>234</v>
      </c>
      <c r="K114" s="8"/>
      <c r="L114" s="8"/>
      <c r="M114" s="8"/>
      <c r="N114" s="8"/>
      <c r="O114" s="8"/>
      <c r="P114" s="8"/>
      <c r="Q114" s="8"/>
      <c r="R114" s="125"/>
      <c r="S114" s="126"/>
      <c r="T114" s="127"/>
      <c r="U114" s="128"/>
    </row>
    <row r="115" spans="1:21" s="10" customFormat="1" ht="26" x14ac:dyDescent="0.2">
      <c r="A115" s="8">
        <v>20</v>
      </c>
      <c r="B115" s="8"/>
      <c r="C115" s="8"/>
      <c r="D115" s="8" t="s">
        <v>118</v>
      </c>
      <c r="E115" s="32" t="s">
        <v>46</v>
      </c>
      <c r="F115" s="32"/>
      <c r="G115" s="66" t="s">
        <v>402</v>
      </c>
      <c r="H115" s="66" t="s">
        <v>233</v>
      </c>
      <c r="I115" s="8" t="s">
        <v>194</v>
      </c>
      <c r="J115" s="8" t="s">
        <v>234</v>
      </c>
      <c r="K115" s="8"/>
      <c r="L115" s="8"/>
      <c r="M115" s="8"/>
      <c r="N115" s="8"/>
      <c r="O115" s="8"/>
      <c r="P115" s="8"/>
      <c r="Q115" s="8"/>
      <c r="R115" s="125"/>
      <c r="S115" s="126"/>
      <c r="T115" s="127"/>
      <c r="U115" s="128"/>
    </row>
    <row r="116" spans="1:21" s="10" customFormat="1" x14ac:dyDescent="0.2">
      <c r="A116" s="8">
        <v>20</v>
      </c>
      <c r="B116" s="8"/>
      <c r="C116" s="8"/>
      <c r="D116" s="8" t="s">
        <v>119</v>
      </c>
      <c r="E116" s="32" t="s">
        <v>49</v>
      </c>
      <c r="F116" s="32"/>
      <c r="G116" s="66" t="s">
        <v>405</v>
      </c>
      <c r="H116" s="66" t="s">
        <v>271</v>
      </c>
      <c r="I116" s="8" t="s">
        <v>194</v>
      </c>
      <c r="J116" s="8" t="s">
        <v>234</v>
      </c>
      <c r="K116" s="8"/>
      <c r="L116" s="8"/>
      <c r="M116" s="8"/>
      <c r="N116" s="8"/>
      <c r="O116" s="8"/>
      <c r="P116" s="8"/>
      <c r="Q116" s="8"/>
      <c r="R116" s="63"/>
      <c r="S116" s="64"/>
      <c r="T116" s="61"/>
      <c r="U116" s="62"/>
    </row>
    <row r="117" spans="1:21" s="10" customFormat="1" ht="26" x14ac:dyDescent="0.2">
      <c r="A117" s="8">
        <v>20</v>
      </c>
      <c r="B117" s="8"/>
      <c r="C117" s="8"/>
      <c r="D117" s="8" t="s">
        <v>120</v>
      </c>
      <c r="E117" s="32" t="s">
        <v>50</v>
      </c>
      <c r="F117" s="32"/>
      <c r="G117" s="66" t="s">
        <v>406</v>
      </c>
      <c r="H117" s="66" t="s">
        <v>247</v>
      </c>
      <c r="I117" s="8" t="s">
        <v>194</v>
      </c>
      <c r="J117" s="8" t="s">
        <v>234</v>
      </c>
      <c r="K117" s="8"/>
      <c r="L117" s="8"/>
      <c r="M117" s="8"/>
      <c r="N117" s="8"/>
      <c r="O117" s="8"/>
      <c r="P117" s="8"/>
      <c r="Q117" s="8"/>
      <c r="R117" s="63"/>
      <c r="S117" s="64"/>
      <c r="T117" s="61"/>
      <c r="U117" s="62"/>
    </row>
    <row r="118" spans="1:21" s="10" customFormat="1" x14ac:dyDescent="0.2">
      <c r="A118" s="8">
        <v>20</v>
      </c>
      <c r="B118" s="8"/>
      <c r="C118" s="8"/>
      <c r="D118" s="8" t="s">
        <v>121</v>
      </c>
      <c r="E118" s="32" t="s">
        <v>47</v>
      </c>
      <c r="F118" s="32"/>
      <c r="G118" s="66" t="s">
        <v>403</v>
      </c>
      <c r="H118" s="66" t="s">
        <v>269</v>
      </c>
      <c r="I118" s="8" t="s">
        <v>194</v>
      </c>
      <c r="J118" s="8" t="s">
        <v>234</v>
      </c>
      <c r="K118" s="8"/>
      <c r="L118" s="8"/>
      <c r="M118" s="8"/>
      <c r="N118" s="8"/>
      <c r="O118" s="8"/>
      <c r="P118" s="8"/>
      <c r="Q118" s="8"/>
      <c r="R118" s="63"/>
      <c r="S118" s="64"/>
      <c r="T118" s="61"/>
      <c r="U118" s="62"/>
    </row>
    <row r="119" spans="1:21" s="10" customFormat="1" x14ac:dyDescent="0.2">
      <c r="A119" s="8">
        <v>20</v>
      </c>
      <c r="B119" s="8"/>
      <c r="C119" s="8"/>
      <c r="D119" s="8" t="s">
        <v>122</v>
      </c>
      <c r="E119" s="32" t="s">
        <v>48</v>
      </c>
      <c r="F119" s="32"/>
      <c r="G119" s="66" t="s">
        <v>404</v>
      </c>
      <c r="H119" s="66" t="s">
        <v>270</v>
      </c>
      <c r="I119" s="8" t="s">
        <v>194</v>
      </c>
      <c r="J119" s="8" t="s">
        <v>234</v>
      </c>
      <c r="K119" s="8"/>
      <c r="L119" s="8"/>
      <c r="M119" s="8"/>
      <c r="N119" s="8"/>
      <c r="O119" s="8"/>
      <c r="P119" s="8"/>
      <c r="Q119" s="8"/>
      <c r="R119" s="63"/>
      <c r="S119" s="64"/>
      <c r="T119" s="61"/>
      <c r="U119" s="62"/>
    </row>
    <row r="120" spans="1:21" s="10" customFormat="1" x14ac:dyDescent="0.2">
      <c r="A120" s="8">
        <v>20</v>
      </c>
      <c r="B120" s="8"/>
      <c r="C120" s="8"/>
      <c r="D120" s="8" t="s">
        <v>123</v>
      </c>
      <c r="E120" s="32" t="s">
        <v>47</v>
      </c>
      <c r="F120" s="32"/>
      <c r="G120" s="66" t="s">
        <v>491</v>
      </c>
      <c r="H120" s="66" t="s">
        <v>340</v>
      </c>
      <c r="I120" s="8" t="s">
        <v>194</v>
      </c>
      <c r="J120" s="8" t="s">
        <v>234</v>
      </c>
      <c r="K120" s="8"/>
      <c r="L120" s="8"/>
      <c r="M120" s="8"/>
      <c r="N120" s="8"/>
      <c r="O120" s="8"/>
      <c r="P120" s="8"/>
      <c r="Q120" s="8"/>
      <c r="R120" s="125"/>
      <c r="S120" s="126"/>
      <c r="T120" s="127"/>
      <c r="U120" s="128"/>
    </row>
    <row r="121" spans="1:21" s="10" customFormat="1" x14ac:dyDescent="0.2">
      <c r="A121" s="8">
        <v>20</v>
      </c>
      <c r="B121" s="8"/>
      <c r="C121" s="8"/>
      <c r="D121" s="8" t="s">
        <v>124</v>
      </c>
      <c r="E121" s="32" t="s">
        <v>48</v>
      </c>
      <c r="F121" s="32"/>
      <c r="G121" s="66" t="s">
        <v>492</v>
      </c>
      <c r="H121" s="66" t="s">
        <v>341</v>
      </c>
      <c r="I121" s="8" t="s">
        <v>194</v>
      </c>
      <c r="J121" s="8" t="s">
        <v>234</v>
      </c>
      <c r="K121" s="8"/>
      <c r="L121" s="8"/>
      <c r="M121" s="8"/>
      <c r="N121" s="8"/>
      <c r="O121" s="8"/>
      <c r="P121" s="8"/>
      <c r="Q121" s="8"/>
      <c r="R121" s="125"/>
      <c r="S121" s="126"/>
      <c r="T121" s="127"/>
      <c r="U121" s="128"/>
    </row>
    <row r="122" spans="1:21" s="10" customFormat="1" x14ac:dyDescent="0.2">
      <c r="A122" s="8">
        <v>20</v>
      </c>
      <c r="B122" s="8"/>
      <c r="C122" s="8"/>
      <c r="D122" s="8" t="s">
        <v>125</v>
      </c>
      <c r="E122" s="32" t="s">
        <v>69</v>
      </c>
      <c r="F122" s="32"/>
      <c r="G122" s="66" t="s">
        <v>493</v>
      </c>
      <c r="H122" s="66" t="s">
        <v>342</v>
      </c>
      <c r="I122" s="8" t="s">
        <v>194</v>
      </c>
      <c r="J122" s="8" t="s">
        <v>234</v>
      </c>
      <c r="K122" s="8"/>
      <c r="L122" s="8"/>
      <c r="M122" s="8"/>
      <c r="N122" s="8"/>
      <c r="O122" s="8"/>
      <c r="P122" s="8"/>
      <c r="Q122" s="8"/>
      <c r="R122" s="125"/>
      <c r="S122" s="126"/>
      <c r="T122" s="127"/>
      <c r="U122" s="128"/>
    </row>
    <row r="123" spans="1:21" s="10" customFormat="1" x14ac:dyDescent="0.2">
      <c r="A123" s="8">
        <v>20</v>
      </c>
      <c r="B123" s="8"/>
      <c r="C123" s="8"/>
      <c r="D123" s="8" t="s">
        <v>221</v>
      </c>
      <c r="E123" s="32" t="s">
        <v>51</v>
      </c>
      <c r="F123" s="32"/>
      <c r="G123" s="66" t="s">
        <v>494</v>
      </c>
      <c r="H123" s="66" t="s">
        <v>343</v>
      </c>
      <c r="I123" s="8" t="s">
        <v>194</v>
      </c>
      <c r="J123" s="8" t="s">
        <v>194</v>
      </c>
      <c r="K123" s="8"/>
      <c r="L123" s="8"/>
      <c r="M123" s="8"/>
      <c r="N123" s="8"/>
      <c r="O123" s="8"/>
      <c r="P123" s="8"/>
      <c r="Q123" s="8"/>
      <c r="R123" s="125"/>
      <c r="S123" s="126"/>
      <c r="T123" s="127"/>
      <c r="U123" s="128"/>
    </row>
    <row r="124" spans="1:21" s="10" customFormat="1" x14ac:dyDescent="0.2">
      <c r="A124" s="70">
        <v>20</v>
      </c>
      <c r="B124" s="70"/>
      <c r="C124" s="70"/>
      <c r="D124" s="70" t="s">
        <v>381</v>
      </c>
      <c r="E124" s="71" t="s">
        <v>379</v>
      </c>
      <c r="F124" s="71"/>
      <c r="G124" s="71"/>
      <c r="H124" s="71"/>
      <c r="I124" s="70" t="s">
        <v>194</v>
      </c>
      <c r="J124" s="70" t="s">
        <v>378</v>
      </c>
      <c r="K124" s="70"/>
      <c r="L124" s="70"/>
      <c r="M124" s="70"/>
      <c r="N124" s="70"/>
      <c r="O124" s="70"/>
      <c r="P124" s="70"/>
      <c r="Q124" s="70"/>
      <c r="R124" s="129"/>
      <c r="S124" s="130"/>
      <c r="T124" s="131"/>
      <c r="U124" s="132"/>
    </row>
    <row r="125" spans="1:21" s="10" customFormat="1" x14ac:dyDescent="0.2">
      <c r="A125" s="28"/>
      <c r="B125" s="29"/>
      <c r="C125" s="29"/>
      <c r="D125" s="48" t="s">
        <v>6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22"/>
    </row>
    <row r="126" spans="1:21" s="10" customFormat="1" x14ac:dyDescent="0.2">
      <c r="A126" s="53"/>
      <c r="U126" s="44"/>
    </row>
    <row r="127" spans="1:21" s="10" customFormat="1" x14ac:dyDescent="0.2">
      <c r="A127" s="53"/>
      <c r="U127" s="44"/>
    </row>
    <row r="128" spans="1:21" s="10" customFormat="1" x14ac:dyDescent="0.2">
      <c r="A128" s="53"/>
      <c r="U128" s="44"/>
    </row>
    <row r="129" spans="1:21" s="10" customFormat="1" x14ac:dyDescent="0.2">
      <c r="A129" s="53"/>
      <c r="U129" s="44"/>
    </row>
    <row r="130" spans="1:21" s="10" customFormat="1" x14ac:dyDescent="0.2">
      <c r="A130" s="53"/>
      <c r="U130" s="44"/>
    </row>
    <row r="131" spans="1:21" s="10" customFormat="1" x14ac:dyDescent="0.2">
      <c r="A131" s="53"/>
      <c r="U131" s="44"/>
    </row>
    <row r="132" spans="1:21" s="10" customFormat="1" x14ac:dyDescent="0.2">
      <c r="A132" s="53"/>
      <c r="U132" s="44"/>
    </row>
    <row r="133" spans="1:21" s="10" customFormat="1" x14ac:dyDescent="0.2">
      <c r="A133" s="53"/>
      <c r="U133" s="44"/>
    </row>
    <row r="134" spans="1:21" s="10" customFormat="1" x14ac:dyDescent="0.2">
      <c r="A134" s="53"/>
      <c r="U134" s="44"/>
    </row>
    <row r="135" spans="1:21" s="10" customFormat="1" x14ac:dyDescent="0.2">
      <c r="A135" s="53"/>
      <c r="U135" s="44"/>
    </row>
    <row r="136" spans="1:21" s="10" customFormat="1" x14ac:dyDescent="0.2">
      <c r="A136" s="53"/>
      <c r="U136" s="44"/>
    </row>
    <row r="137" spans="1:21" s="10" customFormat="1" x14ac:dyDescent="0.2">
      <c r="A137" s="53"/>
      <c r="U137" s="44"/>
    </row>
    <row r="138" spans="1:21" s="10" customFormat="1" x14ac:dyDescent="0.2">
      <c r="A138" s="53"/>
      <c r="U138" s="44"/>
    </row>
    <row r="139" spans="1:21" s="10" customFormat="1" x14ac:dyDescent="0.2">
      <c r="A139" s="58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50"/>
    </row>
  </sheetData>
  <mergeCells count="125">
    <mergeCell ref="R124:S124"/>
    <mergeCell ref="T124:U124"/>
    <mergeCell ref="T115:U115"/>
    <mergeCell ref="R120:S120"/>
    <mergeCell ref="T120:U120"/>
    <mergeCell ref="R85:S85"/>
    <mergeCell ref="T85:U85"/>
    <mergeCell ref="R78:S78"/>
    <mergeCell ref="T78:U78"/>
    <mergeCell ref="R88:S88"/>
    <mergeCell ref="T88:U88"/>
    <mergeCell ref="R79:S79"/>
    <mergeCell ref="T89:U89"/>
    <mergeCell ref="R93:S93"/>
    <mergeCell ref="T93:U93"/>
    <mergeCell ref="R80:S80"/>
    <mergeCell ref="T80:U80"/>
    <mergeCell ref="R81:S81"/>
    <mergeCell ref="T81:U81"/>
    <mergeCell ref="R82:S82"/>
    <mergeCell ref="T82:U82"/>
    <mergeCell ref="R86:S86"/>
    <mergeCell ref="T86:U86"/>
    <mergeCell ref="R87:S87"/>
    <mergeCell ref="T87:U87"/>
    <mergeCell ref="R83:S83"/>
    <mergeCell ref="R77:S77"/>
    <mergeCell ref="T79:U79"/>
    <mergeCell ref="R123:S123"/>
    <mergeCell ref="T123:U123"/>
    <mergeCell ref="R97:S97"/>
    <mergeCell ref="T97:U97"/>
    <mergeCell ref="R108:S108"/>
    <mergeCell ref="T108:U108"/>
    <mergeCell ref="R96:S96"/>
    <mergeCell ref="T96:U96"/>
    <mergeCell ref="R122:S122"/>
    <mergeCell ref="T122:U122"/>
    <mergeCell ref="R98:S98"/>
    <mergeCell ref="T98:U98"/>
    <mergeCell ref="R114:S114"/>
    <mergeCell ref="T114:U114"/>
    <mergeCell ref="R121:S121"/>
    <mergeCell ref="T121:U121"/>
    <mergeCell ref="R115:S115"/>
    <mergeCell ref="R94:S94"/>
    <mergeCell ref="T94:U94"/>
    <mergeCell ref="R95:S95"/>
    <mergeCell ref="T95:U95"/>
    <mergeCell ref="R89:S89"/>
    <mergeCell ref="T83:U83"/>
    <mergeCell ref="R23:S23"/>
    <mergeCell ref="T23:U23"/>
    <mergeCell ref="R24:S24"/>
    <mergeCell ref="T24:U24"/>
    <mergeCell ref="R25:S25"/>
    <mergeCell ref="R65:S65"/>
    <mergeCell ref="T64:U64"/>
    <mergeCell ref="T28:U28"/>
    <mergeCell ref="T29:U29"/>
    <mergeCell ref="T25:U25"/>
    <mergeCell ref="R26:S26"/>
    <mergeCell ref="T26:U26"/>
    <mergeCell ref="R32:S32"/>
    <mergeCell ref="R31:S31"/>
    <mergeCell ref="R30:S30"/>
    <mergeCell ref="T30:U30"/>
    <mergeCell ref="T32:U32"/>
    <mergeCell ref="T31:U31"/>
    <mergeCell ref="R27:S27"/>
    <mergeCell ref="T27:U27"/>
    <mergeCell ref="R28:S28"/>
    <mergeCell ref="R68:S68"/>
    <mergeCell ref="T68:U68"/>
    <mergeCell ref="R29:S29"/>
    <mergeCell ref="R64:S64"/>
    <mergeCell ref="T70:U70"/>
    <mergeCell ref="R71:S71"/>
    <mergeCell ref="R73:S73"/>
    <mergeCell ref="T73:U73"/>
    <mergeCell ref="T71:U71"/>
    <mergeCell ref="R72:S72"/>
    <mergeCell ref="T72:U72"/>
    <mergeCell ref="T8:U8"/>
    <mergeCell ref="R18:S18"/>
    <mergeCell ref="T14:U14"/>
    <mergeCell ref="T16:U16"/>
    <mergeCell ref="T17:U17"/>
    <mergeCell ref="T15:U15"/>
    <mergeCell ref="R17:S17"/>
    <mergeCell ref="R15:S15"/>
    <mergeCell ref="R16:S16"/>
    <mergeCell ref="R14:S14"/>
    <mergeCell ref="T18:U18"/>
    <mergeCell ref="T9:U9"/>
    <mergeCell ref="R12:S12"/>
    <mergeCell ref="R13:S13"/>
    <mergeCell ref="T11:U11"/>
    <mergeCell ref="T12:U12"/>
    <mergeCell ref="T13:U13"/>
    <mergeCell ref="R9:S9"/>
    <mergeCell ref="R84:S84"/>
    <mergeCell ref="T84:U84"/>
    <mergeCell ref="T21:U21"/>
    <mergeCell ref="T20:U20"/>
    <mergeCell ref="R19:S19"/>
    <mergeCell ref="R20:S20"/>
    <mergeCell ref="R21:S21"/>
    <mergeCell ref="T65:U65"/>
    <mergeCell ref="R66:S66"/>
    <mergeCell ref="T66:U66"/>
    <mergeCell ref="R75:S75"/>
    <mergeCell ref="T77:U77"/>
    <mergeCell ref="T75:U75"/>
    <mergeCell ref="R74:S74"/>
    <mergeCell ref="T74:U74"/>
    <mergeCell ref="R67:S67"/>
    <mergeCell ref="T67:U67"/>
    <mergeCell ref="T69:U69"/>
    <mergeCell ref="R69:S69"/>
    <mergeCell ref="R70:S70"/>
    <mergeCell ref="T63:U63"/>
    <mergeCell ref="R76:S76"/>
    <mergeCell ref="T76:U76"/>
    <mergeCell ref="T19:U1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260</v>
      </c>
      <c r="B1" s="51" t="s">
        <v>260</v>
      </c>
      <c r="C1" s="51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8" t="s">
        <v>260</v>
      </c>
      <c r="B2" s="29"/>
      <c r="C2" s="29"/>
      <c r="D2" s="72" t="s">
        <v>384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MSBEL0170</v>
      </c>
      <c r="I2" s="7" t="s">
        <v>261</v>
      </c>
      <c r="J2" s="8" t="s">
        <v>160</v>
      </c>
      <c r="K2" s="7" t="s">
        <v>22</v>
      </c>
      <c r="L2" s="52" t="str">
        <f>IF(LogicCommon!G2="","",LogicCommon!G2)</f>
        <v>MC</v>
      </c>
      <c r="M2" s="5" t="s">
        <v>262</v>
      </c>
      <c r="N2" s="30" t="s">
        <v>364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260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MSBE</v>
      </c>
      <c r="G3" s="7" t="s">
        <v>4</v>
      </c>
      <c r="H3" s="52" t="str">
        <f>IF(LogicCommon!E3="","",LogicCommon!E3)</f>
        <v>MSBEL_OPStkRpl</v>
      </c>
      <c r="I3" s="7" t="s">
        <v>232</v>
      </c>
      <c r="J3" s="8" t="s">
        <v>160</v>
      </c>
      <c r="K3" s="7" t="s">
        <v>24</v>
      </c>
      <c r="L3" s="52" t="str">
        <f>IF(LogicCommon!G3="","",LogicCommon!G3)</f>
        <v/>
      </c>
      <c r="M3" s="56"/>
      <c r="N3" s="7"/>
      <c r="O3" s="7" t="s">
        <v>263</v>
      </c>
      <c r="P3" s="8" t="s">
        <v>248</v>
      </c>
      <c r="Q3" s="4"/>
      <c r="R3" s="5"/>
      <c r="S3" s="5"/>
      <c r="T3" s="5"/>
      <c r="U3" s="5"/>
    </row>
    <row r="4" spans="1:21" s="10" customFormat="1" x14ac:dyDescent="0.2">
      <c r="A4" s="53" t="s">
        <v>260</v>
      </c>
      <c r="B4" s="54"/>
      <c r="C4" s="54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52" t="str">
        <f>IF(LogicCommon!E4="","",LogicCommon!E4)</f>
        <v>発注点在庫補充</v>
      </c>
      <c r="I4" s="7" t="s">
        <v>264</v>
      </c>
      <c r="J4" s="8" t="s">
        <v>161</v>
      </c>
      <c r="K4" s="7" t="s">
        <v>25</v>
      </c>
      <c r="L4" s="52" t="str">
        <f>IF(LogicCommon!G4="","",LogicCommon!G4)</f>
        <v>MS.MSUDL5010</v>
      </c>
      <c r="M4" s="57" t="s">
        <v>265</v>
      </c>
      <c r="N4" s="30"/>
      <c r="O4" s="11"/>
      <c r="P4" s="4"/>
      <c r="Q4" s="4"/>
      <c r="R4" s="5"/>
      <c r="S4" s="5"/>
      <c r="T4" s="5"/>
      <c r="U4" s="5"/>
    </row>
    <row r="5" spans="1:21" s="10" customFormat="1" x14ac:dyDescent="0.2">
      <c r="A5" s="58" t="s">
        <v>260</v>
      </c>
      <c r="B5" s="51"/>
      <c r="C5" s="51"/>
      <c r="D5" s="27"/>
      <c r="E5" s="7" t="s">
        <v>12</v>
      </c>
      <c r="F5" s="9"/>
      <c r="G5" s="59"/>
      <c r="H5" s="59"/>
      <c r="I5" s="59"/>
      <c r="J5" s="59"/>
      <c r="K5" s="59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53" t="s">
        <v>260</v>
      </c>
      <c r="B6" s="54"/>
      <c r="C6" s="54"/>
      <c r="D6" s="4" t="s">
        <v>15</v>
      </c>
      <c r="E6" s="16"/>
      <c r="F6" s="16"/>
      <c r="G6" s="16"/>
      <c r="H6" s="16"/>
      <c r="I6" s="16"/>
      <c r="J6" s="16"/>
      <c r="K6" s="16"/>
      <c r="L6" s="60"/>
      <c r="M6" s="49"/>
      <c r="N6" s="49"/>
      <c r="O6" s="49" t="s">
        <v>259</v>
      </c>
      <c r="P6" s="49"/>
      <c r="Q6" s="49" t="s">
        <v>259</v>
      </c>
      <c r="R6" s="4"/>
      <c r="S6" s="4"/>
      <c r="T6" s="4"/>
      <c r="U6" s="4"/>
    </row>
    <row r="7" spans="1:21" s="10" customFormat="1" x14ac:dyDescent="0.2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31" t="s">
        <v>10</v>
      </c>
      <c r="O7" s="32"/>
      <c r="P7" s="31" t="s">
        <v>10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8</v>
      </c>
      <c r="B8" s="73"/>
      <c r="C8" s="74"/>
      <c r="D8" s="31" t="s">
        <v>385</v>
      </c>
      <c r="E8" s="31" t="s">
        <v>386</v>
      </c>
      <c r="F8" s="60"/>
      <c r="G8" s="31" t="s">
        <v>344</v>
      </c>
      <c r="H8" s="31" t="s">
        <v>387</v>
      </c>
      <c r="I8" s="60"/>
      <c r="J8" s="3"/>
      <c r="K8" s="8" t="s">
        <v>249</v>
      </c>
      <c r="L8" s="8"/>
      <c r="M8" s="8"/>
      <c r="N8" s="31" t="s">
        <v>250</v>
      </c>
      <c r="O8" s="32"/>
      <c r="P8" s="31" t="s">
        <v>250</v>
      </c>
      <c r="Q8" s="32"/>
      <c r="R8" s="3"/>
      <c r="S8" s="27"/>
      <c r="T8" s="125" t="s">
        <v>388</v>
      </c>
      <c r="U8" s="126"/>
    </row>
    <row r="9" spans="1:21" s="10" customFormat="1" ht="60" customHeight="1" x14ac:dyDescent="0.2">
      <c r="A9" s="8" t="s">
        <v>8</v>
      </c>
      <c r="B9" s="34"/>
      <c r="C9" s="35"/>
      <c r="D9" s="31" t="s">
        <v>389</v>
      </c>
      <c r="E9" s="63" t="s">
        <v>390</v>
      </c>
      <c r="F9" s="31" t="s">
        <v>391</v>
      </c>
      <c r="G9" s="31" t="s">
        <v>392</v>
      </c>
      <c r="H9" s="31" t="s">
        <v>393</v>
      </c>
      <c r="I9" s="64" t="s">
        <v>394</v>
      </c>
      <c r="J9" s="31" t="s">
        <v>395</v>
      </c>
      <c r="K9" s="72"/>
      <c r="L9" s="72"/>
      <c r="M9" s="72"/>
      <c r="N9" s="31"/>
      <c r="O9" s="31"/>
      <c r="P9" s="31"/>
      <c r="Q9" s="31"/>
      <c r="R9" s="125" t="s">
        <v>396</v>
      </c>
      <c r="S9" s="126"/>
      <c r="T9" s="125" t="s">
        <v>397</v>
      </c>
      <c r="U9" s="126"/>
    </row>
    <row r="10" spans="1:21" s="10" customFormat="1" ht="39" x14ac:dyDescent="0.2">
      <c r="A10" s="34" t="s">
        <v>8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40"/>
      <c r="M10" s="40"/>
      <c r="N10" s="31" t="s">
        <v>394</v>
      </c>
      <c r="O10" s="31" t="s">
        <v>395</v>
      </c>
      <c r="P10" s="31" t="s">
        <v>394</v>
      </c>
      <c r="Q10" s="31" t="s">
        <v>395</v>
      </c>
      <c r="R10" s="36"/>
      <c r="S10" s="36"/>
      <c r="T10" s="39"/>
      <c r="U10" s="65"/>
    </row>
    <row r="11" spans="1:21" s="10" customFormat="1" x14ac:dyDescent="0.2">
      <c r="A11" s="8">
        <v>10</v>
      </c>
      <c r="B11" s="34" t="s">
        <v>0</v>
      </c>
      <c r="C11" s="35"/>
      <c r="D11" s="30" t="s">
        <v>209</v>
      </c>
      <c r="E11" s="33" t="s">
        <v>7</v>
      </c>
      <c r="F11" s="41"/>
      <c r="G11" s="30"/>
      <c r="H11" s="42"/>
      <c r="I11" s="43"/>
      <c r="J11" s="38"/>
      <c r="K11" s="38"/>
      <c r="L11" s="38"/>
      <c r="M11" s="38"/>
      <c r="N11" s="33"/>
      <c r="O11" s="33"/>
      <c r="P11" s="33"/>
      <c r="Q11" s="33"/>
      <c r="R11" s="43"/>
      <c r="S11" s="41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191</v>
      </c>
      <c r="E12" s="32" t="s">
        <v>192</v>
      </c>
      <c r="F12" s="32"/>
      <c r="G12" s="66" t="s">
        <v>495</v>
      </c>
      <c r="H12" s="66" t="s">
        <v>345</v>
      </c>
      <c r="I12" s="8" t="s">
        <v>194</v>
      </c>
      <c r="J12" s="8" t="s">
        <v>194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33</v>
      </c>
      <c r="E13" s="32" t="s">
        <v>44</v>
      </c>
      <c r="F13" s="32"/>
      <c r="G13" s="66" t="s">
        <v>398</v>
      </c>
      <c r="H13" s="66" t="s">
        <v>253</v>
      </c>
      <c r="I13" s="8" t="s">
        <v>234</v>
      </c>
      <c r="J13" s="8" t="s">
        <v>194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210</v>
      </c>
      <c r="E14" s="32" t="s">
        <v>64</v>
      </c>
      <c r="F14" s="32"/>
      <c r="G14" s="66" t="s">
        <v>412</v>
      </c>
      <c r="H14" s="66" t="s">
        <v>258</v>
      </c>
      <c r="I14" s="8" t="s">
        <v>234</v>
      </c>
      <c r="J14" s="8" t="s">
        <v>194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60</v>
      </c>
      <c r="E15" s="32" t="s">
        <v>65</v>
      </c>
      <c r="F15" s="32"/>
      <c r="G15" s="66" t="s">
        <v>413</v>
      </c>
      <c r="H15" s="66" t="s">
        <v>275</v>
      </c>
      <c r="I15" s="8" t="s">
        <v>234</v>
      </c>
      <c r="J15" s="8" t="s">
        <v>194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61</v>
      </c>
      <c r="E16" s="32" t="s">
        <v>66</v>
      </c>
      <c r="F16" s="32"/>
      <c r="G16" s="66" t="s">
        <v>414</v>
      </c>
      <c r="H16" s="66" t="s">
        <v>276</v>
      </c>
      <c r="I16" s="8" t="s">
        <v>234</v>
      </c>
      <c r="J16" s="8" t="s">
        <v>194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62</v>
      </c>
      <c r="E17" s="32" t="s">
        <v>67</v>
      </c>
      <c r="F17" s="32"/>
      <c r="G17" s="66" t="s">
        <v>415</v>
      </c>
      <c r="H17" s="66" t="s">
        <v>277</v>
      </c>
      <c r="I17" s="8" t="s">
        <v>234</v>
      </c>
      <c r="J17" s="8" t="s">
        <v>194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211</v>
      </c>
      <c r="E18" s="32" t="s">
        <v>51</v>
      </c>
      <c r="F18" s="32"/>
      <c r="G18" s="66" t="s">
        <v>407</v>
      </c>
      <c r="H18" s="66" t="s">
        <v>235</v>
      </c>
      <c r="I18" s="8" t="s">
        <v>234</v>
      </c>
      <c r="J18" s="8" t="s">
        <v>194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149</v>
      </c>
      <c r="E19" s="32" t="s">
        <v>150</v>
      </c>
      <c r="F19" s="32"/>
      <c r="G19" s="66" t="s">
        <v>449</v>
      </c>
      <c r="H19" s="66" t="s">
        <v>307</v>
      </c>
      <c r="I19" s="8" t="s">
        <v>234</v>
      </c>
      <c r="J19" s="8" t="s">
        <v>194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94</v>
      </c>
      <c r="E20" s="32" t="s">
        <v>51</v>
      </c>
      <c r="F20" s="32"/>
      <c r="G20" s="66" t="s">
        <v>451</v>
      </c>
      <c r="H20" s="66" t="s">
        <v>309</v>
      </c>
      <c r="I20" s="8" t="s">
        <v>234</v>
      </c>
      <c r="J20" s="8" t="s">
        <v>194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95</v>
      </c>
      <c r="E21" s="32" t="s">
        <v>96</v>
      </c>
      <c r="F21" s="32"/>
      <c r="G21" s="66" t="s">
        <v>454</v>
      </c>
      <c r="H21" s="66" t="s">
        <v>312</v>
      </c>
      <c r="I21" s="8" t="s">
        <v>234</v>
      </c>
      <c r="J21" s="8" t="s">
        <v>194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8">
        <v>10</v>
      </c>
      <c r="B22" s="8"/>
      <c r="C22" s="8"/>
      <c r="D22" s="8" t="s">
        <v>97</v>
      </c>
      <c r="E22" s="32" t="s">
        <v>99</v>
      </c>
      <c r="F22" s="32"/>
      <c r="G22" s="66" t="s">
        <v>455</v>
      </c>
      <c r="H22" s="66" t="s">
        <v>313</v>
      </c>
      <c r="I22" s="8" t="s">
        <v>234</v>
      </c>
      <c r="J22" s="8" t="s">
        <v>194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8">
        <v>10</v>
      </c>
      <c r="B23" s="8"/>
      <c r="C23" s="8"/>
      <c r="D23" s="8" t="s">
        <v>101</v>
      </c>
      <c r="E23" s="32" t="s">
        <v>99</v>
      </c>
      <c r="F23" s="32"/>
      <c r="G23" s="66" t="s">
        <v>457</v>
      </c>
      <c r="H23" s="66" t="s">
        <v>314</v>
      </c>
      <c r="I23" s="8" t="s">
        <v>234</v>
      </c>
      <c r="J23" s="8" t="s">
        <v>194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8">
        <v>10</v>
      </c>
      <c r="B24" s="8"/>
      <c r="C24" s="8"/>
      <c r="D24" s="8" t="s">
        <v>103</v>
      </c>
      <c r="E24" s="32" t="s">
        <v>105</v>
      </c>
      <c r="F24" s="32"/>
      <c r="G24" s="66" t="s">
        <v>459</v>
      </c>
      <c r="H24" s="66" t="s">
        <v>316</v>
      </c>
      <c r="I24" s="8" t="s">
        <v>234</v>
      </c>
      <c r="J24" s="8" t="s">
        <v>194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8">
        <v>10</v>
      </c>
      <c r="B25" s="8"/>
      <c r="C25" s="8"/>
      <c r="D25" s="8" t="s">
        <v>110</v>
      </c>
      <c r="E25" s="32" t="s">
        <v>116</v>
      </c>
      <c r="F25" s="32"/>
      <c r="G25" s="66" t="s">
        <v>466</v>
      </c>
      <c r="H25" s="66" t="s">
        <v>319</v>
      </c>
      <c r="I25" s="8" t="s">
        <v>234</v>
      </c>
      <c r="J25" s="8" t="s">
        <v>194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8">
        <v>10</v>
      </c>
      <c r="B26" s="8"/>
      <c r="C26" s="8"/>
      <c r="D26" s="8" t="s">
        <v>212</v>
      </c>
      <c r="E26" s="32" t="s">
        <v>44</v>
      </c>
      <c r="F26" s="32"/>
      <c r="G26" s="66" t="s">
        <v>496</v>
      </c>
      <c r="H26" s="66" t="s">
        <v>346</v>
      </c>
      <c r="I26" s="8" t="s">
        <v>234</v>
      </c>
      <c r="J26" s="8" t="s">
        <v>234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x14ac:dyDescent="0.2">
      <c r="A27" s="8">
        <v>10</v>
      </c>
      <c r="B27" s="8"/>
      <c r="C27" s="8"/>
      <c r="D27" s="8" t="s">
        <v>169</v>
      </c>
      <c r="E27" s="32" t="s">
        <v>44</v>
      </c>
      <c r="F27" s="32"/>
      <c r="G27" s="66" t="s">
        <v>497</v>
      </c>
      <c r="H27" s="66" t="s">
        <v>347</v>
      </c>
      <c r="I27" s="8" t="s">
        <v>234</v>
      </c>
      <c r="J27" s="8" t="s">
        <v>234</v>
      </c>
      <c r="K27" s="8"/>
      <c r="L27" s="8"/>
      <c r="M27" s="8"/>
      <c r="N27" s="8"/>
      <c r="O27" s="8"/>
      <c r="P27" s="8"/>
      <c r="Q27" s="8"/>
      <c r="R27" s="63"/>
      <c r="S27" s="64"/>
      <c r="T27" s="61"/>
      <c r="U27" s="62"/>
    </row>
    <row r="28" spans="1:21" s="10" customFormat="1" x14ac:dyDescent="0.2">
      <c r="A28" s="28"/>
      <c r="B28" s="29"/>
      <c r="C28" s="29"/>
      <c r="D28" s="48" t="s">
        <v>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22"/>
    </row>
    <row r="29" spans="1:21" s="10" customFormat="1" x14ac:dyDescent="0.2">
      <c r="A29" s="53"/>
      <c r="U29" s="44"/>
    </row>
    <row r="30" spans="1:21" s="10" customFormat="1" x14ac:dyDescent="0.2">
      <c r="A30" s="53"/>
      <c r="U30" s="44"/>
    </row>
    <row r="31" spans="1:21" s="10" customFormat="1" x14ac:dyDescent="0.2">
      <c r="A31" s="53"/>
      <c r="U31" s="44"/>
    </row>
    <row r="32" spans="1:21" s="10" customFormat="1" x14ac:dyDescent="0.2">
      <c r="A32" s="53"/>
      <c r="U32" s="44"/>
    </row>
    <row r="33" spans="1:21" s="10" customFormat="1" x14ac:dyDescent="0.2">
      <c r="A33" s="53"/>
      <c r="U33" s="44"/>
    </row>
    <row r="34" spans="1:21" s="10" customFormat="1" x14ac:dyDescent="0.2">
      <c r="A34" s="53"/>
      <c r="U34" s="44"/>
    </row>
    <row r="35" spans="1:21" s="10" customFormat="1" x14ac:dyDescent="0.2">
      <c r="A35" s="53"/>
      <c r="U35" s="44"/>
    </row>
    <row r="36" spans="1:21" s="10" customFormat="1" x14ac:dyDescent="0.2">
      <c r="A36" s="53"/>
      <c r="U36" s="44"/>
    </row>
    <row r="37" spans="1:21" s="10" customFormat="1" x14ac:dyDescent="0.2">
      <c r="A37" s="53"/>
      <c r="U37" s="44"/>
    </row>
    <row r="38" spans="1:21" s="10" customFormat="1" x14ac:dyDescent="0.2">
      <c r="A38" s="53"/>
      <c r="U38" s="44"/>
    </row>
    <row r="39" spans="1:21" s="10" customFormat="1" x14ac:dyDescent="0.2">
      <c r="A39" s="53"/>
      <c r="U39" s="44"/>
    </row>
    <row r="40" spans="1:21" s="10" customFormat="1" x14ac:dyDescent="0.2">
      <c r="A40" s="53"/>
      <c r="U40" s="44"/>
    </row>
    <row r="41" spans="1:21" s="10" customFormat="1" x14ac:dyDescent="0.2">
      <c r="A41" s="53"/>
      <c r="U41" s="44"/>
    </row>
    <row r="42" spans="1:21" s="10" customFormat="1" x14ac:dyDescent="0.2">
      <c r="A42" s="58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50"/>
    </row>
  </sheetData>
  <mergeCells count="34">
    <mergeCell ref="T8:U8"/>
    <mergeCell ref="R9:S9"/>
    <mergeCell ref="T9:U9"/>
    <mergeCell ref="R15:S15"/>
    <mergeCell ref="T15:U15"/>
    <mergeCell ref="R12:S12"/>
    <mergeCell ref="T12:U12"/>
    <mergeCell ref="R13:S13"/>
    <mergeCell ref="T13:U13"/>
    <mergeCell ref="R14:S14"/>
    <mergeCell ref="T14:U14"/>
    <mergeCell ref="T11:U11"/>
    <mergeCell ref="R21:S21"/>
    <mergeCell ref="T21:U21"/>
    <mergeCell ref="R18:S18"/>
    <mergeCell ref="T18:U18"/>
    <mergeCell ref="R16:S16"/>
    <mergeCell ref="T16:U16"/>
    <mergeCell ref="R17:S17"/>
    <mergeCell ref="T17:U17"/>
    <mergeCell ref="R20:S20"/>
    <mergeCell ref="T20:U20"/>
    <mergeCell ref="R19:S19"/>
    <mergeCell ref="T19:U19"/>
    <mergeCell ref="R26:S26"/>
    <mergeCell ref="T26:U26"/>
    <mergeCell ref="R24:S24"/>
    <mergeCell ref="T24:U24"/>
    <mergeCell ref="R22:S22"/>
    <mergeCell ref="T22:U22"/>
    <mergeCell ref="R23:S23"/>
    <mergeCell ref="T23:U23"/>
    <mergeCell ref="R25:S25"/>
    <mergeCell ref="T25:U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3" width="16.36328125" style="4" customWidth="1"/>
    <col min="14" max="14" width="50.6328125" style="4" customWidth="1"/>
    <col min="15" max="18" width="16.36328125" style="4" customWidth="1"/>
    <col min="19" max="34" width="16.36328125" style="5" customWidth="1"/>
    <col min="35" max="35" width="30.81640625" style="5" customWidth="1"/>
    <col min="36" max="38" width="16.36328125" style="5" customWidth="1"/>
    <col min="39" max="16384" width="9" style="5"/>
  </cols>
  <sheetData>
    <row r="1" spans="1:38" s="10" customFormat="1" x14ac:dyDescent="0.2">
      <c r="A1" s="51" t="s">
        <v>260</v>
      </c>
      <c r="B1" s="51" t="s">
        <v>260</v>
      </c>
      <c r="C1" s="51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8" t="s">
        <v>260</v>
      </c>
      <c r="B2" s="29"/>
      <c r="C2" s="29"/>
      <c r="D2" s="72" t="s">
        <v>384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MSBEL0170</v>
      </c>
      <c r="I2" s="7" t="s">
        <v>261</v>
      </c>
      <c r="J2" s="8" t="s">
        <v>197</v>
      </c>
      <c r="K2" s="7" t="s">
        <v>22</v>
      </c>
      <c r="L2" s="52" t="str">
        <f>IF(LogicCommon!G2="","",LogicCommon!G2)</f>
        <v>MC</v>
      </c>
      <c r="M2" s="5" t="s">
        <v>262</v>
      </c>
      <c r="N2" s="30" t="s">
        <v>365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3" t="s">
        <v>260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MSBE</v>
      </c>
      <c r="G3" s="7" t="s">
        <v>4</v>
      </c>
      <c r="H3" s="52" t="str">
        <f>IF(LogicCommon!E3="","",LogicCommon!E3)</f>
        <v>MSBEL_OPStkRpl</v>
      </c>
      <c r="I3" s="7" t="s">
        <v>232</v>
      </c>
      <c r="J3" s="8" t="s">
        <v>197</v>
      </c>
      <c r="K3" s="7" t="s">
        <v>24</v>
      </c>
      <c r="L3" s="52" t="str">
        <f>IF(LogicCommon!G3="","",LogicCommon!G3)</f>
        <v/>
      </c>
      <c r="M3" s="56"/>
      <c r="N3" s="7"/>
      <c r="O3" s="7" t="s">
        <v>263</v>
      </c>
      <c r="P3" s="8" t="s">
        <v>248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3" t="s">
        <v>260</v>
      </c>
      <c r="B4" s="54"/>
      <c r="C4" s="54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52" t="str">
        <f>IF(LogicCommon!E4="","",LogicCommon!E4)</f>
        <v>発注点在庫補充</v>
      </c>
      <c r="I4" s="7" t="s">
        <v>264</v>
      </c>
      <c r="J4" s="8" t="s">
        <v>196</v>
      </c>
      <c r="K4" s="7" t="s">
        <v>25</v>
      </c>
      <c r="L4" s="52" t="str">
        <f>IF(LogicCommon!G4="","",LogicCommon!G4)</f>
        <v>MS.MSUDL5010</v>
      </c>
      <c r="M4" s="57" t="s">
        <v>265</v>
      </c>
      <c r="N4" s="30"/>
      <c r="O4" s="1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260</v>
      </c>
      <c r="B5" s="51"/>
      <c r="C5" s="51"/>
      <c r="D5" s="27"/>
      <c r="E5" s="7" t="s">
        <v>12</v>
      </c>
      <c r="F5" s="9"/>
      <c r="G5" s="59"/>
      <c r="H5" s="59"/>
      <c r="I5" s="59"/>
      <c r="J5" s="59"/>
      <c r="K5" s="59"/>
      <c r="L5" s="6"/>
      <c r="M5" s="5"/>
      <c r="N5" s="5"/>
      <c r="O5" s="1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3" t="s">
        <v>260</v>
      </c>
      <c r="B6" s="54"/>
      <c r="C6" s="54"/>
      <c r="D6" s="4" t="s">
        <v>15</v>
      </c>
      <c r="E6" s="16"/>
      <c r="F6" s="16"/>
      <c r="G6" s="16"/>
      <c r="H6" s="16"/>
      <c r="I6" s="16"/>
      <c r="J6" s="16"/>
      <c r="K6" s="16"/>
      <c r="L6" s="60"/>
      <c r="M6" s="49"/>
      <c r="N6" s="49"/>
      <c r="O6" s="49"/>
      <c r="P6" s="49"/>
      <c r="Q6" s="49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259</v>
      </c>
      <c r="AE6" s="5"/>
      <c r="AF6" s="5" t="s">
        <v>259</v>
      </c>
      <c r="AG6" s="5"/>
      <c r="AH6" s="5" t="s">
        <v>259</v>
      </c>
      <c r="AI6" s="5"/>
      <c r="AJ6" s="5"/>
      <c r="AK6" s="5"/>
      <c r="AL6" s="5"/>
    </row>
    <row r="7" spans="1:38" s="10" customFormat="1" x14ac:dyDescent="0.2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172</v>
      </c>
      <c r="L7" s="8" t="s">
        <v>172</v>
      </c>
      <c r="M7" s="8" t="s">
        <v>172</v>
      </c>
      <c r="N7" s="8" t="s">
        <v>172</v>
      </c>
      <c r="O7" s="8" t="s">
        <v>172</v>
      </c>
      <c r="P7" s="8" t="s">
        <v>172</v>
      </c>
      <c r="Q7" s="8" t="s">
        <v>172</v>
      </c>
      <c r="R7" s="8" t="s">
        <v>172</v>
      </c>
      <c r="S7" s="8" t="s">
        <v>172</v>
      </c>
      <c r="T7" s="8" t="s">
        <v>172</v>
      </c>
      <c r="U7" s="8" t="s">
        <v>172</v>
      </c>
      <c r="V7" s="8" t="s">
        <v>172</v>
      </c>
      <c r="W7" s="8" t="s">
        <v>172</v>
      </c>
      <c r="X7" s="8" t="s">
        <v>172</v>
      </c>
      <c r="Y7" s="8" t="s">
        <v>172</v>
      </c>
      <c r="Z7" s="8" t="s">
        <v>172</v>
      </c>
      <c r="AA7" s="8" t="s">
        <v>172</v>
      </c>
      <c r="AB7" s="8" t="s">
        <v>172</v>
      </c>
      <c r="AC7" s="31" t="s">
        <v>10</v>
      </c>
      <c r="AD7" s="32"/>
      <c r="AE7" s="31" t="s">
        <v>10</v>
      </c>
      <c r="AF7" s="32"/>
      <c r="AG7" s="31" t="s">
        <v>10</v>
      </c>
      <c r="AH7" s="32"/>
      <c r="AI7" s="4"/>
      <c r="AJ7" s="4"/>
      <c r="AK7" s="4"/>
      <c r="AL7" s="4"/>
    </row>
    <row r="8" spans="1:38" s="10" customFormat="1" ht="60" customHeight="1" x14ac:dyDescent="0.2">
      <c r="A8" s="32" t="s">
        <v>8</v>
      </c>
      <c r="B8" s="73"/>
      <c r="C8" s="74"/>
      <c r="D8" s="31" t="s">
        <v>385</v>
      </c>
      <c r="E8" s="31" t="s">
        <v>386</v>
      </c>
      <c r="F8" s="60"/>
      <c r="G8" s="31" t="s">
        <v>344</v>
      </c>
      <c r="H8" s="31" t="s">
        <v>387</v>
      </c>
      <c r="I8" s="60"/>
      <c r="J8" s="3"/>
      <c r="K8" s="8" t="s">
        <v>173</v>
      </c>
      <c r="L8" s="8" t="s">
        <v>174</v>
      </c>
      <c r="M8" s="8" t="s">
        <v>175</v>
      </c>
      <c r="N8" s="8" t="s">
        <v>176</v>
      </c>
      <c r="O8" s="8" t="s">
        <v>177</v>
      </c>
      <c r="P8" s="8" t="s">
        <v>178</v>
      </c>
      <c r="Q8" s="8" t="s">
        <v>179</v>
      </c>
      <c r="R8" s="8" t="s">
        <v>180</v>
      </c>
      <c r="S8" s="8" t="s">
        <v>181</v>
      </c>
      <c r="T8" s="8" t="s">
        <v>182</v>
      </c>
      <c r="U8" s="8" t="s">
        <v>183</v>
      </c>
      <c r="V8" s="8" t="s">
        <v>184</v>
      </c>
      <c r="W8" s="8" t="s">
        <v>185</v>
      </c>
      <c r="X8" s="8" t="s">
        <v>186</v>
      </c>
      <c r="Y8" s="8" t="s">
        <v>187</v>
      </c>
      <c r="Z8" s="8" t="s">
        <v>188</v>
      </c>
      <c r="AA8" s="8" t="s">
        <v>189</v>
      </c>
      <c r="AB8" s="8" t="s">
        <v>190</v>
      </c>
      <c r="AC8" s="31" t="s">
        <v>250</v>
      </c>
      <c r="AD8" s="32"/>
      <c r="AE8" s="31" t="s">
        <v>250</v>
      </c>
      <c r="AF8" s="32"/>
      <c r="AG8" s="31" t="s">
        <v>250</v>
      </c>
      <c r="AH8" s="32"/>
      <c r="AI8" s="3"/>
      <c r="AJ8" s="27"/>
      <c r="AK8" s="125" t="s">
        <v>388</v>
      </c>
      <c r="AL8" s="126"/>
    </row>
    <row r="9" spans="1:38" s="10" customFormat="1" ht="60" customHeight="1" x14ac:dyDescent="0.2">
      <c r="A9" s="8" t="s">
        <v>8</v>
      </c>
      <c r="B9" s="34"/>
      <c r="C9" s="35"/>
      <c r="D9" s="31" t="s">
        <v>389</v>
      </c>
      <c r="E9" s="63" t="s">
        <v>390</v>
      </c>
      <c r="F9" s="31" t="s">
        <v>391</v>
      </c>
      <c r="G9" s="31" t="s">
        <v>392</v>
      </c>
      <c r="H9" s="31" t="s">
        <v>393</v>
      </c>
      <c r="I9" s="64" t="s">
        <v>394</v>
      </c>
      <c r="J9" s="31" t="s">
        <v>395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31"/>
      <c r="AD9" s="31"/>
      <c r="AE9" s="31"/>
      <c r="AF9" s="31"/>
      <c r="AG9" s="31"/>
      <c r="AH9" s="31"/>
      <c r="AI9" s="125" t="s">
        <v>396</v>
      </c>
      <c r="AJ9" s="126"/>
      <c r="AK9" s="125" t="s">
        <v>397</v>
      </c>
      <c r="AL9" s="126"/>
    </row>
    <row r="10" spans="1:38" s="10" customFormat="1" ht="39" x14ac:dyDescent="0.2">
      <c r="A10" s="34" t="s">
        <v>8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31" t="s">
        <v>394</v>
      </c>
      <c r="AD10" s="31" t="s">
        <v>395</v>
      </c>
      <c r="AE10" s="31" t="s">
        <v>394</v>
      </c>
      <c r="AF10" s="31" t="s">
        <v>395</v>
      </c>
      <c r="AG10" s="31" t="s">
        <v>394</v>
      </c>
      <c r="AH10" s="31" t="s">
        <v>395</v>
      </c>
      <c r="AI10" s="36"/>
      <c r="AJ10" s="36"/>
      <c r="AK10" s="39"/>
      <c r="AL10" s="65"/>
    </row>
    <row r="11" spans="1:38" s="10" customFormat="1" x14ac:dyDescent="0.2">
      <c r="A11" s="8">
        <v>10</v>
      </c>
      <c r="B11" s="34" t="s">
        <v>0</v>
      </c>
      <c r="C11" s="35"/>
      <c r="D11" s="30" t="s">
        <v>202</v>
      </c>
      <c r="E11" s="33" t="s">
        <v>7</v>
      </c>
      <c r="F11" s="41"/>
      <c r="G11" s="30"/>
      <c r="H11" s="42"/>
      <c r="I11" s="43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3"/>
      <c r="AD11" s="33"/>
      <c r="AE11" s="33"/>
      <c r="AF11" s="33"/>
      <c r="AG11" s="33"/>
      <c r="AH11" s="33"/>
      <c r="AI11" s="43"/>
      <c r="AJ11" s="41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191</v>
      </c>
      <c r="E12" s="32" t="s">
        <v>192</v>
      </c>
      <c r="F12" s="32"/>
      <c r="G12" s="66" t="s">
        <v>495</v>
      </c>
      <c r="H12" s="66" t="s">
        <v>345</v>
      </c>
      <c r="I12" s="8" t="s">
        <v>234</v>
      </c>
      <c r="J12" s="8" t="s">
        <v>234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3"/>
      <c r="AJ12" s="64"/>
      <c r="AK12" s="61"/>
      <c r="AL12" s="62"/>
    </row>
    <row r="13" spans="1:38" s="10" customFormat="1" x14ac:dyDescent="0.2">
      <c r="A13" s="8">
        <v>10</v>
      </c>
      <c r="B13" s="8"/>
      <c r="C13" s="8"/>
      <c r="D13" s="8" t="s">
        <v>33</v>
      </c>
      <c r="E13" s="32" t="s">
        <v>44</v>
      </c>
      <c r="F13" s="32"/>
      <c r="G13" s="66" t="s">
        <v>398</v>
      </c>
      <c r="H13" s="66" t="s">
        <v>253</v>
      </c>
      <c r="I13" s="8" t="s">
        <v>234</v>
      </c>
      <c r="J13" s="8" t="s">
        <v>234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59</v>
      </c>
      <c r="E14" s="32" t="s">
        <v>64</v>
      </c>
      <c r="F14" s="32"/>
      <c r="G14" s="66" t="s">
        <v>412</v>
      </c>
      <c r="H14" s="66" t="s">
        <v>258</v>
      </c>
      <c r="I14" s="8" t="s">
        <v>234</v>
      </c>
      <c r="J14" s="8" t="s">
        <v>234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5"/>
      <c r="AJ14" s="126"/>
      <c r="AK14" s="127"/>
      <c r="AL14" s="128"/>
    </row>
    <row r="15" spans="1:38" s="10" customFormat="1" x14ac:dyDescent="0.2">
      <c r="A15" s="8">
        <v>10</v>
      </c>
      <c r="B15" s="8"/>
      <c r="C15" s="8"/>
      <c r="D15" s="8" t="s">
        <v>60</v>
      </c>
      <c r="E15" s="32" t="s">
        <v>65</v>
      </c>
      <c r="F15" s="32"/>
      <c r="G15" s="66" t="s">
        <v>413</v>
      </c>
      <c r="H15" s="66" t="s">
        <v>275</v>
      </c>
      <c r="I15" s="8" t="s">
        <v>234</v>
      </c>
      <c r="J15" s="8" t="s">
        <v>234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5"/>
      <c r="AJ15" s="126"/>
      <c r="AK15" s="127"/>
      <c r="AL15" s="128"/>
    </row>
    <row r="16" spans="1:38" s="10" customFormat="1" x14ac:dyDescent="0.2">
      <c r="A16" s="8">
        <v>10</v>
      </c>
      <c r="B16" s="8"/>
      <c r="C16" s="8"/>
      <c r="D16" s="8" t="s">
        <v>61</v>
      </c>
      <c r="E16" s="32" t="s">
        <v>66</v>
      </c>
      <c r="F16" s="32"/>
      <c r="G16" s="66" t="s">
        <v>414</v>
      </c>
      <c r="H16" s="66" t="s">
        <v>276</v>
      </c>
      <c r="I16" s="8" t="s">
        <v>234</v>
      </c>
      <c r="J16" s="8" t="s">
        <v>234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7"/>
      <c r="AL16" s="128"/>
    </row>
    <row r="17" spans="1:38" s="10" customFormat="1" x14ac:dyDescent="0.2">
      <c r="A17" s="8">
        <v>10</v>
      </c>
      <c r="B17" s="8"/>
      <c r="C17" s="8"/>
      <c r="D17" s="8" t="s">
        <v>62</v>
      </c>
      <c r="E17" s="32" t="s">
        <v>67</v>
      </c>
      <c r="F17" s="32"/>
      <c r="G17" s="66" t="s">
        <v>415</v>
      </c>
      <c r="H17" s="66" t="s">
        <v>277</v>
      </c>
      <c r="I17" s="8" t="s">
        <v>234</v>
      </c>
      <c r="J17" s="8" t="s">
        <v>234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7"/>
      <c r="AL17" s="128"/>
    </row>
    <row r="18" spans="1:38" s="10" customFormat="1" x14ac:dyDescent="0.2">
      <c r="A18" s="8">
        <v>10</v>
      </c>
      <c r="B18" s="8"/>
      <c r="C18" s="8"/>
      <c r="D18" s="8" t="s">
        <v>228</v>
      </c>
      <c r="E18" s="32" t="s">
        <v>229</v>
      </c>
      <c r="F18" s="32"/>
      <c r="G18" s="66" t="s">
        <v>448</v>
      </c>
      <c r="H18" s="66" t="s">
        <v>240</v>
      </c>
      <c r="I18" s="8" t="s">
        <v>194</v>
      </c>
      <c r="J18" s="8" t="s">
        <v>234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7"/>
      <c r="AL18" s="128"/>
    </row>
    <row r="19" spans="1:38" s="10" customFormat="1" x14ac:dyDescent="0.2">
      <c r="A19" s="8">
        <v>10</v>
      </c>
      <c r="B19" s="8"/>
      <c r="C19" s="8"/>
      <c r="D19" s="8" t="s">
        <v>213</v>
      </c>
      <c r="E19" s="32" t="s">
        <v>107</v>
      </c>
      <c r="F19" s="32"/>
      <c r="G19" s="66" t="s">
        <v>498</v>
      </c>
      <c r="H19" s="66" t="s">
        <v>348</v>
      </c>
      <c r="I19" s="8" t="s">
        <v>194</v>
      </c>
      <c r="J19" s="8" t="s">
        <v>234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5"/>
      <c r="AJ19" s="126"/>
      <c r="AK19" s="127"/>
      <c r="AL19" s="128"/>
    </row>
    <row r="20" spans="1:38" s="10" customFormat="1" x14ac:dyDescent="0.2">
      <c r="A20" s="8">
        <v>10</v>
      </c>
      <c r="B20" s="8"/>
      <c r="C20" s="8"/>
      <c r="D20" s="8" t="s">
        <v>222</v>
      </c>
      <c r="E20" s="32" t="s">
        <v>223</v>
      </c>
      <c r="F20" s="32"/>
      <c r="G20" s="66" t="s">
        <v>476</v>
      </c>
      <c r="H20" s="66" t="s">
        <v>328</v>
      </c>
      <c r="I20" s="8" t="s">
        <v>194</v>
      </c>
      <c r="J20" s="8" t="s">
        <v>234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5"/>
      <c r="AJ20" s="126"/>
      <c r="AK20" s="127"/>
      <c r="AL20" s="128"/>
    </row>
    <row r="21" spans="1:38" s="10" customFormat="1" x14ac:dyDescent="0.2">
      <c r="A21" s="8">
        <v>10</v>
      </c>
      <c r="B21" s="8"/>
      <c r="C21" s="8"/>
      <c r="D21" s="8" t="s">
        <v>42</v>
      </c>
      <c r="E21" s="32" t="s">
        <v>51</v>
      </c>
      <c r="F21" s="32"/>
      <c r="G21" s="66" t="s">
        <v>407</v>
      </c>
      <c r="H21" s="66" t="s">
        <v>235</v>
      </c>
      <c r="I21" s="8" t="s">
        <v>234</v>
      </c>
      <c r="J21" s="8" t="s">
        <v>234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5"/>
      <c r="AJ21" s="126"/>
      <c r="AK21" s="127"/>
      <c r="AL21" s="128"/>
    </row>
    <row r="22" spans="1:38" s="10" customFormat="1" x14ac:dyDescent="0.2">
      <c r="A22" s="8">
        <v>10</v>
      </c>
      <c r="B22" s="8"/>
      <c r="C22" s="8"/>
      <c r="D22" s="8" t="s">
        <v>121</v>
      </c>
      <c r="E22" s="32" t="s">
        <v>47</v>
      </c>
      <c r="F22" s="32"/>
      <c r="G22" s="66" t="s">
        <v>403</v>
      </c>
      <c r="H22" s="66" t="s">
        <v>349</v>
      </c>
      <c r="I22" s="8" t="s">
        <v>194</v>
      </c>
      <c r="J22" s="8" t="s">
        <v>234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3"/>
      <c r="AJ22" s="64"/>
      <c r="AK22" s="61"/>
      <c r="AL22" s="62"/>
    </row>
    <row r="23" spans="1:38" s="10" customFormat="1" ht="26" x14ac:dyDescent="0.2">
      <c r="A23" s="8">
        <v>10</v>
      </c>
      <c r="B23" s="8"/>
      <c r="C23" s="8"/>
      <c r="D23" s="8" t="s">
        <v>117</v>
      </c>
      <c r="E23" s="32" t="s">
        <v>45</v>
      </c>
      <c r="F23" s="32"/>
      <c r="G23" s="66" t="s">
        <v>401</v>
      </c>
      <c r="H23" s="66" t="s">
        <v>350</v>
      </c>
      <c r="I23" s="8" t="s">
        <v>194</v>
      </c>
      <c r="J23" s="8" t="s">
        <v>234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3"/>
      <c r="AJ23" s="64"/>
      <c r="AK23" s="61"/>
      <c r="AL23" s="62"/>
    </row>
    <row r="24" spans="1:38" s="10" customFormat="1" x14ac:dyDescent="0.2">
      <c r="A24" s="8">
        <v>10</v>
      </c>
      <c r="B24" s="8"/>
      <c r="C24" s="8"/>
      <c r="D24" s="8" t="s">
        <v>149</v>
      </c>
      <c r="E24" s="32" t="s">
        <v>150</v>
      </c>
      <c r="F24" s="32"/>
      <c r="G24" s="66" t="s">
        <v>449</v>
      </c>
      <c r="H24" s="66" t="s">
        <v>307</v>
      </c>
      <c r="I24" s="8" t="s">
        <v>234</v>
      </c>
      <c r="J24" s="8" t="s">
        <v>234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5"/>
      <c r="AJ24" s="126"/>
      <c r="AK24" s="127"/>
      <c r="AL24" s="128"/>
    </row>
    <row r="25" spans="1:38" s="10" customFormat="1" x14ac:dyDescent="0.2">
      <c r="A25" s="8">
        <v>10</v>
      </c>
      <c r="B25" s="8"/>
      <c r="C25" s="8"/>
      <c r="D25" s="8" t="s">
        <v>94</v>
      </c>
      <c r="E25" s="32" t="s">
        <v>51</v>
      </c>
      <c r="F25" s="32"/>
      <c r="G25" s="66" t="s">
        <v>451</v>
      </c>
      <c r="H25" s="66" t="s">
        <v>309</v>
      </c>
      <c r="I25" s="8" t="s">
        <v>234</v>
      </c>
      <c r="J25" s="8" t="s">
        <v>234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5"/>
      <c r="AJ25" s="126"/>
      <c r="AK25" s="127"/>
      <c r="AL25" s="128"/>
    </row>
    <row r="26" spans="1:38" s="10" customFormat="1" x14ac:dyDescent="0.2">
      <c r="A26" s="8">
        <v>10</v>
      </c>
      <c r="B26" s="8"/>
      <c r="C26" s="8"/>
      <c r="D26" s="8" t="s">
        <v>95</v>
      </c>
      <c r="E26" s="32" t="s">
        <v>96</v>
      </c>
      <c r="F26" s="32"/>
      <c r="G26" s="66" t="s">
        <v>454</v>
      </c>
      <c r="H26" s="66" t="s">
        <v>312</v>
      </c>
      <c r="I26" s="8" t="s">
        <v>234</v>
      </c>
      <c r="J26" s="8" t="s">
        <v>234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5"/>
      <c r="AJ26" s="126"/>
      <c r="AK26" s="127"/>
      <c r="AL26" s="128"/>
    </row>
    <row r="27" spans="1:38" s="10" customFormat="1" x14ac:dyDescent="0.2">
      <c r="A27" s="8">
        <v>10</v>
      </c>
      <c r="B27" s="8"/>
      <c r="C27" s="8"/>
      <c r="D27" s="8" t="s">
        <v>97</v>
      </c>
      <c r="E27" s="32" t="s">
        <v>99</v>
      </c>
      <c r="F27" s="32"/>
      <c r="G27" s="66" t="s">
        <v>455</v>
      </c>
      <c r="H27" s="66" t="s">
        <v>313</v>
      </c>
      <c r="I27" s="8" t="s">
        <v>234</v>
      </c>
      <c r="J27" s="8" t="s">
        <v>234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5"/>
      <c r="AJ27" s="126"/>
      <c r="AK27" s="127"/>
      <c r="AL27" s="128"/>
    </row>
    <row r="28" spans="1:38" s="10" customFormat="1" x14ac:dyDescent="0.2">
      <c r="A28" s="8">
        <v>10</v>
      </c>
      <c r="B28" s="8"/>
      <c r="C28" s="8"/>
      <c r="D28" s="8" t="s">
        <v>101</v>
      </c>
      <c r="E28" s="32" t="s">
        <v>99</v>
      </c>
      <c r="F28" s="32"/>
      <c r="G28" s="66" t="s">
        <v>457</v>
      </c>
      <c r="H28" s="66" t="s">
        <v>314</v>
      </c>
      <c r="I28" s="8" t="s">
        <v>234</v>
      </c>
      <c r="J28" s="8" t="s">
        <v>234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5"/>
      <c r="AJ28" s="126"/>
      <c r="AK28" s="127"/>
      <c r="AL28" s="128"/>
    </row>
    <row r="29" spans="1:38" s="10" customFormat="1" x14ac:dyDescent="0.2">
      <c r="A29" s="8">
        <v>10</v>
      </c>
      <c r="B29" s="8"/>
      <c r="C29" s="8"/>
      <c r="D29" s="8" t="s">
        <v>103</v>
      </c>
      <c r="E29" s="32" t="s">
        <v>105</v>
      </c>
      <c r="F29" s="32"/>
      <c r="G29" s="66" t="s">
        <v>459</v>
      </c>
      <c r="H29" s="66" t="s">
        <v>316</v>
      </c>
      <c r="I29" s="8" t="s">
        <v>234</v>
      </c>
      <c r="J29" s="8" t="s">
        <v>234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5"/>
      <c r="AJ29" s="126"/>
      <c r="AK29" s="127"/>
      <c r="AL29" s="128"/>
    </row>
    <row r="30" spans="1:38" s="10" customFormat="1" x14ac:dyDescent="0.2">
      <c r="A30" s="8">
        <v>10</v>
      </c>
      <c r="B30" s="8"/>
      <c r="C30" s="8"/>
      <c r="D30" s="8" t="s">
        <v>369</v>
      </c>
      <c r="E30" s="32" t="s">
        <v>366</v>
      </c>
      <c r="F30" s="32"/>
      <c r="G30" s="66" t="s">
        <v>462</v>
      </c>
      <c r="H30" s="66" t="s">
        <v>371</v>
      </c>
      <c r="I30" s="8" t="s">
        <v>234</v>
      </c>
      <c r="J30" s="8" t="s">
        <v>234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5"/>
      <c r="AJ30" s="126"/>
      <c r="AK30" s="127"/>
      <c r="AL30" s="128"/>
    </row>
    <row r="31" spans="1:38" s="10" customFormat="1" x14ac:dyDescent="0.2">
      <c r="A31" s="8">
        <v>10</v>
      </c>
      <c r="B31" s="8"/>
      <c r="C31" s="8"/>
      <c r="D31" s="8" t="s">
        <v>123</v>
      </c>
      <c r="E31" s="32" t="s">
        <v>47</v>
      </c>
      <c r="F31" s="32"/>
      <c r="G31" s="66" t="s">
        <v>491</v>
      </c>
      <c r="H31" s="66" t="s">
        <v>351</v>
      </c>
      <c r="I31" s="8" t="s">
        <v>234</v>
      </c>
      <c r="J31" s="8" t="s">
        <v>234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3"/>
      <c r="AJ31" s="64"/>
      <c r="AK31" s="61"/>
      <c r="AL31" s="62"/>
    </row>
    <row r="32" spans="1:38" s="10" customFormat="1" x14ac:dyDescent="0.2">
      <c r="A32" s="8">
        <v>10</v>
      </c>
      <c r="B32" s="8"/>
      <c r="C32" s="8"/>
      <c r="D32" s="8" t="s">
        <v>110</v>
      </c>
      <c r="E32" s="32" t="s">
        <v>116</v>
      </c>
      <c r="F32" s="32"/>
      <c r="G32" s="66" t="s">
        <v>466</v>
      </c>
      <c r="H32" s="66" t="s">
        <v>319</v>
      </c>
      <c r="I32" s="8" t="s">
        <v>234</v>
      </c>
      <c r="J32" s="8" t="s">
        <v>234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5"/>
      <c r="AJ32" s="126"/>
      <c r="AK32" s="127"/>
      <c r="AL32" s="128"/>
    </row>
    <row r="33" spans="1:38" s="10" customFormat="1" x14ac:dyDescent="0.2">
      <c r="A33" s="8">
        <v>10</v>
      </c>
      <c r="B33" s="8"/>
      <c r="C33" s="8"/>
      <c r="D33" s="8" t="s">
        <v>168</v>
      </c>
      <c r="E33" s="32" t="s">
        <v>44</v>
      </c>
      <c r="F33" s="32"/>
      <c r="G33" s="66" t="s">
        <v>496</v>
      </c>
      <c r="H33" s="66" t="s">
        <v>346</v>
      </c>
      <c r="I33" s="8" t="s">
        <v>234</v>
      </c>
      <c r="J33" s="8" t="s">
        <v>234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5"/>
      <c r="AJ33" s="126"/>
      <c r="AK33" s="127"/>
      <c r="AL33" s="128"/>
    </row>
    <row r="34" spans="1:38" s="10" customFormat="1" x14ac:dyDescent="0.2">
      <c r="A34" s="8">
        <v>10</v>
      </c>
      <c r="B34" s="8"/>
      <c r="C34" s="8"/>
      <c r="D34" s="8" t="s">
        <v>169</v>
      </c>
      <c r="E34" s="32" t="s">
        <v>44</v>
      </c>
      <c r="F34" s="32"/>
      <c r="G34" s="66" t="s">
        <v>497</v>
      </c>
      <c r="H34" s="66" t="s">
        <v>347</v>
      </c>
      <c r="I34" s="8" t="s">
        <v>234</v>
      </c>
      <c r="J34" s="8" t="s">
        <v>234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5"/>
      <c r="AJ34" s="126"/>
      <c r="AK34" s="127"/>
      <c r="AL34" s="128"/>
    </row>
    <row r="35" spans="1:38" s="10" customFormat="1" x14ac:dyDescent="0.2">
      <c r="A35" s="8">
        <v>10</v>
      </c>
      <c r="B35" s="8"/>
      <c r="C35" s="8"/>
      <c r="D35" s="8" t="s">
        <v>198</v>
      </c>
      <c r="E35" s="32" t="s">
        <v>199</v>
      </c>
      <c r="F35" s="32"/>
      <c r="G35" s="66" t="s">
        <v>477</v>
      </c>
      <c r="H35" s="66" t="s">
        <v>352</v>
      </c>
      <c r="I35" s="8" t="s">
        <v>234</v>
      </c>
      <c r="J35" s="8" t="s">
        <v>234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5"/>
      <c r="AJ35" s="126"/>
      <c r="AK35" s="127"/>
      <c r="AL35" s="128"/>
    </row>
    <row r="36" spans="1:38" s="10" customFormat="1" x14ac:dyDescent="0.2">
      <c r="A36" s="8">
        <v>10</v>
      </c>
      <c r="B36" s="8"/>
      <c r="C36" s="8"/>
      <c r="D36" s="8" t="s">
        <v>152</v>
      </c>
      <c r="E36" s="32" t="s">
        <v>153</v>
      </c>
      <c r="F36" s="32"/>
      <c r="G36" s="66" t="s">
        <v>499</v>
      </c>
      <c r="H36" s="66" t="s">
        <v>254</v>
      </c>
      <c r="I36" s="8" t="s">
        <v>234</v>
      </c>
      <c r="J36" s="8" t="s">
        <v>234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5"/>
      <c r="AJ36" s="126"/>
      <c r="AK36" s="127"/>
      <c r="AL36" s="128"/>
    </row>
    <row r="37" spans="1:38" s="10" customFormat="1" x14ac:dyDescent="0.2">
      <c r="A37" s="8">
        <v>10</v>
      </c>
      <c r="B37" s="8"/>
      <c r="C37" s="8"/>
      <c r="D37" s="8" t="s">
        <v>154</v>
      </c>
      <c r="E37" s="32" t="s">
        <v>155</v>
      </c>
      <c r="F37" s="32"/>
      <c r="G37" s="66" t="s">
        <v>500</v>
      </c>
      <c r="H37" s="66" t="s">
        <v>255</v>
      </c>
      <c r="I37" s="8" t="s">
        <v>234</v>
      </c>
      <c r="J37" s="8" t="s">
        <v>234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5"/>
      <c r="AJ37" s="126"/>
      <c r="AK37" s="127"/>
      <c r="AL37" s="128"/>
    </row>
    <row r="38" spans="1:38" s="10" customFormat="1" x14ac:dyDescent="0.2">
      <c r="A38" s="8">
        <v>10</v>
      </c>
      <c r="B38" s="8"/>
      <c r="C38" s="8"/>
      <c r="D38" s="8" t="s">
        <v>156</v>
      </c>
      <c r="E38" s="32" t="s">
        <v>157</v>
      </c>
      <c r="F38" s="32"/>
      <c r="G38" s="66" t="s">
        <v>501</v>
      </c>
      <c r="H38" s="66" t="s">
        <v>353</v>
      </c>
      <c r="I38" s="8" t="s">
        <v>234</v>
      </c>
      <c r="J38" s="8" t="s">
        <v>234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5"/>
      <c r="AJ38" s="126"/>
      <c r="AK38" s="127"/>
      <c r="AL38" s="128"/>
    </row>
    <row r="39" spans="1:38" s="10" customFormat="1" x14ac:dyDescent="0.2">
      <c r="A39" s="8">
        <v>10</v>
      </c>
      <c r="B39" s="8"/>
      <c r="C39" s="8"/>
      <c r="D39" s="8" t="s">
        <v>158</v>
      </c>
      <c r="E39" s="32" t="s">
        <v>159</v>
      </c>
      <c r="F39" s="32"/>
      <c r="G39" s="66" t="s">
        <v>502</v>
      </c>
      <c r="H39" s="66" t="s">
        <v>354</v>
      </c>
      <c r="I39" s="8" t="s">
        <v>234</v>
      </c>
      <c r="J39" s="8" t="s">
        <v>234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5"/>
      <c r="AJ39" s="126"/>
      <c r="AK39" s="127"/>
      <c r="AL39" s="128"/>
    </row>
    <row r="40" spans="1:38" s="10" customFormat="1" x14ac:dyDescent="0.2">
      <c r="A40" s="8">
        <v>10</v>
      </c>
      <c r="B40" s="8"/>
      <c r="C40" s="8"/>
      <c r="D40" s="8" t="s">
        <v>162</v>
      </c>
      <c r="E40" s="32" t="s">
        <v>163</v>
      </c>
      <c r="F40" s="32"/>
      <c r="G40" s="66" t="s">
        <v>503</v>
      </c>
      <c r="H40" s="66" t="s">
        <v>355</v>
      </c>
      <c r="I40" s="8" t="s">
        <v>234</v>
      </c>
      <c r="J40" s="8" t="s">
        <v>234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3"/>
      <c r="AJ40" s="64"/>
      <c r="AK40" s="61"/>
      <c r="AL40" s="62"/>
    </row>
    <row r="41" spans="1:38" s="10" customFormat="1" x14ac:dyDescent="0.2">
      <c r="A41" s="8">
        <v>10</v>
      </c>
      <c r="B41" s="8"/>
      <c r="C41" s="8"/>
      <c r="D41" s="8" t="s">
        <v>193</v>
      </c>
      <c r="E41" s="32" t="s">
        <v>130</v>
      </c>
      <c r="F41" s="32"/>
      <c r="G41" s="66" t="s">
        <v>504</v>
      </c>
      <c r="H41" s="66" t="s">
        <v>256</v>
      </c>
      <c r="I41" s="8" t="s">
        <v>194</v>
      </c>
      <c r="J41" s="8" t="s">
        <v>234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5"/>
      <c r="AJ41" s="126"/>
      <c r="AK41" s="127"/>
      <c r="AL41" s="128"/>
    </row>
    <row r="42" spans="1:38" s="10" customFormat="1" x14ac:dyDescent="0.2">
      <c r="A42" s="8">
        <v>10</v>
      </c>
      <c r="B42" s="8"/>
      <c r="C42" s="8"/>
      <c r="D42" s="8" t="s">
        <v>204</v>
      </c>
      <c r="E42" s="32" t="s">
        <v>205</v>
      </c>
      <c r="F42" s="32"/>
      <c r="G42" s="66" t="s">
        <v>505</v>
      </c>
      <c r="H42" s="66" t="s">
        <v>257</v>
      </c>
      <c r="I42" s="8" t="s">
        <v>194</v>
      </c>
      <c r="J42" s="8" t="s">
        <v>194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5"/>
      <c r="AJ42" s="126"/>
      <c r="AK42" s="127"/>
      <c r="AL42" s="128"/>
    </row>
    <row r="43" spans="1:38" s="10" customFormat="1" x14ac:dyDescent="0.2">
      <c r="A43" s="28"/>
      <c r="B43" s="29"/>
      <c r="C43" s="29"/>
      <c r="D43" s="48" t="s">
        <v>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22"/>
    </row>
    <row r="44" spans="1:38" s="10" customFormat="1" x14ac:dyDescent="0.2">
      <c r="A44" s="53"/>
      <c r="AL44" s="44"/>
    </row>
    <row r="45" spans="1:38" s="10" customFormat="1" x14ac:dyDescent="0.2">
      <c r="A45" s="53"/>
      <c r="AL45" s="44"/>
    </row>
    <row r="46" spans="1:38" s="10" customFormat="1" x14ac:dyDescent="0.2">
      <c r="A46" s="53"/>
      <c r="AL46" s="44"/>
    </row>
    <row r="47" spans="1:38" s="10" customFormat="1" x14ac:dyDescent="0.2">
      <c r="A47" s="53"/>
      <c r="AL47" s="44"/>
    </row>
    <row r="48" spans="1:38" s="10" customFormat="1" x14ac:dyDescent="0.2">
      <c r="A48" s="53"/>
      <c r="AL48" s="44"/>
    </row>
    <row r="49" spans="1:38" s="10" customFormat="1" x14ac:dyDescent="0.2">
      <c r="A49" s="53"/>
      <c r="AL49" s="44"/>
    </row>
    <row r="50" spans="1:38" s="10" customFormat="1" x14ac:dyDescent="0.2">
      <c r="A50" s="53"/>
      <c r="AL50" s="44"/>
    </row>
    <row r="51" spans="1:38" s="10" customFormat="1" x14ac:dyDescent="0.2">
      <c r="A51" s="53"/>
      <c r="AL51" s="44"/>
    </row>
    <row r="52" spans="1:38" s="10" customFormat="1" x14ac:dyDescent="0.2">
      <c r="A52" s="53"/>
      <c r="AL52" s="44"/>
    </row>
    <row r="53" spans="1:38" s="10" customFormat="1" x14ac:dyDescent="0.2">
      <c r="A53" s="53"/>
      <c r="AL53" s="44"/>
    </row>
    <row r="54" spans="1:38" s="10" customFormat="1" x14ac:dyDescent="0.2">
      <c r="A54" s="53"/>
      <c r="AL54" s="44"/>
    </row>
    <row r="55" spans="1:38" s="10" customFormat="1" x14ac:dyDescent="0.2">
      <c r="A55" s="53"/>
      <c r="AL55" s="44"/>
    </row>
    <row r="56" spans="1:38" s="10" customFormat="1" x14ac:dyDescent="0.2">
      <c r="A56" s="53"/>
      <c r="AL56" s="44"/>
    </row>
    <row r="57" spans="1:38" s="10" customFormat="1" x14ac:dyDescent="0.2">
      <c r="A57" s="5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50"/>
    </row>
  </sheetData>
  <mergeCells count="56">
    <mergeCell ref="AI30:AJ30"/>
    <mergeCell ref="AK30:AL30"/>
    <mergeCell ref="AI35:AJ35"/>
    <mergeCell ref="AK35:AL35"/>
    <mergeCell ref="AI36:AJ36"/>
    <mergeCell ref="AK36:AL36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17:AJ17"/>
    <mergeCell ref="AK17:AL17"/>
    <mergeCell ref="AI26:AJ26"/>
    <mergeCell ref="AK26:AL26"/>
    <mergeCell ref="AI21:AJ21"/>
    <mergeCell ref="AK21:AL21"/>
    <mergeCell ref="AI24:AJ24"/>
    <mergeCell ref="AK24:AL24"/>
    <mergeCell ref="AI25:AJ25"/>
    <mergeCell ref="AK25:AL25"/>
    <mergeCell ref="AI19:AJ19"/>
    <mergeCell ref="AK19:AL19"/>
    <mergeCell ref="AI18:AJ18"/>
    <mergeCell ref="AK18:AL18"/>
    <mergeCell ref="AI16:AJ16"/>
    <mergeCell ref="AK16:AL16"/>
    <mergeCell ref="AK8:AL8"/>
    <mergeCell ref="AI9:AJ9"/>
    <mergeCell ref="AK9:AL9"/>
    <mergeCell ref="AK11:AL11"/>
    <mergeCell ref="AI14:AJ14"/>
    <mergeCell ref="AK14:AL14"/>
    <mergeCell ref="AI15:AJ15"/>
    <mergeCell ref="AK15:AL15"/>
    <mergeCell ref="AI13:AJ13"/>
    <mergeCell ref="AK13:AL13"/>
    <mergeCell ref="AI42:AJ42"/>
    <mergeCell ref="AK42:AL42"/>
    <mergeCell ref="AI20:AJ20"/>
    <mergeCell ref="AK20:AL20"/>
    <mergeCell ref="AI39:AJ39"/>
    <mergeCell ref="AK39:AL39"/>
    <mergeCell ref="AI27:AJ27"/>
    <mergeCell ref="AK27:AL27"/>
    <mergeCell ref="AI38:AJ38"/>
    <mergeCell ref="AK38:AL38"/>
    <mergeCell ref="AI28:AJ28"/>
    <mergeCell ref="AK28:AL28"/>
    <mergeCell ref="AI29:AJ29"/>
    <mergeCell ref="AK29:AL29"/>
    <mergeCell ref="AI41:AJ41"/>
    <mergeCell ref="AK41:AL4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260</v>
      </c>
      <c r="B1" s="51" t="s">
        <v>260</v>
      </c>
      <c r="C1" s="51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8" t="s">
        <v>260</v>
      </c>
      <c r="B2" s="29"/>
      <c r="C2" s="29"/>
      <c r="D2" s="72" t="s">
        <v>384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MSBEL0170</v>
      </c>
      <c r="I2" s="7" t="s">
        <v>261</v>
      </c>
      <c r="J2" s="8" t="s">
        <v>170</v>
      </c>
      <c r="K2" s="7" t="s">
        <v>22</v>
      </c>
      <c r="L2" s="52" t="str">
        <f>IF(LogicCommon!G2="","",LogicCommon!G2)</f>
        <v>MC</v>
      </c>
      <c r="M2" s="5" t="s">
        <v>262</v>
      </c>
      <c r="N2" s="30" t="s">
        <v>364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260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MSBE</v>
      </c>
      <c r="G3" s="7" t="s">
        <v>4</v>
      </c>
      <c r="H3" s="52" t="str">
        <f>IF(LogicCommon!E3="","",LogicCommon!E3)</f>
        <v>MSBEL_OPStkRpl</v>
      </c>
      <c r="I3" s="7" t="s">
        <v>232</v>
      </c>
      <c r="J3" s="8" t="s">
        <v>170</v>
      </c>
      <c r="K3" s="7" t="s">
        <v>24</v>
      </c>
      <c r="L3" s="52" t="str">
        <f>IF(LogicCommon!G3="","",LogicCommon!G3)</f>
        <v/>
      </c>
      <c r="M3" s="56"/>
      <c r="N3" s="7"/>
      <c r="O3" s="7" t="s">
        <v>263</v>
      </c>
      <c r="P3" s="8" t="s">
        <v>248</v>
      </c>
      <c r="Q3" s="4"/>
      <c r="R3" s="5"/>
      <c r="S3" s="5"/>
      <c r="T3" s="5"/>
      <c r="U3" s="5"/>
    </row>
    <row r="4" spans="1:21" s="10" customFormat="1" x14ac:dyDescent="0.2">
      <c r="A4" s="53" t="s">
        <v>260</v>
      </c>
      <c r="B4" s="54"/>
      <c r="C4" s="54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52" t="str">
        <f>IF(LogicCommon!E4="","",LogicCommon!E4)</f>
        <v>発注点在庫補充</v>
      </c>
      <c r="I4" s="7" t="s">
        <v>264</v>
      </c>
      <c r="J4" s="8" t="s">
        <v>171</v>
      </c>
      <c r="K4" s="7" t="s">
        <v>25</v>
      </c>
      <c r="L4" s="52" t="str">
        <f>IF(LogicCommon!G4="","",LogicCommon!G4)</f>
        <v>MS.MSUDL5010</v>
      </c>
      <c r="M4" s="57" t="s">
        <v>265</v>
      </c>
      <c r="N4" s="30"/>
      <c r="O4" s="11"/>
      <c r="P4" s="4"/>
      <c r="Q4" s="4"/>
      <c r="R4" s="5"/>
      <c r="S4" s="5"/>
      <c r="T4" s="5"/>
      <c r="U4" s="5"/>
    </row>
    <row r="5" spans="1:21" s="10" customFormat="1" x14ac:dyDescent="0.2">
      <c r="A5" s="58" t="s">
        <v>260</v>
      </c>
      <c r="B5" s="51"/>
      <c r="C5" s="51"/>
      <c r="D5" s="27"/>
      <c r="E5" s="7" t="s">
        <v>12</v>
      </c>
      <c r="F5" s="9"/>
      <c r="G5" s="59"/>
      <c r="H5" s="59"/>
      <c r="I5" s="59"/>
      <c r="J5" s="59"/>
      <c r="K5" s="59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53" t="s">
        <v>260</v>
      </c>
      <c r="B6" s="54"/>
      <c r="C6" s="54"/>
      <c r="D6" s="4" t="s">
        <v>15</v>
      </c>
      <c r="E6" s="16"/>
      <c r="F6" s="16"/>
      <c r="G6" s="16"/>
      <c r="H6" s="16"/>
      <c r="I6" s="16"/>
      <c r="J6" s="16"/>
      <c r="K6" s="16"/>
      <c r="L6" s="60"/>
      <c r="M6" s="49"/>
      <c r="N6" s="49"/>
      <c r="O6" s="49" t="s">
        <v>259</v>
      </c>
      <c r="P6" s="49"/>
      <c r="Q6" s="49" t="s">
        <v>259</v>
      </c>
      <c r="R6" s="4"/>
      <c r="S6" s="4"/>
      <c r="T6" s="4"/>
      <c r="U6" s="4"/>
    </row>
    <row r="7" spans="1:21" s="10" customFormat="1" x14ac:dyDescent="0.2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31" t="s">
        <v>10</v>
      </c>
      <c r="O7" s="32"/>
      <c r="P7" s="31" t="s">
        <v>10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8</v>
      </c>
      <c r="B8" s="73"/>
      <c r="C8" s="74"/>
      <c r="D8" s="31" t="s">
        <v>385</v>
      </c>
      <c r="E8" s="31" t="s">
        <v>386</v>
      </c>
      <c r="F8" s="60"/>
      <c r="G8" s="31" t="s">
        <v>344</v>
      </c>
      <c r="H8" s="31" t="s">
        <v>387</v>
      </c>
      <c r="I8" s="60"/>
      <c r="J8" s="3"/>
      <c r="K8" s="8" t="s">
        <v>249</v>
      </c>
      <c r="L8" s="8"/>
      <c r="M8" s="8"/>
      <c r="N8" s="31" t="s">
        <v>250</v>
      </c>
      <c r="O8" s="32"/>
      <c r="P8" s="31" t="s">
        <v>250</v>
      </c>
      <c r="Q8" s="32"/>
      <c r="R8" s="3"/>
      <c r="S8" s="27"/>
      <c r="T8" s="125" t="s">
        <v>388</v>
      </c>
      <c r="U8" s="126"/>
    </row>
    <row r="9" spans="1:21" s="10" customFormat="1" ht="60" customHeight="1" x14ac:dyDescent="0.2">
      <c r="A9" s="8" t="s">
        <v>8</v>
      </c>
      <c r="B9" s="34"/>
      <c r="C9" s="35"/>
      <c r="D9" s="31" t="s">
        <v>389</v>
      </c>
      <c r="E9" s="63" t="s">
        <v>390</v>
      </c>
      <c r="F9" s="31" t="s">
        <v>391</v>
      </c>
      <c r="G9" s="31" t="s">
        <v>392</v>
      </c>
      <c r="H9" s="31" t="s">
        <v>393</v>
      </c>
      <c r="I9" s="64" t="s">
        <v>394</v>
      </c>
      <c r="J9" s="31" t="s">
        <v>395</v>
      </c>
      <c r="K9" s="72"/>
      <c r="L9" s="72"/>
      <c r="M9" s="72"/>
      <c r="N9" s="31"/>
      <c r="O9" s="31"/>
      <c r="P9" s="31"/>
      <c r="Q9" s="31"/>
      <c r="R9" s="125" t="s">
        <v>396</v>
      </c>
      <c r="S9" s="126"/>
      <c r="T9" s="125" t="s">
        <v>397</v>
      </c>
      <c r="U9" s="126"/>
    </row>
    <row r="10" spans="1:21" s="10" customFormat="1" ht="39" x14ac:dyDescent="0.2">
      <c r="A10" s="34" t="s">
        <v>8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40"/>
      <c r="M10" s="40"/>
      <c r="N10" s="31" t="s">
        <v>394</v>
      </c>
      <c r="O10" s="31" t="s">
        <v>395</v>
      </c>
      <c r="P10" s="31" t="s">
        <v>394</v>
      </c>
      <c r="Q10" s="31" t="s">
        <v>395</v>
      </c>
      <c r="R10" s="36"/>
      <c r="S10" s="36"/>
      <c r="T10" s="39"/>
      <c r="U10" s="65"/>
    </row>
    <row r="11" spans="1:21" s="10" customFormat="1" x14ac:dyDescent="0.2">
      <c r="A11" s="8">
        <v>10</v>
      </c>
      <c r="B11" s="34" t="s">
        <v>0</v>
      </c>
      <c r="C11" s="35"/>
      <c r="D11" s="30" t="s">
        <v>203</v>
      </c>
      <c r="E11" s="33" t="s">
        <v>7</v>
      </c>
      <c r="F11" s="41"/>
      <c r="G11" s="30" t="s">
        <v>195</v>
      </c>
      <c r="H11" s="42" t="s">
        <v>356</v>
      </c>
      <c r="I11" s="43"/>
      <c r="J11" s="38"/>
      <c r="K11" s="38"/>
      <c r="L11" s="38"/>
      <c r="M11" s="38"/>
      <c r="N11" s="33"/>
      <c r="O11" s="33"/>
      <c r="P11" s="33"/>
      <c r="Q11" s="33"/>
      <c r="R11" s="43"/>
      <c r="S11" s="41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191</v>
      </c>
      <c r="E12" s="32" t="s">
        <v>192</v>
      </c>
      <c r="F12" s="32"/>
      <c r="G12" s="66" t="s">
        <v>495</v>
      </c>
      <c r="H12" s="66" t="s">
        <v>345</v>
      </c>
      <c r="I12" s="8" t="s">
        <v>194</v>
      </c>
      <c r="J12" s="8" t="s">
        <v>194</v>
      </c>
      <c r="K12" s="8"/>
      <c r="L12" s="8"/>
      <c r="M12" s="8"/>
      <c r="N12" s="8"/>
      <c r="O12" s="8"/>
      <c r="P12" s="8"/>
      <c r="Q12" s="8"/>
      <c r="R12" s="63"/>
      <c r="S12" s="64"/>
      <c r="T12" s="61"/>
      <c r="U12" s="62"/>
    </row>
    <row r="13" spans="1:21" s="10" customFormat="1" x14ac:dyDescent="0.2">
      <c r="A13" s="8">
        <v>10</v>
      </c>
      <c r="B13" s="8"/>
      <c r="C13" s="8"/>
      <c r="D13" s="8" t="s">
        <v>33</v>
      </c>
      <c r="E13" s="32" t="s">
        <v>44</v>
      </c>
      <c r="F13" s="32"/>
      <c r="G13" s="66" t="s">
        <v>398</v>
      </c>
      <c r="H13" s="66" t="s">
        <v>253</v>
      </c>
      <c r="I13" s="8" t="s">
        <v>234</v>
      </c>
      <c r="J13" s="8" t="s">
        <v>194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59</v>
      </c>
      <c r="E14" s="32" t="s">
        <v>64</v>
      </c>
      <c r="F14" s="32"/>
      <c r="G14" s="66" t="s">
        <v>412</v>
      </c>
      <c r="H14" s="66" t="s">
        <v>258</v>
      </c>
      <c r="I14" s="8" t="s">
        <v>234</v>
      </c>
      <c r="J14" s="8" t="s">
        <v>194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60</v>
      </c>
      <c r="E15" s="32" t="s">
        <v>65</v>
      </c>
      <c r="F15" s="32"/>
      <c r="G15" s="66" t="s">
        <v>413</v>
      </c>
      <c r="H15" s="66" t="s">
        <v>275</v>
      </c>
      <c r="I15" s="8" t="s">
        <v>234</v>
      </c>
      <c r="J15" s="8" t="s">
        <v>194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61</v>
      </c>
      <c r="E16" s="32" t="s">
        <v>66</v>
      </c>
      <c r="F16" s="32"/>
      <c r="G16" s="66" t="s">
        <v>414</v>
      </c>
      <c r="H16" s="66" t="s">
        <v>276</v>
      </c>
      <c r="I16" s="8" t="s">
        <v>234</v>
      </c>
      <c r="J16" s="8" t="s">
        <v>194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62</v>
      </c>
      <c r="E17" s="32" t="s">
        <v>67</v>
      </c>
      <c r="F17" s="32"/>
      <c r="G17" s="66" t="s">
        <v>415</v>
      </c>
      <c r="H17" s="66" t="s">
        <v>277</v>
      </c>
      <c r="I17" s="8" t="s">
        <v>234</v>
      </c>
      <c r="J17" s="8" t="s">
        <v>194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228</v>
      </c>
      <c r="E18" s="32" t="s">
        <v>229</v>
      </c>
      <c r="F18" s="32"/>
      <c r="G18" s="66" t="s">
        <v>448</v>
      </c>
      <c r="H18" s="66" t="s">
        <v>240</v>
      </c>
      <c r="I18" s="8" t="s">
        <v>194</v>
      </c>
      <c r="J18" s="8" t="s">
        <v>194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213</v>
      </c>
      <c r="E19" s="32" t="s">
        <v>107</v>
      </c>
      <c r="F19" s="32"/>
      <c r="G19" s="66" t="s">
        <v>498</v>
      </c>
      <c r="H19" s="66" t="s">
        <v>348</v>
      </c>
      <c r="I19" s="8" t="s">
        <v>194</v>
      </c>
      <c r="J19" s="8" t="s">
        <v>194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222</v>
      </c>
      <c r="E20" s="32" t="s">
        <v>223</v>
      </c>
      <c r="F20" s="32"/>
      <c r="G20" s="66" t="s">
        <v>476</v>
      </c>
      <c r="H20" s="66" t="s">
        <v>328</v>
      </c>
      <c r="I20" s="8" t="s">
        <v>194</v>
      </c>
      <c r="J20" s="8" t="s">
        <v>194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8">
        <v>10</v>
      </c>
      <c r="B21" s="8"/>
      <c r="C21" s="8"/>
      <c r="D21" s="8" t="s">
        <v>42</v>
      </c>
      <c r="E21" s="32" t="s">
        <v>51</v>
      </c>
      <c r="F21" s="32"/>
      <c r="G21" s="66" t="s">
        <v>407</v>
      </c>
      <c r="H21" s="66" t="s">
        <v>235</v>
      </c>
      <c r="I21" s="8" t="s">
        <v>234</v>
      </c>
      <c r="J21" s="8" t="s">
        <v>194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8">
        <v>10</v>
      </c>
      <c r="B22" s="8"/>
      <c r="C22" s="8"/>
      <c r="D22" s="8" t="s">
        <v>149</v>
      </c>
      <c r="E22" s="32" t="s">
        <v>150</v>
      </c>
      <c r="F22" s="32"/>
      <c r="G22" s="66" t="s">
        <v>449</v>
      </c>
      <c r="H22" s="66" t="s">
        <v>307</v>
      </c>
      <c r="I22" s="8" t="s">
        <v>234</v>
      </c>
      <c r="J22" s="8" t="s">
        <v>194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8">
        <v>10</v>
      </c>
      <c r="B23" s="8"/>
      <c r="C23" s="8"/>
      <c r="D23" s="8" t="s">
        <v>94</v>
      </c>
      <c r="E23" s="32" t="s">
        <v>51</v>
      </c>
      <c r="F23" s="32"/>
      <c r="G23" s="66" t="s">
        <v>451</v>
      </c>
      <c r="H23" s="66" t="s">
        <v>309</v>
      </c>
      <c r="I23" s="8" t="s">
        <v>234</v>
      </c>
      <c r="J23" s="8" t="s">
        <v>194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8">
        <v>10</v>
      </c>
      <c r="B24" s="8"/>
      <c r="C24" s="8"/>
      <c r="D24" s="8" t="s">
        <v>95</v>
      </c>
      <c r="E24" s="32" t="s">
        <v>96</v>
      </c>
      <c r="F24" s="32"/>
      <c r="G24" s="66" t="s">
        <v>454</v>
      </c>
      <c r="H24" s="66" t="s">
        <v>312</v>
      </c>
      <c r="I24" s="8" t="s">
        <v>234</v>
      </c>
      <c r="J24" s="8" t="s">
        <v>194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8">
        <v>10</v>
      </c>
      <c r="B25" s="8"/>
      <c r="C25" s="8"/>
      <c r="D25" s="8" t="s">
        <v>97</v>
      </c>
      <c r="E25" s="32" t="s">
        <v>99</v>
      </c>
      <c r="F25" s="32"/>
      <c r="G25" s="66" t="s">
        <v>455</v>
      </c>
      <c r="H25" s="66" t="s">
        <v>313</v>
      </c>
      <c r="I25" s="8" t="s">
        <v>234</v>
      </c>
      <c r="J25" s="8" t="s">
        <v>194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8">
        <v>10</v>
      </c>
      <c r="B26" s="8"/>
      <c r="C26" s="8"/>
      <c r="D26" s="8" t="s">
        <v>101</v>
      </c>
      <c r="E26" s="32" t="s">
        <v>99</v>
      </c>
      <c r="F26" s="32"/>
      <c r="G26" s="66" t="s">
        <v>457</v>
      </c>
      <c r="H26" s="66" t="s">
        <v>314</v>
      </c>
      <c r="I26" s="8" t="s">
        <v>234</v>
      </c>
      <c r="J26" s="8" t="s">
        <v>194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x14ac:dyDescent="0.2">
      <c r="A27" s="8">
        <v>10</v>
      </c>
      <c r="B27" s="8"/>
      <c r="C27" s="8"/>
      <c r="D27" s="8" t="s">
        <v>103</v>
      </c>
      <c r="E27" s="32" t="s">
        <v>105</v>
      </c>
      <c r="F27" s="32"/>
      <c r="G27" s="66" t="s">
        <v>459</v>
      </c>
      <c r="H27" s="66" t="s">
        <v>316</v>
      </c>
      <c r="I27" s="8" t="s">
        <v>234</v>
      </c>
      <c r="J27" s="8" t="s">
        <v>194</v>
      </c>
      <c r="K27" s="8"/>
      <c r="L27" s="8"/>
      <c r="M27" s="8"/>
      <c r="N27" s="8"/>
      <c r="O27" s="8"/>
      <c r="P27" s="8"/>
      <c r="Q27" s="8"/>
      <c r="R27" s="125"/>
      <c r="S27" s="126"/>
      <c r="T27" s="127"/>
      <c r="U27" s="128"/>
    </row>
    <row r="28" spans="1:21" s="10" customFormat="1" x14ac:dyDescent="0.2">
      <c r="A28" s="8">
        <v>10</v>
      </c>
      <c r="B28" s="8"/>
      <c r="C28" s="8"/>
      <c r="D28" s="8" t="s">
        <v>369</v>
      </c>
      <c r="E28" s="32" t="s">
        <v>366</v>
      </c>
      <c r="F28" s="32"/>
      <c r="G28" s="66" t="s">
        <v>462</v>
      </c>
      <c r="H28" s="66" t="s">
        <v>371</v>
      </c>
      <c r="I28" s="8" t="s">
        <v>234</v>
      </c>
      <c r="J28" s="8" t="s">
        <v>194</v>
      </c>
      <c r="K28" s="8"/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 x14ac:dyDescent="0.2">
      <c r="A29" s="8">
        <v>10</v>
      </c>
      <c r="B29" s="8"/>
      <c r="C29" s="8"/>
      <c r="D29" s="8" t="s">
        <v>226</v>
      </c>
      <c r="E29" s="32" t="s">
        <v>227</v>
      </c>
      <c r="F29" s="32"/>
      <c r="G29" s="66" t="s">
        <v>491</v>
      </c>
      <c r="H29" s="66" t="s">
        <v>340</v>
      </c>
      <c r="I29" s="8" t="s">
        <v>234</v>
      </c>
      <c r="J29" s="8" t="s">
        <v>194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 x14ac:dyDescent="0.2">
      <c r="A30" s="8">
        <v>10</v>
      </c>
      <c r="B30" s="8"/>
      <c r="C30" s="8"/>
      <c r="D30" s="8" t="s">
        <v>110</v>
      </c>
      <c r="E30" s="32" t="s">
        <v>116</v>
      </c>
      <c r="F30" s="32"/>
      <c r="G30" s="66" t="s">
        <v>466</v>
      </c>
      <c r="H30" s="66" t="s">
        <v>319</v>
      </c>
      <c r="I30" s="8" t="s">
        <v>234</v>
      </c>
      <c r="J30" s="8" t="s">
        <v>194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 x14ac:dyDescent="0.2">
      <c r="A31" s="8">
        <v>10</v>
      </c>
      <c r="B31" s="8"/>
      <c r="C31" s="8"/>
      <c r="D31" s="8" t="s">
        <v>168</v>
      </c>
      <c r="E31" s="32" t="s">
        <v>44</v>
      </c>
      <c r="F31" s="32"/>
      <c r="G31" s="66" t="s">
        <v>496</v>
      </c>
      <c r="H31" s="66" t="s">
        <v>346</v>
      </c>
      <c r="I31" s="8" t="s">
        <v>234</v>
      </c>
      <c r="J31" s="8" t="s">
        <v>194</v>
      </c>
      <c r="K31" s="8"/>
      <c r="L31" s="8"/>
      <c r="M31" s="8"/>
      <c r="N31" s="8"/>
      <c r="O31" s="8"/>
      <c r="P31" s="8"/>
      <c r="Q31" s="8"/>
      <c r="R31" s="125"/>
      <c r="S31" s="126"/>
      <c r="T31" s="127"/>
      <c r="U31" s="128"/>
    </row>
    <row r="32" spans="1:21" s="10" customFormat="1" x14ac:dyDescent="0.2">
      <c r="A32" s="8">
        <v>10</v>
      </c>
      <c r="B32" s="8"/>
      <c r="C32" s="8"/>
      <c r="D32" s="8" t="s">
        <v>169</v>
      </c>
      <c r="E32" s="32" t="s">
        <v>44</v>
      </c>
      <c r="F32" s="32"/>
      <c r="G32" s="66" t="s">
        <v>497</v>
      </c>
      <c r="H32" s="66" t="s">
        <v>347</v>
      </c>
      <c r="I32" s="8" t="s">
        <v>234</v>
      </c>
      <c r="J32" s="8" t="s">
        <v>194</v>
      </c>
      <c r="K32" s="8"/>
      <c r="L32" s="8"/>
      <c r="M32" s="8"/>
      <c r="N32" s="8"/>
      <c r="O32" s="8"/>
      <c r="P32" s="8"/>
      <c r="Q32" s="8"/>
      <c r="R32" s="125"/>
      <c r="S32" s="126"/>
      <c r="T32" s="127"/>
      <c r="U32" s="128"/>
    </row>
    <row r="33" spans="1:21" s="10" customFormat="1" x14ac:dyDescent="0.2">
      <c r="A33" s="8">
        <v>10</v>
      </c>
      <c r="B33" s="8"/>
      <c r="C33" s="8"/>
      <c r="D33" s="8" t="s">
        <v>198</v>
      </c>
      <c r="E33" s="32" t="s">
        <v>199</v>
      </c>
      <c r="F33" s="32"/>
      <c r="G33" s="66" t="s">
        <v>477</v>
      </c>
      <c r="H33" s="66" t="s">
        <v>329</v>
      </c>
      <c r="I33" s="8" t="s">
        <v>234</v>
      </c>
      <c r="J33" s="8" t="s">
        <v>194</v>
      </c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152</v>
      </c>
      <c r="E34" s="32" t="s">
        <v>153</v>
      </c>
      <c r="F34" s="32"/>
      <c r="G34" s="66" t="s">
        <v>499</v>
      </c>
      <c r="H34" s="66" t="s">
        <v>357</v>
      </c>
      <c r="I34" s="8" t="s">
        <v>234</v>
      </c>
      <c r="J34" s="8" t="s">
        <v>194</v>
      </c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154</v>
      </c>
      <c r="E35" s="32" t="s">
        <v>155</v>
      </c>
      <c r="F35" s="32"/>
      <c r="G35" s="66" t="s">
        <v>500</v>
      </c>
      <c r="H35" s="66" t="s">
        <v>358</v>
      </c>
      <c r="I35" s="8" t="s">
        <v>234</v>
      </c>
      <c r="J35" s="8" t="s">
        <v>194</v>
      </c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156</v>
      </c>
      <c r="E36" s="32" t="s">
        <v>157</v>
      </c>
      <c r="F36" s="32"/>
      <c r="G36" s="66" t="s">
        <v>501</v>
      </c>
      <c r="H36" s="66" t="s">
        <v>359</v>
      </c>
      <c r="I36" s="8" t="s">
        <v>234</v>
      </c>
      <c r="J36" s="8" t="s">
        <v>194</v>
      </c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158</v>
      </c>
      <c r="E37" s="32" t="s">
        <v>159</v>
      </c>
      <c r="F37" s="32"/>
      <c r="G37" s="66" t="s">
        <v>502</v>
      </c>
      <c r="H37" s="66" t="s">
        <v>360</v>
      </c>
      <c r="I37" s="8" t="s">
        <v>234</v>
      </c>
      <c r="J37" s="8" t="s">
        <v>194</v>
      </c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162</v>
      </c>
      <c r="E38" s="32" t="s">
        <v>163</v>
      </c>
      <c r="F38" s="32"/>
      <c r="G38" s="66" t="s">
        <v>503</v>
      </c>
      <c r="H38" s="66" t="s">
        <v>361</v>
      </c>
      <c r="I38" s="8" t="s">
        <v>234</v>
      </c>
      <c r="J38" s="8" t="s">
        <v>194</v>
      </c>
      <c r="K38" s="8"/>
      <c r="L38" s="8"/>
      <c r="M38" s="8"/>
      <c r="N38" s="8"/>
      <c r="O38" s="8"/>
      <c r="P38" s="8"/>
      <c r="Q38" s="8"/>
      <c r="R38" s="125"/>
      <c r="S38" s="126"/>
      <c r="T38" s="127"/>
      <c r="U38" s="128"/>
    </row>
    <row r="39" spans="1:21" s="10" customFormat="1" x14ac:dyDescent="0.2">
      <c r="A39" s="8">
        <v>10</v>
      </c>
      <c r="B39" s="8"/>
      <c r="C39" s="8"/>
      <c r="D39" s="8" t="s">
        <v>193</v>
      </c>
      <c r="E39" s="32" t="s">
        <v>130</v>
      </c>
      <c r="F39" s="32"/>
      <c r="G39" s="66" t="s">
        <v>504</v>
      </c>
      <c r="H39" s="66" t="s">
        <v>256</v>
      </c>
      <c r="I39" s="8" t="s">
        <v>194</v>
      </c>
      <c r="J39" s="8" t="s">
        <v>194</v>
      </c>
      <c r="K39" s="8"/>
      <c r="L39" s="8"/>
      <c r="M39" s="8"/>
      <c r="N39" s="8"/>
      <c r="O39" s="8"/>
      <c r="P39" s="8"/>
      <c r="Q39" s="8"/>
      <c r="R39" s="125"/>
      <c r="S39" s="126"/>
      <c r="T39" s="127"/>
      <c r="U39" s="128"/>
    </row>
    <row r="40" spans="1:21" s="10" customFormat="1" x14ac:dyDescent="0.2">
      <c r="A40" s="8">
        <v>10</v>
      </c>
      <c r="B40" s="8"/>
      <c r="C40" s="8"/>
      <c r="D40" s="8" t="s">
        <v>204</v>
      </c>
      <c r="E40" s="32" t="s">
        <v>205</v>
      </c>
      <c r="F40" s="32"/>
      <c r="G40" s="66" t="s">
        <v>505</v>
      </c>
      <c r="H40" s="66" t="s">
        <v>257</v>
      </c>
      <c r="I40" s="8" t="s">
        <v>194</v>
      </c>
      <c r="J40" s="8" t="s">
        <v>234</v>
      </c>
      <c r="K40" s="8"/>
      <c r="L40" s="8"/>
      <c r="M40" s="8"/>
      <c r="N40" s="8"/>
      <c r="O40" s="8"/>
      <c r="P40" s="8"/>
      <c r="Q40" s="8"/>
      <c r="R40" s="125"/>
      <c r="S40" s="126"/>
      <c r="T40" s="127"/>
      <c r="U40" s="128"/>
    </row>
    <row r="41" spans="1:21" s="10" customFormat="1" x14ac:dyDescent="0.2">
      <c r="A41" s="28"/>
      <c r="B41" s="29"/>
      <c r="C41" s="29"/>
      <c r="D41" s="48" t="s">
        <v>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22"/>
    </row>
    <row r="42" spans="1:21" s="10" customFormat="1" x14ac:dyDescent="0.2">
      <c r="A42" s="53"/>
      <c r="U42" s="44"/>
    </row>
    <row r="43" spans="1:21" s="10" customFormat="1" x14ac:dyDescent="0.2">
      <c r="A43" s="53"/>
      <c r="U43" s="44"/>
    </row>
    <row r="44" spans="1:21" s="10" customFormat="1" x14ac:dyDescent="0.2">
      <c r="A44" s="53"/>
      <c r="U44" s="44"/>
    </row>
    <row r="45" spans="1:21" s="10" customFormat="1" x14ac:dyDescent="0.2">
      <c r="A45" s="53"/>
      <c r="U45" s="44"/>
    </row>
    <row r="46" spans="1:21" s="10" customFormat="1" x14ac:dyDescent="0.2">
      <c r="A46" s="53"/>
      <c r="U46" s="44"/>
    </row>
    <row r="47" spans="1:21" s="10" customFormat="1" x14ac:dyDescent="0.2">
      <c r="A47" s="53"/>
      <c r="U47" s="44"/>
    </row>
    <row r="48" spans="1:21" s="10" customFormat="1" x14ac:dyDescent="0.2">
      <c r="A48" s="53"/>
      <c r="U48" s="44"/>
    </row>
    <row r="49" spans="1:21" s="10" customFormat="1" x14ac:dyDescent="0.2">
      <c r="A49" s="53"/>
      <c r="U49" s="44"/>
    </row>
    <row r="50" spans="1:21" s="10" customFormat="1" x14ac:dyDescent="0.2">
      <c r="A50" s="53"/>
      <c r="U50" s="44"/>
    </row>
    <row r="51" spans="1:21" s="10" customFormat="1" x14ac:dyDescent="0.2">
      <c r="A51" s="53"/>
      <c r="U51" s="44"/>
    </row>
    <row r="52" spans="1:21" s="10" customFormat="1" x14ac:dyDescent="0.2">
      <c r="A52" s="53"/>
      <c r="U52" s="44"/>
    </row>
    <row r="53" spans="1:21" s="10" customFormat="1" x14ac:dyDescent="0.2">
      <c r="A53" s="53"/>
      <c r="U53" s="44"/>
    </row>
    <row r="54" spans="1:21" s="10" customFormat="1" x14ac:dyDescent="0.2">
      <c r="A54" s="58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50"/>
    </row>
  </sheetData>
  <mergeCells count="50">
    <mergeCell ref="R24:S24"/>
    <mergeCell ref="T24:U24"/>
    <mergeCell ref="R27:S27"/>
    <mergeCell ref="T27:U27"/>
    <mergeCell ref="R29:S29"/>
    <mergeCell ref="T29:U29"/>
    <mergeCell ref="R25:S25"/>
    <mergeCell ref="T25:U25"/>
    <mergeCell ref="R28:S28"/>
    <mergeCell ref="T28:U28"/>
    <mergeCell ref="R18:S18"/>
    <mergeCell ref="T18:U18"/>
    <mergeCell ref="R22:S22"/>
    <mergeCell ref="T22:U22"/>
    <mergeCell ref="R23:S23"/>
    <mergeCell ref="T23:U23"/>
    <mergeCell ref="R20:S20"/>
    <mergeCell ref="T20:U20"/>
    <mergeCell ref="R19:S19"/>
    <mergeCell ref="T19:U19"/>
    <mergeCell ref="R15:S15"/>
    <mergeCell ref="T15:U15"/>
    <mergeCell ref="R16:S16"/>
    <mergeCell ref="T16:U16"/>
    <mergeCell ref="T17:U17"/>
    <mergeCell ref="R17:S17"/>
    <mergeCell ref="T8:U8"/>
    <mergeCell ref="R9:S9"/>
    <mergeCell ref="T9:U9"/>
    <mergeCell ref="R14:S14"/>
    <mergeCell ref="T14:U14"/>
    <mergeCell ref="R13:S13"/>
    <mergeCell ref="T13:U13"/>
    <mergeCell ref="T11:U11"/>
    <mergeCell ref="R40:S40"/>
    <mergeCell ref="T40:U40"/>
    <mergeCell ref="R21:S21"/>
    <mergeCell ref="T21:U21"/>
    <mergeCell ref="R39:S39"/>
    <mergeCell ref="T39:U39"/>
    <mergeCell ref="R30:S30"/>
    <mergeCell ref="T30:U30"/>
    <mergeCell ref="R31:S31"/>
    <mergeCell ref="T31:U31"/>
    <mergeCell ref="R32:S32"/>
    <mergeCell ref="T32:U32"/>
    <mergeCell ref="R38:S38"/>
    <mergeCell ref="T38:U38"/>
    <mergeCell ref="R26:S26"/>
    <mergeCell ref="T26:U2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A749-347C-407D-838A-7433CE09E2D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256" width="8.81640625" style="67"/>
    <col min="257" max="327" width="2.08984375" style="67" customWidth="1"/>
    <col min="328" max="512" width="8.81640625" style="67"/>
    <col min="513" max="583" width="2.08984375" style="67" customWidth="1"/>
    <col min="584" max="768" width="8.81640625" style="67"/>
    <col min="769" max="839" width="2.08984375" style="67" customWidth="1"/>
    <col min="840" max="1024" width="8.81640625" style="67"/>
    <col min="1025" max="1095" width="2.08984375" style="67" customWidth="1"/>
    <col min="1096" max="1280" width="8.81640625" style="67"/>
    <col min="1281" max="1351" width="2.08984375" style="67" customWidth="1"/>
    <col min="1352" max="1536" width="8.81640625" style="67"/>
    <col min="1537" max="1607" width="2.08984375" style="67" customWidth="1"/>
    <col min="1608" max="1792" width="8.81640625" style="67"/>
    <col min="1793" max="1863" width="2.08984375" style="67" customWidth="1"/>
    <col min="1864" max="2048" width="8.81640625" style="67"/>
    <col min="2049" max="2119" width="2.08984375" style="67" customWidth="1"/>
    <col min="2120" max="2304" width="8.81640625" style="67"/>
    <col min="2305" max="2375" width="2.08984375" style="67" customWidth="1"/>
    <col min="2376" max="2560" width="8.81640625" style="67"/>
    <col min="2561" max="2631" width="2.08984375" style="67" customWidth="1"/>
    <col min="2632" max="2816" width="8.81640625" style="67"/>
    <col min="2817" max="2887" width="2.08984375" style="67" customWidth="1"/>
    <col min="2888" max="3072" width="8.81640625" style="67"/>
    <col min="3073" max="3143" width="2.08984375" style="67" customWidth="1"/>
    <col min="3144" max="3328" width="8.81640625" style="67"/>
    <col min="3329" max="3399" width="2.08984375" style="67" customWidth="1"/>
    <col min="3400" max="3584" width="8.81640625" style="67"/>
    <col min="3585" max="3655" width="2.08984375" style="67" customWidth="1"/>
    <col min="3656" max="3840" width="8.81640625" style="67"/>
    <col min="3841" max="3911" width="2.08984375" style="67" customWidth="1"/>
    <col min="3912" max="4096" width="8.81640625" style="67"/>
    <col min="4097" max="4167" width="2.08984375" style="67" customWidth="1"/>
    <col min="4168" max="4352" width="8.81640625" style="67"/>
    <col min="4353" max="4423" width="2.08984375" style="67" customWidth="1"/>
    <col min="4424" max="4608" width="8.81640625" style="67"/>
    <col min="4609" max="4679" width="2.08984375" style="67" customWidth="1"/>
    <col min="4680" max="4864" width="8.81640625" style="67"/>
    <col min="4865" max="4935" width="2.08984375" style="67" customWidth="1"/>
    <col min="4936" max="5120" width="8.81640625" style="67"/>
    <col min="5121" max="5191" width="2.08984375" style="67" customWidth="1"/>
    <col min="5192" max="5376" width="8.81640625" style="67"/>
    <col min="5377" max="5447" width="2.08984375" style="67" customWidth="1"/>
    <col min="5448" max="5632" width="8.81640625" style="67"/>
    <col min="5633" max="5703" width="2.08984375" style="67" customWidth="1"/>
    <col min="5704" max="5888" width="8.81640625" style="67"/>
    <col min="5889" max="5959" width="2.08984375" style="67" customWidth="1"/>
    <col min="5960" max="6144" width="8.81640625" style="67"/>
    <col min="6145" max="6215" width="2.08984375" style="67" customWidth="1"/>
    <col min="6216" max="6400" width="8.81640625" style="67"/>
    <col min="6401" max="6471" width="2.08984375" style="67" customWidth="1"/>
    <col min="6472" max="6656" width="8.81640625" style="67"/>
    <col min="6657" max="6727" width="2.08984375" style="67" customWidth="1"/>
    <col min="6728" max="6912" width="8.81640625" style="67"/>
    <col min="6913" max="6983" width="2.08984375" style="67" customWidth="1"/>
    <col min="6984" max="7168" width="8.81640625" style="67"/>
    <col min="7169" max="7239" width="2.08984375" style="67" customWidth="1"/>
    <col min="7240" max="7424" width="8.81640625" style="67"/>
    <col min="7425" max="7495" width="2.08984375" style="67" customWidth="1"/>
    <col min="7496" max="7680" width="8.81640625" style="67"/>
    <col min="7681" max="7751" width="2.08984375" style="67" customWidth="1"/>
    <col min="7752" max="7936" width="8.81640625" style="67"/>
    <col min="7937" max="8007" width="2.08984375" style="67" customWidth="1"/>
    <col min="8008" max="8192" width="8.81640625" style="67"/>
    <col min="8193" max="8263" width="2.08984375" style="67" customWidth="1"/>
    <col min="8264" max="8448" width="8.81640625" style="67"/>
    <col min="8449" max="8519" width="2.08984375" style="67" customWidth="1"/>
    <col min="8520" max="8704" width="8.81640625" style="67"/>
    <col min="8705" max="8775" width="2.08984375" style="67" customWidth="1"/>
    <col min="8776" max="8960" width="8.81640625" style="67"/>
    <col min="8961" max="9031" width="2.08984375" style="67" customWidth="1"/>
    <col min="9032" max="9216" width="8.81640625" style="67"/>
    <col min="9217" max="9287" width="2.08984375" style="67" customWidth="1"/>
    <col min="9288" max="9472" width="8.81640625" style="67"/>
    <col min="9473" max="9543" width="2.08984375" style="67" customWidth="1"/>
    <col min="9544" max="9728" width="8.81640625" style="67"/>
    <col min="9729" max="9799" width="2.08984375" style="67" customWidth="1"/>
    <col min="9800" max="9984" width="8.81640625" style="67"/>
    <col min="9985" max="10055" width="2.08984375" style="67" customWidth="1"/>
    <col min="10056" max="10240" width="8.81640625" style="67"/>
    <col min="10241" max="10311" width="2.08984375" style="67" customWidth="1"/>
    <col min="10312" max="10496" width="8.81640625" style="67"/>
    <col min="10497" max="10567" width="2.08984375" style="67" customWidth="1"/>
    <col min="10568" max="10752" width="8.81640625" style="67"/>
    <col min="10753" max="10823" width="2.08984375" style="67" customWidth="1"/>
    <col min="10824" max="11008" width="8.81640625" style="67"/>
    <col min="11009" max="11079" width="2.08984375" style="67" customWidth="1"/>
    <col min="11080" max="11264" width="8.81640625" style="67"/>
    <col min="11265" max="11335" width="2.08984375" style="67" customWidth="1"/>
    <col min="11336" max="11520" width="8.81640625" style="67"/>
    <col min="11521" max="11591" width="2.08984375" style="67" customWidth="1"/>
    <col min="11592" max="11776" width="8.81640625" style="67"/>
    <col min="11777" max="11847" width="2.08984375" style="67" customWidth="1"/>
    <col min="11848" max="12032" width="8.81640625" style="67"/>
    <col min="12033" max="12103" width="2.08984375" style="67" customWidth="1"/>
    <col min="12104" max="12288" width="8.81640625" style="67"/>
    <col min="12289" max="12359" width="2.08984375" style="67" customWidth="1"/>
    <col min="12360" max="12544" width="8.81640625" style="67"/>
    <col min="12545" max="12615" width="2.08984375" style="67" customWidth="1"/>
    <col min="12616" max="12800" width="8.81640625" style="67"/>
    <col min="12801" max="12871" width="2.08984375" style="67" customWidth="1"/>
    <col min="12872" max="13056" width="8.81640625" style="67"/>
    <col min="13057" max="13127" width="2.08984375" style="67" customWidth="1"/>
    <col min="13128" max="13312" width="8.81640625" style="67"/>
    <col min="13313" max="13383" width="2.08984375" style="67" customWidth="1"/>
    <col min="13384" max="13568" width="8.81640625" style="67"/>
    <col min="13569" max="13639" width="2.08984375" style="67" customWidth="1"/>
    <col min="13640" max="13824" width="8.81640625" style="67"/>
    <col min="13825" max="13895" width="2.08984375" style="67" customWidth="1"/>
    <col min="13896" max="14080" width="8.81640625" style="67"/>
    <col min="14081" max="14151" width="2.08984375" style="67" customWidth="1"/>
    <col min="14152" max="14336" width="8.81640625" style="67"/>
    <col min="14337" max="14407" width="2.08984375" style="67" customWidth="1"/>
    <col min="14408" max="14592" width="8.81640625" style="67"/>
    <col min="14593" max="14663" width="2.08984375" style="67" customWidth="1"/>
    <col min="14664" max="14848" width="8.81640625" style="67"/>
    <col min="14849" max="14919" width="2.08984375" style="67" customWidth="1"/>
    <col min="14920" max="15104" width="8.81640625" style="67"/>
    <col min="15105" max="15175" width="2.08984375" style="67" customWidth="1"/>
    <col min="15176" max="15360" width="8.81640625" style="67"/>
    <col min="15361" max="15431" width="2.08984375" style="67" customWidth="1"/>
    <col min="15432" max="15616" width="8.81640625" style="67"/>
    <col min="15617" max="15687" width="2.08984375" style="67" customWidth="1"/>
    <col min="15688" max="15872" width="8.81640625" style="67"/>
    <col min="15873" max="15943" width="2.08984375" style="67" customWidth="1"/>
    <col min="15944" max="16128" width="8.81640625" style="67"/>
    <col min="16129" max="16199" width="2.08984375" style="67" customWidth="1"/>
    <col min="16200" max="16384" width="8.81640625" style="67"/>
  </cols>
  <sheetData>
    <row r="1" spans="1:57" ht="38.25" customHeight="1" thickBot="1" x14ac:dyDescent="0.25">
      <c r="A1" s="75" t="s">
        <v>16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78" t="s">
        <v>17</v>
      </c>
      <c r="B3" s="79"/>
      <c r="C3" s="79"/>
      <c r="D3" s="79"/>
      <c r="E3" s="79"/>
      <c r="F3" s="79"/>
      <c r="G3" s="80"/>
      <c r="H3" s="81" t="s">
        <v>18</v>
      </c>
      <c r="I3" s="79"/>
      <c r="J3" s="79"/>
      <c r="K3" s="79"/>
      <c r="L3" s="79"/>
      <c r="M3" s="79"/>
      <c r="N3" s="80"/>
      <c r="O3" s="81" t="s">
        <v>19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20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92" t="s">
        <v>21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30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0" t="s">
        <v>383</v>
      </c>
      <c r="I5" s="101"/>
      <c r="J5" s="101"/>
      <c r="K5" s="101"/>
      <c r="L5" s="101"/>
      <c r="M5" s="101"/>
      <c r="N5" s="102"/>
      <c r="O5" s="103" t="s">
        <v>382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380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7"/>
    </row>
    <row r="6" spans="1:57" ht="15" customHeight="1" x14ac:dyDescent="0.2">
      <c r="A6" s="97">
        <v>1.2000000000000002</v>
      </c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8" t="s">
        <v>506</v>
      </c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 t="s">
        <v>507</v>
      </c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0"/>
      <c r="I8" s="101"/>
      <c r="J8" s="101"/>
      <c r="K8" s="101"/>
      <c r="L8" s="101"/>
      <c r="M8" s="101"/>
      <c r="N8" s="102"/>
      <c r="O8" s="103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0"/>
      <c r="I9" s="101"/>
      <c r="J9" s="101"/>
      <c r="K9" s="101"/>
      <c r="L9" s="101"/>
      <c r="M9" s="101"/>
      <c r="N9" s="102"/>
      <c r="O9" s="103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0"/>
      <c r="I10" s="101"/>
      <c r="J10" s="101"/>
      <c r="K10" s="101"/>
      <c r="L10" s="101"/>
      <c r="M10" s="101"/>
      <c r="N10" s="102"/>
      <c r="O10" s="103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0"/>
      <c r="I11" s="101"/>
      <c r="J11" s="101"/>
      <c r="K11" s="101"/>
      <c r="L11" s="101"/>
      <c r="M11" s="101"/>
      <c r="N11" s="102"/>
      <c r="O11" s="103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0"/>
      <c r="I12" s="101"/>
      <c r="J12" s="101"/>
      <c r="K12" s="101"/>
      <c r="L12" s="101"/>
      <c r="M12" s="101"/>
      <c r="N12" s="102"/>
      <c r="O12" s="103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0"/>
      <c r="I13" s="101"/>
      <c r="J13" s="101"/>
      <c r="K13" s="101"/>
      <c r="L13" s="101"/>
      <c r="M13" s="101"/>
      <c r="N13" s="102"/>
      <c r="O13" s="103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0"/>
      <c r="I14" s="101"/>
      <c r="J14" s="101"/>
      <c r="K14" s="101"/>
      <c r="L14" s="101"/>
      <c r="M14" s="101"/>
      <c r="N14" s="102"/>
      <c r="O14" s="103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0"/>
      <c r="I15" s="101"/>
      <c r="J15" s="101"/>
      <c r="K15" s="101"/>
      <c r="L15" s="101"/>
      <c r="M15" s="101"/>
      <c r="N15" s="102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0"/>
      <c r="I16" s="101"/>
      <c r="J16" s="101"/>
      <c r="K16" s="101"/>
      <c r="L16" s="101"/>
      <c r="M16" s="101"/>
      <c r="N16" s="102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0"/>
      <c r="I17" s="101"/>
      <c r="J17" s="101"/>
      <c r="K17" s="101"/>
      <c r="L17" s="101"/>
      <c r="M17" s="101"/>
      <c r="N17" s="102"/>
      <c r="O17" s="103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0"/>
      <c r="I18" s="101"/>
      <c r="J18" s="101"/>
      <c r="K18" s="101"/>
      <c r="L18" s="101"/>
      <c r="M18" s="101"/>
      <c r="N18" s="102"/>
      <c r="O18" s="103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0"/>
      <c r="I19" s="101"/>
      <c r="J19" s="101"/>
      <c r="K19" s="101"/>
      <c r="L19" s="101"/>
      <c r="M19" s="101"/>
      <c r="N19" s="102"/>
      <c r="O19" s="103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0"/>
      <c r="I20" s="101"/>
      <c r="J20" s="101"/>
      <c r="K20" s="101"/>
      <c r="L20" s="101"/>
      <c r="M20" s="101"/>
      <c r="N20" s="102"/>
      <c r="O20" s="103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0"/>
      <c r="I21" s="101"/>
      <c r="J21" s="101"/>
      <c r="K21" s="101"/>
      <c r="L21" s="101"/>
      <c r="M21" s="101"/>
      <c r="N21" s="102"/>
      <c r="O21" s="103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0"/>
      <c r="I22" s="101"/>
      <c r="J22" s="101"/>
      <c r="K22" s="101"/>
      <c r="L22" s="101"/>
      <c r="M22" s="101"/>
      <c r="N22" s="102"/>
      <c r="O22" s="103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0"/>
      <c r="I23" s="101"/>
      <c r="J23" s="101"/>
      <c r="K23" s="101"/>
      <c r="L23" s="101"/>
      <c r="M23" s="101"/>
      <c r="N23" s="102"/>
      <c r="O23" s="103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0"/>
      <c r="I24" s="101"/>
      <c r="J24" s="101"/>
      <c r="K24" s="101"/>
      <c r="L24" s="101"/>
      <c r="M24" s="101"/>
      <c r="N24" s="102"/>
      <c r="O24" s="103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0"/>
      <c r="I25" s="101"/>
      <c r="J25" s="101"/>
      <c r="K25" s="101"/>
      <c r="L25" s="101"/>
      <c r="M25" s="101"/>
      <c r="N25" s="102"/>
      <c r="O25" s="103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0"/>
      <c r="I26" s="101"/>
      <c r="J26" s="101"/>
      <c r="K26" s="101"/>
      <c r="L26" s="101"/>
      <c r="M26" s="101"/>
      <c r="N26" s="102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0"/>
      <c r="I27" s="101"/>
      <c r="J27" s="101"/>
      <c r="K27" s="101"/>
      <c r="L27" s="101"/>
      <c r="M27" s="101"/>
      <c r="N27" s="102"/>
      <c r="O27" s="103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0"/>
      <c r="I28" s="101"/>
      <c r="J28" s="101"/>
      <c r="K28" s="101"/>
      <c r="L28" s="101"/>
      <c r="M28" s="101"/>
      <c r="N28" s="102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2"/>
      <c r="O29" s="103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0"/>
      <c r="I30" s="101"/>
      <c r="J30" s="101"/>
      <c r="K30" s="101"/>
      <c r="L30" s="101"/>
      <c r="M30" s="101"/>
      <c r="N30" s="102"/>
      <c r="O30" s="103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0"/>
      <c r="I31" s="101"/>
      <c r="J31" s="101"/>
      <c r="K31" s="101"/>
      <c r="L31" s="101"/>
      <c r="M31" s="101"/>
      <c r="N31" s="102"/>
      <c r="O31" s="103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0"/>
      <c r="I32" s="101"/>
      <c r="J32" s="101"/>
      <c r="K32" s="101"/>
      <c r="L32" s="101"/>
      <c r="M32" s="101"/>
      <c r="N32" s="102"/>
      <c r="O32" s="103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0"/>
      <c r="I33" s="101"/>
      <c r="J33" s="101"/>
      <c r="K33" s="101"/>
      <c r="L33" s="101"/>
      <c r="M33" s="101"/>
      <c r="N33" s="102"/>
      <c r="O33" s="103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0"/>
      <c r="I34" s="101"/>
      <c r="J34" s="101"/>
      <c r="K34" s="101"/>
      <c r="L34" s="101"/>
      <c r="M34" s="101"/>
      <c r="N34" s="102"/>
      <c r="O34" s="103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20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Sprt01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2026-03-27T05:58:21Z</dcterms:modified>
  <cp:category/>
</cp:coreProperties>
</file>