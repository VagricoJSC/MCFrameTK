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AEB6D914-C941-4923-8E6A-963626A850E0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Srch01" sheetId="10" r:id="rId2"/>
    <sheet name="来歴" sheetId="3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2" i="10" l="1"/>
  <c r="L4" i="10" l="1"/>
  <c r="F2" i="10" l="1"/>
  <c r="F3" i="10"/>
  <c r="H2" i="10"/>
  <c r="H3" i="10"/>
  <c r="L3" i="10"/>
  <c r="H4" i="10"/>
  <c r="L2" i="10"/>
</calcChain>
</file>

<file path=xl/sharedStrings.xml><?xml version="1.0" encoding="utf-8"?>
<sst xmlns="http://schemas.openxmlformats.org/spreadsheetml/2006/main" count="561" uniqueCount="323">
  <si>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</si>
  <si>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</si>
  <si>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</si>
  <si>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</si>
  <si>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</si>
  <si>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</si>
  <si>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</si>
  <si>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</si>
  <si>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</si>
  <si>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</si>
  <si>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ロジック共通定義</t>
    <rPh sb="4" eb="6">
      <t>キョウツウ</t>
    </rPh>
    <rPh sb="6" eb="8">
      <t>テイギ</t>
    </rPh>
    <phoneticPr fontId="1"/>
  </si>
  <si>
    <t>TargetName</t>
    <phoneticPr fontId="1"/>
  </si>
  <si>
    <t>#</t>
    <phoneticPr fontId="1"/>
  </si>
  <si>
    <t>R</t>
    <phoneticPr fontId="1"/>
  </si>
  <si>
    <t>Srch01</t>
  </si>
  <si>
    <t>itm_cd</t>
  </si>
  <si>
    <t>itm_nm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</si>
  <si>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</si>
  <si>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</si>
  <si>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</si>
  <si>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</si>
  <si>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</si>
  <si>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</si>
  <si>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</si>
  <si>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Version :</t>
    <phoneticPr fontId="1"/>
  </si>
  <si>
    <t>U</t>
    <phoneticPr fontId="1"/>
  </si>
  <si>
    <t>o</t>
    <phoneticPr fontId="1"/>
  </si>
  <si>
    <t>Pj.ID :</t>
    <phoneticPr fontId="1"/>
  </si>
  <si>
    <t>SuperClassPj.ID :</t>
    <phoneticPr fontId="1"/>
  </si>
  <si>
    <t>#MA.DT</t>
  </si>
  <si>
    <t>#MA.FLG</t>
  </si>
  <si>
    <t>itm_sub1</t>
  </si>
  <si>
    <t>itm_sub2</t>
  </si>
  <si>
    <t>itm_sub3</t>
  </si>
  <si>
    <t>#MA.ITM_CD</t>
  </si>
  <si>
    <t>#MA.ITM_SUB1</t>
  </si>
  <si>
    <t>#MA.ITM_SUB2</t>
  </si>
  <si>
    <t>#MA.ITM_SUB3</t>
  </si>
  <si>
    <t>#MA.ITM_NM</t>
  </si>
  <si>
    <t>#MA.UNIT_CD</t>
  </si>
  <si>
    <t>#MA.UNIT_NM</t>
  </si>
  <si>
    <t>#MA.QTY</t>
  </si>
  <si>
    <t>#MA.SNO1</t>
  </si>
  <si>
    <t>#MA.SNO2</t>
  </si>
  <si>
    <t>#MA.SNO3</t>
  </si>
  <si>
    <t>#MA.SNO4</t>
  </si>
  <si>
    <t>Srch01_Cnd</t>
    <phoneticPr fontId="1"/>
  </si>
  <si>
    <t>CONST</t>
  </si>
  <si>
    <t>検索</t>
    <phoneticPr fontId="1"/>
  </si>
  <si>
    <t>#MA.STD_CONT_FCTR</t>
  </si>
  <si>
    <t>std_cont_fctr</t>
  </si>
  <si>
    <t>cont_fctr_unit_nm</t>
  </si>
  <si>
    <t>cont_fctr_flg</t>
  </si>
  <si>
    <t>lot_mng_typ</t>
  </si>
  <si>
    <t>sublot_mng_typ</t>
  </si>
  <si>
    <t>#MA.LOT_MNG_TYP</t>
  </si>
  <si>
    <t>#MA.SUBLOT_MNG_TYP</t>
  </si>
  <si>
    <t>MSBEL2540</t>
    <phoneticPr fontId="1"/>
  </si>
  <si>
    <t>MSBEL_BomEx</t>
    <phoneticPr fontId="1"/>
  </si>
  <si>
    <t>構成展開</t>
    <rPh sb="0" eb="2">
      <t>コウセイ</t>
    </rPh>
    <rPh sb="2" eb="4">
      <t>テンカイ</t>
    </rPh>
    <phoneticPr fontId="1"/>
  </si>
  <si>
    <t>bom_ptn</t>
  </si>
  <si>
    <t>itm_sub1</t>
    <phoneticPr fontId="1"/>
  </si>
  <si>
    <t>itm_sub2</t>
    <phoneticPr fontId="1"/>
  </si>
  <si>
    <t>itm_sub3</t>
    <phoneticPr fontId="1"/>
  </si>
  <si>
    <t>#MA.BOM_PTN</t>
  </si>
  <si>
    <t>extno</t>
  </si>
  <si>
    <t>N</t>
  </si>
  <si>
    <t>par_extno</t>
  </si>
  <si>
    <t>loop_flg</t>
  </si>
  <si>
    <t>stk_mng_typ</t>
  </si>
  <si>
    <t>cont_fctr_rnd_typ</t>
  </si>
  <si>
    <t>cont_fctr_dec_place</t>
  </si>
  <si>
    <t>chd_rqmt_qty</t>
  </si>
  <si>
    <t>fxd_chd_rqmt_qty</t>
  </si>
  <si>
    <t>st_dt</t>
  </si>
  <si>
    <t>end_dt</t>
  </si>
  <si>
    <t>alt_grp_cd</t>
  </si>
  <si>
    <t>alt_grp_nm</t>
  </si>
  <si>
    <t>sno_typ1</t>
  </si>
  <si>
    <t>max_sno1</t>
  </si>
  <si>
    <t>min_sno1</t>
  </si>
  <si>
    <t>sno_typ2</t>
  </si>
  <si>
    <t>max_sno2</t>
  </si>
  <si>
    <t>min_sno2</t>
  </si>
  <si>
    <t>sno_typ3</t>
  </si>
  <si>
    <t>max_sno3</t>
  </si>
  <si>
    <t>min_sno3</t>
  </si>
  <si>
    <t>sno_typ4</t>
  </si>
  <si>
    <t>max_sno4</t>
  </si>
  <si>
    <t>min_sno4</t>
  </si>
  <si>
    <t>#MA.STK_MNG_TYP</t>
  </si>
  <si>
    <t>#MA.DEC_PLACE</t>
  </si>
  <si>
    <t>#MA.RND_TYP</t>
  </si>
  <si>
    <t>#MA.ALT_GRP_CD</t>
  </si>
  <si>
    <t>#MA.ALT_GRP_NM</t>
  </si>
  <si>
    <t>#MA.SNO_TYP</t>
  </si>
  <si>
    <t>#MA.SNO_TYP_NM</t>
    <phoneticPr fontId="1"/>
  </si>
  <si>
    <t>sno_typ_nm4</t>
    <phoneticPr fontId="1"/>
  </si>
  <si>
    <t>sno_typ_nm3</t>
    <phoneticPr fontId="1"/>
  </si>
  <si>
    <t>sno_typ_nm2</t>
    <phoneticPr fontId="1"/>
  </si>
  <si>
    <t>sno_typ_nm1</t>
    <phoneticPr fontId="1"/>
  </si>
  <si>
    <t>base_unit_qty</t>
    <phoneticPr fontId="1"/>
  </si>
  <si>
    <t>base_unit_cd</t>
    <phoneticPr fontId="1"/>
  </si>
  <si>
    <t>#MA.TREE_LVL</t>
    <phoneticPr fontId="1"/>
  </si>
  <si>
    <t>sno1_mng_typ</t>
  </si>
  <si>
    <t>sno2_mng_typ</t>
  </si>
  <si>
    <t>sno3_mng_typ</t>
  </si>
  <si>
    <t>sno4_mng_typ</t>
  </si>
  <si>
    <t>#MA.SNO_MNG_TYP</t>
  </si>
  <si>
    <t>base_unit_nm</t>
    <phoneticPr fontId="1"/>
  </si>
  <si>
    <t>base_unit_dec_place</t>
    <phoneticPr fontId="1"/>
  </si>
  <si>
    <t>cont_fctr_unit_cd</t>
    <phoneticPr fontId="1"/>
  </si>
  <si>
    <t>std_cont_fctr_qty</t>
    <phoneticPr fontId="1"/>
  </si>
  <si>
    <t>trd_unit_nm</t>
    <phoneticPr fontId="1"/>
  </si>
  <si>
    <t>trd_unit_conv_qty</t>
    <phoneticPr fontId="1"/>
  </si>
  <si>
    <t>master_dt</t>
    <phoneticPr fontId="1"/>
  </si>
  <si>
    <t>ph_ex_flg</t>
    <phoneticPr fontId="1"/>
  </si>
  <si>
    <t xml:space="preserve"> </t>
    <phoneticPr fontId="1"/>
  </si>
  <si>
    <t>bom_lvl</t>
    <phoneticPr fontId="1"/>
  </si>
  <si>
    <t>trd_unit_qty</t>
    <phoneticPr fontId="1"/>
  </si>
  <si>
    <t>trd_unit_dec_place</t>
    <phoneticPr fontId="1"/>
  </si>
  <si>
    <t>alloc_ctl_typ_nm</t>
  </si>
  <si>
    <t>#MA.ALLOC_CTL_TYP_NM</t>
  </si>
  <si>
    <t>#MA.ALLOC_CTL_TYP</t>
    <phoneticPr fontId="1"/>
  </si>
  <si>
    <t>par_inst_qty</t>
    <phoneticPr fontId="1"/>
  </si>
  <si>
    <t>alloc_ctl_typ</t>
    <phoneticPr fontId="1"/>
  </si>
  <si>
    <t>byprod_flg</t>
    <phoneticPr fontId="1"/>
  </si>
  <si>
    <t>#MA.WG_CD</t>
    <phoneticPr fontId="1"/>
  </si>
  <si>
    <t>trd_unit_conv_base_qty</t>
    <phoneticPr fontId="1"/>
  </si>
  <si>
    <t>base_qty</t>
    <phoneticPr fontId="1"/>
  </si>
  <si>
    <t>構成展開を検索する</t>
    <rPh sb="0" eb="2">
      <t>コウセイ</t>
    </rPh>
    <rPh sb="2" eb="4">
      <t>テンカイ</t>
    </rPh>
    <rPh sb="5" eb="7">
      <t>ケンサク</t>
    </rPh>
    <phoneticPr fontId="1"/>
  </si>
  <si>
    <t>bom_ptn_flg</t>
    <phoneticPr fontId="1"/>
  </si>
  <si>
    <t>MS</t>
    <phoneticPr fontId="1"/>
  </si>
  <si>
    <t>MSBE</t>
    <phoneticPr fontId="1"/>
  </si>
  <si>
    <t>wg_cd</t>
    <phoneticPr fontId="1"/>
  </si>
  <si>
    <t>trd_unit_cd</t>
    <phoneticPr fontId="1"/>
  </si>
  <si>
    <t>base_unit_conv_rnd_typ</t>
    <phoneticPr fontId="1"/>
  </si>
  <si>
    <t>Ope.ID :</t>
    <phoneticPr fontId="1"/>
  </si>
  <si>
    <t>ImplOpe.ID:</t>
    <phoneticPr fontId="1"/>
  </si>
  <si>
    <t>E</t>
    <phoneticPr fontId="1"/>
  </si>
  <si>
    <t>-</t>
    <phoneticPr fontId="1"/>
  </si>
  <si>
    <t>枝番２</t>
    <phoneticPr fontId="1"/>
  </si>
  <si>
    <t>手配ＮＯ２管理区分</t>
    <phoneticPr fontId="1"/>
  </si>
  <si>
    <t>手配ＮＯ３管理区分</t>
    <phoneticPr fontId="1"/>
  </si>
  <si>
    <t>在庫管理区分</t>
    <phoneticPr fontId="1"/>
  </si>
  <si>
    <t>小数部有効桁数</t>
    <phoneticPr fontId="1"/>
  </si>
  <si>
    <t>基準換算数量</t>
    <phoneticPr fontId="1"/>
  </si>
  <si>
    <t>基準単位端数処理区分</t>
    <phoneticPr fontId="1"/>
  </si>
  <si>
    <t>標準有効成分</t>
    <phoneticPr fontId="1"/>
  </si>
  <si>
    <t>有効成分換算端数処理区分</t>
    <phoneticPr fontId="1"/>
  </si>
  <si>
    <t>有効成分小数部有効桁数</t>
    <phoneticPr fontId="1"/>
  </si>
  <si>
    <t>標準有効成分係数</t>
    <phoneticPr fontId="1"/>
  </si>
  <si>
    <t>親指図数量</t>
    <phoneticPr fontId="1"/>
  </si>
  <si>
    <t>適用開始日</t>
    <phoneticPr fontId="1"/>
  </si>
  <si>
    <t>-</t>
    <phoneticPr fontId="2"/>
  </si>
  <si>
    <t>MAC_SNO_TYP</t>
    <phoneticPr fontId="1"/>
  </si>
  <si>
    <t>下限手配ＮＯ２</t>
    <phoneticPr fontId="1"/>
  </si>
  <si>
    <t>手配ＮＯ３区分</t>
    <phoneticPr fontId="1"/>
  </si>
  <si>
    <t>上限手配ＮＯ４</t>
    <phoneticPr fontId="1"/>
  </si>
  <si>
    <t>super/share</t>
    <phoneticPr fontId="1"/>
  </si>
  <si>
    <t>ID</t>
    <phoneticPr fontId="1"/>
  </si>
  <si>
    <t>*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</si>
  <si>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</si>
  <si>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</si>
  <si>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</si>
  <si>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</si>
  <si>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</si>
  <si>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</si>
  <si>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ACType :</t>
    <phoneticPr fontId="1"/>
  </si>
  <si>
    <t>ワーキンググループＣＤ</t>
    <phoneticPr fontId="1"/>
  </si>
  <si>
    <t>品目ＣＤ</t>
    <phoneticPr fontId="1"/>
  </si>
  <si>
    <t>枝番１</t>
    <phoneticPr fontId="1"/>
  </si>
  <si>
    <t>枝番３</t>
    <phoneticPr fontId="1"/>
  </si>
  <si>
    <t>基準数量</t>
    <phoneticPr fontId="1"/>
  </si>
  <si>
    <t>構成パタン</t>
    <phoneticPr fontId="1"/>
  </si>
  <si>
    <t>マスタ適用日</t>
    <phoneticPr fontId="1"/>
  </si>
  <si>
    <t>架空展開ＦＬＧ</t>
    <phoneticPr fontId="1"/>
  </si>
  <si>
    <t>構成パタン引継ぎＦＬＧ</t>
    <phoneticPr fontId="1"/>
  </si>
  <si>
    <t>構成レベル</t>
    <phoneticPr fontId="1"/>
  </si>
  <si>
    <t>展開番号</t>
    <phoneticPr fontId="1"/>
  </si>
  <si>
    <t>親展開番号</t>
    <phoneticPr fontId="1"/>
  </si>
  <si>
    <t>ループＦＬＧ</t>
    <phoneticPr fontId="1"/>
  </si>
  <si>
    <t>品名</t>
    <phoneticPr fontId="1"/>
  </si>
  <si>
    <t>ロットＮＯ管理区分</t>
    <phoneticPr fontId="1"/>
  </si>
  <si>
    <t>サブロットＮＯ管理区分</t>
    <phoneticPr fontId="1"/>
  </si>
  <si>
    <t>手配ＮＯ１管理区分</t>
    <phoneticPr fontId="1"/>
  </si>
  <si>
    <t>手配ＮＯ４管理区分</t>
    <phoneticPr fontId="1"/>
  </si>
  <si>
    <t>有効成分対象ＦＬＧ</t>
    <phoneticPr fontId="1"/>
  </si>
  <si>
    <t>展開数量</t>
    <phoneticPr fontId="1"/>
  </si>
  <si>
    <t>単位ＣＤ</t>
    <phoneticPr fontId="1"/>
  </si>
  <si>
    <t>単位名</t>
    <phoneticPr fontId="1"/>
  </si>
  <si>
    <t>換算基準数量</t>
    <phoneticPr fontId="1"/>
  </si>
  <si>
    <t>基準単位数量</t>
    <phoneticPr fontId="1"/>
  </si>
  <si>
    <t>基準単位ＣＤ</t>
    <phoneticPr fontId="1"/>
  </si>
  <si>
    <t>基準単位名</t>
    <phoneticPr fontId="1"/>
  </si>
  <si>
    <t>基準単位小数部有効桁数</t>
    <phoneticPr fontId="1"/>
  </si>
  <si>
    <t>有効成分単位ＣＤ</t>
    <phoneticPr fontId="1"/>
  </si>
  <si>
    <t>有効成分単位名</t>
    <phoneticPr fontId="1"/>
  </si>
  <si>
    <t>子必要数量</t>
    <phoneticPr fontId="1"/>
  </si>
  <si>
    <t>子固定必要数量</t>
    <phoneticPr fontId="1"/>
  </si>
  <si>
    <t>適用終了日</t>
    <phoneticPr fontId="1"/>
  </si>
  <si>
    <t>代替グループＣＤ</t>
    <phoneticPr fontId="1"/>
  </si>
  <si>
    <t>代替グループ名</t>
    <phoneticPr fontId="1"/>
  </si>
  <si>
    <t>投入制御区分</t>
    <phoneticPr fontId="1"/>
  </si>
  <si>
    <t>MAC_ALLOC_CTL_TYP</t>
    <phoneticPr fontId="1"/>
  </si>
  <si>
    <t>投入制御区分名</t>
    <phoneticPr fontId="1"/>
  </si>
  <si>
    <t>副産品ＦＬＧ</t>
    <phoneticPr fontId="1"/>
  </si>
  <si>
    <t>手配ＮＯ１区分</t>
    <phoneticPr fontId="1"/>
  </si>
  <si>
    <t>手配ＮＯ１区分名</t>
    <phoneticPr fontId="1"/>
  </si>
  <si>
    <t>上限手配ＮＯ１</t>
    <phoneticPr fontId="1"/>
  </si>
  <si>
    <t>下限手配ＮＯ１</t>
    <phoneticPr fontId="1"/>
  </si>
  <si>
    <t>手配ＮＯ２区分</t>
    <phoneticPr fontId="1"/>
  </si>
  <si>
    <t>手配ＮＯ２区分名</t>
    <phoneticPr fontId="1"/>
  </si>
  <si>
    <t>上限手配ＮＯ２</t>
    <phoneticPr fontId="1"/>
  </si>
  <si>
    <t>手配ＮＯ３区分名</t>
    <phoneticPr fontId="1"/>
  </si>
  <si>
    <t>上限手配ＮＯ３</t>
    <phoneticPr fontId="1"/>
  </si>
  <si>
    <t>下限手配ＮＯ３</t>
    <phoneticPr fontId="1"/>
  </si>
  <si>
    <t>手配ＮＯ４区分</t>
    <phoneticPr fontId="1"/>
  </si>
  <si>
    <t>手配ＮＯ４区分名</t>
    <phoneticPr fontId="1"/>
  </si>
  <si>
    <t>下限手配ＮＯ４</t>
    <phoneticPr fontId="1"/>
  </si>
  <si>
    <t>#MA.NUM_PTN_CD</t>
  </si>
  <si>
    <t>Srch01_Rslt</t>
    <phoneticPr fontId="1"/>
  </si>
  <si>
    <t>not_new_lot_flg</t>
    <phoneticPr fontId="1"/>
  </si>
  <si>
    <t>lot_no_ptn_cd</t>
    <phoneticPr fontId="1"/>
  </si>
  <si>
    <t>sublot_no_ptn_cd</t>
    <phoneticPr fontId="1"/>
  </si>
  <si>
    <t>sublot_no_typ</t>
  </si>
  <si>
    <t>#MA.LOT_NO_TYP</t>
  </si>
  <si>
    <t>lot_no_typ</t>
    <phoneticPr fontId="1"/>
  </si>
  <si>
    <t>K</t>
    <phoneticPr fontId="1"/>
  </si>
  <si>
    <t>新規ロット入力不可</t>
    <phoneticPr fontId="1"/>
  </si>
  <si>
    <t>ロットＮＯ発番区分</t>
    <phoneticPr fontId="1"/>
  </si>
  <si>
    <t>ロットＮＯ発番パタンＣＤ</t>
    <phoneticPr fontId="1"/>
  </si>
  <si>
    <t>サブロットＮＯ発番区分</t>
    <phoneticPr fontId="1"/>
  </si>
  <si>
    <t>サブロットＮＯ発番パタンＣＤ</t>
    <phoneticPr fontId="1"/>
  </si>
  <si>
    <t>MS.MSUDL5010</t>
    <phoneticPr fontId="1"/>
  </si>
  <si>
    <t>"mcframe.serverMAUD.MAUDL5010.MAUDL_Searcher"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</si>
  <si>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</si>
  <si>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</si>
  <si>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</si>
  <si>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</si>
  <si>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</si>
  <si>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</si>
  <si>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</si>
  <si>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</si>
  <si>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</si>
  <si>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</si>
  <si>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</si>
  <si>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</si>
  <si>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</si>
  <si>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</si>
  <si>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</si>
  <si>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Item cd.</t>
  </si>
  <si>
    <t>Branch No. 1</t>
  </si>
  <si>
    <t>Branch No. 2</t>
  </si>
  <si>
    <t>Branch No. 3</t>
  </si>
  <si>
    <t>Base qty.</t>
  </si>
  <si>
    <t>BOM pattern</t>
  </si>
  <si>
    <t>Master application date</t>
  </si>
  <si>
    <t>Phantom explosion flg.</t>
  </si>
  <si>
    <t>BOM pattern copy flg.</t>
  </si>
  <si>
    <t>Configuration level</t>
  </si>
  <si>
    <t>Explode number</t>
  </si>
  <si>
    <t>Parent explosion number</t>
  </si>
  <si>
    <t>Loop flg.</t>
  </si>
  <si>
    <t>Item name</t>
  </si>
  <si>
    <t>Disallow new lot input</t>
  </si>
  <si>
    <t>Lot No. management type</t>
  </si>
  <si>
    <t>Lot No. numbering type</t>
  </si>
  <si>
    <t>Lot No. numbering pattern cd.</t>
  </si>
  <si>
    <t>Sublot No. management type</t>
  </si>
  <si>
    <t>Sublot No. numbering type</t>
  </si>
  <si>
    <t>Sublot No. numbering pattern cd.</t>
  </si>
  <si>
    <t>SEIBAN No. 1 management type</t>
  </si>
  <si>
    <t>SEIBAN No. 2 management type</t>
  </si>
  <si>
    <t>SEIBAN No. 3 management type</t>
  </si>
  <si>
    <t>SEIBAN No. 4 management type</t>
  </si>
  <si>
    <t>For active ingredient flg.</t>
  </si>
  <si>
    <t>Inventory management type</t>
  </si>
  <si>
    <t>Exploded qty.</t>
  </si>
  <si>
    <t>Unit cd.</t>
  </si>
  <si>
    <t>Unit name</t>
  </si>
  <si>
    <t>Number of decimal places</t>
  </si>
  <si>
    <t>Conversion base qty.</t>
  </si>
  <si>
    <t>Base conversion qty.</t>
  </si>
  <si>
    <t>Base unit qty.</t>
  </si>
  <si>
    <t>Base unit cd.</t>
  </si>
  <si>
    <t>Base unit name</t>
  </si>
  <si>
    <t>Base unit number of decimal places</t>
  </si>
  <si>
    <t>Base unit rounding type</t>
  </si>
  <si>
    <t>Standard active ingredient</t>
  </si>
  <si>
    <t>Active ingredient unit cd.</t>
  </si>
  <si>
    <t>Active ingredient unit name</t>
  </si>
  <si>
    <t>Rounding type (Active ingredient conversion)</t>
  </si>
  <si>
    <t>Active ingredient number of decimal places</t>
  </si>
  <si>
    <t>Standard active ingredient coefficient</t>
  </si>
  <si>
    <t>Parent order qty.</t>
  </si>
  <si>
    <t>Child required qty.</t>
  </si>
  <si>
    <t>Child fixed required qty.</t>
  </si>
  <si>
    <t>Application start date</t>
  </si>
  <si>
    <t>Application end date</t>
  </si>
  <si>
    <t>Alternative group cd.</t>
  </si>
  <si>
    <t>Alternative group name</t>
  </si>
  <si>
    <t>Input control type</t>
  </si>
  <si>
    <t>Input control type name</t>
  </si>
  <si>
    <t>By-product flg.</t>
  </si>
  <si>
    <t>SEIBAN No. 1 type</t>
  </si>
  <si>
    <t>SEIBAN No. 1 type name</t>
  </si>
  <si>
    <t>Max. SEIBAN No. 1</t>
  </si>
  <si>
    <t>Min. SEIBAN No. 1</t>
  </si>
  <si>
    <t>SEIBAN No. 2 type</t>
  </si>
  <si>
    <t>SEIBAN No. 2 type name</t>
  </si>
  <si>
    <t>Max. SEIBAN No. 2</t>
  </si>
  <si>
    <t>Min. SEIBAN No. 2</t>
  </si>
  <si>
    <t>SEIBAN No. 3 type</t>
  </si>
  <si>
    <t>SEIBAN No. 3 type name</t>
  </si>
  <si>
    <t>Max. SEIBAN No. 3</t>
  </si>
  <si>
    <t>Min. SEIBAN No. 3</t>
  </si>
  <si>
    <t>SEIBAN No. 4 type</t>
  </si>
  <si>
    <t>SEIBAN No. 4 type name</t>
  </si>
  <si>
    <t>Max. SEIBAN No. 4</t>
  </si>
  <si>
    <t>Min. SEIBAN No. 4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</si>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</sst>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left" vertical="top"/>
    </xf>
    <xf numFmtId="0" fontId="3" fillId="0" borderId="5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6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3" borderId="7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vertical="top"/>
    </xf>
    <xf numFmtId="0" fontId="3" fillId="3" borderId="7" xfId="0" quotePrefix="1" applyFont="1" applyFill="1" applyBorder="1" applyAlignment="1">
      <alignment vertical="top"/>
    </xf>
    <xf numFmtId="0" fontId="3" fillId="0" borderId="0" xfId="0" applyFont="1">
      <alignment vertical="top" wrapText="1"/>
    </xf>
    <xf numFmtId="0" fontId="3" fillId="2" borderId="7" xfId="0" applyFont="1" applyFill="1" applyBorder="1" applyAlignment="1">
      <alignment vertical="top"/>
    </xf>
    <xf numFmtId="0" fontId="3" fillId="3" borderId="7" xfId="0" applyFont="1" applyFill="1" applyBorder="1">
      <alignment vertical="top" wrapText="1"/>
    </xf>
    <xf numFmtId="0" fontId="3" fillId="0" borderId="0" xfId="0" applyFont="1" applyAlignment="1"/>
    <xf numFmtId="0" fontId="3" fillId="0" borderId="9" xfId="0" applyFont="1" applyBorder="1" applyAlignment="1">
      <alignment vertical="top"/>
    </xf>
    <xf numFmtId="0" fontId="3" fillId="2" borderId="2" xfId="0" quotePrefix="1" applyFont="1" applyFill="1" applyBorder="1" applyAlignment="1">
      <alignment vertical="top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vertical="top"/>
    </xf>
    <xf numFmtId="0" fontId="3" fillId="2" borderId="11" xfId="0" applyFont="1" applyFill="1" applyBorder="1" applyAlignment="1">
      <alignment vertical="top"/>
    </xf>
    <xf numFmtId="0" fontId="3" fillId="0" borderId="5" xfId="0" applyFont="1" applyBorder="1">
      <alignment vertical="top" wrapText="1"/>
    </xf>
    <xf numFmtId="0" fontId="3" fillId="0" borderId="10" xfId="0" applyFont="1" applyBorder="1">
      <alignment vertical="top" wrapText="1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left" vertical="top"/>
    </xf>
    <xf numFmtId="0" fontId="3" fillId="0" borderId="8" xfId="0" applyFont="1" applyBorder="1" applyAlignment="1">
      <alignment vertical="top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top"/>
    </xf>
    <xf numFmtId="0" fontId="3" fillId="0" borderId="10" xfId="0" applyFont="1" applyBorder="1" applyAlignment="1">
      <alignment vertical="top"/>
    </xf>
    <xf numFmtId="0" fontId="3" fillId="0" borderId="0" xfId="0" applyFont="1" applyAlignment="1" applyProtection="1">
      <alignment vertical="top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3" borderId="6" xfId="0" applyFont="1" applyFill="1" applyBorder="1" applyAlignment="1">
      <alignment vertical="top"/>
    </xf>
    <xf numFmtId="0" fontId="3" fillId="3" borderId="7" xfId="0" applyFont="1" applyFill="1" applyBorder="1" applyAlignment="1">
      <alignment vertical="center"/>
    </xf>
    <xf numFmtId="0" fontId="3" fillId="3" borderId="7" xfId="0" applyFont="1" applyFill="1" applyBorder="1" applyAlignment="1">
      <alignment wrapText="1"/>
    </xf>
    <xf numFmtId="0" fontId="3" fillId="3" borderId="11" xfId="0" applyFont="1" applyFill="1" applyBorder="1" applyAlignment="1">
      <alignment wrapText="1"/>
    </xf>
    <xf numFmtId="0" fontId="3" fillId="0" borderId="7" xfId="0" applyFont="1" applyBorder="1">
      <alignment vertical="top" wrapText="1"/>
    </xf>
    <xf numFmtId="0" fontId="3" fillId="3" borderId="4" xfId="0" applyFont="1" applyFill="1" applyBorder="1" applyAlignment="1">
      <alignment vertical="top"/>
    </xf>
    <xf numFmtId="0" fontId="3" fillId="3" borderId="11" xfId="0" applyFont="1" applyFill="1" applyBorder="1" applyAlignment="1">
      <alignment vertical="top"/>
    </xf>
    <xf numFmtId="0" fontId="3" fillId="0" borderId="4" xfId="0" applyFont="1" applyBorder="1" applyAlignment="1" applyProtection="1">
      <protection locked="0"/>
    </xf>
    <xf numFmtId="0" fontId="3" fillId="0" borderId="11" xfId="0" applyFont="1" applyBorder="1" applyAlignment="1" applyProtection="1">
      <protection locked="0"/>
    </xf>
    <xf numFmtId="0" fontId="3" fillId="0" borderId="6" xfId="0" applyFont="1" applyBorder="1" applyAlignment="1" applyProtection="1">
      <protection locked="0"/>
    </xf>
    <xf numFmtId="0" fontId="3" fillId="0" borderId="2" xfId="0" applyFont="1" applyBorder="1" applyAlignment="1" applyProtection="1">
      <protection locked="0"/>
    </xf>
    <xf numFmtId="0" fontId="3" fillId="2" borderId="11" xfId="0" applyFont="1" applyFill="1" applyBorder="1" applyAlignment="1" applyProtection="1">
      <protection locked="0"/>
    </xf>
    <xf numFmtId="0" fontId="3" fillId="2" borderId="7" xfId="0" applyFont="1" applyFill="1" applyBorder="1">
      <alignment vertical="top" wrapText="1"/>
    </xf>
    <xf numFmtId="0" fontId="3" fillId="0" borderId="4" xfId="0" applyFont="1" applyBorder="1" applyAlignment="1" applyProtection="1">
      <alignment vertical="top"/>
      <protection locked="0"/>
    </xf>
    <xf numFmtId="0" fontId="3" fillId="0" borderId="11" xfId="0" applyFont="1" applyBorder="1" applyAlignment="1" applyProtection="1">
      <alignment vertical="top"/>
      <protection locked="0"/>
    </xf>
    <xf numFmtId="0" fontId="3" fillId="0" borderId="9" xfId="0" applyFont="1" applyBorder="1">
      <alignment vertical="top" wrapText="1"/>
    </xf>
    <xf numFmtId="0" fontId="3" fillId="0" borderId="0" xfId="0" applyFont="1" applyAlignment="1" applyProtection="1">
      <alignment horizontal="left" vertical="top"/>
      <protection locked="0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4" xfId="0" applyFont="1" applyBorder="1" applyAlignment="1" applyProtection="1">
      <alignment vertical="top"/>
      <protection locked="0"/>
    </xf>
    <xf numFmtId="0" fontId="3" fillId="0" borderId="6" xfId="0" applyFont="1" applyBorder="1" applyAlignment="1">
      <alignment wrapText="1"/>
    </xf>
    <xf numFmtId="0" fontId="3" fillId="3" borderId="2" xfId="0" applyFont="1" applyFill="1" applyBorder="1" applyAlignment="1">
      <alignment vertical="top"/>
    </xf>
    <xf numFmtId="0" fontId="3" fillId="0" borderId="2" xfId="0" applyFont="1" applyBorder="1">
      <alignment vertical="top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2" borderId="4" xfId="0" applyFont="1" applyFill="1" applyBorder="1" applyAlignment="1" applyProtection="1">
      <protection locked="0"/>
    </xf>
    <xf numFmtId="0" fontId="3" fillId="2" borderId="11" xfId="0" applyFont="1" applyFill="1" applyBorder="1" applyAlignment="1"/>
    <xf numFmtId="0" fontId="3" fillId="3" borderId="5" xfId="0" applyFont="1" applyFill="1" applyBorder="1" applyAlignment="1">
      <alignment vertical="top"/>
    </xf>
    <xf numFmtId="0" fontId="3" fillId="3" borderId="12" xfId="0" applyFont="1" applyFill="1" applyBorder="1" applyAlignment="1">
      <alignment vertical="top"/>
    </xf>
    <xf numFmtId="0" fontId="3" fillId="4" borderId="7" xfId="0" applyFont="1" applyFill="1" applyBorder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4" borderId="0" xfId="0" applyFont="1" applyFill="1">
      <alignment vertical="top" wrapText="1"/>
    </xf>
    <xf numFmtId="0" fontId="3" fillId="0" borderId="4" xfId="0" applyFont="1" applyBorder="1" applyAlignment="1">
      <alignment vertical="top"/>
    </xf>
    <xf numFmtId="0" fontId="3" fillId="0" borderId="7" xfId="0" applyFont="1" applyBorder="1" applyAlignment="1">
      <alignment vertical="center"/>
    </xf>
    <xf numFmtId="0" fontId="3" fillId="3" borderId="13" xfId="0" applyFont="1" applyFill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13" xfId="0" applyFont="1" applyBorder="1" applyAlignment="1">
      <alignment vertical="top"/>
    </xf>
    <xf numFmtId="0" fontId="3" fillId="0" borderId="6" xfId="0" applyFont="1" applyBorder="1">
      <alignment vertical="top" wrapText="1"/>
    </xf>
    <xf numFmtId="0" fontId="3" fillId="3" borderId="4" xfId="0" applyFont="1" applyFill="1" applyBorder="1">
      <alignment vertical="top" wrapText="1"/>
    </xf>
    <xf numFmtId="0" fontId="3" fillId="3" borderId="11" xfId="0" applyFont="1" applyFill="1" applyBorder="1">
      <alignment vertical="top" wrapText="1"/>
    </xf>
    <xf numFmtId="0" fontId="3" fillId="0" borderId="5" xfId="0" applyFont="1" applyBorder="1" applyAlignment="1" applyProtection="1">
      <alignment vertical="top"/>
      <protection locked="0"/>
    </xf>
    <xf numFmtId="0" fontId="3" fillId="0" borderId="10" xfId="0" applyFont="1" applyBorder="1" applyAlignment="1" applyProtection="1">
      <alignment vertical="top"/>
      <protection locked="0"/>
    </xf>
    <xf numFmtId="0" fontId="3" fillId="0" borderId="4" xfId="0" applyFont="1" applyBorder="1" applyProtection="1">
      <alignment vertical="top" wrapText="1"/>
      <protection locked="0"/>
    </xf>
    <xf numFmtId="0" fontId="3" fillId="0" borderId="4" xfId="0" applyFont="1" applyBorder="1">
      <alignment vertical="top" wrapText="1"/>
    </xf>
    <xf numFmtId="0" fontId="3" fillId="0" borderId="11" xfId="0" applyFont="1" applyBorder="1">
      <alignment vertical="top" wrapText="1"/>
    </xf>
    <xf numFmtId="0" fontId="5" fillId="0" borderId="4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16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6" fillId="2" borderId="2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176" fontId="5" fillId="0" borderId="26" xfId="0" applyNumberFormat="1" applyFont="1" applyBorder="1" applyAlignment="1">
      <alignment horizontal="center" vertical="center"/>
    </xf>
    <xf numFmtId="176" fontId="5" fillId="0" borderId="17" xfId="0" applyNumberFormat="1" applyFont="1" applyBorder="1" applyAlignment="1">
      <alignment horizontal="center" vertical="center"/>
    </xf>
    <xf numFmtId="176" fontId="5" fillId="0" borderId="18" xfId="0" applyNumberFormat="1" applyFont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3" fillId="2" borderId="4" xfId="0" applyFont="1" applyFill="1" applyBorder="1" applyAlignment="1" applyProtection="1">
      <protection locked="0"/>
    </xf>
    <xf numFmtId="0" fontId="3" fillId="2" borderId="11" xfId="0" applyFont="1" applyFill="1" applyBorder="1" applyAlignment="1"/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6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10</v>
      </c>
      <c r="B2" s="7" t="s">
        <v>2</v>
      </c>
      <c r="C2" s="8" t="s">
        <v>132</v>
      </c>
      <c r="D2" s="7" t="s">
        <v>3</v>
      </c>
      <c r="E2" s="9" t="s">
        <v>57</v>
      </c>
      <c r="F2" s="7" t="s">
        <v>27</v>
      </c>
      <c r="G2" s="9" t="s">
        <v>7</v>
      </c>
      <c r="H2" s="7"/>
      <c r="I2" s="10"/>
    </row>
    <row r="3" spans="1:12" x14ac:dyDescent="0.2">
      <c r="A3" s="11"/>
      <c r="B3" s="7" t="s">
        <v>4</v>
      </c>
      <c r="C3" s="8" t="s">
        <v>133</v>
      </c>
      <c r="D3" s="7" t="s">
        <v>5</v>
      </c>
      <c r="E3" s="9" t="s">
        <v>58</v>
      </c>
      <c r="F3" s="7" t="s">
        <v>28</v>
      </c>
      <c r="G3" s="9"/>
      <c r="H3" s="7"/>
      <c r="I3" s="9"/>
    </row>
    <row r="4" spans="1:12" x14ac:dyDescent="0.2">
      <c r="A4" s="3"/>
      <c r="B4" s="7"/>
      <c r="C4" s="8"/>
      <c r="D4" s="7" t="s">
        <v>6</v>
      </c>
      <c r="E4" s="12" t="s">
        <v>59</v>
      </c>
      <c r="F4" s="7" t="s">
        <v>8</v>
      </c>
      <c r="G4" s="13" t="s">
        <v>234</v>
      </c>
      <c r="H4" s="14"/>
      <c r="I4" s="15"/>
    </row>
    <row r="5" spans="1:12" x14ac:dyDescent="0.2">
      <c r="A5" s="6" t="s">
        <v>9</v>
      </c>
      <c r="B5" s="16"/>
      <c r="C5" s="17"/>
      <c r="D5" s="18"/>
      <c r="E5" s="18"/>
      <c r="F5" s="19"/>
      <c r="G5" s="20"/>
      <c r="H5" s="20"/>
      <c r="I5" s="21"/>
      <c r="J5" s="4"/>
      <c r="K5" s="4"/>
      <c r="L5" s="4"/>
    </row>
    <row r="6" spans="1:12" s="25" customFormat="1" x14ac:dyDescent="0.2">
      <c r="A6" s="22" t="s">
        <v>1</v>
      </c>
      <c r="B6" s="6"/>
      <c r="C6" s="23"/>
      <c r="D6" s="6"/>
      <c r="E6" s="6"/>
      <c r="F6" s="6"/>
      <c r="G6" s="6"/>
      <c r="H6" s="6"/>
      <c r="I6" s="24"/>
    </row>
    <row r="7" spans="1:12" s="25" customFormat="1" x14ac:dyDescent="0.2">
      <c r="A7" s="5"/>
      <c r="B7" s="4"/>
      <c r="C7" s="26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10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8" customWidth="1"/>
    <col min="2" max="2" width="2.6328125" style="28" bestFit="1" customWidth="1"/>
    <col min="3" max="3" width="3.36328125" style="28" customWidth="1"/>
    <col min="4" max="4" width="27.1796875" style="29" bestFit="1" customWidth="1"/>
    <col min="5" max="5" width="25.81640625" style="29" customWidth="1"/>
    <col min="6" max="6" width="7.453125" style="46" customWidth="1"/>
    <col min="7" max="7" width="30.81640625" style="28" customWidth="1"/>
    <col min="8" max="8" width="29.36328125" style="28" bestFit="1" customWidth="1"/>
    <col min="9" max="10" width="15.81640625" style="28" customWidth="1"/>
    <col min="11" max="11" width="19.36328125" style="28" bestFit="1" customWidth="1"/>
    <col min="12" max="12" width="13.90625" style="28" bestFit="1" customWidth="1"/>
    <col min="13" max="13" width="12.81640625" style="28" bestFit="1" customWidth="1"/>
    <col min="14" max="14" width="50.81640625" style="28" customWidth="1"/>
    <col min="15" max="15" width="12.81640625" style="28" bestFit="1" customWidth="1"/>
    <col min="16" max="16" width="30.81640625" style="28" customWidth="1"/>
    <col min="17" max="17" width="20.453125" style="28" bestFit="1" customWidth="1"/>
    <col min="18" max="18" width="19.90625" style="28" customWidth="1"/>
    <col min="19" max="19" width="13.90625" style="29" bestFit="1" customWidth="1"/>
    <col min="20" max="20" width="17.1796875" style="29" customWidth="1"/>
    <col min="21" max="16384" width="9" style="29"/>
  </cols>
  <sheetData>
    <row r="1" spans="1:19" s="11" customFormat="1" x14ac:dyDescent="0.2">
      <c r="A1" s="63" t="s">
        <v>161</v>
      </c>
      <c r="B1" s="63" t="s">
        <v>161</v>
      </c>
      <c r="C1" s="63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</row>
    <row r="2" spans="1:19" s="11" customFormat="1" ht="40" customHeight="1" x14ac:dyDescent="0.2">
      <c r="A2" s="64" t="s">
        <v>161</v>
      </c>
      <c r="B2" s="30"/>
      <c r="C2" s="30"/>
      <c r="D2" s="74" t="s">
        <v>236</v>
      </c>
      <c r="E2" s="7" t="s">
        <v>2</v>
      </c>
      <c r="F2" s="65" t="str">
        <f>IF(LogicCommon!C2="","",LogicCommon!C2)</f>
        <v>MS</v>
      </c>
      <c r="G2" s="7" t="s">
        <v>3</v>
      </c>
      <c r="H2" s="65" t="str">
        <f>IF(LogicCommon!E2="","",LogicCommon!E2)</f>
        <v>MSBEL2540</v>
      </c>
      <c r="I2" s="7" t="s">
        <v>137</v>
      </c>
      <c r="J2" s="9" t="s">
        <v>14</v>
      </c>
      <c r="K2" s="7" t="s">
        <v>27</v>
      </c>
      <c r="L2" s="65" t="str">
        <f>IF(LogicCommon!G2="","",LogicCommon!G2)</f>
        <v>MC</v>
      </c>
      <c r="M2" s="5" t="s">
        <v>162</v>
      </c>
      <c r="N2" s="31" t="s">
        <v>235</v>
      </c>
      <c r="O2" s="7"/>
      <c r="P2" s="7"/>
      <c r="Q2" s="4"/>
      <c r="R2" s="29"/>
      <c r="S2" s="29"/>
    </row>
    <row r="3" spans="1:19" s="11" customFormat="1" x14ac:dyDescent="0.2">
      <c r="A3" s="66" t="s">
        <v>161</v>
      </c>
      <c r="B3" s="67"/>
      <c r="C3" s="67"/>
      <c r="D3" s="68"/>
      <c r="E3" s="7" t="s">
        <v>4</v>
      </c>
      <c r="F3" s="65" t="str">
        <f>IF(LogicCommon!C3="","",LogicCommon!C3)</f>
        <v>MSBE</v>
      </c>
      <c r="G3" s="7" t="s">
        <v>5</v>
      </c>
      <c r="H3" s="65" t="str">
        <f>IF(LogicCommon!E3="","",LogicCommon!E3)</f>
        <v>MSBEL_BomEx</v>
      </c>
      <c r="I3" s="7" t="s">
        <v>163</v>
      </c>
      <c r="J3" s="9" t="s">
        <v>14</v>
      </c>
      <c r="K3" s="7" t="s">
        <v>28</v>
      </c>
      <c r="L3" s="65" t="str">
        <f>IF(LogicCommon!G3="","",LogicCommon!G3)</f>
        <v/>
      </c>
      <c r="M3" s="69"/>
      <c r="N3" s="7"/>
      <c r="O3" s="7" t="s">
        <v>164</v>
      </c>
      <c r="P3" s="9" t="s">
        <v>165</v>
      </c>
      <c r="Q3" s="4"/>
      <c r="R3" s="29"/>
      <c r="S3" s="29"/>
    </row>
    <row r="4" spans="1:19" s="11" customFormat="1" x14ac:dyDescent="0.2">
      <c r="A4" s="66" t="s">
        <v>161</v>
      </c>
      <c r="B4" s="67"/>
      <c r="C4" s="67"/>
      <c r="D4" s="4"/>
      <c r="E4" s="7" t="s">
        <v>24</v>
      </c>
      <c r="F4" s="10" t="s">
        <v>166</v>
      </c>
      <c r="G4" s="7" t="s">
        <v>6</v>
      </c>
      <c r="H4" s="65" t="str">
        <f>IF(LogicCommon!E4="","",LogicCommon!E4)</f>
        <v>構成展開</v>
      </c>
      <c r="I4" s="7" t="s">
        <v>167</v>
      </c>
      <c r="J4" s="9" t="s">
        <v>48</v>
      </c>
      <c r="K4" s="7" t="s">
        <v>8</v>
      </c>
      <c r="L4" s="65" t="str">
        <f>IF(LogicCommon!G4="","",LogicCommon!G4)</f>
        <v>MS.MSUDL5010</v>
      </c>
      <c r="M4" s="70" t="s">
        <v>138</v>
      </c>
      <c r="N4" s="31"/>
      <c r="O4" s="14"/>
      <c r="P4" s="4"/>
      <c r="Q4" s="4"/>
      <c r="R4" s="29"/>
      <c r="S4" s="29"/>
    </row>
    <row r="5" spans="1:19" s="11" customFormat="1" x14ac:dyDescent="0.2">
      <c r="A5" s="71" t="s">
        <v>161</v>
      </c>
      <c r="B5" s="63"/>
      <c r="C5" s="63"/>
      <c r="D5" s="27"/>
      <c r="E5" s="7" t="s">
        <v>168</v>
      </c>
      <c r="F5" s="10"/>
      <c r="G5" s="72"/>
      <c r="H5" s="72"/>
      <c r="I5" s="72"/>
      <c r="J5" s="72"/>
      <c r="K5" s="72"/>
      <c r="L5" s="6"/>
      <c r="M5" s="5"/>
      <c r="N5" s="5"/>
      <c r="O5" s="14"/>
      <c r="P5" s="4"/>
      <c r="Q5" s="4"/>
      <c r="R5" s="5"/>
      <c r="S5" s="5"/>
    </row>
    <row r="6" spans="1:19" s="11" customFormat="1" x14ac:dyDescent="0.2">
      <c r="A6" s="66" t="s">
        <v>161</v>
      </c>
      <c r="B6" s="67"/>
      <c r="C6" s="67"/>
      <c r="D6" s="4" t="s">
        <v>9</v>
      </c>
      <c r="E6" s="18" t="s">
        <v>130</v>
      </c>
      <c r="F6" s="18"/>
      <c r="G6" s="18"/>
      <c r="H6" s="18"/>
      <c r="I6" s="18"/>
      <c r="J6" s="18"/>
      <c r="K6" s="18"/>
      <c r="L6" s="73"/>
      <c r="M6" s="20" t="s">
        <v>160</v>
      </c>
      <c r="N6" s="20"/>
      <c r="O6" s="20" t="s">
        <v>160</v>
      </c>
      <c r="P6" s="20"/>
      <c r="Q6" s="20"/>
      <c r="R6" s="28"/>
      <c r="S6" s="28"/>
    </row>
    <row r="7" spans="1:19" s="11" customFormat="1" x14ac:dyDescent="0.2">
      <c r="A7" s="30" t="s">
        <v>12</v>
      </c>
      <c r="B7" s="30"/>
      <c r="C7" s="30"/>
      <c r="D7" s="6"/>
      <c r="E7" s="6"/>
      <c r="F7" s="6"/>
      <c r="G7" s="6"/>
      <c r="H7" s="6"/>
      <c r="I7" s="6" t="s">
        <v>25</v>
      </c>
      <c r="J7" s="6"/>
      <c r="K7" s="9" t="s">
        <v>228</v>
      </c>
      <c r="L7" s="34" t="s">
        <v>26</v>
      </c>
      <c r="M7" s="13"/>
      <c r="N7" s="34" t="s">
        <v>26</v>
      </c>
      <c r="O7" s="13"/>
      <c r="P7" s="50"/>
      <c r="Q7" s="28"/>
      <c r="R7" s="28"/>
      <c r="S7" s="28"/>
    </row>
    <row r="8" spans="1:19" s="11" customFormat="1" ht="60" customHeight="1" x14ac:dyDescent="0.2">
      <c r="A8" s="13" t="s">
        <v>12</v>
      </c>
      <c r="B8" s="75"/>
      <c r="C8" s="76"/>
      <c r="D8" s="34" t="s">
        <v>237</v>
      </c>
      <c r="E8" s="34" t="s">
        <v>238</v>
      </c>
      <c r="F8" s="73"/>
      <c r="G8" s="34" t="s">
        <v>159</v>
      </c>
      <c r="H8" s="34" t="s">
        <v>239</v>
      </c>
      <c r="I8" s="73"/>
      <c r="J8" s="3"/>
      <c r="K8" s="9" t="s">
        <v>47</v>
      </c>
      <c r="L8" s="34" t="s">
        <v>11</v>
      </c>
      <c r="M8" s="13"/>
      <c r="N8" s="34" t="s">
        <v>11</v>
      </c>
      <c r="O8" s="13"/>
      <c r="P8" s="77"/>
      <c r="Q8" s="78"/>
      <c r="R8" s="79" t="s">
        <v>240</v>
      </c>
      <c r="S8" s="44"/>
    </row>
    <row r="9" spans="1:19" s="11" customFormat="1" ht="60" customHeight="1" x14ac:dyDescent="0.2">
      <c r="A9" s="9" t="s">
        <v>12</v>
      </c>
      <c r="B9" s="35"/>
      <c r="C9" s="36"/>
      <c r="D9" s="34" t="s">
        <v>241</v>
      </c>
      <c r="E9" s="80" t="s">
        <v>242</v>
      </c>
      <c r="F9" s="34" t="s">
        <v>243</v>
      </c>
      <c r="G9" s="34" t="s">
        <v>244</v>
      </c>
      <c r="H9" s="34" t="s">
        <v>245</v>
      </c>
      <c r="I9" s="81" t="s">
        <v>246</v>
      </c>
      <c r="J9" s="34" t="s">
        <v>247</v>
      </c>
      <c r="K9" s="74"/>
      <c r="L9" s="81"/>
      <c r="M9" s="34"/>
      <c r="N9" s="81"/>
      <c r="O9" s="34"/>
      <c r="P9" s="79" t="s">
        <v>248</v>
      </c>
      <c r="Q9" s="44"/>
      <c r="R9" s="79" t="s">
        <v>249</v>
      </c>
      <c r="S9" s="44"/>
    </row>
    <row r="10" spans="1:19" s="11" customFormat="1" ht="52" x14ac:dyDescent="0.2">
      <c r="A10" s="35" t="s">
        <v>12</v>
      </c>
      <c r="B10" s="52"/>
      <c r="C10" s="52"/>
      <c r="D10" s="53"/>
      <c r="E10" s="51"/>
      <c r="F10" s="51"/>
      <c r="G10" s="54"/>
      <c r="H10" s="54"/>
      <c r="I10" s="51"/>
      <c r="J10" s="51"/>
      <c r="K10" s="55"/>
      <c r="L10" s="34" t="s">
        <v>246</v>
      </c>
      <c r="M10" s="34" t="s">
        <v>247</v>
      </c>
      <c r="N10" s="34" t="s">
        <v>246</v>
      </c>
      <c r="O10" s="34" t="s">
        <v>247</v>
      </c>
      <c r="P10" s="39"/>
      <c r="Q10" s="39"/>
      <c r="R10" s="40"/>
      <c r="S10" s="38"/>
    </row>
    <row r="11" spans="1:19" s="11" customFormat="1" x14ac:dyDescent="0.2">
      <c r="A11" s="9">
        <v>10</v>
      </c>
      <c r="B11" s="35" t="s">
        <v>0</v>
      </c>
      <c r="C11" s="36"/>
      <c r="D11" s="31" t="s">
        <v>46</v>
      </c>
      <c r="E11" s="32" t="s">
        <v>13</v>
      </c>
      <c r="F11" s="56"/>
      <c r="G11" s="31"/>
      <c r="H11" s="33"/>
      <c r="I11" s="57"/>
      <c r="J11" s="54"/>
      <c r="K11" s="54"/>
      <c r="L11" s="32"/>
      <c r="M11" s="32"/>
      <c r="N11" s="32"/>
      <c r="O11" s="32"/>
      <c r="P11" s="37"/>
      <c r="Q11" s="38"/>
      <c r="R11" s="61"/>
      <c r="S11" s="41"/>
    </row>
    <row r="12" spans="1:19" s="11" customFormat="1" x14ac:dyDescent="0.2">
      <c r="A12" s="9">
        <v>10</v>
      </c>
      <c r="B12" s="9"/>
      <c r="C12" s="9"/>
      <c r="D12" s="9" t="s">
        <v>134</v>
      </c>
      <c r="E12" s="13" t="s">
        <v>127</v>
      </c>
      <c r="F12" s="13"/>
      <c r="G12" s="42" t="s">
        <v>250</v>
      </c>
      <c r="H12" s="42" t="s">
        <v>169</v>
      </c>
      <c r="I12" s="9" t="s">
        <v>139</v>
      </c>
      <c r="J12" s="9" t="s">
        <v>140</v>
      </c>
      <c r="K12" s="9"/>
      <c r="L12" s="9"/>
      <c r="M12" s="9"/>
      <c r="N12" s="9"/>
      <c r="O12" s="9"/>
      <c r="P12" s="43"/>
      <c r="Q12" s="44"/>
      <c r="R12" s="61"/>
      <c r="S12" s="62"/>
    </row>
    <row r="13" spans="1:19" s="11" customFormat="1" x14ac:dyDescent="0.2">
      <c r="A13" s="9">
        <v>10</v>
      </c>
      <c r="B13" s="9"/>
      <c r="C13" s="9"/>
      <c r="D13" s="9" t="s">
        <v>15</v>
      </c>
      <c r="E13" s="13" t="s">
        <v>34</v>
      </c>
      <c r="F13" s="13"/>
      <c r="G13" s="42" t="s">
        <v>251</v>
      </c>
      <c r="H13" s="42" t="s">
        <v>170</v>
      </c>
      <c r="I13" s="9" t="s">
        <v>139</v>
      </c>
      <c r="J13" s="9" t="s">
        <v>140</v>
      </c>
      <c r="K13" s="9"/>
      <c r="L13" s="9"/>
      <c r="M13" s="9"/>
      <c r="N13" s="9"/>
      <c r="O13" s="9"/>
      <c r="P13" s="37"/>
      <c r="Q13" s="38"/>
      <c r="R13" s="61"/>
      <c r="S13" s="62"/>
    </row>
    <row r="14" spans="1:19" s="11" customFormat="1" x14ac:dyDescent="0.2">
      <c r="A14" s="9">
        <v>10</v>
      </c>
      <c r="B14" s="9"/>
      <c r="C14" s="9"/>
      <c r="D14" s="9" t="s">
        <v>61</v>
      </c>
      <c r="E14" s="13" t="s">
        <v>35</v>
      </c>
      <c r="F14" s="13"/>
      <c r="G14" s="42" t="s">
        <v>252</v>
      </c>
      <c r="H14" s="42" t="s">
        <v>171</v>
      </c>
      <c r="I14" s="9" t="s">
        <v>139</v>
      </c>
      <c r="J14" s="9" t="s">
        <v>140</v>
      </c>
      <c r="K14" s="9"/>
      <c r="L14" s="9"/>
      <c r="M14" s="9"/>
      <c r="N14" s="9"/>
      <c r="O14" s="9"/>
      <c r="P14" s="37"/>
      <c r="Q14" s="38"/>
      <c r="R14" s="61"/>
      <c r="S14" s="62"/>
    </row>
    <row r="15" spans="1:19" s="11" customFormat="1" x14ac:dyDescent="0.2">
      <c r="A15" s="9">
        <v>10</v>
      </c>
      <c r="B15" s="9"/>
      <c r="C15" s="9"/>
      <c r="D15" s="9" t="s">
        <v>62</v>
      </c>
      <c r="E15" s="13" t="s">
        <v>36</v>
      </c>
      <c r="F15" s="13"/>
      <c r="G15" s="42" t="s">
        <v>253</v>
      </c>
      <c r="H15" s="42" t="s">
        <v>141</v>
      </c>
      <c r="I15" s="9" t="s">
        <v>139</v>
      </c>
      <c r="J15" s="9" t="s">
        <v>140</v>
      </c>
      <c r="K15" s="9"/>
      <c r="L15" s="9"/>
      <c r="M15" s="9"/>
      <c r="N15" s="9"/>
      <c r="O15" s="9"/>
      <c r="P15" s="37"/>
      <c r="Q15" s="38"/>
      <c r="R15" s="61"/>
      <c r="S15" s="62"/>
    </row>
    <row r="16" spans="1:19" s="11" customFormat="1" x14ac:dyDescent="0.2">
      <c r="A16" s="9">
        <v>10</v>
      </c>
      <c r="B16" s="9"/>
      <c r="C16" s="9"/>
      <c r="D16" s="9" t="s">
        <v>63</v>
      </c>
      <c r="E16" s="13" t="s">
        <v>37</v>
      </c>
      <c r="F16" s="13"/>
      <c r="G16" s="42" t="s">
        <v>254</v>
      </c>
      <c r="H16" s="42" t="s">
        <v>172</v>
      </c>
      <c r="I16" s="9" t="s">
        <v>139</v>
      </c>
      <c r="J16" s="9" t="s">
        <v>140</v>
      </c>
      <c r="K16" s="9"/>
      <c r="L16" s="9"/>
      <c r="M16" s="9"/>
      <c r="N16" s="9"/>
      <c r="O16" s="9"/>
      <c r="P16" s="37"/>
      <c r="Q16" s="38"/>
      <c r="R16" s="61"/>
      <c r="S16" s="62"/>
    </row>
    <row r="17" spans="1:19" s="11" customFormat="1" x14ac:dyDescent="0.2">
      <c r="A17" s="9">
        <v>10</v>
      </c>
      <c r="B17" s="9"/>
      <c r="C17" s="9"/>
      <c r="D17" s="9" t="s">
        <v>129</v>
      </c>
      <c r="E17" s="13" t="s">
        <v>41</v>
      </c>
      <c r="F17" s="13"/>
      <c r="G17" s="42" t="s">
        <v>255</v>
      </c>
      <c r="H17" s="42" t="s">
        <v>173</v>
      </c>
      <c r="I17" s="9" t="s">
        <v>139</v>
      </c>
      <c r="J17" s="9" t="s">
        <v>140</v>
      </c>
      <c r="K17" s="9"/>
      <c r="L17" s="9"/>
      <c r="M17" s="9"/>
      <c r="N17" s="9"/>
      <c r="O17" s="9"/>
      <c r="P17" s="37"/>
      <c r="Q17" s="38"/>
      <c r="R17" s="61"/>
      <c r="S17" s="62"/>
    </row>
    <row r="18" spans="1:19" s="11" customFormat="1" x14ac:dyDescent="0.2">
      <c r="A18" s="9">
        <v>10</v>
      </c>
      <c r="B18" s="9"/>
      <c r="C18" s="9"/>
      <c r="D18" s="9" t="s">
        <v>60</v>
      </c>
      <c r="E18" s="13" t="s">
        <v>64</v>
      </c>
      <c r="F18" s="13"/>
      <c r="G18" s="42" t="s">
        <v>256</v>
      </c>
      <c r="H18" s="42" t="s">
        <v>174</v>
      </c>
      <c r="I18" s="9" t="s">
        <v>139</v>
      </c>
      <c r="J18" s="9" t="s">
        <v>140</v>
      </c>
      <c r="K18" s="9"/>
      <c r="L18" s="9"/>
      <c r="M18" s="9"/>
      <c r="N18" s="9"/>
      <c r="O18" s="9"/>
      <c r="P18" s="37"/>
      <c r="Q18" s="38"/>
      <c r="R18" s="61"/>
      <c r="S18" s="62"/>
    </row>
    <row r="19" spans="1:19" s="11" customFormat="1" x14ac:dyDescent="0.2">
      <c r="A19" s="9">
        <v>10</v>
      </c>
      <c r="B19" s="9"/>
      <c r="C19" s="9"/>
      <c r="D19" s="9" t="s">
        <v>115</v>
      </c>
      <c r="E19" s="13" t="s">
        <v>29</v>
      </c>
      <c r="F19" s="13" t="s">
        <v>117</v>
      </c>
      <c r="G19" s="42" t="s">
        <v>257</v>
      </c>
      <c r="H19" s="42" t="s">
        <v>175</v>
      </c>
      <c r="I19" s="9" t="s">
        <v>139</v>
      </c>
      <c r="J19" s="9" t="s">
        <v>140</v>
      </c>
      <c r="K19" s="9"/>
      <c r="L19" s="9"/>
      <c r="M19" s="9"/>
      <c r="N19" s="9"/>
      <c r="O19" s="9"/>
      <c r="P19" s="37"/>
      <c r="Q19" s="38"/>
      <c r="R19" s="61"/>
      <c r="S19" s="62"/>
    </row>
    <row r="20" spans="1:19" s="11" customFormat="1" x14ac:dyDescent="0.2">
      <c r="A20" s="9">
        <v>10</v>
      </c>
      <c r="B20" s="9"/>
      <c r="C20" s="9"/>
      <c r="D20" s="9" t="s">
        <v>116</v>
      </c>
      <c r="E20" s="13" t="s">
        <v>30</v>
      </c>
      <c r="F20" s="13"/>
      <c r="G20" s="42" t="s">
        <v>258</v>
      </c>
      <c r="H20" s="42" t="s">
        <v>176</v>
      </c>
      <c r="I20" s="9"/>
      <c r="J20" s="9" t="s">
        <v>140</v>
      </c>
      <c r="K20" s="9"/>
      <c r="L20" s="9"/>
      <c r="M20" s="9"/>
      <c r="N20" s="9"/>
      <c r="O20" s="9"/>
      <c r="P20" s="43"/>
      <c r="Q20" s="44"/>
      <c r="R20" s="61"/>
      <c r="S20" s="62"/>
    </row>
    <row r="21" spans="1:19" s="11" customFormat="1" x14ac:dyDescent="0.2">
      <c r="A21" s="9">
        <v>10</v>
      </c>
      <c r="B21" s="9"/>
      <c r="C21" s="9"/>
      <c r="D21" s="9" t="s">
        <v>131</v>
      </c>
      <c r="E21" s="13" t="s">
        <v>30</v>
      </c>
      <c r="F21" s="13"/>
      <c r="G21" s="42" t="s">
        <v>259</v>
      </c>
      <c r="H21" s="42" t="s">
        <v>177</v>
      </c>
      <c r="I21" s="9" t="s">
        <v>139</v>
      </c>
      <c r="J21" s="9" t="s">
        <v>140</v>
      </c>
      <c r="K21" s="9"/>
      <c r="L21" s="9"/>
      <c r="M21" s="9"/>
      <c r="N21" s="9"/>
      <c r="O21" s="9"/>
      <c r="P21" s="43"/>
      <c r="Q21" s="44"/>
      <c r="R21" s="61"/>
      <c r="S21" s="62"/>
    </row>
    <row r="22" spans="1:19" s="11" customFormat="1" ht="52" x14ac:dyDescent="0.2">
      <c r="A22" s="66" t="str">
        <f>IF(D22="","",IF(B22="*",MAX($A$11:A21)+10,MAX($A$11:A21)))</f>
        <v/>
      </c>
      <c r="L22" s="11" t="s">
        <v>246</v>
      </c>
      <c r="M22" s="11" t="s">
        <v>247</v>
      </c>
      <c r="N22" s="11" t="s">
        <v>246</v>
      </c>
      <c r="O22" s="11" t="s">
        <v>247</v>
      </c>
      <c r="S22" s="45"/>
    </row>
    <row r="23" spans="1:19" s="11" customFormat="1" x14ac:dyDescent="0.2">
      <c r="A23" s="9">
        <v>20</v>
      </c>
      <c r="B23" s="35" t="s">
        <v>0</v>
      </c>
      <c r="C23" s="36"/>
      <c r="D23" s="31" t="s">
        <v>221</v>
      </c>
      <c r="E23" s="32" t="s">
        <v>23</v>
      </c>
      <c r="F23" s="58"/>
      <c r="G23" s="31"/>
      <c r="H23" s="33"/>
      <c r="I23" s="59"/>
      <c r="J23" s="60"/>
      <c r="K23" s="60"/>
      <c r="L23" s="32"/>
      <c r="M23" s="32"/>
      <c r="N23" s="32"/>
      <c r="O23" s="32"/>
      <c r="P23" s="43"/>
      <c r="Q23" s="44"/>
      <c r="R23" s="61"/>
      <c r="S23" s="41"/>
    </row>
    <row r="24" spans="1:19" s="11" customFormat="1" x14ac:dyDescent="0.2">
      <c r="A24" s="9">
        <v>20</v>
      </c>
      <c r="B24" s="9"/>
      <c r="C24" s="9"/>
      <c r="D24" s="9" t="s">
        <v>118</v>
      </c>
      <c r="E24" s="13" t="s">
        <v>103</v>
      </c>
      <c r="F24" s="13"/>
      <c r="G24" s="42" t="s">
        <v>260</v>
      </c>
      <c r="H24" s="42" t="s">
        <v>178</v>
      </c>
      <c r="I24" s="9" t="s">
        <v>154</v>
      </c>
      <c r="J24" s="9" t="s">
        <v>139</v>
      </c>
      <c r="K24" s="9"/>
      <c r="L24" s="9"/>
      <c r="M24" s="9"/>
      <c r="N24" s="9"/>
      <c r="O24" s="9"/>
      <c r="P24" s="43"/>
      <c r="Q24" s="44"/>
      <c r="R24" s="61"/>
      <c r="S24" s="62"/>
    </row>
    <row r="25" spans="1:19" s="11" customFormat="1" x14ac:dyDescent="0.2">
      <c r="A25" s="9">
        <v>20</v>
      </c>
      <c r="B25" s="9"/>
      <c r="C25" s="9"/>
      <c r="D25" s="9" t="s">
        <v>65</v>
      </c>
      <c r="E25" s="13" t="s">
        <v>66</v>
      </c>
      <c r="F25" s="13"/>
      <c r="G25" s="42" t="s">
        <v>261</v>
      </c>
      <c r="H25" s="42" t="s">
        <v>179</v>
      </c>
      <c r="I25" s="9" t="s">
        <v>154</v>
      </c>
      <c r="J25" s="9" t="s">
        <v>139</v>
      </c>
      <c r="K25" s="9"/>
      <c r="L25" s="9"/>
      <c r="M25" s="9"/>
      <c r="N25" s="9"/>
      <c r="O25" s="9"/>
      <c r="P25" s="43"/>
      <c r="Q25" s="44"/>
      <c r="R25" s="129"/>
      <c r="S25" s="130"/>
    </row>
    <row r="26" spans="1:19" s="11" customFormat="1" x14ac:dyDescent="0.2">
      <c r="A26" s="9">
        <v>20</v>
      </c>
      <c r="B26" s="9"/>
      <c r="C26" s="9"/>
      <c r="D26" s="9" t="s">
        <v>67</v>
      </c>
      <c r="E26" s="13" t="s">
        <v>66</v>
      </c>
      <c r="F26" s="13"/>
      <c r="G26" s="42" t="s">
        <v>262</v>
      </c>
      <c r="H26" s="42" t="s">
        <v>180</v>
      </c>
      <c r="I26" s="9" t="s">
        <v>154</v>
      </c>
      <c r="J26" s="9" t="s">
        <v>139</v>
      </c>
      <c r="K26" s="9"/>
      <c r="L26" s="9"/>
      <c r="M26" s="9"/>
      <c r="N26" s="9"/>
      <c r="O26" s="9"/>
      <c r="P26" s="43"/>
      <c r="Q26" s="44"/>
      <c r="R26" s="129"/>
      <c r="S26" s="130"/>
    </row>
    <row r="27" spans="1:19" s="11" customFormat="1" x14ac:dyDescent="0.2">
      <c r="A27" s="9">
        <v>20</v>
      </c>
      <c r="B27" s="9"/>
      <c r="C27" s="9"/>
      <c r="D27" s="9" t="s">
        <v>68</v>
      </c>
      <c r="E27" s="13" t="s">
        <v>30</v>
      </c>
      <c r="F27" s="13"/>
      <c r="G27" s="42" t="s">
        <v>263</v>
      </c>
      <c r="H27" s="42" t="s">
        <v>181</v>
      </c>
      <c r="I27" s="9" t="s">
        <v>154</v>
      </c>
      <c r="J27" s="9" t="s">
        <v>139</v>
      </c>
      <c r="K27" s="9"/>
      <c r="L27" s="9"/>
      <c r="M27" s="9"/>
      <c r="N27" s="9"/>
      <c r="O27" s="9"/>
      <c r="P27" s="43"/>
      <c r="Q27" s="44"/>
      <c r="R27" s="61"/>
      <c r="S27" s="62"/>
    </row>
    <row r="28" spans="1:19" s="11" customFormat="1" x14ac:dyDescent="0.2">
      <c r="A28" s="9">
        <v>20</v>
      </c>
      <c r="B28" s="9"/>
      <c r="C28" s="9"/>
      <c r="D28" s="9" t="s">
        <v>15</v>
      </c>
      <c r="E28" s="13" t="s">
        <v>34</v>
      </c>
      <c r="F28" s="13"/>
      <c r="G28" s="42" t="s">
        <v>251</v>
      </c>
      <c r="H28" s="42" t="s">
        <v>170</v>
      </c>
      <c r="I28" s="9" t="s">
        <v>154</v>
      </c>
      <c r="J28" s="9" t="s">
        <v>139</v>
      </c>
      <c r="K28" s="9"/>
      <c r="L28" s="9"/>
      <c r="M28" s="9"/>
      <c r="N28" s="9"/>
      <c r="O28" s="9"/>
      <c r="P28" s="43"/>
      <c r="Q28" s="44"/>
      <c r="R28" s="61"/>
      <c r="S28" s="62"/>
    </row>
    <row r="29" spans="1:19" s="11" customFormat="1" x14ac:dyDescent="0.2">
      <c r="A29" s="9">
        <v>20</v>
      </c>
      <c r="B29" s="9"/>
      <c r="C29" s="9"/>
      <c r="D29" s="9" t="s">
        <v>31</v>
      </c>
      <c r="E29" s="13" t="s">
        <v>35</v>
      </c>
      <c r="F29" s="13"/>
      <c r="G29" s="42" t="s">
        <v>252</v>
      </c>
      <c r="H29" s="42" t="s">
        <v>171</v>
      </c>
      <c r="I29" s="9" t="s">
        <v>154</v>
      </c>
      <c r="J29" s="9" t="s">
        <v>139</v>
      </c>
      <c r="K29" s="9"/>
      <c r="L29" s="9"/>
      <c r="M29" s="9"/>
      <c r="N29" s="9"/>
      <c r="O29" s="9"/>
      <c r="P29" s="43"/>
      <c r="Q29" s="44"/>
      <c r="R29" s="61"/>
      <c r="S29" s="62"/>
    </row>
    <row r="30" spans="1:19" s="11" customFormat="1" x14ac:dyDescent="0.2">
      <c r="A30" s="9">
        <v>20</v>
      </c>
      <c r="B30" s="9"/>
      <c r="C30" s="9"/>
      <c r="D30" s="9" t="s">
        <v>32</v>
      </c>
      <c r="E30" s="13" t="s">
        <v>36</v>
      </c>
      <c r="F30" s="13"/>
      <c r="G30" s="42" t="s">
        <v>253</v>
      </c>
      <c r="H30" s="42" t="s">
        <v>141</v>
      </c>
      <c r="I30" s="9" t="s">
        <v>154</v>
      </c>
      <c r="J30" s="9" t="s">
        <v>139</v>
      </c>
      <c r="K30" s="9"/>
      <c r="L30" s="9"/>
      <c r="M30" s="9"/>
      <c r="N30" s="9"/>
      <c r="O30" s="9"/>
      <c r="P30" s="43"/>
      <c r="Q30" s="44"/>
      <c r="R30" s="61"/>
      <c r="S30" s="62"/>
    </row>
    <row r="31" spans="1:19" s="11" customFormat="1" x14ac:dyDescent="0.2">
      <c r="A31" s="9">
        <v>20</v>
      </c>
      <c r="B31" s="9"/>
      <c r="C31" s="9"/>
      <c r="D31" s="9" t="s">
        <v>33</v>
      </c>
      <c r="E31" s="13" t="s">
        <v>37</v>
      </c>
      <c r="F31" s="13"/>
      <c r="G31" s="42" t="s">
        <v>254</v>
      </c>
      <c r="H31" s="42" t="s">
        <v>172</v>
      </c>
      <c r="I31" s="9" t="s">
        <v>154</v>
      </c>
      <c r="J31" s="9" t="s">
        <v>139</v>
      </c>
      <c r="K31" s="9"/>
      <c r="L31" s="9"/>
      <c r="M31" s="9"/>
      <c r="N31" s="9"/>
      <c r="O31" s="9"/>
      <c r="P31" s="43"/>
      <c r="Q31" s="44"/>
      <c r="R31" s="61"/>
      <c r="S31" s="62"/>
    </row>
    <row r="32" spans="1:19" s="11" customFormat="1" x14ac:dyDescent="0.2">
      <c r="A32" s="9">
        <v>20</v>
      </c>
      <c r="B32" s="9"/>
      <c r="C32" s="9"/>
      <c r="D32" s="9" t="s">
        <v>16</v>
      </c>
      <c r="E32" s="13" t="s">
        <v>38</v>
      </c>
      <c r="F32" s="13"/>
      <c r="G32" s="42" t="s">
        <v>264</v>
      </c>
      <c r="H32" s="42" t="s">
        <v>182</v>
      </c>
      <c r="I32" s="9" t="s">
        <v>154</v>
      </c>
      <c r="J32" s="9" t="s">
        <v>139</v>
      </c>
      <c r="K32" s="9"/>
      <c r="L32" s="9"/>
      <c r="M32" s="9"/>
      <c r="N32" s="9"/>
      <c r="O32" s="9"/>
      <c r="P32" s="43"/>
      <c r="Q32" s="44"/>
      <c r="R32" s="61"/>
      <c r="S32" s="62"/>
    </row>
    <row r="33" spans="1:19" s="11" customFormat="1" x14ac:dyDescent="0.2">
      <c r="A33" s="9">
        <v>20</v>
      </c>
      <c r="B33" s="9"/>
      <c r="C33" s="9"/>
      <c r="D33" s="9" t="s">
        <v>222</v>
      </c>
      <c r="E33" s="13" t="s">
        <v>30</v>
      </c>
      <c r="F33" s="13"/>
      <c r="G33" s="42" t="s">
        <v>265</v>
      </c>
      <c r="H33" s="42" t="s">
        <v>229</v>
      </c>
      <c r="I33" s="9" t="s">
        <v>140</v>
      </c>
      <c r="J33" s="9" t="s">
        <v>139</v>
      </c>
      <c r="K33" s="9"/>
      <c r="L33" s="9"/>
      <c r="M33" s="9"/>
      <c r="N33" s="9"/>
      <c r="O33" s="9"/>
      <c r="P33" s="43"/>
      <c r="Q33" s="44"/>
      <c r="R33" s="61"/>
      <c r="S33" s="62"/>
    </row>
    <row r="34" spans="1:19" s="11" customFormat="1" x14ac:dyDescent="0.2">
      <c r="A34" s="9">
        <v>20</v>
      </c>
      <c r="B34" s="9"/>
      <c r="C34" s="9"/>
      <c r="D34" s="9" t="s">
        <v>53</v>
      </c>
      <c r="E34" s="13" t="s">
        <v>55</v>
      </c>
      <c r="F34" s="13"/>
      <c r="G34" s="42" t="s">
        <v>266</v>
      </c>
      <c r="H34" s="42" t="s">
        <v>183</v>
      </c>
      <c r="I34" s="9" t="s">
        <v>154</v>
      </c>
      <c r="J34" s="9" t="s">
        <v>139</v>
      </c>
      <c r="K34" s="9"/>
      <c r="L34" s="9"/>
      <c r="M34" s="9"/>
      <c r="N34" s="9"/>
      <c r="O34" s="9"/>
      <c r="P34" s="43"/>
      <c r="Q34" s="44"/>
      <c r="R34" s="61"/>
      <c r="S34" s="62"/>
    </row>
    <row r="35" spans="1:19" s="11" customFormat="1" x14ac:dyDescent="0.2">
      <c r="A35" s="9">
        <v>20</v>
      </c>
      <c r="B35" s="9"/>
      <c r="C35" s="9"/>
      <c r="D35" s="9" t="s">
        <v>227</v>
      </c>
      <c r="E35" s="13" t="s">
        <v>226</v>
      </c>
      <c r="F35" s="13"/>
      <c r="G35" s="42" t="s">
        <v>267</v>
      </c>
      <c r="H35" s="42" t="s">
        <v>230</v>
      </c>
      <c r="I35" s="9" t="s">
        <v>140</v>
      </c>
      <c r="J35" s="9" t="s">
        <v>139</v>
      </c>
      <c r="K35" s="9"/>
      <c r="L35" s="9"/>
      <c r="M35" s="9"/>
      <c r="N35" s="9"/>
      <c r="O35" s="9"/>
      <c r="P35" s="43"/>
      <c r="Q35" s="44"/>
      <c r="R35" s="61"/>
      <c r="S35" s="62"/>
    </row>
    <row r="36" spans="1:19" s="11" customFormat="1" x14ac:dyDescent="0.2">
      <c r="A36" s="9">
        <v>20</v>
      </c>
      <c r="B36" s="9"/>
      <c r="C36" s="9"/>
      <c r="D36" s="9" t="s">
        <v>223</v>
      </c>
      <c r="E36" s="13" t="s">
        <v>220</v>
      </c>
      <c r="F36" s="13"/>
      <c r="G36" s="42" t="s">
        <v>268</v>
      </c>
      <c r="H36" s="42" t="s">
        <v>231</v>
      </c>
      <c r="I36" s="9" t="s">
        <v>140</v>
      </c>
      <c r="J36" s="9" t="s">
        <v>139</v>
      </c>
      <c r="K36" s="9"/>
      <c r="L36" s="9"/>
      <c r="M36" s="9"/>
      <c r="N36" s="9"/>
      <c r="O36" s="9"/>
      <c r="P36" s="43"/>
      <c r="Q36" s="44"/>
      <c r="R36" s="61"/>
      <c r="S36" s="62"/>
    </row>
    <row r="37" spans="1:19" s="11" customFormat="1" x14ac:dyDescent="0.2">
      <c r="A37" s="9">
        <v>20</v>
      </c>
      <c r="B37" s="9"/>
      <c r="C37" s="9"/>
      <c r="D37" s="9" t="s">
        <v>54</v>
      </c>
      <c r="E37" s="13" t="s">
        <v>56</v>
      </c>
      <c r="F37" s="13"/>
      <c r="G37" s="42" t="s">
        <v>269</v>
      </c>
      <c r="H37" s="42" t="s">
        <v>184</v>
      </c>
      <c r="I37" s="9" t="s">
        <v>154</v>
      </c>
      <c r="J37" s="9" t="s">
        <v>139</v>
      </c>
      <c r="K37" s="9"/>
      <c r="L37" s="9"/>
      <c r="M37" s="9"/>
      <c r="N37" s="9"/>
      <c r="O37" s="9"/>
      <c r="P37" s="43"/>
      <c r="Q37" s="44"/>
      <c r="R37" s="61"/>
      <c r="S37" s="62"/>
    </row>
    <row r="38" spans="1:19" s="11" customFormat="1" x14ac:dyDescent="0.2">
      <c r="A38" s="9">
        <v>20</v>
      </c>
      <c r="B38" s="9"/>
      <c r="C38" s="9"/>
      <c r="D38" s="9" t="s">
        <v>225</v>
      </c>
      <c r="E38" s="13" t="s">
        <v>226</v>
      </c>
      <c r="F38" s="13"/>
      <c r="G38" s="42" t="s">
        <v>270</v>
      </c>
      <c r="H38" s="42" t="s">
        <v>232</v>
      </c>
      <c r="I38" s="9" t="s">
        <v>140</v>
      </c>
      <c r="J38" s="9" t="s">
        <v>139</v>
      </c>
      <c r="K38" s="9"/>
      <c r="L38" s="9"/>
      <c r="M38" s="9"/>
      <c r="N38" s="9"/>
      <c r="O38" s="9"/>
      <c r="P38" s="43"/>
      <c r="Q38" s="44"/>
      <c r="R38" s="61"/>
      <c r="S38" s="62"/>
    </row>
    <row r="39" spans="1:19" s="11" customFormat="1" ht="26" x14ac:dyDescent="0.2">
      <c r="A39" s="9">
        <v>20</v>
      </c>
      <c r="B39" s="9"/>
      <c r="C39" s="9"/>
      <c r="D39" s="9" t="s">
        <v>224</v>
      </c>
      <c r="E39" s="13" t="s">
        <v>220</v>
      </c>
      <c r="F39" s="13"/>
      <c r="G39" s="42" t="s">
        <v>271</v>
      </c>
      <c r="H39" s="42" t="s">
        <v>233</v>
      </c>
      <c r="I39" s="9" t="s">
        <v>140</v>
      </c>
      <c r="J39" s="9" t="s">
        <v>139</v>
      </c>
      <c r="K39" s="9"/>
      <c r="L39" s="9"/>
      <c r="M39" s="9"/>
      <c r="N39" s="9"/>
      <c r="O39" s="9"/>
      <c r="P39" s="43"/>
      <c r="Q39" s="44"/>
      <c r="R39" s="61"/>
      <c r="S39" s="62"/>
    </row>
    <row r="40" spans="1:19" s="11" customFormat="1" x14ac:dyDescent="0.2">
      <c r="A40" s="9">
        <v>20</v>
      </c>
      <c r="B40" s="9"/>
      <c r="C40" s="9"/>
      <c r="D40" s="9" t="s">
        <v>104</v>
      </c>
      <c r="E40" s="13" t="s">
        <v>108</v>
      </c>
      <c r="F40" s="13"/>
      <c r="G40" s="42" t="s">
        <v>272</v>
      </c>
      <c r="H40" s="42" t="s">
        <v>185</v>
      </c>
      <c r="I40" s="9" t="s">
        <v>154</v>
      </c>
      <c r="J40" s="9" t="s">
        <v>139</v>
      </c>
      <c r="K40" s="9"/>
      <c r="L40" s="9"/>
      <c r="M40" s="9"/>
      <c r="N40" s="9"/>
      <c r="O40" s="9"/>
      <c r="P40" s="43"/>
      <c r="Q40" s="44"/>
      <c r="R40" s="61"/>
      <c r="S40" s="62"/>
    </row>
    <row r="41" spans="1:19" s="11" customFormat="1" x14ac:dyDescent="0.2">
      <c r="A41" s="9">
        <v>20</v>
      </c>
      <c r="B41" s="9"/>
      <c r="C41" s="9"/>
      <c r="D41" s="9" t="s">
        <v>105</v>
      </c>
      <c r="E41" s="13" t="s">
        <v>108</v>
      </c>
      <c r="F41" s="13"/>
      <c r="G41" s="42" t="s">
        <v>273</v>
      </c>
      <c r="H41" s="42" t="s">
        <v>142</v>
      </c>
      <c r="I41" s="9" t="s">
        <v>154</v>
      </c>
      <c r="J41" s="9" t="s">
        <v>139</v>
      </c>
      <c r="K41" s="9"/>
      <c r="L41" s="9"/>
      <c r="M41" s="9"/>
      <c r="N41" s="9"/>
      <c r="O41" s="9"/>
      <c r="P41" s="43"/>
      <c r="Q41" s="44"/>
      <c r="R41" s="61"/>
      <c r="S41" s="62"/>
    </row>
    <row r="42" spans="1:19" s="11" customFormat="1" x14ac:dyDescent="0.2">
      <c r="A42" s="9">
        <v>20</v>
      </c>
      <c r="B42" s="9"/>
      <c r="C42" s="9"/>
      <c r="D42" s="9" t="s">
        <v>106</v>
      </c>
      <c r="E42" s="13" t="s">
        <v>108</v>
      </c>
      <c r="F42" s="13"/>
      <c r="G42" s="42" t="s">
        <v>274</v>
      </c>
      <c r="H42" s="42" t="s">
        <v>143</v>
      </c>
      <c r="I42" s="9" t="s">
        <v>154</v>
      </c>
      <c r="J42" s="9" t="s">
        <v>139</v>
      </c>
      <c r="K42" s="9"/>
      <c r="L42" s="9"/>
      <c r="M42" s="9"/>
      <c r="N42" s="9"/>
      <c r="O42" s="9"/>
      <c r="P42" s="43"/>
      <c r="Q42" s="44"/>
      <c r="R42" s="61"/>
      <c r="S42" s="62"/>
    </row>
    <row r="43" spans="1:19" s="11" customFormat="1" x14ac:dyDescent="0.2">
      <c r="A43" s="9">
        <v>20</v>
      </c>
      <c r="B43" s="9"/>
      <c r="C43" s="9"/>
      <c r="D43" s="9" t="s">
        <v>107</v>
      </c>
      <c r="E43" s="13" t="s">
        <v>108</v>
      </c>
      <c r="F43" s="13"/>
      <c r="G43" s="42" t="s">
        <v>275</v>
      </c>
      <c r="H43" s="42" t="s">
        <v>186</v>
      </c>
      <c r="I43" s="9" t="s">
        <v>154</v>
      </c>
      <c r="J43" s="9" t="s">
        <v>139</v>
      </c>
      <c r="K43" s="9"/>
      <c r="L43" s="9"/>
      <c r="M43" s="9"/>
      <c r="N43" s="9"/>
      <c r="O43" s="9"/>
      <c r="P43" s="43"/>
      <c r="Q43" s="44"/>
      <c r="R43" s="61"/>
      <c r="S43" s="62"/>
    </row>
    <row r="44" spans="1:19" s="11" customFormat="1" x14ac:dyDescent="0.2">
      <c r="A44" s="9">
        <v>20</v>
      </c>
      <c r="B44" s="9"/>
      <c r="C44" s="9"/>
      <c r="D44" s="9" t="s">
        <v>52</v>
      </c>
      <c r="E44" s="13" t="s">
        <v>30</v>
      </c>
      <c r="F44" s="13"/>
      <c r="G44" s="42" t="s">
        <v>276</v>
      </c>
      <c r="H44" s="42" t="s">
        <v>187</v>
      </c>
      <c r="I44" s="9" t="s">
        <v>154</v>
      </c>
      <c r="J44" s="9" t="s">
        <v>139</v>
      </c>
      <c r="K44" s="9"/>
      <c r="L44" s="9"/>
      <c r="M44" s="9"/>
      <c r="N44" s="9"/>
      <c r="O44" s="9"/>
      <c r="P44" s="43"/>
      <c r="Q44" s="44"/>
      <c r="R44" s="61"/>
      <c r="S44" s="62"/>
    </row>
    <row r="45" spans="1:19" s="11" customFormat="1" x14ac:dyDescent="0.2">
      <c r="A45" s="9">
        <v>20</v>
      </c>
      <c r="B45" s="9"/>
      <c r="C45" s="9"/>
      <c r="D45" s="9" t="s">
        <v>69</v>
      </c>
      <c r="E45" s="13" t="s">
        <v>90</v>
      </c>
      <c r="F45" s="13"/>
      <c r="G45" s="42" t="s">
        <v>277</v>
      </c>
      <c r="H45" s="42" t="s">
        <v>144</v>
      </c>
      <c r="I45" s="9" t="s">
        <v>154</v>
      </c>
      <c r="J45" s="9" t="s">
        <v>139</v>
      </c>
      <c r="K45" s="9"/>
      <c r="L45" s="9"/>
      <c r="M45" s="9"/>
      <c r="N45" s="9"/>
      <c r="O45" s="9"/>
      <c r="P45" s="43"/>
      <c r="Q45" s="44"/>
      <c r="R45" s="61"/>
      <c r="S45" s="62"/>
    </row>
    <row r="46" spans="1:19" s="11" customFormat="1" x14ac:dyDescent="0.2">
      <c r="A46" s="9">
        <v>20</v>
      </c>
      <c r="B46" s="9"/>
      <c r="C46" s="9"/>
      <c r="D46" s="9" t="s">
        <v>119</v>
      </c>
      <c r="E46" s="13" t="s">
        <v>41</v>
      </c>
      <c r="F46" s="13"/>
      <c r="G46" s="42" t="s">
        <v>278</v>
      </c>
      <c r="H46" s="42" t="s">
        <v>188</v>
      </c>
      <c r="I46" s="9" t="s">
        <v>154</v>
      </c>
      <c r="J46" s="9" t="s">
        <v>139</v>
      </c>
      <c r="K46" s="9"/>
      <c r="L46" s="9"/>
      <c r="M46" s="9"/>
      <c r="N46" s="9"/>
      <c r="O46" s="9"/>
      <c r="P46" s="43"/>
      <c r="Q46" s="44"/>
      <c r="R46" s="129"/>
      <c r="S46" s="130"/>
    </row>
    <row r="47" spans="1:19" s="11" customFormat="1" x14ac:dyDescent="0.2">
      <c r="A47" s="9">
        <v>20</v>
      </c>
      <c r="B47" s="9"/>
      <c r="C47" s="9"/>
      <c r="D47" s="9" t="s">
        <v>135</v>
      </c>
      <c r="E47" s="13" t="s">
        <v>39</v>
      </c>
      <c r="F47" s="13"/>
      <c r="G47" s="42" t="s">
        <v>279</v>
      </c>
      <c r="H47" s="42" t="s">
        <v>189</v>
      </c>
      <c r="I47" s="9" t="s">
        <v>154</v>
      </c>
      <c r="J47" s="9" t="s">
        <v>139</v>
      </c>
      <c r="K47" s="9"/>
      <c r="L47" s="9"/>
      <c r="M47" s="9"/>
      <c r="N47" s="9"/>
      <c r="O47" s="9"/>
      <c r="P47" s="43"/>
      <c r="Q47" s="44"/>
      <c r="R47" s="129"/>
      <c r="S47" s="130"/>
    </row>
    <row r="48" spans="1:19" s="11" customFormat="1" x14ac:dyDescent="0.2">
      <c r="A48" s="9">
        <v>20</v>
      </c>
      <c r="B48" s="9"/>
      <c r="C48" s="9"/>
      <c r="D48" s="9" t="s">
        <v>113</v>
      </c>
      <c r="E48" s="13" t="s">
        <v>40</v>
      </c>
      <c r="F48" s="13"/>
      <c r="G48" s="42" t="s">
        <v>280</v>
      </c>
      <c r="H48" s="42" t="s">
        <v>190</v>
      </c>
      <c r="I48" s="9" t="s">
        <v>154</v>
      </c>
      <c r="J48" s="9" t="s">
        <v>139</v>
      </c>
      <c r="K48" s="9"/>
      <c r="L48" s="9"/>
      <c r="M48" s="9"/>
      <c r="N48" s="9"/>
      <c r="O48" s="9"/>
      <c r="P48" s="43"/>
      <c r="Q48" s="44"/>
      <c r="R48" s="129"/>
      <c r="S48" s="130"/>
    </row>
    <row r="49" spans="1:19" s="11" customFormat="1" x14ac:dyDescent="0.2">
      <c r="A49" s="9">
        <v>20</v>
      </c>
      <c r="B49" s="9"/>
      <c r="C49" s="9"/>
      <c r="D49" s="9" t="s">
        <v>120</v>
      </c>
      <c r="E49" s="13" t="s">
        <v>91</v>
      </c>
      <c r="F49" s="13"/>
      <c r="G49" s="42" t="s">
        <v>281</v>
      </c>
      <c r="H49" s="42" t="s">
        <v>145</v>
      </c>
      <c r="I49" s="9" t="s">
        <v>154</v>
      </c>
      <c r="J49" s="9" t="s">
        <v>139</v>
      </c>
      <c r="K49" s="9"/>
      <c r="L49" s="9"/>
      <c r="M49" s="9"/>
      <c r="N49" s="9"/>
      <c r="O49" s="9"/>
      <c r="P49" s="43"/>
      <c r="Q49" s="44"/>
      <c r="R49" s="129"/>
      <c r="S49" s="130"/>
    </row>
    <row r="50" spans="1:19" s="11" customFormat="1" x14ac:dyDescent="0.2">
      <c r="A50" s="9">
        <v>20</v>
      </c>
      <c r="B50" s="9"/>
      <c r="C50" s="9"/>
      <c r="D50" s="9" t="s">
        <v>128</v>
      </c>
      <c r="E50" s="13" t="s">
        <v>41</v>
      </c>
      <c r="F50" s="13"/>
      <c r="G50" s="42" t="s">
        <v>282</v>
      </c>
      <c r="H50" s="42" t="s">
        <v>191</v>
      </c>
      <c r="I50" s="9" t="s">
        <v>154</v>
      </c>
      <c r="J50" s="9" t="s">
        <v>139</v>
      </c>
      <c r="K50" s="9"/>
      <c r="L50" s="9"/>
      <c r="M50" s="9"/>
      <c r="N50" s="9"/>
      <c r="O50" s="9"/>
      <c r="P50" s="43"/>
      <c r="Q50" s="44"/>
      <c r="R50" s="129"/>
      <c r="S50" s="130"/>
    </row>
    <row r="51" spans="1:19" s="11" customFormat="1" x14ac:dyDescent="0.2">
      <c r="A51" s="9">
        <v>20</v>
      </c>
      <c r="B51" s="9"/>
      <c r="C51" s="9"/>
      <c r="D51" s="9" t="s">
        <v>114</v>
      </c>
      <c r="E51" s="13" t="s">
        <v>41</v>
      </c>
      <c r="F51" s="13"/>
      <c r="G51" s="42" t="s">
        <v>283</v>
      </c>
      <c r="H51" s="42" t="s">
        <v>146</v>
      </c>
      <c r="I51" s="9" t="s">
        <v>154</v>
      </c>
      <c r="J51" s="9" t="s">
        <v>139</v>
      </c>
      <c r="K51" s="9"/>
      <c r="L51" s="9"/>
      <c r="M51" s="9"/>
      <c r="N51" s="9"/>
      <c r="O51" s="9"/>
      <c r="P51" s="43"/>
      <c r="Q51" s="44"/>
      <c r="R51" s="129"/>
      <c r="S51" s="130"/>
    </row>
    <row r="52" spans="1:19" s="11" customFormat="1" x14ac:dyDescent="0.2">
      <c r="A52" s="9">
        <v>20</v>
      </c>
      <c r="B52" s="9"/>
      <c r="C52" s="9"/>
      <c r="D52" s="9" t="s">
        <v>101</v>
      </c>
      <c r="E52" s="13" t="s">
        <v>41</v>
      </c>
      <c r="F52" s="13"/>
      <c r="G52" s="42" t="s">
        <v>284</v>
      </c>
      <c r="H52" s="42" t="s">
        <v>192</v>
      </c>
      <c r="I52" s="9" t="s">
        <v>154</v>
      </c>
      <c r="J52" s="9" t="s">
        <v>139</v>
      </c>
      <c r="K52" s="9"/>
      <c r="L52" s="9"/>
      <c r="M52" s="9"/>
      <c r="N52" s="9"/>
      <c r="O52" s="9"/>
      <c r="P52" s="43"/>
      <c r="Q52" s="44"/>
      <c r="R52" s="61"/>
      <c r="S52" s="62"/>
    </row>
    <row r="53" spans="1:19" s="11" customFormat="1" x14ac:dyDescent="0.2">
      <c r="A53" s="9">
        <v>20</v>
      </c>
      <c r="B53" s="9"/>
      <c r="C53" s="9"/>
      <c r="D53" s="9" t="s">
        <v>102</v>
      </c>
      <c r="E53" s="13" t="s">
        <v>39</v>
      </c>
      <c r="F53" s="13"/>
      <c r="G53" s="42" t="s">
        <v>285</v>
      </c>
      <c r="H53" s="42" t="s">
        <v>193</v>
      </c>
      <c r="I53" s="9" t="s">
        <v>154</v>
      </c>
      <c r="J53" s="9" t="s">
        <v>139</v>
      </c>
      <c r="K53" s="9"/>
      <c r="L53" s="9"/>
      <c r="M53" s="9"/>
      <c r="N53" s="9"/>
      <c r="O53" s="9"/>
      <c r="P53" s="43"/>
      <c r="Q53" s="44"/>
      <c r="R53" s="61"/>
      <c r="S53" s="62"/>
    </row>
    <row r="54" spans="1:19" s="11" customFormat="1" x14ac:dyDescent="0.2">
      <c r="A54" s="9">
        <v>20</v>
      </c>
      <c r="B54" s="9"/>
      <c r="C54" s="9"/>
      <c r="D54" s="9" t="s">
        <v>109</v>
      </c>
      <c r="E54" s="13" t="s">
        <v>40</v>
      </c>
      <c r="F54" s="13"/>
      <c r="G54" s="42" t="s">
        <v>286</v>
      </c>
      <c r="H54" s="42" t="s">
        <v>194</v>
      </c>
      <c r="I54" s="9" t="s">
        <v>154</v>
      </c>
      <c r="J54" s="9" t="s">
        <v>139</v>
      </c>
      <c r="K54" s="9"/>
      <c r="L54" s="9"/>
      <c r="M54" s="9"/>
      <c r="N54" s="9"/>
      <c r="O54" s="9"/>
      <c r="P54" s="43"/>
      <c r="Q54" s="44"/>
      <c r="R54" s="61"/>
      <c r="S54" s="62"/>
    </row>
    <row r="55" spans="1:19" s="11" customFormat="1" ht="26" x14ac:dyDescent="0.2">
      <c r="A55" s="9">
        <v>20</v>
      </c>
      <c r="B55" s="9"/>
      <c r="C55" s="9"/>
      <c r="D55" s="9" t="s">
        <v>110</v>
      </c>
      <c r="E55" s="13" t="s">
        <v>91</v>
      </c>
      <c r="F55" s="13"/>
      <c r="G55" s="42" t="s">
        <v>287</v>
      </c>
      <c r="H55" s="42" t="s">
        <v>195</v>
      </c>
      <c r="I55" s="9" t="s">
        <v>154</v>
      </c>
      <c r="J55" s="9" t="s">
        <v>139</v>
      </c>
      <c r="K55" s="9"/>
      <c r="L55" s="9"/>
      <c r="M55" s="9"/>
      <c r="N55" s="9"/>
      <c r="O55" s="9"/>
      <c r="P55" s="43"/>
      <c r="Q55" s="44"/>
      <c r="R55" s="129"/>
      <c r="S55" s="130"/>
    </row>
    <row r="56" spans="1:19" s="11" customFormat="1" x14ac:dyDescent="0.2">
      <c r="A56" s="9">
        <v>20</v>
      </c>
      <c r="B56" s="9"/>
      <c r="C56" s="9"/>
      <c r="D56" s="9" t="s">
        <v>136</v>
      </c>
      <c r="E56" s="13" t="s">
        <v>92</v>
      </c>
      <c r="F56" s="13"/>
      <c r="G56" s="42" t="s">
        <v>288</v>
      </c>
      <c r="H56" s="42" t="s">
        <v>147</v>
      </c>
      <c r="I56" s="9" t="s">
        <v>154</v>
      </c>
      <c r="J56" s="9" t="s">
        <v>139</v>
      </c>
      <c r="K56" s="9"/>
      <c r="L56" s="9"/>
      <c r="M56" s="9"/>
      <c r="N56" s="9"/>
      <c r="O56" s="9"/>
      <c r="P56" s="43"/>
      <c r="Q56" s="44"/>
      <c r="R56" s="129"/>
      <c r="S56" s="130"/>
    </row>
    <row r="57" spans="1:19" s="11" customFormat="1" x14ac:dyDescent="0.2">
      <c r="A57" s="9">
        <v>20</v>
      </c>
      <c r="B57" s="9"/>
      <c r="C57" s="9"/>
      <c r="D57" s="9" t="s">
        <v>112</v>
      </c>
      <c r="E57" s="13" t="s">
        <v>41</v>
      </c>
      <c r="F57" s="13"/>
      <c r="G57" s="42" t="s">
        <v>289</v>
      </c>
      <c r="H57" s="42" t="s">
        <v>148</v>
      </c>
      <c r="I57" s="9" t="s">
        <v>154</v>
      </c>
      <c r="J57" s="9" t="s">
        <v>139</v>
      </c>
      <c r="K57" s="9"/>
      <c r="L57" s="9"/>
      <c r="M57" s="9"/>
      <c r="N57" s="9"/>
      <c r="O57" s="9"/>
      <c r="P57" s="43"/>
      <c r="Q57" s="44"/>
      <c r="R57" s="61"/>
      <c r="S57" s="62"/>
    </row>
    <row r="58" spans="1:19" s="11" customFormat="1" x14ac:dyDescent="0.2">
      <c r="A58" s="9">
        <v>20</v>
      </c>
      <c r="B58" s="9"/>
      <c r="C58" s="9"/>
      <c r="D58" s="9" t="s">
        <v>111</v>
      </c>
      <c r="E58" s="13" t="s">
        <v>39</v>
      </c>
      <c r="F58" s="13"/>
      <c r="G58" s="42" t="s">
        <v>290</v>
      </c>
      <c r="H58" s="42" t="s">
        <v>196</v>
      </c>
      <c r="I58" s="9" t="s">
        <v>154</v>
      </c>
      <c r="J58" s="9" t="s">
        <v>139</v>
      </c>
      <c r="K58" s="9"/>
      <c r="L58" s="9"/>
      <c r="M58" s="9"/>
      <c r="N58" s="9"/>
      <c r="O58" s="9"/>
      <c r="P58" s="43"/>
      <c r="Q58" s="44"/>
      <c r="R58" s="61"/>
      <c r="S58" s="62"/>
    </row>
    <row r="59" spans="1:19" s="11" customFormat="1" x14ac:dyDescent="0.2">
      <c r="A59" s="9">
        <v>20</v>
      </c>
      <c r="B59" s="9"/>
      <c r="C59" s="9"/>
      <c r="D59" s="9" t="s">
        <v>51</v>
      </c>
      <c r="E59" s="13" t="s">
        <v>40</v>
      </c>
      <c r="F59" s="13"/>
      <c r="G59" s="42" t="s">
        <v>291</v>
      </c>
      <c r="H59" s="42" t="s">
        <v>197</v>
      </c>
      <c r="I59" s="9" t="s">
        <v>154</v>
      </c>
      <c r="J59" s="9" t="s">
        <v>139</v>
      </c>
      <c r="K59" s="9"/>
      <c r="L59" s="9"/>
      <c r="M59" s="9"/>
      <c r="N59" s="9"/>
      <c r="O59" s="9"/>
      <c r="P59" s="43"/>
      <c r="Q59" s="44"/>
      <c r="R59" s="61"/>
      <c r="S59" s="62"/>
    </row>
    <row r="60" spans="1:19" s="11" customFormat="1" ht="26" x14ac:dyDescent="0.2">
      <c r="A60" s="9">
        <v>20</v>
      </c>
      <c r="B60" s="9"/>
      <c r="C60" s="9"/>
      <c r="D60" s="9" t="s">
        <v>70</v>
      </c>
      <c r="E60" s="13" t="s">
        <v>92</v>
      </c>
      <c r="F60" s="13"/>
      <c r="G60" s="42" t="s">
        <v>292</v>
      </c>
      <c r="H60" s="42" t="s">
        <v>149</v>
      </c>
      <c r="I60" s="9" t="s">
        <v>154</v>
      </c>
      <c r="J60" s="9" t="s">
        <v>139</v>
      </c>
      <c r="K60" s="9"/>
      <c r="L60" s="9"/>
      <c r="M60" s="9"/>
      <c r="N60" s="9"/>
      <c r="O60" s="9"/>
      <c r="P60" s="43"/>
      <c r="Q60" s="44"/>
      <c r="R60" s="129"/>
      <c r="S60" s="130"/>
    </row>
    <row r="61" spans="1:19" s="11" customFormat="1" ht="26" x14ac:dyDescent="0.2">
      <c r="A61" s="9">
        <v>20</v>
      </c>
      <c r="B61" s="9"/>
      <c r="C61" s="9"/>
      <c r="D61" s="9" t="s">
        <v>71</v>
      </c>
      <c r="E61" s="13" t="s">
        <v>91</v>
      </c>
      <c r="F61" s="13"/>
      <c r="G61" s="42" t="s">
        <v>293</v>
      </c>
      <c r="H61" s="42" t="s">
        <v>150</v>
      </c>
      <c r="I61" s="9" t="s">
        <v>154</v>
      </c>
      <c r="J61" s="9" t="s">
        <v>139</v>
      </c>
      <c r="K61" s="9"/>
      <c r="L61" s="9"/>
      <c r="M61" s="9"/>
      <c r="N61" s="9"/>
      <c r="O61" s="9"/>
      <c r="P61" s="43"/>
      <c r="Q61" s="44"/>
      <c r="R61" s="129"/>
      <c r="S61" s="130"/>
    </row>
    <row r="62" spans="1:19" s="11" customFormat="1" ht="26" x14ac:dyDescent="0.2">
      <c r="A62" s="9">
        <v>20</v>
      </c>
      <c r="B62" s="9"/>
      <c r="C62" s="9"/>
      <c r="D62" s="9" t="s">
        <v>50</v>
      </c>
      <c r="E62" s="13" t="s">
        <v>49</v>
      </c>
      <c r="F62" s="13"/>
      <c r="G62" s="42" t="s">
        <v>294</v>
      </c>
      <c r="H62" s="42" t="s">
        <v>151</v>
      </c>
      <c r="I62" s="9" t="s">
        <v>154</v>
      </c>
      <c r="J62" s="9" t="s">
        <v>139</v>
      </c>
      <c r="K62" s="9"/>
      <c r="L62" s="9"/>
      <c r="M62" s="9"/>
      <c r="N62" s="9"/>
      <c r="O62" s="9"/>
      <c r="P62" s="43"/>
      <c r="Q62" s="44"/>
      <c r="R62" s="61"/>
      <c r="S62" s="62"/>
    </row>
    <row r="63" spans="1:19" s="11" customFormat="1" x14ac:dyDescent="0.2">
      <c r="A63" s="9">
        <v>20</v>
      </c>
      <c r="B63" s="9"/>
      <c r="C63" s="9"/>
      <c r="D63" s="9" t="s">
        <v>124</v>
      </c>
      <c r="E63" s="13" t="s">
        <v>41</v>
      </c>
      <c r="F63" s="13"/>
      <c r="G63" s="42" t="s">
        <v>295</v>
      </c>
      <c r="H63" s="42" t="s">
        <v>152</v>
      </c>
      <c r="I63" s="9" t="s">
        <v>154</v>
      </c>
      <c r="J63" s="9" t="s">
        <v>139</v>
      </c>
      <c r="K63" s="9"/>
      <c r="L63" s="9"/>
      <c r="M63" s="9"/>
      <c r="N63" s="9"/>
      <c r="O63" s="9"/>
      <c r="P63" s="43"/>
      <c r="Q63" s="44"/>
      <c r="R63" s="61"/>
      <c r="S63" s="62"/>
    </row>
    <row r="64" spans="1:19" s="11" customFormat="1" x14ac:dyDescent="0.2">
      <c r="A64" s="9">
        <v>20</v>
      </c>
      <c r="B64" s="9"/>
      <c r="C64" s="9"/>
      <c r="D64" s="9" t="s">
        <v>72</v>
      </c>
      <c r="E64" s="13" t="s">
        <v>41</v>
      </c>
      <c r="F64" s="13"/>
      <c r="G64" s="42" t="s">
        <v>296</v>
      </c>
      <c r="H64" s="42" t="s">
        <v>198</v>
      </c>
      <c r="I64" s="9" t="s">
        <v>154</v>
      </c>
      <c r="J64" s="9" t="s">
        <v>139</v>
      </c>
      <c r="K64" s="9"/>
      <c r="L64" s="9"/>
      <c r="M64" s="9"/>
      <c r="N64" s="9"/>
      <c r="O64" s="9"/>
      <c r="P64" s="43"/>
      <c r="Q64" s="44"/>
      <c r="R64" s="61"/>
      <c r="S64" s="62"/>
    </row>
    <row r="65" spans="1:19" s="11" customFormat="1" x14ac:dyDescent="0.2">
      <c r="A65" s="9">
        <v>20</v>
      </c>
      <c r="B65" s="9"/>
      <c r="C65" s="9"/>
      <c r="D65" s="9" t="s">
        <v>73</v>
      </c>
      <c r="E65" s="13" t="s">
        <v>41</v>
      </c>
      <c r="F65" s="13"/>
      <c r="G65" s="42" t="s">
        <v>297</v>
      </c>
      <c r="H65" s="42" t="s">
        <v>199</v>
      </c>
      <c r="I65" s="9" t="s">
        <v>154</v>
      </c>
      <c r="J65" s="9" t="s">
        <v>139</v>
      </c>
      <c r="K65" s="9"/>
      <c r="L65" s="9"/>
      <c r="M65" s="9"/>
      <c r="N65" s="9"/>
      <c r="O65" s="9"/>
      <c r="P65" s="43"/>
      <c r="Q65" s="44"/>
      <c r="R65" s="61"/>
      <c r="S65" s="62"/>
    </row>
    <row r="66" spans="1:19" s="11" customFormat="1" x14ac:dyDescent="0.2">
      <c r="A66" s="9">
        <v>20</v>
      </c>
      <c r="B66" s="9"/>
      <c r="C66" s="9"/>
      <c r="D66" s="9" t="s">
        <v>60</v>
      </c>
      <c r="E66" s="13" t="s">
        <v>64</v>
      </c>
      <c r="F66" s="13"/>
      <c r="G66" s="42" t="s">
        <v>256</v>
      </c>
      <c r="H66" s="42" t="s">
        <v>174</v>
      </c>
      <c r="I66" s="9" t="s">
        <v>154</v>
      </c>
      <c r="J66" s="9" t="s">
        <v>139</v>
      </c>
      <c r="K66" s="9"/>
      <c r="L66" s="9"/>
      <c r="M66" s="9"/>
      <c r="N66" s="9"/>
      <c r="O66" s="9"/>
      <c r="P66" s="43"/>
      <c r="Q66" s="44"/>
      <c r="R66" s="61"/>
      <c r="S66" s="62"/>
    </row>
    <row r="67" spans="1:19" s="11" customFormat="1" x14ac:dyDescent="0.2">
      <c r="A67" s="9">
        <v>20</v>
      </c>
      <c r="B67" s="9"/>
      <c r="C67" s="9"/>
      <c r="D67" s="9" t="s">
        <v>74</v>
      </c>
      <c r="E67" s="13" t="s">
        <v>29</v>
      </c>
      <c r="F67" s="13"/>
      <c r="G67" s="42" t="s">
        <v>298</v>
      </c>
      <c r="H67" s="42" t="s">
        <v>153</v>
      </c>
      <c r="I67" s="9" t="s">
        <v>154</v>
      </c>
      <c r="J67" s="9" t="s">
        <v>139</v>
      </c>
      <c r="K67" s="9"/>
      <c r="L67" s="9"/>
      <c r="M67" s="9"/>
      <c r="N67" s="9"/>
      <c r="O67" s="9"/>
      <c r="P67" s="43"/>
      <c r="Q67" s="44"/>
      <c r="R67" s="61"/>
      <c r="S67" s="62"/>
    </row>
    <row r="68" spans="1:19" s="11" customFormat="1" x14ac:dyDescent="0.2">
      <c r="A68" s="9">
        <v>20</v>
      </c>
      <c r="B68" s="9"/>
      <c r="C68" s="9"/>
      <c r="D68" s="9" t="s">
        <v>75</v>
      </c>
      <c r="E68" s="13" t="s">
        <v>29</v>
      </c>
      <c r="F68" s="13"/>
      <c r="G68" s="42" t="s">
        <v>299</v>
      </c>
      <c r="H68" s="42" t="s">
        <v>200</v>
      </c>
      <c r="I68" s="9" t="s">
        <v>154</v>
      </c>
      <c r="J68" s="9" t="s">
        <v>139</v>
      </c>
      <c r="K68" s="9"/>
      <c r="L68" s="9"/>
      <c r="M68" s="9"/>
      <c r="N68" s="9"/>
      <c r="O68" s="9"/>
      <c r="P68" s="43"/>
      <c r="Q68" s="44"/>
      <c r="R68" s="61"/>
      <c r="S68" s="62"/>
    </row>
    <row r="69" spans="1:19" s="11" customFormat="1" x14ac:dyDescent="0.2">
      <c r="A69" s="9">
        <v>20</v>
      </c>
      <c r="B69" s="9"/>
      <c r="C69" s="9"/>
      <c r="D69" s="9" t="s">
        <v>76</v>
      </c>
      <c r="E69" s="13" t="s">
        <v>93</v>
      </c>
      <c r="F69" s="13"/>
      <c r="G69" s="42" t="s">
        <v>300</v>
      </c>
      <c r="H69" s="42" t="s">
        <v>201</v>
      </c>
      <c r="I69" s="9" t="s">
        <v>154</v>
      </c>
      <c r="J69" s="9" t="s">
        <v>139</v>
      </c>
      <c r="K69" s="9"/>
      <c r="L69" s="9"/>
      <c r="M69" s="9"/>
      <c r="N69" s="9"/>
      <c r="O69" s="9"/>
      <c r="P69" s="43"/>
      <c r="Q69" s="44"/>
      <c r="R69" s="61"/>
      <c r="S69" s="62"/>
    </row>
    <row r="70" spans="1:19" s="11" customFormat="1" x14ac:dyDescent="0.2">
      <c r="A70" s="9">
        <v>20</v>
      </c>
      <c r="B70" s="9"/>
      <c r="C70" s="9"/>
      <c r="D70" s="9" t="s">
        <v>77</v>
      </c>
      <c r="E70" s="13" t="s">
        <v>94</v>
      </c>
      <c r="F70" s="13"/>
      <c r="G70" s="42" t="s">
        <v>301</v>
      </c>
      <c r="H70" s="42" t="s">
        <v>202</v>
      </c>
      <c r="I70" s="9" t="s">
        <v>154</v>
      </c>
      <c r="J70" s="9" t="s">
        <v>139</v>
      </c>
      <c r="K70" s="9"/>
      <c r="L70" s="9"/>
      <c r="M70" s="9"/>
      <c r="N70" s="9"/>
      <c r="O70" s="9"/>
      <c r="P70" s="43"/>
      <c r="Q70" s="44"/>
      <c r="R70" s="61"/>
      <c r="S70" s="62"/>
    </row>
    <row r="71" spans="1:19" s="11" customFormat="1" x14ac:dyDescent="0.2">
      <c r="A71" s="9">
        <v>20</v>
      </c>
      <c r="B71" s="9"/>
      <c r="C71" s="9"/>
      <c r="D71" s="9" t="s">
        <v>125</v>
      </c>
      <c r="E71" s="13" t="s">
        <v>123</v>
      </c>
      <c r="F71" s="13"/>
      <c r="G71" s="42" t="s">
        <v>302</v>
      </c>
      <c r="H71" s="42" t="s">
        <v>203</v>
      </c>
      <c r="I71" s="9" t="s">
        <v>154</v>
      </c>
      <c r="J71" s="9" t="s">
        <v>139</v>
      </c>
      <c r="K71" s="9" t="s">
        <v>204</v>
      </c>
      <c r="L71" s="9"/>
      <c r="M71" s="9"/>
      <c r="N71" s="9"/>
      <c r="O71" s="9"/>
      <c r="P71" s="43"/>
      <c r="Q71" s="44"/>
      <c r="R71" s="61"/>
      <c r="S71" s="62"/>
    </row>
    <row r="72" spans="1:19" s="11" customFormat="1" x14ac:dyDescent="0.2">
      <c r="A72" s="9">
        <v>20</v>
      </c>
      <c r="B72" s="9"/>
      <c r="C72" s="9"/>
      <c r="D72" s="9" t="s">
        <v>121</v>
      </c>
      <c r="E72" s="13" t="s">
        <v>122</v>
      </c>
      <c r="F72" s="13"/>
      <c r="G72" s="42" t="s">
        <v>303</v>
      </c>
      <c r="H72" s="42" t="s">
        <v>205</v>
      </c>
      <c r="I72" s="9" t="s">
        <v>154</v>
      </c>
      <c r="J72" s="9" t="s">
        <v>139</v>
      </c>
      <c r="K72" s="9"/>
      <c r="L72" s="9"/>
      <c r="M72" s="9"/>
      <c r="N72" s="9"/>
      <c r="O72" s="9"/>
      <c r="P72" s="43"/>
      <c r="Q72" s="44"/>
      <c r="R72" s="61"/>
      <c r="S72" s="62"/>
    </row>
    <row r="73" spans="1:19" s="11" customFormat="1" x14ac:dyDescent="0.2">
      <c r="A73" s="9">
        <v>20</v>
      </c>
      <c r="B73" s="9"/>
      <c r="C73" s="9"/>
      <c r="D73" s="9" t="s">
        <v>126</v>
      </c>
      <c r="E73" s="13" t="s">
        <v>30</v>
      </c>
      <c r="F73" s="13"/>
      <c r="G73" s="42" t="s">
        <v>304</v>
      </c>
      <c r="H73" s="42" t="s">
        <v>206</v>
      </c>
      <c r="I73" s="9" t="s">
        <v>154</v>
      </c>
      <c r="J73" s="9" t="s">
        <v>139</v>
      </c>
      <c r="K73" s="9"/>
      <c r="L73" s="9"/>
      <c r="M73" s="9"/>
      <c r="N73" s="9"/>
      <c r="O73" s="9"/>
      <c r="P73" s="43"/>
      <c r="Q73" s="44"/>
      <c r="R73" s="61"/>
      <c r="S73" s="62"/>
    </row>
    <row r="74" spans="1:19" s="11" customFormat="1" x14ac:dyDescent="0.2">
      <c r="A74" s="9">
        <v>20</v>
      </c>
      <c r="B74" s="9"/>
      <c r="C74" s="9"/>
      <c r="D74" s="9" t="s">
        <v>78</v>
      </c>
      <c r="E74" s="13" t="s">
        <v>95</v>
      </c>
      <c r="F74" s="13"/>
      <c r="G74" s="42" t="s">
        <v>305</v>
      </c>
      <c r="H74" s="42" t="s">
        <v>207</v>
      </c>
      <c r="I74" s="9" t="s">
        <v>154</v>
      </c>
      <c r="J74" s="9" t="s">
        <v>139</v>
      </c>
      <c r="K74" s="9" t="s">
        <v>155</v>
      </c>
      <c r="L74" s="9"/>
      <c r="M74" s="9"/>
      <c r="N74" s="9"/>
      <c r="O74" s="9"/>
      <c r="P74" s="43"/>
      <c r="Q74" s="44"/>
      <c r="R74" s="129"/>
      <c r="S74" s="130"/>
    </row>
    <row r="75" spans="1:19" s="11" customFormat="1" x14ac:dyDescent="0.2">
      <c r="A75" s="9">
        <v>20</v>
      </c>
      <c r="B75" s="9"/>
      <c r="C75" s="9"/>
      <c r="D75" s="9" t="s">
        <v>100</v>
      </c>
      <c r="E75" s="13" t="s">
        <v>96</v>
      </c>
      <c r="F75" s="13"/>
      <c r="G75" s="42" t="s">
        <v>306</v>
      </c>
      <c r="H75" s="42" t="s">
        <v>208</v>
      </c>
      <c r="I75" s="9" t="s">
        <v>154</v>
      </c>
      <c r="J75" s="9" t="s">
        <v>139</v>
      </c>
      <c r="K75" s="9"/>
      <c r="L75" s="9"/>
      <c r="M75" s="9"/>
      <c r="N75" s="9"/>
      <c r="O75" s="9"/>
      <c r="P75" s="43"/>
      <c r="Q75" s="44"/>
      <c r="R75" s="61"/>
      <c r="S75" s="62"/>
    </row>
    <row r="76" spans="1:19" s="11" customFormat="1" x14ac:dyDescent="0.2">
      <c r="A76" s="9">
        <v>20</v>
      </c>
      <c r="B76" s="9"/>
      <c r="C76" s="9"/>
      <c r="D76" s="9" t="s">
        <v>79</v>
      </c>
      <c r="E76" s="13" t="s">
        <v>42</v>
      </c>
      <c r="F76" s="13"/>
      <c r="G76" s="42" t="s">
        <v>307</v>
      </c>
      <c r="H76" s="42" t="s">
        <v>209</v>
      </c>
      <c r="I76" s="9" t="s">
        <v>154</v>
      </c>
      <c r="J76" s="9" t="s">
        <v>139</v>
      </c>
      <c r="K76" s="9"/>
      <c r="L76" s="9"/>
      <c r="M76" s="9"/>
      <c r="N76" s="9"/>
      <c r="O76" s="9"/>
      <c r="P76" s="43"/>
      <c r="Q76" s="44"/>
      <c r="R76" s="129"/>
      <c r="S76" s="130"/>
    </row>
    <row r="77" spans="1:19" s="11" customFormat="1" x14ac:dyDescent="0.2">
      <c r="A77" s="9">
        <v>20</v>
      </c>
      <c r="B77" s="9"/>
      <c r="C77" s="9"/>
      <c r="D77" s="9" t="s">
        <v>80</v>
      </c>
      <c r="E77" s="13" t="s">
        <v>42</v>
      </c>
      <c r="F77" s="13"/>
      <c r="G77" s="42" t="s">
        <v>308</v>
      </c>
      <c r="H77" s="42" t="s">
        <v>210</v>
      </c>
      <c r="I77" s="9" t="s">
        <v>154</v>
      </c>
      <c r="J77" s="9" t="s">
        <v>139</v>
      </c>
      <c r="K77" s="9"/>
      <c r="L77" s="9"/>
      <c r="M77" s="9"/>
      <c r="N77" s="9"/>
      <c r="O77" s="9"/>
      <c r="P77" s="43"/>
      <c r="Q77" s="44"/>
      <c r="R77" s="129"/>
      <c r="S77" s="130"/>
    </row>
    <row r="78" spans="1:19" s="11" customFormat="1" x14ac:dyDescent="0.2">
      <c r="A78" s="9">
        <v>20</v>
      </c>
      <c r="B78" s="9"/>
      <c r="C78" s="9"/>
      <c r="D78" s="9" t="s">
        <v>81</v>
      </c>
      <c r="E78" s="13" t="s">
        <v>95</v>
      </c>
      <c r="F78" s="13"/>
      <c r="G78" s="42" t="s">
        <v>309</v>
      </c>
      <c r="H78" s="42" t="s">
        <v>211</v>
      </c>
      <c r="I78" s="9" t="s">
        <v>154</v>
      </c>
      <c r="J78" s="9" t="s">
        <v>139</v>
      </c>
      <c r="K78" s="9" t="s">
        <v>155</v>
      </c>
      <c r="L78" s="9"/>
      <c r="M78" s="9"/>
      <c r="N78" s="9"/>
      <c r="O78" s="9"/>
      <c r="P78" s="43"/>
      <c r="Q78" s="44"/>
      <c r="R78" s="129"/>
      <c r="S78" s="130"/>
    </row>
    <row r="79" spans="1:19" s="11" customFormat="1" x14ac:dyDescent="0.2">
      <c r="A79" s="9">
        <v>20</v>
      </c>
      <c r="B79" s="9"/>
      <c r="C79" s="9"/>
      <c r="D79" s="9" t="s">
        <v>99</v>
      </c>
      <c r="E79" s="13" t="s">
        <v>96</v>
      </c>
      <c r="F79" s="13"/>
      <c r="G79" s="42" t="s">
        <v>310</v>
      </c>
      <c r="H79" s="42" t="s">
        <v>212</v>
      </c>
      <c r="I79" s="9" t="s">
        <v>154</v>
      </c>
      <c r="J79" s="9" t="s">
        <v>139</v>
      </c>
      <c r="K79" s="9"/>
      <c r="L79" s="9"/>
      <c r="M79" s="9"/>
      <c r="N79" s="9"/>
      <c r="O79" s="9"/>
      <c r="P79" s="43"/>
      <c r="Q79" s="44"/>
      <c r="R79" s="61"/>
      <c r="S79" s="62"/>
    </row>
    <row r="80" spans="1:19" s="11" customFormat="1" x14ac:dyDescent="0.2">
      <c r="A80" s="9">
        <v>20</v>
      </c>
      <c r="B80" s="9"/>
      <c r="C80" s="9"/>
      <c r="D80" s="9" t="s">
        <v>82</v>
      </c>
      <c r="E80" s="13" t="s">
        <v>43</v>
      </c>
      <c r="F80" s="13"/>
      <c r="G80" s="42" t="s">
        <v>311</v>
      </c>
      <c r="H80" s="42" t="s">
        <v>213</v>
      </c>
      <c r="I80" s="9" t="s">
        <v>154</v>
      </c>
      <c r="J80" s="9" t="s">
        <v>139</v>
      </c>
      <c r="K80" s="9"/>
      <c r="L80" s="9"/>
      <c r="M80" s="9"/>
      <c r="N80" s="9"/>
      <c r="O80" s="9"/>
      <c r="P80" s="43"/>
      <c r="Q80" s="44"/>
      <c r="R80" s="129"/>
      <c r="S80" s="130"/>
    </row>
    <row r="81" spans="1:19" s="11" customFormat="1" x14ac:dyDescent="0.2">
      <c r="A81" s="9">
        <v>20</v>
      </c>
      <c r="B81" s="9"/>
      <c r="C81" s="9"/>
      <c r="D81" s="9" t="s">
        <v>83</v>
      </c>
      <c r="E81" s="13" t="s">
        <v>43</v>
      </c>
      <c r="F81" s="13"/>
      <c r="G81" s="42" t="s">
        <v>312</v>
      </c>
      <c r="H81" s="42" t="s">
        <v>156</v>
      </c>
      <c r="I81" s="9" t="s">
        <v>154</v>
      </c>
      <c r="J81" s="9" t="s">
        <v>139</v>
      </c>
      <c r="K81" s="9"/>
      <c r="L81" s="9"/>
      <c r="M81" s="9"/>
      <c r="N81" s="9"/>
      <c r="O81" s="9"/>
      <c r="P81" s="43"/>
      <c r="Q81" s="44"/>
      <c r="R81" s="129"/>
      <c r="S81" s="130"/>
    </row>
    <row r="82" spans="1:19" s="11" customFormat="1" x14ac:dyDescent="0.2">
      <c r="A82" s="9">
        <v>20</v>
      </c>
      <c r="B82" s="9"/>
      <c r="C82" s="9"/>
      <c r="D82" s="9" t="s">
        <v>84</v>
      </c>
      <c r="E82" s="13" t="s">
        <v>95</v>
      </c>
      <c r="F82" s="13"/>
      <c r="G82" s="42" t="s">
        <v>313</v>
      </c>
      <c r="H82" s="42" t="s">
        <v>157</v>
      </c>
      <c r="I82" s="9" t="s">
        <v>154</v>
      </c>
      <c r="J82" s="9" t="s">
        <v>139</v>
      </c>
      <c r="K82" s="9" t="s">
        <v>155</v>
      </c>
      <c r="L82" s="9"/>
      <c r="M82" s="9"/>
      <c r="N82" s="9"/>
      <c r="O82" s="9"/>
      <c r="P82" s="43"/>
      <c r="Q82" s="44"/>
      <c r="R82" s="129"/>
      <c r="S82" s="130"/>
    </row>
    <row r="83" spans="1:19" s="11" customFormat="1" x14ac:dyDescent="0.2">
      <c r="A83" s="9">
        <v>20</v>
      </c>
      <c r="B83" s="9"/>
      <c r="C83" s="9"/>
      <c r="D83" s="9" t="s">
        <v>98</v>
      </c>
      <c r="E83" s="13" t="s">
        <v>96</v>
      </c>
      <c r="F83" s="13"/>
      <c r="G83" s="42" t="s">
        <v>314</v>
      </c>
      <c r="H83" s="42" t="s">
        <v>214</v>
      </c>
      <c r="I83" s="9" t="s">
        <v>154</v>
      </c>
      <c r="J83" s="9" t="s">
        <v>139</v>
      </c>
      <c r="K83" s="9"/>
      <c r="L83" s="9"/>
      <c r="M83" s="9"/>
      <c r="N83" s="9"/>
      <c r="O83" s="9"/>
      <c r="P83" s="43"/>
      <c r="Q83" s="44"/>
      <c r="R83" s="61"/>
      <c r="S83" s="62"/>
    </row>
    <row r="84" spans="1:19" s="11" customFormat="1" x14ac:dyDescent="0.2">
      <c r="A84" s="9">
        <v>20</v>
      </c>
      <c r="B84" s="9"/>
      <c r="C84" s="9"/>
      <c r="D84" s="9" t="s">
        <v>85</v>
      </c>
      <c r="E84" s="13" t="s">
        <v>44</v>
      </c>
      <c r="F84" s="13"/>
      <c r="G84" s="42" t="s">
        <v>315</v>
      </c>
      <c r="H84" s="42" t="s">
        <v>215</v>
      </c>
      <c r="I84" s="9" t="s">
        <v>154</v>
      </c>
      <c r="J84" s="9" t="s">
        <v>139</v>
      </c>
      <c r="K84" s="9"/>
      <c r="L84" s="9"/>
      <c r="M84" s="9"/>
      <c r="N84" s="9"/>
      <c r="O84" s="9"/>
      <c r="P84" s="43"/>
      <c r="Q84" s="44"/>
      <c r="R84" s="129"/>
      <c r="S84" s="130"/>
    </row>
    <row r="85" spans="1:19" s="11" customFormat="1" x14ac:dyDescent="0.2">
      <c r="A85" s="9">
        <v>20</v>
      </c>
      <c r="B85" s="9"/>
      <c r="C85" s="9"/>
      <c r="D85" s="9" t="s">
        <v>86</v>
      </c>
      <c r="E85" s="13" t="s">
        <v>44</v>
      </c>
      <c r="F85" s="13"/>
      <c r="G85" s="42" t="s">
        <v>316</v>
      </c>
      <c r="H85" s="42" t="s">
        <v>216</v>
      </c>
      <c r="I85" s="9" t="s">
        <v>154</v>
      </c>
      <c r="J85" s="9" t="s">
        <v>139</v>
      </c>
      <c r="K85" s="9"/>
      <c r="L85" s="9"/>
      <c r="M85" s="9"/>
      <c r="N85" s="9"/>
      <c r="O85" s="9"/>
      <c r="P85" s="43"/>
      <c r="Q85" s="44"/>
      <c r="R85" s="61"/>
      <c r="S85" s="62"/>
    </row>
    <row r="86" spans="1:19" s="11" customFormat="1" x14ac:dyDescent="0.2">
      <c r="A86" s="9">
        <v>20</v>
      </c>
      <c r="B86" s="9"/>
      <c r="C86" s="9"/>
      <c r="D86" s="9" t="s">
        <v>87</v>
      </c>
      <c r="E86" s="13" t="s">
        <v>95</v>
      </c>
      <c r="F86" s="13"/>
      <c r="G86" s="42" t="s">
        <v>317</v>
      </c>
      <c r="H86" s="42" t="s">
        <v>217</v>
      </c>
      <c r="I86" s="9" t="s">
        <v>154</v>
      </c>
      <c r="J86" s="9" t="s">
        <v>139</v>
      </c>
      <c r="K86" s="9" t="s">
        <v>155</v>
      </c>
      <c r="L86" s="9"/>
      <c r="M86" s="9"/>
      <c r="N86" s="9"/>
      <c r="O86" s="9"/>
      <c r="P86" s="43"/>
      <c r="Q86" s="44"/>
      <c r="R86" s="61"/>
      <c r="S86" s="62"/>
    </row>
    <row r="87" spans="1:19" s="11" customFormat="1" x14ac:dyDescent="0.2">
      <c r="A87" s="9">
        <v>20</v>
      </c>
      <c r="B87" s="9"/>
      <c r="C87" s="9"/>
      <c r="D87" s="9" t="s">
        <v>97</v>
      </c>
      <c r="E87" s="13" t="s">
        <v>96</v>
      </c>
      <c r="F87" s="13"/>
      <c r="G87" s="42" t="s">
        <v>318</v>
      </c>
      <c r="H87" s="42" t="s">
        <v>218</v>
      </c>
      <c r="I87" s="9" t="s">
        <v>154</v>
      </c>
      <c r="J87" s="9" t="s">
        <v>139</v>
      </c>
      <c r="K87" s="9"/>
      <c r="L87" s="9"/>
      <c r="M87" s="9"/>
      <c r="N87" s="9"/>
      <c r="O87" s="9"/>
      <c r="P87" s="43"/>
      <c r="Q87" s="44"/>
      <c r="R87" s="61"/>
      <c r="S87" s="62"/>
    </row>
    <row r="88" spans="1:19" s="11" customFormat="1" x14ac:dyDescent="0.2">
      <c r="A88" s="9">
        <v>20</v>
      </c>
      <c r="B88" s="9"/>
      <c r="C88" s="9"/>
      <c r="D88" s="9" t="s">
        <v>88</v>
      </c>
      <c r="E88" s="13" t="s">
        <v>45</v>
      </c>
      <c r="F88" s="13"/>
      <c r="G88" s="42" t="s">
        <v>319</v>
      </c>
      <c r="H88" s="42" t="s">
        <v>158</v>
      </c>
      <c r="I88" s="9" t="s">
        <v>154</v>
      </c>
      <c r="J88" s="9" t="s">
        <v>139</v>
      </c>
      <c r="K88" s="9"/>
      <c r="L88" s="9"/>
      <c r="M88" s="9"/>
      <c r="N88" s="9"/>
      <c r="O88" s="9"/>
      <c r="P88" s="43"/>
      <c r="Q88" s="44"/>
      <c r="R88" s="61"/>
      <c r="S88" s="62"/>
    </row>
    <row r="89" spans="1:19" s="11" customFormat="1" x14ac:dyDescent="0.2">
      <c r="A89" s="9">
        <v>20</v>
      </c>
      <c r="B89" s="9"/>
      <c r="C89" s="9"/>
      <c r="D89" s="9" t="s">
        <v>89</v>
      </c>
      <c r="E89" s="13" t="s">
        <v>45</v>
      </c>
      <c r="F89" s="13"/>
      <c r="G89" s="42" t="s">
        <v>320</v>
      </c>
      <c r="H89" s="42" t="s">
        <v>219</v>
      </c>
      <c r="I89" s="9" t="s">
        <v>154</v>
      </c>
      <c r="J89" s="9" t="s">
        <v>139</v>
      </c>
      <c r="K89" s="9"/>
      <c r="L89" s="9"/>
      <c r="M89" s="9"/>
      <c r="N89" s="9"/>
      <c r="O89" s="9"/>
      <c r="P89" s="43"/>
      <c r="Q89" s="44"/>
      <c r="R89" s="61"/>
      <c r="S89" s="62"/>
    </row>
    <row r="90" spans="1:19" s="11" customFormat="1" x14ac:dyDescent="0.2">
      <c r="A90" s="66"/>
      <c r="S90" s="45"/>
    </row>
    <row r="91" spans="1:19" s="11" customFormat="1" x14ac:dyDescent="0.2">
      <c r="A91" s="66"/>
      <c r="S91" s="45"/>
    </row>
    <row r="92" spans="1:19" s="11" customFormat="1" x14ac:dyDescent="0.2">
      <c r="A92" s="66"/>
      <c r="S92" s="45"/>
    </row>
    <row r="93" spans="1:19" s="11" customFormat="1" x14ac:dyDescent="0.2">
      <c r="A93" s="66"/>
      <c r="S93" s="45"/>
    </row>
    <row r="94" spans="1:19" s="11" customFormat="1" x14ac:dyDescent="0.2">
      <c r="A94" s="66"/>
      <c r="S94" s="45"/>
    </row>
    <row r="95" spans="1:19" s="11" customFormat="1" x14ac:dyDescent="0.2">
      <c r="A95" s="66"/>
      <c r="S95" s="45"/>
    </row>
    <row r="96" spans="1:19" s="11" customFormat="1" x14ac:dyDescent="0.2">
      <c r="A96" s="66"/>
      <c r="S96" s="45"/>
    </row>
    <row r="97" spans="1:19" s="11" customFormat="1" x14ac:dyDescent="0.2">
      <c r="A97" s="66"/>
      <c r="S97" s="45"/>
    </row>
    <row r="98" spans="1:19" s="11" customFormat="1" x14ac:dyDescent="0.2">
      <c r="A98" s="66"/>
      <c r="S98" s="45"/>
    </row>
    <row r="99" spans="1:19" s="11" customFormat="1" x14ac:dyDescent="0.2">
      <c r="A99" s="66"/>
      <c r="S99" s="45"/>
    </row>
    <row r="100" spans="1:19" s="11" customFormat="1" x14ac:dyDescent="0.2">
      <c r="A100" s="66"/>
      <c r="S100" s="45"/>
    </row>
    <row r="101" spans="1:19" s="11" customFormat="1" x14ac:dyDescent="0.2">
      <c r="A101" s="66"/>
      <c r="S101" s="45"/>
    </row>
    <row r="102" spans="1:19" s="11" customFormat="1" x14ac:dyDescent="0.2">
      <c r="A102" s="66"/>
      <c r="S102" s="45"/>
    </row>
    <row r="103" spans="1:19" s="11" customFormat="1" x14ac:dyDescent="0.2">
      <c r="A103" s="66"/>
      <c r="S103" s="45"/>
    </row>
    <row r="104" spans="1:19" s="11" customFormat="1" x14ac:dyDescent="0.2">
      <c r="A104" s="66"/>
      <c r="S104" s="45"/>
    </row>
    <row r="105" spans="1:19" s="11" customFormat="1" x14ac:dyDescent="0.2">
      <c r="A105" s="66"/>
      <c r="S105" s="45"/>
    </row>
    <row r="106" spans="1:19" s="11" customFormat="1" x14ac:dyDescent="0.2">
      <c r="A106" s="71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1"/>
    </row>
  </sheetData>
  <mergeCells count="20">
    <mergeCell ref="R25:S25"/>
    <mergeCell ref="R26:S26"/>
    <mergeCell ref="R55:S55"/>
    <mergeCell ref="R56:S56"/>
    <mergeCell ref="R46:S46"/>
    <mergeCell ref="R47:S47"/>
    <mergeCell ref="R48:S48"/>
    <mergeCell ref="R49:S49"/>
    <mergeCell ref="R51:S51"/>
    <mergeCell ref="R50:S50"/>
    <mergeCell ref="R84:S84"/>
    <mergeCell ref="R78:S78"/>
    <mergeCell ref="R80:S80"/>
    <mergeCell ref="R81:S81"/>
    <mergeCell ref="R82:S82"/>
    <mergeCell ref="R60:S60"/>
    <mergeCell ref="R61:S61"/>
    <mergeCell ref="R74:S74"/>
    <mergeCell ref="R76:S76"/>
    <mergeCell ref="R77:S77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71" width="2.08984375" style="47" customWidth="1"/>
    <col min="72" max="16384" width="9" style="47"/>
  </cols>
  <sheetData>
    <row r="1" spans="1:57" ht="38.25" customHeight="1" thickBot="1" x14ac:dyDescent="0.25">
      <c r="A1" s="114" t="s">
        <v>17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  <c r="BA1" s="115"/>
      <c r="BB1" s="115"/>
      <c r="BC1" s="115"/>
      <c r="BD1" s="115"/>
      <c r="BE1" s="116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96" t="s">
        <v>18</v>
      </c>
      <c r="B3" s="97"/>
      <c r="C3" s="97"/>
      <c r="D3" s="97"/>
      <c r="E3" s="97"/>
      <c r="F3" s="97"/>
      <c r="G3" s="98"/>
      <c r="H3" s="117" t="s">
        <v>19</v>
      </c>
      <c r="I3" s="97"/>
      <c r="J3" s="97"/>
      <c r="K3" s="97"/>
      <c r="L3" s="97"/>
      <c r="M3" s="97"/>
      <c r="N3" s="98"/>
      <c r="O3" s="117" t="s">
        <v>20</v>
      </c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  <c r="AC3" s="118"/>
      <c r="AD3" s="118"/>
      <c r="AE3" s="118"/>
      <c r="AF3" s="118"/>
      <c r="AG3" s="118"/>
      <c r="AH3" s="118"/>
      <c r="AI3" s="118"/>
      <c r="AJ3" s="118"/>
      <c r="AK3" s="118"/>
      <c r="AL3" s="118"/>
      <c r="AM3" s="118"/>
      <c r="AN3" s="118"/>
      <c r="AO3" s="118"/>
      <c r="AP3" s="119"/>
      <c r="AQ3" s="117" t="s">
        <v>21</v>
      </c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1"/>
    </row>
    <row r="4" spans="1:57" ht="15" customHeight="1" x14ac:dyDescent="0.2">
      <c r="A4" s="99">
        <v>1</v>
      </c>
      <c r="B4" s="100"/>
      <c r="C4" s="100"/>
      <c r="D4" s="100"/>
      <c r="E4" s="100"/>
      <c r="F4" s="100"/>
      <c r="G4" s="101"/>
      <c r="H4" s="89"/>
      <c r="I4" s="90"/>
      <c r="J4" s="90"/>
      <c r="K4" s="90"/>
      <c r="L4" s="90"/>
      <c r="M4" s="90"/>
      <c r="N4" s="91"/>
      <c r="O4" s="89" t="s">
        <v>22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102">
        <v>1.1000000000000001</v>
      </c>
      <c r="B5" s="103"/>
      <c r="C5" s="103"/>
      <c r="D5" s="103"/>
      <c r="E5" s="103"/>
      <c r="F5" s="103"/>
      <c r="G5" s="104"/>
      <c r="H5" s="85"/>
      <c r="I5" s="86"/>
      <c r="J5" s="86"/>
      <c r="K5" s="86"/>
      <c r="L5" s="86"/>
      <c r="M5" s="86"/>
      <c r="N5" s="87"/>
      <c r="O5" s="105" t="s">
        <v>321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322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 x14ac:dyDescent="0.2">
      <c r="A6" s="102"/>
      <c r="B6" s="103"/>
      <c r="C6" s="103"/>
      <c r="D6" s="103"/>
      <c r="E6" s="103"/>
      <c r="F6" s="103"/>
      <c r="G6" s="104"/>
      <c r="H6" s="85"/>
      <c r="I6" s="86"/>
      <c r="J6" s="86"/>
      <c r="K6" s="86"/>
      <c r="L6" s="86"/>
      <c r="M6" s="86"/>
      <c r="N6" s="87"/>
      <c r="O6" s="85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8"/>
      <c r="AQ6" s="82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4"/>
    </row>
    <row r="7" spans="1:57" ht="15" customHeight="1" x14ac:dyDescent="0.2">
      <c r="A7" s="102"/>
      <c r="B7" s="103"/>
      <c r="C7" s="103"/>
      <c r="D7" s="103"/>
      <c r="E7" s="103"/>
      <c r="F7" s="103"/>
      <c r="G7" s="104"/>
      <c r="H7" s="85"/>
      <c r="I7" s="86"/>
      <c r="J7" s="86"/>
      <c r="K7" s="86"/>
      <c r="L7" s="86"/>
      <c r="M7" s="86"/>
      <c r="N7" s="87"/>
      <c r="O7" s="85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8"/>
      <c r="AQ7" s="82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4"/>
    </row>
    <row r="8" spans="1:57" ht="15" customHeight="1" x14ac:dyDescent="0.2">
      <c r="A8" s="102"/>
      <c r="B8" s="103"/>
      <c r="C8" s="103"/>
      <c r="D8" s="103"/>
      <c r="E8" s="103"/>
      <c r="F8" s="103"/>
      <c r="G8" s="104"/>
      <c r="H8" s="85"/>
      <c r="I8" s="86"/>
      <c r="J8" s="86"/>
      <c r="K8" s="86"/>
      <c r="L8" s="86"/>
      <c r="M8" s="86"/>
      <c r="N8" s="87"/>
      <c r="O8" s="85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8"/>
      <c r="AQ8" s="82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4"/>
    </row>
    <row r="9" spans="1:57" ht="15" customHeight="1" x14ac:dyDescent="0.2">
      <c r="A9" s="102"/>
      <c r="B9" s="103"/>
      <c r="C9" s="103"/>
      <c r="D9" s="103"/>
      <c r="E9" s="103"/>
      <c r="F9" s="103"/>
      <c r="G9" s="104"/>
      <c r="H9" s="85"/>
      <c r="I9" s="86"/>
      <c r="J9" s="86"/>
      <c r="K9" s="86"/>
      <c r="L9" s="86"/>
      <c r="M9" s="86"/>
      <c r="N9" s="87"/>
      <c r="O9" s="85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8"/>
      <c r="AQ9" s="82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4"/>
    </row>
    <row r="10" spans="1:57" ht="15" customHeight="1" x14ac:dyDescent="0.2">
      <c r="A10" s="102"/>
      <c r="B10" s="103"/>
      <c r="C10" s="103"/>
      <c r="D10" s="103"/>
      <c r="E10" s="103"/>
      <c r="F10" s="103"/>
      <c r="G10" s="104"/>
      <c r="H10" s="85"/>
      <c r="I10" s="86"/>
      <c r="J10" s="86"/>
      <c r="K10" s="86"/>
      <c r="L10" s="86"/>
      <c r="M10" s="86"/>
      <c r="N10" s="87"/>
      <c r="O10" s="85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8"/>
      <c r="AQ10" s="82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4"/>
    </row>
    <row r="11" spans="1:57" ht="15" customHeight="1" x14ac:dyDescent="0.2">
      <c r="A11" s="102"/>
      <c r="B11" s="103"/>
      <c r="C11" s="103"/>
      <c r="D11" s="103"/>
      <c r="E11" s="103"/>
      <c r="F11" s="103"/>
      <c r="G11" s="104"/>
      <c r="H11" s="85"/>
      <c r="I11" s="86"/>
      <c r="J11" s="86"/>
      <c r="K11" s="86"/>
      <c r="L11" s="86"/>
      <c r="M11" s="86"/>
      <c r="N11" s="87"/>
      <c r="O11" s="85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8"/>
      <c r="AQ11" s="82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4"/>
    </row>
    <row r="12" spans="1:57" ht="15" customHeight="1" x14ac:dyDescent="0.2">
      <c r="A12" s="102"/>
      <c r="B12" s="103"/>
      <c r="C12" s="103"/>
      <c r="D12" s="103"/>
      <c r="E12" s="103"/>
      <c r="F12" s="103"/>
      <c r="G12" s="104"/>
      <c r="H12" s="85"/>
      <c r="I12" s="86"/>
      <c r="J12" s="86"/>
      <c r="K12" s="86"/>
      <c r="L12" s="86"/>
      <c r="M12" s="86"/>
      <c r="N12" s="87"/>
      <c r="O12" s="85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8"/>
      <c r="AQ12" s="82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4"/>
    </row>
    <row r="13" spans="1:57" ht="15" customHeight="1" x14ac:dyDescent="0.2">
      <c r="A13" s="102"/>
      <c r="B13" s="103"/>
      <c r="C13" s="103"/>
      <c r="D13" s="103"/>
      <c r="E13" s="103"/>
      <c r="F13" s="103"/>
      <c r="G13" s="104"/>
      <c r="H13" s="85"/>
      <c r="I13" s="86"/>
      <c r="J13" s="86"/>
      <c r="K13" s="86"/>
      <c r="L13" s="86"/>
      <c r="M13" s="86"/>
      <c r="N13" s="87"/>
      <c r="O13" s="85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8"/>
      <c r="AQ13" s="82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4"/>
    </row>
    <row r="14" spans="1:57" ht="15" customHeight="1" x14ac:dyDescent="0.2">
      <c r="A14" s="102"/>
      <c r="B14" s="103"/>
      <c r="C14" s="103"/>
      <c r="D14" s="103"/>
      <c r="E14" s="103"/>
      <c r="F14" s="103"/>
      <c r="G14" s="104"/>
      <c r="H14" s="85"/>
      <c r="I14" s="86"/>
      <c r="J14" s="86"/>
      <c r="K14" s="86"/>
      <c r="L14" s="86"/>
      <c r="M14" s="86"/>
      <c r="N14" s="87"/>
      <c r="O14" s="85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8"/>
      <c r="AQ14" s="82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4"/>
    </row>
    <row r="15" spans="1:57" ht="15" customHeight="1" x14ac:dyDescent="0.2">
      <c r="A15" s="102"/>
      <c r="B15" s="103"/>
      <c r="C15" s="103"/>
      <c r="D15" s="103"/>
      <c r="E15" s="103"/>
      <c r="F15" s="103"/>
      <c r="G15" s="104"/>
      <c r="H15" s="85"/>
      <c r="I15" s="86"/>
      <c r="J15" s="86"/>
      <c r="K15" s="86"/>
      <c r="L15" s="86"/>
      <c r="M15" s="86"/>
      <c r="N15" s="87"/>
      <c r="O15" s="85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8"/>
      <c r="AQ15" s="82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4"/>
    </row>
    <row r="16" spans="1:57" ht="15" customHeight="1" x14ac:dyDescent="0.2">
      <c r="A16" s="102"/>
      <c r="B16" s="103"/>
      <c r="C16" s="103"/>
      <c r="D16" s="103"/>
      <c r="E16" s="103"/>
      <c r="F16" s="103"/>
      <c r="G16" s="104"/>
      <c r="H16" s="85"/>
      <c r="I16" s="86"/>
      <c r="J16" s="86"/>
      <c r="K16" s="86"/>
      <c r="L16" s="86"/>
      <c r="M16" s="86"/>
      <c r="N16" s="87"/>
      <c r="O16" s="85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8"/>
      <c r="AQ16" s="82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4"/>
    </row>
    <row r="17" spans="1:57" ht="15" customHeight="1" x14ac:dyDescent="0.2">
      <c r="A17" s="102"/>
      <c r="B17" s="103"/>
      <c r="C17" s="103"/>
      <c r="D17" s="103"/>
      <c r="E17" s="103"/>
      <c r="F17" s="103"/>
      <c r="G17" s="104"/>
      <c r="H17" s="85"/>
      <c r="I17" s="86"/>
      <c r="J17" s="86"/>
      <c r="K17" s="86"/>
      <c r="L17" s="86"/>
      <c r="M17" s="86"/>
      <c r="N17" s="87"/>
      <c r="O17" s="85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8"/>
      <c r="AQ17" s="82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4"/>
    </row>
    <row r="18" spans="1:57" ht="15" customHeight="1" x14ac:dyDescent="0.2">
      <c r="A18" s="102"/>
      <c r="B18" s="103"/>
      <c r="C18" s="103"/>
      <c r="D18" s="103"/>
      <c r="E18" s="103"/>
      <c r="F18" s="103"/>
      <c r="G18" s="104"/>
      <c r="H18" s="85"/>
      <c r="I18" s="86"/>
      <c r="J18" s="86"/>
      <c r="K18" s="86"/>
      <c r="L18" s="86"/>
      <c r="M18" s="86"/>
      <c r="N18" s="87"/>
      <c r="O18" s="85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8"/>
      <c r="AQ18" s="82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4"/>
    </row>
    <row r="19" spans="1:57" ht="15" customHeight="1" x14ac:dyDescent="0.2">
      <c r="A19" s="102"/>
      <c r="B19" s="103"/>
      <c r="C19" s="103"/>
      <c r="D19" s="103"/>
      <c r="E19" s="103"/>
      <c r="F19" s="103"/>
      <c r="G19" s="104"/>
      <c r="H19" s="85"/>
      <c r="I19" s="86"/>
      <c r="J19" s="86"/>
      <c r="K19" s="86"/>
      <c r="L19" s="86"/>
      <c r="M19" s="86"/>
      <c r="N19" s="87"/>
      <c r="O19" s="85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8"/>
      <c r="AQ19" s="82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4"/>
    </row>
    <row r="20" spans="1:57" ht="15" customHeight="1" x14ac:dyDescent="0.2">
      <c r="A20" s="102"/>
      <c r="B20" s="103"/>
      <c r="C20" s="103"/>
      <c r="D20" s="103"/>
      <c r="E20" s="103"/>
      <c r="F20" s="103"/>
      <c r="G20" s="104"/>
      <c r="H20" s="85"/>
      <c r="I20" s="86"/>
      <c r="J20" s="86"/>
      <c r="K20" s="86"/>
      <c r="L20" s="86"/>
      <c r="M20" s="86"/>
      <c r="N20" s="87"/>
      <c r="O20" s="85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8"/>
      <c r="AQ20" s="82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4"/>
    </row>
    <row r="21" spans="1:57" ht="15" customHeight="1" x14ac:dyDescent="0.2">
      <c r="A21" s="102"/>
      <c r="B21" s="103"/>
      <c r="C21" s="103"/>
      <c r="D21" s="103"/>
      <c r="E21" s="103"/>
      <c r="F21" s="103"/>
      <c r="G21" s="104"/>
      <c r="H21" s="85"/>
      <c r="I21" s="86"/>
      <c r="J21" s="86"/>
      <c r="K21" s="86"/>
      <c r="L21" s="86"/>
      <c r="M21" s="86"/>
      <c r="N21" s="87"/>
      <c r="O21" s="85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8"/>
      <c r="AQ21" s="82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4"/>
    </row>
    <row r="22" spans="1:57" ht="15" customHeight="1" x14ac:dyDescent="0.2">
      <c r="A22" s="102"/>
      <c r="B22" s="103"/>
      <c r="C22" s="103"/>
      <c r="D22" s="103"/>
      <c r="E22" s="103"/>
      <c r="F22" s="103"/>
      <c r="G22" s="104"/>
      <c r="H22" s="85"/>
      <c r="I22" s="86"/>
      <c r="J22" s="86"/>
      <c r="K22" s="86"/>
      <c r="L22" s="86"/>
      <c r="M22" s="86"/>
      <c r="N22" s="87"/>
      <c r="O22" s="85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8"/>
      <c r="AQ22" s="82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4"/>
    </row>
    <row r="23" spans="1:57" ht="15" customHeight="1" x14ac:dyDescent="0.2">
      <c r="A23" s="102"/>
      <c r="B23" s="103"/>
      <c r="C23" s="103"/>
      <c r="D23" s="103"/>
      <c r="E23" s="103"/>
      <c r="F23" s="103"/>
      <c r="G23" s="104"/>
      <c r="H23" s="85"/>
      <c r="I23" s="86"/>
      <c r="J23" s="86"/>
      <c r="K23" s="86"/>
      <c r="L23" s="86"/>
      <c r="M23" s="86"/>
      <c r="N23" s="87"/>
      <c r="O23" s="85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8"/>
      <c r="AQ23" s="82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4"/>
    </row>
    <row r="24" spans="1:57" ht="15" customHeight="1" x14ac:dyDescent="0.2">
      <c r="A24" s="102"/>
      <c r="B24" s="103"/>
      <c r="C24" s="103"/>
      <c r="D24" s="103"/>
      <c r="E24" s="103"/>
      <c r="F24" s="103"/>
      <c r="G24" s="104"/>
      <c r="H24" s="85"/>
      <c r="I24" s="86"/>
      <c r="J24" s="86"/>
      <c r="K24" s="86"/>
      <c r="L24" s="86"/>
      <c r="M24" s="86"/>
      <c r="N24" s="87"/>
      <c r="O24" s="85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8"/>
      <c r="AQ24" s="82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4"/>
    </row>
    <row r="25" spans="1:57" ht="15" customHeight="1" x14ac:dyDescent="0.2">
      <c r="A25" s="102"/>
      <c r="B25" s="103"/>
      <c r="C25" s="103"/>
      <c r="D25" s="103"/>
      <c r="E25" s="103"/>
      <c r="F25" s="103"/>
      <c r="G25" s="104"/>
      <c r="H25" s="85"/>
      <c r="I25" s="86"/>
      <c r="J25" s="86"/>
      <c r="K25" s="86"/>
      <c r="L25" s="86"/>
      <c r="M25" s="86"/>
      <c r="N25" s="87"/>
      <c r="O25" s="85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8"/>
      <c r="AQ25" s="82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4"/>
    </row>
    <row r="26" spans="1:57" ht="15" customHeight="1" x14ac:dyDescent="0.2">
      <c r="A26" s="102"/>
      <c r="B26" s="103"/>
      <c r="C26" s="103"/>
      <c r="D26" s="103"/>
      <c r="E26" s="103"/>
      <c r="F26" s="103"/>
      <c r="G26" s="104"/>
      <c r="H26" s="85"/>
      <c r="I26" s="86"/>
      <c r="J26" s="86"/>
      <c r="K26" s="86"/>
      <c r="L26" s="86"/>
      <c r="M26" s="86"/>
      <c r="N26" s="87"/>
      <c r="O26" s="85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8"/>
      <c r="AQ26" s="82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4"/>
    </row>
    <row r="27" spans="1:57" ht="15" customHeight="1" x14ac:dyDescent="0.2">
      <c r="A27" s="102"/>
      <c r="B27" s="103"/>
      <c r="C27" s="103"/>
      <c r="D27" s="103"/>
      <c r="E27" s="103"/>
      <c r="F27" s="103"/>
      <c r="G27" s="104"/>
      <c r="H27" s="85"/>
      <c r="I27" s="86"/>
      <c r="J27" s="86"/>
      <c r="K27" s="86"/>
      <c r="L27" s="86"/>
      <c r="M27" s="86"/>
      <c r="N27" s="87"/>
      <c r="O27" s="85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8"/>
      <c r="AQ27" s="82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4"/>
    </row>
    <row r="28" spans="1:57" ht="15" customHeight="1" x14ac:dyDescent="0.2">
      <c r="A28" s="102"/>
      <c r="B28" s="103"/>
      <c r="C28" s="103"/>
      <c r="D28" s="103"/>
      <c r="E28" s="103"/>
      <c r="F28" s="103"/>
      <c r="G28" s="104"/>
      <c r="H28" s="85"/>
      <c r="I28" s="86"/>
      <c r="J28" s="86"/>
      <c r="K28" s="86"/>
      <c r="L28" s="86"/>
      <c r="M28" s="86"/>
      <c r="N28" s="87"/>
      <c r="O28" s="85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8"/>
      <c r="AQ28" s="82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4"/>
    </row>
    <row r="29" spans="1:57" ht="15" customHeight="1" x14ac:dyDescent="0.2">
      <c r="A29" s="102"/>
      <c r="B29" s="103"/>
      <c r="C29" s="103"/>
      <c r="D29" s="103"/>
      <c r="E29" s="103"/>
      <c r="F29" s="103"/>
      <c r="G29" s="104"/>
      <c r="H29" s="85"/>
      <c r="I29" s="86"/>
      <c r="J29" s="86"/>
      <c r="K29" s="86"/>
      <c r="L29" s="86"/>
      <c r="M29" s="86"/>
      <c r="N29" s="87"/>
      <c r="O29" s="85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8"/>
      <c r="AQ29" s="82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4"/>
    </row>
    <row r="30" spans="1:57" ht="15" customHeight="1" x14ac:dyDescent="0.2">
      <c r="A30" s="102"/>
      <c r="B30" s="103"/>
      <c r="C30" s="103"/>
      <c r="D30" s="103"/>
      <c r="E30" s="103"/>
      <c r="F30" s="103"/>
      <c r="G30" s="104"/>
      <c r="H30" s="85"/>
      <c r="I30" s="86"/>
      <c r="J30" s="86"/>
      <c r="K30" s="86"/>
      <c r="L30" s="86"/>
      <c r="M30" s="86"/>
      <c r="N30" s="87"/>
      <c r="O30" s="85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8"/>
      <c r="AQ30" s="82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4"/>
    </row>
    <row r="31" spans="1:57" ht="15" customHeight="1" x14ac:dyDescent="0.2">
      <c r="A31" s="102"/>
      <c r="B31" s="103"/>
      <c r="C31" s="103"/>
      <c r="D31" s="103"/>
      <c r="E31" s="103"/>
      <c r="F31" s="103"/>
      <c r="G31" s="104"/>
      <c r="H31" s="85"/>
      <c r="I31" s="86"/>
      <c r="J31" s="86"/>
      <c r="K31" s="86"/>
      <c r="L31" s="86"/>
      <c r="M31" s="86"/>
      <c r="N31" s="87"/>
      <c r="O31" s="85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8"/>
      <c r="AQ31" s="82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4"/>
    </row>
    <row r="32" spans="1:57" ht="15" customHeight="1" x14ac:dyDescent="0.2">
      <c r="A32" s="102"/>
      <c r="B32" s="103"/>
      <c r="C32" s="103"/>
      <c r="D32" s="103"/>
      <c r="E32" s="103"/>
      <c r="F32" s="103"/>
      <c r="G32" s="104"/>
      <c r="H32" s="85"/>
      <c r="I32" s="86"/>
      <c r="J32" s="86"/>
      <c r="K32" s="86"/>
      <c r="L32" s="86"/>
      <c r="M32" s="86"/>
      <c r="N32" s="87"/>
      <c r="O32" s="85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8"/>
      <c r="AQ32" s="82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4"/>
    </row>
    <row r="33" spans="1:57" ht="15" customHeight="1" x14ac:dyDescent="0.2">
      <c r="A33" s="102"/>
      <c r="B33" s="103"/>
      <c r="C33" s="103"/>
      <c r="D33" s="103"/>
      <c r="E33" s="103"/>
      <c r="F33" s="103"/>
      <c r="G33" s="104"/>
      <c r="H33" s="85"/>
      <c r="I33" s="86"/>
      <c r="J33" s="86"/>
      <c r="K33" s="86"/>
      <c r="L33" s="86"/>
      <c r="M33" s="86"/>
      <c r="N33" s="87"/>
      <c r="O33" s="85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8"/>
      <c r="AQ33" s="82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4"/>
    </row>
    <row r="34" spans="1:57" ht="15" customHeight="1" x14ac:dyDescent="0.2">
      <c r="A34" s="102"/>
      <c r="B34" s="103"/>
      <c r="C34" s="103"/>
      <c r="D34" s="103"/>
      <c r="E34" s="103"/>
      <c r="F34" s="103"/>
      <c r="G34" s="104"/>
      <c r="H34" s="85"/>
      <c r="I34" s="86"/>
      <c r="J34" s="86"/>
      <c r="K34" s="86"/>
      <c r="L34" s="86"/>
      <c r="M34" s="86"/>
      <c r="N34" s="87"/>
      <c r="O34" s="85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8"/>
      <c r="AQ34" s="82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4"/>
    </row>
    <row r="35" spans="1:57" ht="15" customHeight="1" thickBot="1" x14ac:dyDescent="0.25">
      <c r="A35" s="111"/>
      <c r="B35" s="112"/>
      <c r="C35" s="112"/>
      <c r="D35" s="112"/>
      <c r="E35" s="112"/>
      <c r="F35" s="112"/>
      <c r="G35" s="113"/>
      <c r="H35" s="122"/>
      <c r="I35" s="123"/>
      <c r="J35" s="123"/>
      <c r="K35" s="123"/>
      <c r="L35" s="123"/>
      <c r="M35" s="123"/>
      <c r="N35" s="124"/>
      <c r="O35" s="122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6"/>
      <c r="AQ35" s="127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8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6:N26"/>
    <mergeCell ref="H28:N28"/>
    <mergeCell ref="O28:AP28"/>
    <mergeCell ref="AQ28:BE28"/>
    <mergeCell ref="H27:N27"/>
    <mergeCell ref="O31:AP31"/>
    <mergeCell ref="AQ31:BE31"/>
    <mergeCell ref="O26:AP26"/>
    <mergeCell ref="AQ26:BE26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O21:AP21"/>
    <mergeCell ref="AQ21:BE21"/>
    <mergeCell ref="H22:N22"/>
    <mergeCell ref="O22:AP22"/>
    <mergeCell ref="AQ22:BE22"/>
    <mergeCell ref="O19:AP19"/>
    <mergeCell ref="AQ19:BE19"/>
    <mergeCell ref="O25:AP25"/>
    <mergeCell ref="AQ25:BE25"/>
    <mergeCell ref="H25:N25"/>
    <mergeCell ref="H24:N24"/>
    <mergeCell ref="O24:AP24"/>
    <mergeCell ref="AQ24:BE24"/>
    <mergeCell ref="H20:N20"/>
    <mergeCell ref="O20:AP20"/>
    <mergeCell ref="AQ20:BE20"/>
    <mergeCell ref="H19:N19"/>
    <mergeCell ref="O23:AP23"/>
    <mergeCell ref="AQ23:BE23"/>
    <mergeCell ref="H23:N23"/>
    <mergeCell ref="H21:N21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7:N7"/>
    <mergeCell ref="H5:N5"/>
    <mergeCell ref="O5:AP5"/>
    <mergeCell ref="AQ5:BE5"/>
    <mergeCell ref="H6:N6"/>
    <mergeCell ref="O6:AP6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O11:AP11"/>
    <mergeCell ref="AQ11:BE11"/>
    <mergeCell ref="AQ17:BE17"/>
    <mergeCell ref="H18:N18"/>
    <mergeCell ref="AQ16:BE16"/>
    <mergeCell ref="H15:N15"/>
    <mergeCell ref="H17:N17"/>
    <mergeCell ref="O17:AP17"/>
    <mergeCell ref="AQ6:BE6"/>
    <mergeCell ref="H8:N8"/>
    <mergeCell ref="O8:AP8"/>
    <mergeCell ref="AQ8:BE8"/>
    <mergeCell ref="H9:N9"/>
    <mergeCell ref="O9:AP9"/>
    <mergeCell ref="AQ9:BE9"/>
    <mergeCell ref="O18:AP18"/>
    <mergeCell ref="AQ18:BE18"/>
    <mergeCell ref="O15:AP15"/>
    <mergeCell ref="AQ15:BE15"/>
    <mergeCell ref="H16:N16"/>
    <mergeCell ref="O16:AP16"/>
    <mergeCell ref="H10:N10"/>
    <mergeCell ref="H12:N12"/>
    <mergeCell ref="O12:AP12"/>
    <mergeCell ref="AQ12:BE12"/>
    <mergeCell ref="H11:N11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2026-03-27T05:58:39Z</dcterms:modified>
  <cp:category/>
</cp:coreProperties>
</file>