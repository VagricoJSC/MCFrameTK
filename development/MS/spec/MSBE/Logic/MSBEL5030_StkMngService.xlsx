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C7C2251B-1FD0-4D8D-9FFC-BFEDA4E74F2D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tk_Upd01" sheetId="5" r:id="rId2"/>
    <sheet name="Stk_Upd02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H4" i="5" l="1"/>
  <c r="L4" i="5" l="1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<sst xmlns="http://schemas.openxmlformats.org/spreadsheetml/2006/main" count="343" uniqueCount="191">
  <si>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</si>
  <si>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</si>
  <si>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</si>
  <si>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</si>
  <si>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</si>
  <si>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</si>
  <si>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</si>
  <si>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</si>
  <si>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R</t>
    <phoneticPr fontId="2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</si>
  <si>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</si>
  <si>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</si>
  <si>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</si>
  <si>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</si>
  <si>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</si>
  <si>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</si>
  <si>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</si>
  <si>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</si>
  <si>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MS</t>
  </si>
  <si>
    <t>MSBE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</si>
  <si>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</si>
  <si>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</si>
  <si>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</si>
  <si>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</si>
  <si>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</si>
  <si>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o</t>
    <phoneticPr fontId="1"/>
  </si>
  <si>
    <t>o</t>
    <phoneticPr fontId="1"/>
  </si>
  <si>
    <t>TargetName</t>
    <phoneticPr fontId="1"/>
  </si>
  <si>
    <t>#</t>
    <phoneticPr fontId="1"/>
  </si>
  <si>
    <t>*</t>
  </si>
  <si>
    <t>L</t>
  </si>
  <si>
    <t>@</t>
    <phoneticPr fontId="2"/>
  </si>
  <si>
    <t>MSBEL_StkMngService</t>
    <phoneticPr fontId="2"/>
  </si>
  <si>
    <t>在庫管理サービス</t>
    <rPh sb="0" eb="2">
      <t>ザイコ</t>
    </rPh>
    <rPh sb="2" eb="4">
      <t>カンリ</t>
    </rPh>
    <phoneticPr fontId="2"/>
  </si>
  <si>
    <t>受払実績に基づいて現状在庫・月次在庫を更新します。</t>
  </si>
  <si>
    <t>Stk_Upd01_Dtl</t>
    <phoneticPr fontId="2"/>
  </si>
  <si>
    <t>ac_ym</t>
  </si>
  <si>
    <t>io_act_typ</t>
  </si>
  <si>
    <t>itm_cd</t>
  </si>
  <si>
    <t>itm_sub1</t>
  </si>
  <si>
    <t>itm_sub2</t>
  </si>
  <si>
    <t>itm_sub3</t>
  </si>
  <si>
    <t>loc_cd</t>
  </si>
  <si>
    <t>str_ln_cd</t>
  </si>
  <si>
    <t>stk_arrv_bp_cd</t>
  </si>
  <si>
    <t>lot_no</t>
  </si>
  <si>
    <t>sublot_no</t>
  </si>
  <si>
    <t>sno1</t>
  </si>
  <si>
    <t>sno2</t>
  </si>
  <si>
    <t>sno3</t>
  </si>
  <si>
    <t>sno4</t>
  </si>
  <si>
    <t>fix_no_typ</t>
  </si>
  <si>
    <t>fix_no</t>
  </si>
  <si>
    <t>pack_unit_cd</t>
  </si>
  <si>
    <t>gd_cd</t>
  </si>
  <si>
    <t>in_xfr_typ</t>
  </si>
  <si>
    <t>quality_typ</t>
  </si>
  <si>
    <t>asst_typ</t>
  </si>
  <si>
    <t>stk_insp_typ</t>
  </si>
  <si>
    <t>stk_id_typ</t>
  </si>
  <si>
    <t>stk_bp_cd</t>
  </si>
  <si>
    <t>pack_unit_qty</t>
  </si>
  <si>
    <t>base_unit_qty</t>
  </si>
  <si>
    <t>minus_stk_flg</t>
  </si>
  <si>
    <t>#MA.YM</t>
  </si>
  <si>
    <t>#MS.IO_ACT_TYP</t>
  </si>
  <si>
    <t>#MA.ITM_CD</t>
  </si>
  <si>
    <t>#MA.ITM_SUB1</t>
  </si>
  <si>
    <t>#MA.ITM_SUB2</t>
  </si>
  <si>
    <t>#MA.ITM_SUB3</t>
  </si>
  <si>
    <t>#MA.LOC_CD</t>
  </si>
  <si>
    <t>#MA.STR_LN_CD</t>
  </si>
  <si>
    <t>#MA.BP_CD</t>
  </si>
  <si>
    <t>#MA.LOT_NO</t>
  </si>
  <si>
    <t>#MA.SUBLOT_NO</t>
  </si>
  <si>
    <t>#MA.SNO1</t>
  </si>
  <si>
    <t>#MA.SNO2</t>
  </si>
  <si>
    <t>#MA.SNO3</t>
  </si>
  <si>
    <t>#MA.SNO4</t>
  </si>
  <si>
    <t>#MS.FIX_NO_TYP</t>
  </si>
  <si>
    <t>#MA.FIX_NO</t>
  </si>
  <si>
    <t>#MA.UNIT_CD</t>
  </si>
  <si>
    <t>#MA.STK_GD_CD</t>
  </si>
  <si>
    <t>#MS.IN_XFR_TYP</t>
  </si>
  <si>
    <t>#MA.QUALITY_TYP</t>
  </si>
  <si>
    <t>#MA.ASST_TYP</t>
  </si>
  <si>
    <t>#MS.STK_INSP_TYP</t>
  </si>
  <si>
    <t>#MS.STK_ID_TYP</t>
  </si>
  <si>
    <t>#MA.QTY</t>
  </si>
  <si>
    <t>#MA.FLG</t>
  </si>
  <si>
    <t>在庫更新</t>
    <rPh sb="0" eb="2">
      <t>ザイコ</t>
    </rPh>
    <rPh sb="2" eb="4">
      <t>コウシン</t>
    </rPh>
    <phoneticPr fontId="3"/>
  </si>
  <si>
    <t>Stk_Upd02</t>
    <phoneticPr fontId="2"/>
  </si>
  <si>
    <t>月次受払在庫作成</t>
    <rPh sb="0" eb="2">
      <t>ゲツジ</t>
    </rPh>
    <rPh sb="2" eb="4">
      <t>ウケハライ</t>
    </rPh>
    <rPh sb="4" eb="6">
      <t>ザイコ</t>
    </rPh>
    <rPh sb="6" eb="8">
      <t>サクセイ</t>
    </rPh>
    <phoneticPr fontId="3"/>
  </si>
  <si>
    <t>Stk_Upd02_Cnd</t>
    <phoneticPr fontId="2"/>
  </si>
  <si>
    <t>指定月の月次受払在庫から翌月の月次受払在庫を作成します。</t>
    <phoneticPr fontId="2"/>
  </si>
  <si>
    <t>MSBEL5030</t>
    <phoneticPr fontId="2"/>
  </si>
  <si>
    <t>Pj.ID :</t>
    <phoneticPr fontId="1"/>
  </si>
  <si>
    <t>SuperClassPj.ID :</t>
    <phoneticPr fontId="1"/>
  </si>
  <si>
    <t>-</t>
    <phoneticPr fontId="2"/>
  </si>
  <si>
    <t>枝番２</t>
    <phoneticPr fontId="10"/>
  </si>
  <si>
    <t>サブロットＮＯ</t>
    <phoneticPr fontId="2"/>
  </si>
  <si>
    <t>確定NO</t>
    <phoneticPr fontId="10"/>
  </si>
  <si>
    <t>積送品区分</t>
    <phoneticPr fontId="2"/>
  </si>
  <si>
    <t>在庫検査区分</t>
    <phoneticPr fontId="3"/>
  </si>
  <si>
    <t>在庫識別区分</t>
    <phoneticPr fontId="2"/>
  </si>
  <si>
    <t>在庫取引先ＣＤ</t>
    <phoneticPr fontId="3"/>
  </si>
  <si>
    <t>荷姿数量</t>
    <phoneticPr fontId="3"/>
  </si>
  <si>
    <t>Stk_Upd01</t>
    <phoneticPr fontId="2"/>
  </si>
  <si>
    <t>super/share</t>
    <phoneticPr fontId="1"/>
  </si>
  <si>
    <t>TargetName</t>
    <phoneticPr fontId="1"/>
  </si>
  <si>
    <t>TargetName</t>
    <phoneticPr fontId="1"/>
  </si>
  <si>
    <t>*</t>
    <phoneticPr fontId="1"/>
  </si>
  <si>
    <t>Ope.ID :</t>
    <phoneticPr fontId="1"/>
  </si>
  <si>
    <t xml:space="preserve">Ope.Body : </t>
    <phoneticPr fontId="1"/>
  </si>
  <si>
    <t>ACType :</t>
    <phoneticPr fontId="1"/>
  </si>
  <si>
    <t>ImplOpe.ID:</t>
    <phoneticPr fontId="1"/>
  </si>
  <si>
    <t>TargetName</t>
    <phoneticPr fontId="1"/>
  </si>
  <si>
    <t>ID</t>
    <phoneticPr fontId="1"/>
  </si>
  <si>
    <t>L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</si>
  <si>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</si>
  <si>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</si>
  <si>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</si>
  <si>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</si>
  <si>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</si>
  <si>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計上年月</t>
    <phoneticPr fontId="3"/>
  </si>
  <si>
    <t>E</t>
    <phoneticPr fontId="1"/>
  </si>
  <si>
    <t>受払区分</t>
    <phoneticPr fontId="3"/>
  </si>
  <si>
    <t>品目ＣＤ</t>
    <phoneticPr fontId="2"/>
  </si>
  <si>
    <t>枝番１</t>
    <phoneticPr fontId="10"/>
  </si>
  <si>
    <t>枝番３</t>
    <phoneticPr fontId="10"/>
  </si>
  <si>
    <t>場所ＣＤ</t>
    <phoneticPr fontId="3"/>
  </si>
  <si>
    <t>棚・ラインＣＤ</t>
    <phoneticPr fontId="10"/>
  </si>
  <si>
    <t>在庫着荷先ＣＤ</t>
    <phoneticPr fontId="3"/>
  </si>
  <si>
    <t>ロットＮＯ</t>
    <phoneticPr fontId="2"/>
  </si>
  <si>
    <t>手配ＮＯ１</t>
    <phoneticPr fontId="2"/>
  </si>
  <si>
    <t>手配ＮＯ２</t>
    <phoneticPr fontId="2"/>
  </si>
  <si>
    <t>手配ＮＯ３</t>
    <phoneticPr fontId="2"/>
  </si>
  <si>
    <t>E</t>
    <phoneticPr fontId="2"/>
  </si>
  <si>
    <t>手配ＮＯ４</t>
    <phoneticPr fontId="2"/>
  </si>
  <si>
    <t>確定NO区分</t>
    <phoneticPr fontId="10"/>
  </si>
  <si>
    <t>荷姿単位ＣＤ</t>
    <phoneticPr fontId="10"/>
  </si>
  <si>
    <t>格付ＣＤ</t>
    <phoneticPr fontId="2"/>
  </si>
  <si>
    <t>良品区分</t>
    <phoneticPr fontId="2"/>
  </si>
  <si>
    <t>資産区分</t>
    <phoneticPr fontId="2"/>
  </si>
  <si>
    <t>基準単位数量</t>
    <phoneticPr fontId="10"/>
  </si>
  <si>
    <t>マイナス在庫許可ＦＬＧ</t>
    <phoneticPr fontId="10"/>
  </si>
  <si>
    <t>MS.MSUDL5010</t>
    <phoneticPr fontId="2"/>
  </si>
  <si>
    <t>"mcframe.serverMAUD.MAUDL5010.MAUDL_Operation"</t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</si>
  <si>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</si>
  <si>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</si>
  <si>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</si>
  <si>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</si>
  <si>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</si>
  <si>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</si>
  <si>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</si>
  <si>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</si>
  <si>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</si>
  <si>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</si>
  <si>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</si>
  <si>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</si>
  <si>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</si>
  <si>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</si>
  <si>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Recording month</t>
  </si>
  <si>
    <t>GR/GI type</t>
  </si>
  <si>
    <t>Item cd.</t>
  </si>
  <si>
    <t>Branch No. 1</t>
  </si>
  <si>
    <t>Branch No. 2</t>
  </si>
  <si>
    <t>Branch No. 3</t>
  </si>
  <si>
    <t>Location cd.</t>
  </si>
  <si>
    <t>Rack/Line cd.</t>
  </si>
  <si>
    <t>Inventory arriving point cd.</t>
  </si>
  <si>
    <t>Lot No.</t>
  </si>
  <si>
    <t>Sublot No.</t>
  </si>
  <si>
    <t>SEIBAN No. 1</t>
  </si>
  <si>
    <t>SEIBAN No. 2</t>
  </si>
  <si>
    <t>SEIBAN No. 3</t>
  </si>
  <si>
    <t>SEIBAN No. 4</t>
  </si>
  <si>
    <t>Firm No. type</t>
  </si>
  <si>
    <t>Firm No.</t>
  </si>
  <si>
    <t>SKU cd.</t>
  </si>
  <si>
    <t>Grading cd.</t>
  </si>
  <si>
    <t>In-transit type</t>
  </si>
  <si>
    <t>Conforming type</t>
  </si>
  <si>
    <t>Asset type</t>
  </si>
  <si>
    <t>Inventory inspection type</t>
  </si>
  <si>
    <t>Inventory identification type</t>
  </si>
  <si>
    <t>Inventory BP cd.</t>
  </si>
  <si>
    <t>SKU qty.</t>
  </si>
  <si>
    <t>Base unit qty.</t>
  </si>
  <si>
    <t>Allow negative inventory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</si>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</sst>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</cellStyleXfs>
  <cellXfs count="123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0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2" borderId="5" xfId="0" applyFont="1" applyFill="1" applyBorder="1" applyAlignment="1">
      <alignment vertical="center"/>
    </xf>
    <xf numFmtId="0" fontId="11" fillId="0" borderId="5" xfId="0" applyFont="1" applyBorder="1">
      <alignment vertical="top" wrapText="1"/>
    </xf>
    <xf numFmtId="0" fontId="11" fillId="2" borderId="5" xfId="0" applyFont="1" applyFill="1" applyBorder="1">
      <alignment vertical="top" wrapText="1"/>
    </xf>
    <xf numFmtId="0" fontId="11" fillId="2" borderId="5" xfId="0" applyFont="1" applyFill="1" applyBorder="1" applyAlignment="1">
      <alignment wrapText="1"/>
    </xf>
    <xf numFmtId="0" fontId="11" fillId="2" borderId="9" xfId="0" applyFont="1" applyFill="1" applyBorder="1" applyAlignment="1">
      <alignment wrapText="1"/>
    </xf>
    <xf numFmtId="0" fontId="11" fillId="2" borderId="8" xfId="0" applyFont="1" applyFill="1" applyBorder="1" applyAlignment="1">
      <alignment vertical="top"/>
    </xf>
    <xf numFmtId="0" fontId="11" fillId="2" borderId="9" xfId="0" applyFont="1" applyFill="1" applyBorder="1" applyAlignment="1">
      <alignment vertical="top"/>
    </xf>
    <xf numFmtId="0" fontId="11" fillId="0" borderId="4" xfId="0" applyFont="1" applyBorder="1" applyAlignment="1">
      <alignment wrapText="1"/>
    </xf>
    <xf numFmtId="0" fontId="11" fillId="2" borderId="2" xfId="0" applyFont="1" applyFill="1" applyBorder="1" applyAlignment="1">
      <alignment vertical="top"/>
    </xf>
    <xf numFmtId="0" fontId="11" fillId="0" borderId="2" xfId="0" applyFont="1" applyBorder="1">
      <alignment vertical="top"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2" xfId="0" applyFont="1" applyBorder="1" applyAlignment="1"/>
    <xf numFmtId="0" fontId="11" fillId="0" borderId="9" xfId="0" applyFont="1" applyBorder="1" applyAlignment="1">
      <alignment wrapText="1"/>
    </xf>
    <xf numFmtId="0" fontId="11" fillId="0" borderId="8" xfId="0" applyFont="1" applyBorder="1" applyAlignment="1">
      <alignment wrapText="1"/>
    </xf>
    <xf numFmtId="0" fontId="11" fillId="3" borderId="5" xfId="0" applyFont="1" applyFill="1" applyBorder="1">
      <alignment vertical="top" wrapText="1"/>
    </xf>
    <xf numFmtId="0" fontId="11" fillId="0" borderId="7" xfId="0" applyFont="1" applyBorder="1">
      <alignment vertical="top" wrapText="1"/>
    </xf>
    <xf numFmtId="0" fontId="14" fillId="0" borderId="0" xfId="6" applyFont="1"/>
    <xf numFmtId="0" fontId="14" fillId="0" borderId="0" xfId="6" applyFont="1" applyAlignment="1">
      <alignment horizontal="center" vertical="center"/>
    </xf>
    <xf numFmtId="0" fontId="14" fillId="0" borderId="0" xfId="6" applyFont="1" applyAlignment="1">
      <alignment horizontal="center"/>
    </xf>
    <xf numFmtId="0" fontId="14" fillId="0" borderId="0" xfId="8" applyFont="1"/>
    <xf numFmtId="0" fontId="14" fillId="0" borderId="0" xfId="8" applyFont="1" applyAlignment="1">
      <alignment horizontal="center"/>
    </xf>
    <xf numFmtId="0" fontId="11" fillId="0" borderId="9" xfId="0" applyFont="1" applyBorder="1" applyAlignment="1"/>
    <xf numFmtId="0" fontId="11" fillId="2" borderId="3" xfId="0" applyFont="1" applyFill="1" applyBorder="1" applyAlignment="1">
      <alignment vertical="top"/>
    </xf>
    <xf numFmtId="0" fontId="11" fillId="2" borderId="30" xfId="0" applyFont="1" applyFill="1" applyBorder="1" applyAlignment="1">
      <alignment vertical="top"/>
    </xf>
    <xf numFmtId="0" fontId="11" fillId="4" borderId="5" xfId="0" applyFont="1" applyFill="1" applyBorder="1" applyAlignment="1">
      <alignment vertical="top"/>
    </xf>
    <xf numFmtId="0" fontId="11" fillId="2" borderId="31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8" xfId="0" applyFont="1" applyBorder="1" applyAlignment="1">
      <alignment vertical="top"/>
    </xf>
    <xf numFmtId="0" fontId="11" fillId="2" borderId="5" xfId="0" quotePrefix="1" applyFont="1" applyFill="1" applyBorder="1" applyAlignment="1">
      <alignment vertical="top"/>
    </xf>
    <xf numFmtId="0" fontId="11" fillId="0" borderId="5" xfId="0" applyFont="1" applyBorder="1" applyAlignment="1">
      <alignment vertical="center"/>
    </xf>
    <xf numFmtId="0" fontId="11" fillId="0" borderId="0" xfId="0" applyFont="1" applyAlignment="1"/>
    <xf numFmtId="0" fontId="11" fillId="2" borderId="32" xfId="0" applyFont="1" applyFill="1" applyBorder="1" applyAlignment="1">
      <alignment vertical="top"/>
    </xf>
    <xf numFmtId="0" fontId="11" fillId="0" borderId="2" xfId="0" applyFont="1" applyBorder="1" applyAlignment="1">
      <alignment vertical="top"/>
    </xf>
    <xf numFmtId="0" fontId="11" fillId="0" borderId="32" xfId="0" applyFont="1" applyBorder="1" applyAlignment="1">
      <alignment vertical="top"/>
    </xf>
    <xf numFmtId="0" fontId="11" fillId="0" borderId="4" xfId="0" applyFont="1" applyBorder="1">
      <alignment vertical="top" wrapText="1"/>
    </xf>
    <xf numFmtId="0" fontId="11" fillId="2" borderId="8" xfId="0" applyFont="1" applyFill="1" applyBorder="1">
      <alignment vertical="top" wrapText="1"/>
    </xf>
    <xf numFmtId="0" fontId="11" fillId="2" borderId="9" xfId="0" applyFont="1" applyFill="1" applyBorder="1">
      <alignment vertical="top" wrapText="1"/>
    </xf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177" fontId="13" fillId="0" borderId="25" xfId="8" applyNumberFormat="1" applyFont="1" applyBorder="1" applyAlignment="1">
      <alignment horizontal="center" vertical="center"/>
    </xf>
    <xf numFmtId="177" fontId="13" fillId="0" borderId="26" xfId="7" applyNumberFormat="1" applyFont="1" applyBorder="1" applyAlignment="1">
      <alignment horizontal="center" vertical="center"/>
    </xf>
    <xf numFmtId="177" fontId="13" fillId="0" borderId="27" xfId="7" applyNumberFormat="1" applyFont="1" applyBorder="1" applyAlignment="1">
      <alignment horizontal="center" vertical="center"/>
    </xf>
    <xf numFmtId="0" fontId="13" fillId="0" borderId="28" xfId="8" applyFont="1" applyBorder="1" applyAlignment="1">
      <alignment horizontal="left" vertical="center" wrapText="1"/>
    </xf>
    <xf numFmtId="0" fontId="13" fillId="0" borderId="26" xfId="7" applyFont="1" applyBorder="1" applyAlignment="1">
      <alignment horizontal="left" vertical="center" wrapText="1"/>
    </xf>
    <xf numFmtId="0" fontId="13" fillId="0" borderId="27" xfId="7" applyFont="1" applyBorder="1" applyAlignment="1">
      <alignment horizontal="left" vertical="center" wrapText="1"/>
    </xf>
    <xf numFmtId="0" fontId="13" fillId="0" borderId="26" xfId="7" applyFont="1" applyBorder="1" applyAlignment="1">
      <alignment vertical="center" wrapText="1"/>
    </xf>
    <xf numFmtId="0" fontId="13" fillId="0" borderId="27" xfId="7" applyFont="1" applyBorder="1" applyAlignment="1">
      <alignment vertical="center" wrapText="1"/>
    </xf>
    <xf numFmtId="0" fontId="13" fillId="0" borderId="28" xfId="8" applyFont="1" applyBorder="1" applyAlignment="1">
      <alignment vertical="center" wrapText="1"/>
    </xf>
    <xf numFmtId="0" fontId="13" fillId="0" borderId="29" xfId="7" applyFont="1" applyBorder="1" applyAlignment="1">
      <alignment vertical="center" wrapText="1"/>
    </xf>
    <xf numFmtId="177" fontId="13" fillId="0" borderId="23" xfId="8" applyNumberFormat="1" applyFont="1" applyBorder="1" applyAlignment="1">
      <alignment horizontal="center" vertical="center"/>
    </xf>
    <xf numFmtId="177" fontId="13" fillId="0" borderId="2" xfId="7" applyNumberFormat="1" applyFont="1" applyBorder="1" applyAlignment="1">
      <alignment horizontal="center" vertical="center"/>
    </xf>
    <xf numFmtId="177" fontId="13" fillId="0" borderId="9" xfId="7" applyNumberFormat="1" applyFont="1" applyBorder="1" applyAlignment="1">
      <alignment horizontal="center" vertical="center"/>
    </xf>
    <xf numFmtId="0" fontId="13" fillId="0" borderId="8" xfId="8" applyFont="1" applyBorder="1" applyAlignment="1">
      <alignment horizontal="left"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9" xfId="7" applyFont="1" applyBorder="1" applyAlignment="1">
      <alignment horizontal="left" vertical="center" wrapText="1"/>
    </xf>
    <xf numFmtId="0" fontId="13" fillId="0" borderId="2" xfId="7" applyFont="1" applyBorder="1" applyAlignment="1">
      <alignment vertical="center" wrapText="1"/>
    </xf>
    <xf numFmtId="0" fontId="13" fillId="0" borderId="9" xfId="7" applyFont="1" applyBorder="1" applyAlignment="1">
      <alignment vertical="center" wrapText="1"/>
    </xf>
    <xf numFmtId="0" fontId="13" fillId="0" borderId="8" xfId="8" applyFont="1" applyBorder="1" applyAlignment="1">
      <alignment vertical="center" wrapText="1"/>
    </xf>
    <xf numFmtId="0" fontId="13" fillId="0" borderId="24" xfId="7" applyFont="1" applyBorder="1" applyAlignment="1">
      <alignment vertical="center" wrapText="1"/>
    </xf>
    <xf numFmtId="0" fontId="13" fillId="0" borderId="8" xfId="8" applyFont="1" applyBorder="1" applyAlignment="1">
      <alignment horizontal="center" vertical="center" wrapText="1"/>
    </xf>
    <xf numFmtId="0" fontId="13" fillId="0" borderId="2" xfId="7" applyFont="1" applyBorder="1" applyAlignment="1">
      <alignment horizontal="center" vertical="center" wrapText="1"/>
    </xf>
    <xf numFmtId="0" fontId="13" fillId="0" borderId="9" xfId="7" applyFont="1" applyBorder="1" applyAlignment="1">
      <alignment horizontal="center" vertical="center" wrapText="1"/>
    </xf>
    <xf numFmtId="0" fontId="13" fillId="0" borderId="2" xfId="8" applyFont="1" applyBorder="1" applyAlignment="1">
      <alignment horizontal="left" vertical="center" wrapText="1"/>
    </xf>
    <xf numFmtId="0" fontId="13" fillId="0" borderId="9" xfId="8" applyFont="1" applyBorder="1" applyAlignment="1">
      <alignment horizontal="left" vertical="center" wrapText="1"/>
    </xf>
    <xf numFmtId="0" fontId="13" fillId="0" borderId="2" xfId="8" applyFont="1" applyBorder="1" applyAlignment="1">
      <alignment vertical="center" wrapText="1"/>
    </xf>
    <xf numFmtId="0" fontId="13" fillId="0" borderId="24" xfId="8" applyFont="1" applyBorder="1" applyAlignment="1">
      <alignment vertical="center" wrapText="1"/>
    </xf>
    <xf numFmtId="0" fontId="13" fillId="0" borderId="8" xfId="8" applyFont="1" applyBorder="1" applyAlignment="1">
      <alignment horizontal="left" vertical="center"/>
    </xf>
    <xf numFmtId="0" fontId="13" fillId="0" borderId="2" xfId="7" applyFont="1" applyBorder="1" applyAlignment="1">
      <alignment horizontal="left" vertical="center"/>
    </xf>
    <xf numFmtId="0" fontId="13" fillId="0" borderId="9" xfId="7" applyFont="1" applyBorder="1" applyAlignment="1">
      <alignment horizontal="left" vertical="center"/>
    </xf>
    <xf numFmtId="0" fontId="13" fillId="0" borderId="8" xfId="8" applyFont="1" applyBorder="1" applyAlignment="1">
      <alignment vertical="center"/>
    </xf>
    <xf numFmtId="0" fontId="13" fillId="0" borderId="2" xfId="7" applyFont="1" applyBorder="1" applyAlignment="1">
      <alignment vertical="center"/>
    </xf>
    <xf numFmtId="0" fontId="13" fillId="0" borderId="24" xfId="7" applyFont="1" applyBorder="1" applyAlignment="1">
      <alignment vertical="center"/>
    </xf>
    <xf numFmtId="0" fontId="12" fillId="3" borderId="11" xfId="6" applyFont="1" applyFill="1" applyBorder="1" applyAlignment="1">
      <alignment horizontal="center" vertical="center"/>
    </xf>
    <xf numFmtId="0" fontId="13" fillId="0" borderId="12" xfId="7" applyFont="1" applyBorder="1" applyAlignment="1">
      <alignment vertical="center"/>
    </xf>
    <xf numFmtId="0" fontId="13" fillId="0" borderId="13" xfId="7" applyFont="1" applyBorder="1" applyAlignment="1">
      <alignment vertical="center"/>
    </xf>
    <xf numFmtId="0" fontId="14" fillId="3" borderId="14" xfId="8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5" xfId="7" applyFont="1" applyBorder="1" applyAlignment="1">
      <alignment horizontal="center" vertical="center"/>
    </xf>
    <xf numFmtId="0" fontId="14" fillId="3" borderId="16" xfId="8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/>
    </xf>
    <xf numFmtId="0" fontId="14" fillId="3" borderId="15" xfId="8" applyFont="1" applyFill="1" applyBorder="1" applyAlignment="1">
      <alignment horizontal="center" vertical="center"/>
    </xf>
    <xf numFmtId="0" fontId="14" fillId="3" borderId="16" xfId="7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17" xfId="7" applyFont="1" applyBorder="1" applyAlignment="1">
      <alignment horizontal="center" vertical="center"/>
    </xf>
    <xf numFmtId="177" fontId="13" fillId="0" borderId="18" xfId="8" applyNumberFormat="1" applyFont="1" applyBorder="1" applyAlignment="1">
      <alignment horizontal="center" vertical="center"/>
    </xf>
    <xf numFmtId="177" fontId="13" fillId="0" borderId="19" xfId="7" applyNumberFormat="1" applyFont="1" applyBorder="1" applyAlignment="1">
      <alignment horizontal="center" vertical="center"/>
    </xf>
    <xf numFmtId="177" fontId="13" fillId="0" borderId="20" xfId="7" applyNumberFormat="1" applyFont="1" applyBorder="1" applyAlignment="1">
      <alignment horizontal="center" vertical="center"/>
    </xf>
    <xf numFmtId="0" fontId="13" fillId="0" borderId="21" xfId="8" applyFont="1" applyBorder="1" applyAlignment="1">
      <alignment horizontal="left" vertical="center" wrapText="1"/>
    </xf>
    <xf numFmtId="0" fontId="13" fillId="0" borderId="19" xfId="7" applyFont="1" applyBorder="1" applyAlignment="1">
      <alignment horizontal="left" vertical="center" wrapText="1"/>
    </xf>
    <xf numFmtId="0" fontId="13" fillId="0" borderId="20" xfId="7" applyFont="1" applyBorder="1" applyAlignment="1">
      <alignment horizontal="left" vertical="center" wrapText="1"/>
    </xf>
    <xf numFmtId="0" fontId="13" fillId="0" borderId="19" xfId="7" applyFont="1" applyBorder="1" applyAlignment="1">
      <alignment vertical="center" wrapText="1"/>
    </xf>
    <xf numFmtId="0" fontId="13" fillId="0" borderId="20" xfId="7" applyFont="1" applyBorder="1" applyAlignment="1">
      <alignment vertical="center" wrapText="1"/>
    </xf>
    <xf numFmtId="0" fontId="13" fillId="0" borderId="21" xfId="8" applyFont="1" applyBorder="1" applyAlignment="1">
      <alignment vertical="center" wrapText="1"/>
    </xf>
    <xf numFmtId="0" fontId="13" fillId="0" borderId="22" xfId="7" applyFont="1" applyBorder="1" applyAlignment="1">
      <alignment vertical="center" wrapText="1"/>
    </xf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1" fillId="3" borderId="8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17</v>
      </c>
      <c r="D2" s="7" t="s">
        <v>1</v>
      </c>
      <c r="E2" s="8" t="s">
        <v>94</v>
      </c>
      <c r="F2" s="7" t="s">
        <v>95</v>
      </c>
      <c r="G2" s="8" t="s">
        <v>16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18</v>
      </c>
      <c r="D3" s="7" t="s">
        <v>3</v>
      </c>
      <c r="E3" s="8" t="s">
        <v>31</v>
      </c>
      <c r="F3" s="7" t="s">
        <v>96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32</v>
      </c>
      <c r="F4" s="7" t="s">
        <v>5</v>
      </c>
      <c r="G4" s="8" t="s">
        <v>145</v>
      </c>
      <c r="I4" s="5"/>
      <c r="J4" s="4"/>
    </row>
    <row r="5" spans="1:13">
      <c r="A5" s="6" t="s">
        <v>9</v>
      </c>
      <c r="B5" s="12" t="s">
        <v>33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4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6" t="s">
        <v>110</v>
      </c>
      <c r="B1" s="46" t="s">
        <v>110</v>
      </c>
      <c r="C1" s="46"/>
      <c r="D1" s="1" t="s">
        <v>117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7" t="s">
        <v>110</v>
      </c>
      <c r="B2" s="22"/>
      <c r="C2" s="22"/>
      <c r="D2" s="59" t="s">
        <v>147</v>
      </c>
      <c r="E2" s="7" t="s">
        <v>0</v>
      </c>
      <c r="F2" s="48" t="str">
        <f>IF(LogicCommon!C2="","",LogicCommon!C2)</f>
        <v>MS</v>
      </c>
      <c r="G2" s="7" t="s">
        <v>1</v>
      </c>
      <c r="H2" s="48" t="str">
        <f>IF(LogicCommon!E2="","",LogicCommon!E2)</f>
        <v>MSBEL5030</v>
      </c>
      <c r="I2" s="7" t="s">
        <v>111</v>
      </c>
      <c r="J2" s="8" t="s">
        <v>106</v>
      </c>
      <c r="K2" s="7" t="s">
        <v>95</v>
      </c>
      <c r="L2" s="48" t="str">
        <f>IF(LogicCommon!G2="","",LogicCommon!G2)</f>
        <v>MC</v>
      </c>
      <c r="M2" s="5" t="s">
        <v>112</v>
      </c>
      <c r="N2" s="23" t="s">
        <v>146</v>
      </c>
      <c r="O2" s="7"/>
      <c r="P2" s="7"/>
      <c r="Q2" s="4"/>
      <c r="R2" s="5"/>
      <c r="S2" s="5"/>
      <c r="T2" s="5"/>
      <c r="U2" s="5"/>
    </row>
    <row r="3" spans="1:21" s="10" customFormat="1">
      <c r="A3" s="49" t="s">
        <v>110</v>
      </c>
      <c r="B3" s="50"/>
      <c r="C3" s="50"/>
      <c r="D3" s="51" t="str">
        <f>IF(LogicCommon!A3="","",LogicCommon!A3)</f>
        <v/>
      </c>
      <c r="E3" s="7" t="s">
        <v>2</v>
      </c>
      <c r="F3" s="48" t="str">
        <f>IF(LogicCommon!C3="","",LogicCommon!C3)</f>
        <v>MSBE</v>
      </c>
      <c r="G3" s="7" t="s">
        <v>3</v>
      </c>
      <c r="H3" s="48" t="str">
        <f>IF(LogicCommon!E3="","",LogicCommon!E3)</f>
        <v>MSBEL_StkMngService</v>
      </c>
      <c r="I3" s="7" t="s">
        <v>118</v>
      </c>
      <c r="J3" s="8" t="s">
        <v>30</v>
      </c>
      <c r="K3" s="7" t="s">
        <v>96</v>
      </c>
      <c r="L3" s="48" t="str">
        <f>IF(LogicCommon!G3="","",LogicCommon!G3)</f>
        <v/>
      </c>
      <c r="M3" s="52"/>
      <c r="N3" s="7"/>
      <c r="O3" s="7" t="s">
        <v>119</v>
      </c>
      <c r="P3" s="8" t="s">
        <v>120</v>
      </c>
      <c r="Q3" s="4"/>
      <c r="R3" s="5"/>
      <c r="S3" s="5"/>
      <c r="T3" s="5"/>
      <c r="U3" s="5"/>
    </row>
    <row r="4" spans="1:21" s="10" customFormat="1">
      <c r="A4" s="49" t="s">
        <v>110</v>
      </c>
      <c r="B4" s="50"/>
      <c r="C4" s="50"/>
      <c r="D4" s="4"/>
      <c r="E4" s="7" t="s">
        <v>19</v>
      </c>
      <c r="F4" s="53" t="s">
        <v>121</v>
      </c>
      <c r="G4" s="7" t="s">
        <v>4</v>
      </c>
      <c r="H4" s="48" t="str">
        <f>IF(LogicCommon!E4="","",LogicCommon!E4)</f>
        <v>在庫管理サービス</v>
      </c>
      <c r="I4" s="7" t="s">
        <v>122</v>
      </c>
      <c r="J4" s="8" t="s">
        <v>89</v>
      </c>
      <c r="K4" s="7" t="s">
        <v>5</v>
      </c>
      <c r="L4" s="48" t="str">
        <f>IF(LogicCommon!G4="","",LogicCommon!G4)</f>
        <v>MS.MSUDL5010</v>
      </c>
      <c r="M4" s="54" t="s">
        <v>114</v>
      </c>
      <c r="N4" s="23"/>
      <c r="O4" s="55"/>
      <c r="P4" s="4"/>
      <c r="Q4" s="4"/>
      <c r="R4" s="5"/>
      <c r="S4" s="5"/>
      <c r="T4" s="5"/>
      <c r="U4" s="5"/>
    </row>
    <row r="5" spans="1:21" s="10" customFormat="1">
      <c r="A5" s="56" t="s">
        <v>110</v>
      </c>
      <c r="B5" s="46"/>
      <c r="C5" s="46"/>
      <c r="D5" s="21"/>
      <c r="E5" s="7" t="s">
        <v>113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>
      <c r="A6" s="49" t="s">
        <v>110</v>
      </c>
      <c r="B6" s="50"/>
      <c r="C6" s="50"/>
      <c r="D6" s="4" t="s">
        <v>9</v>
      </c>
      <c r="E6" s="12" t="s">
        <v>33</v>
      </c>
      <c r="F6" s="12"/>
      <c r="G6" s="12"/>
      <c r="H6" s="12"/>
      <c r="I6" s="12"/>
      <c r="J6" s="12"/>
      <c r="K6" s="12"/>
      <c r="L6" s="58"/>
      <c r="M6" s="15" t="s">
        <v>116</v>
      </c>
      <c r="N6" s="15"/>
      <c r="O6" s="15" t="s">
        <v>116</v>
      </c>
      <c r="P6" s="15"/>
      <c r="Q6" s="15" t="s">
        <v>116</v>
      </c>
      <c r="R6" s="4"/>
      <c r="S6" s="4"/>
      <c r="T6" s="4"/>
      <c r="U6" s="4"/>
    </row>
    <row r="7" spans="1:21" s="10" customFormat="1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24</v>
      </c>
      <c r="M7" s="25"/>
      <c r="N7" s="24" t="s">
        <v>25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60"/>
      <c r="C8" s="61"/>
      <c r="D8" s="24" t="s">
        <v>148</v>
      </c>
      <c r="E8" s="24" t="s">
        <v>149</v>
      </c>
      <c r="F8" s="58"/>
      <c r="G8" s="24" t="s">
        <v>107</v>
      </c>
      <c r="H8" s="24" t="s">
        <v>150</v>
      </c>
      <c r="I8" s="58"/>
      <c r="J8" s="3"/>
      <c r="K8" s="8"/>
      <c r="L8" s="24" t="s">
        <v>26</v>
      </c>
      <c r="M8" s="25"/>
      <c r="N8" s="24" t="s">
        <v>108</v>
      </c>
      <c r="O8" s="25"/>
      <c r="P8" s="24" t="s">
        <v>109</v>
      </c>
      <c r="Q8" s="25"/>
      <c r="R8" s="3"/>
      <c r="S8" s="21"/>
      <c r="T8" s="119" t="s">
        <v>151</v>
      </c>
      <c r="U8" s="120"/>
    </row>
    <row r="9" spans="1:21" s="10" customFormat="1" ht="60" customHeight="1">
      <c r="A9" s="8" t="s">
        <v>20</v>
      </c>
      <c r="B9" s="28"/>
      <c r="C9" s="29"/>
      <c r="D9" s="24" t="s">
        <v>152</v>
      </c>
      <c r="E9" s="62" t="s">
        <v>153</v>
      </c>
      <c r="F9" s="24" t="s">
        <v>154</v>
      </c>
      <c r="G9" s="24" t="s">
        <v>155</v>
      </c>
      <c r="H9" s="24" t="s">
        <v>156</v>
      </c>
      <c r="I9" s="63" t="s">
        <v>157</v>
      </c>
      <c r="J9" s="24" t="s">
        <v>158</v>
      </c>
      <c r="K9" s="59"/>
      <c r="L9" s="63"/>
      <c r="M9" s="24"/>
      <c r="N9" s="24"/>
      <c r="O9" s="24"/>
      <c r="P9" s="24"/>
      <c r="Q9" s="24"/>
      <c r="R9" s="119" t="s">
        <v>159</v>
      </c>
      <c r="S9" s="120"/>
      <c r="T9" s="119" t="s">
        <v>160</v>
      </c>
      <c r="U9" s="120"/>
    </row>
    <row r="10" spans="1:21" s="10" customFormat="1" ht="39">
      <c r="A10" s="28" t="s">
        <v>27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157</v>
      </c>
      <c r="M10" s="24" t="s">
        <v>158</v>
      </c>
      <c r="N10" s="24" t="s">
        <v>157</v>
      </c>
      <c r="O10" s="24" t="s">
        <v>158</v>
      </c>
      <c r="P10" s="24" t="s">
        <v>157</v>
      </c>
      <c r="Q10" s="24" t="s">
        <v>158</v>
      </c>
      <c r="R10" s="30"/>
      <c r="S10" s="30"/>
      <c r="T10" s="35"/>
      <c r="U10" s="45"/>
    </row>
    <row r="11" spans="1:21" s="10" customFormat="1">
      <c r="A11" s="8">
        <v>10</v>
      </c>
      <c r="B11" s="28" t="s">
        <v>28</v>
      </c>
      <c r="C11" s="29"/>
      <c r="D11" s="23" t="s">
        <v>34</v>
      </c>
      <c r="E11" s="26" t="s">
        <v>29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1"/>
      <c r="U11" s="122"/>
    </row>
    <row r="12" spans="1:21" s="10" customFormat="1">
      <c r="A12" s="8">
        <v>10</v>
      </c>
      <c r="B12" s="8"/>
      <c r="C12" s="8"/>
      <c r="D12" s="8" t="s">
        <v>35</v>
      </c>
      <c r="E12" s="25" t="s">
        <v>63</v>
      </c>
      <c r="F12" s="25"/>
      <c r="G12" s="38" t="s">
        <v>161</v>
      </c>
      <c r="H12" s="38" t="s">
        <v>123</v>
      </c>
      <c r="I12" s="8" t="s">
        <v>124</v>
      </c>
      <c r="J12" s="8" t="s">
        <v>97</v>
      </c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>
      <c r="A13" s="8">
        <v>10</v>
      </c>
      <c r="B13" s="8"/>
      <c r="C13" s="8"/>
      <c r="D13" s="8" t="s">
        <v>36</v>
      </c>
      <c r="E13" s="25" t="s">
        <v>64</v>
      </c>
      <c r="F13" s="25"/>
      <c r="G13" s="38" t="s">
        <v>162</v>
      </c>
      <c r="H13" s="38" t="s">
        <v>125</v>
      </c>
      <c r="I13" s="8" t="s">
        <v>124</v>
      </c>
      <c r="J13" s="8" t="s">
        <v>97</v>
      </c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>
      <c r="A14" s="8">
        <v>10</v>
      </c>
      <c r="B14" s="8"/>
      <c r="C14" s="8"/>
      <c r="D14" s="8" t="s">
        <v>37</v>
      </c>
      <c r="E14" s="25" t="s">
        <v>65</v>
      </c>
      <c r="F14" s="25"/>
      <c r="G14" s="38" t="s">
        <v>163</v>
      </c>
      <c r="H14" s="38" t="s">
        <v>126</v>
      </c>
      <c r="I14" s="8" t="s">
        <v>124</v>
      </c>
      <c r="J14" s="8" t="s">
        <v>97</v>
      </c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>
      <c r="A15" s="8">
        <v>10</v>
      </c>
      <c r="B15" s="8"/>
      <c r="C15" s="8"/>
      <c r="D15" s="8" t="s">
        <v>38</v>
      </c>
      <c r="E15" s="25" t="s">
        <v>66</v>
      </c>
      <c r="F15" s="25"/>
      <c r="G15" s="38" t="s">
        <v>164</v>
      </c>
      <c r="H15" s="38" t="s">
        <v>127</v>
      </c>
      <c r="I15" s="8" t="s">
        <v>124</v>
      </c>
      <c r="J15" s="8" t="s">
        <v>97</v>
      </c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>
      <c r="A16" s="8">
        <v>10</v>
      </c>
      <c r="B16" s="8"/>
      <c r="C16" s="8"/>
      <c r="D16" s="8" t="s">
        <v>39</v>
      </c>
      <c r="E16" s="25" t="s">
        <v>67</v>
      </c>
      <c r="F16" s="25"/>
      <c r="G16" s="38" t="s">
        <v>165</v>
      </c>
      <c r="H16" s="38" t="s">
        <v>98</v>
      </c>
      <c r="I16" s="8" t="s">
        <v>124</v>
      </c>
      <c r="J16" s="8" t="s">
        <v>97</v>
      </c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>
      <c r="A17" s="8">
        <v>10</v>
      </c>
      <c r="B17" s="8"/>
      <c r="C17" s="8"/>
      <c r="D17" s="8" t="s">
        <v>40</v>
      </c>
      <c r="E17" s="25" t="s">
        <v>68</v>
      </c>
      <c r="F17" s="25"/>
      <c r="G17" s="38" t="s">
        <v>166</v>
      </c>
      <c r="H17" s="38" t="s">
        <v>128</v>
      </c>
      <c r="I17" s="8" t="s">
        <v>124</v>
      </c>
      <c r="J17" s="8" t="s">
        <v>97</v>
      </c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>
      <c r="A18" s="8">
        <v>10</v>
      </c>
      <c r="B18" s="8"/>
      <c r="C18" s="8"/>
      <c r="D18" s="8" t="s">
        <v>41</v>
      </c>
      <c r="E18" s="25" t="s">
        <v>69</v>
      </c>
      <c r="F18" s="25"/>
      <c r="G18" s="38" t="s">
        <v>167</v>
      </c>
      <c r="H18" s="38" t="s">
        <v>129</v>
      </c>
      <c r="I18" s="8" t="s">
        <v>124</v>
      </c>
      <c r="J18" s="8" t="s">
        <v>97</v>
      </c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>
      <c r="A19" s="8">
        <v>10</v>
      </c>
      <c r="B19" s="8"/>
      <c r="C19" s="8"/>
      <c r="D19" s="8" t="s">
        <v>42</v>
      </c>
      <c r="E19" s="25" t="s">
        <v>70</v>
      </c>
      <c r="F19" s="25"/>
      <c r="G19" s="38" t="s">
        <v>168</v>
      </c>
      <c r="H19" s="38" t="s">
        <v>130</v>
      </c>
      <c r="I19" s="8" t="s">
        <v>124</v>
      </c>
      <c r="J19" s="8" t="s">
        <v>97</v>
      </c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>
      <c r="A20" s="8">
        <v>10</v>
      </c>
      <c r="B20" s="8"/>
      <c r="C20" s="8"/>
      <c r="D20" s="8" t="s">
        <v>43</v>
      </c>
      <c r="E20" s="25" t="s">
        <v>71</v>
      </c>
      <c r="F20" s="25"/>
      <c r="G20" s="38" t="s">
        <v>169</v>
      </c>
      <c r="H20" s="38" t="s">
        <v>131</v>
      </c>
      <c r="I20" s="8" t="s">
        <v>124</v>
      </c>
      <c r="J20" s="8" t="s">
        <v>97</v>
      </c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>
      <c r="A21" s="8">
        <v>10</v>
      </c>
      <c r="B21" s="8"/>
      <c r="C21" s="8"/>
      <c r="D21" s="8" t="s">
        <v>44</v>
      </c>
      <c r="E21" s="25" t="s">
        <v>72</v>
      </c>
      <c r="F21" s="25"/>
      <c r="G21" s="38" t="s">
        <v>170</v>
      </c>
      <c r="H21" s="38" t="s">
        <v>132</v>
      </c>
      <c r="I21" s="8" t="s">
        <v>124</v>
      </c>
      <c r="J21" s="8" t="s">
        <v>97</v>
      </c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>
      <c r="A22" s="8">
        <v>10</v>
      </c>
      <c r="B22" s="8"/>
      <c r="C22" s="8"/>
      <c r="D22" s="8" t="s">
        <v>45</v>
      </c>
      <c r="E22" s="25" t="s">
        <v>73</v>
      </c>
      <c r="F22" s="25"/>
      <c r="G22" s="38" t="s">
        <v>171</v>
      </c>
      <c r="H22" s="38" t="s">
        <v>99</v>
      </c>
      <c r="I22" s="8" t="s">
        <v>124</v>
      </c>
      <c r="J22" s="8" t="s">
        <v>97</v>
      </c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>
      <c r="A23" s="8">
        <v>10</v>
      </c>
      <c r="B23" s="8"/>
      <c r="C23" s="8"/>
      <c r="D23" s="8" t="s">
        <v>46</v>
      </c>
      <c r="E23" s="25" t="s">
        <v>74</v>
      </c>
      <c r="F23" s="25"/>
      <c r="G23" s="38" t="s">
        <v>172</v>
      </c>
      <c r="H23" s="38" t="s">
        <v>133</v>
      </c>
      <c r="I23" s="8" t="s">
        <v>124</v>
      </c>
      <c r="J23" s="8" t="s">
        <v>97</v>
      </c>
      <c r="K23" s="8"/>
      <c r="L23" s="8"/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>
      <c r="A24" s="8">
        <v>10</v>
      </c>
      <c r="B24" s="8"/>
      <c r="C24" s="8"/>
      <c r="D24" s="8" t="s">
        <v>47</v>
      </c>
      <c r="E24" s="25" t="s">
        <v>75</v>
      </c>
      <c r="F24" s="25"/>
      <c r="G24" s="38" t="s">
        <v>173</v>
      </c>
      <c r="H24" s="38" t="s">
        <v>134</v>
      </c>
      <c r="I24" s="8" t="s">
        <v>124</v>
      </c>
      <c r="J24" s="8" t="s">
        <v>97</v>
      </c>
      <c r="K24" s="8"/>
      <c r="L24" s="8"/>
      <c r="M24" s="8"/>
      <c r="N24" s="8"/>
      <c r="O24" s="8"/>
      <c r="P24" s="8"/>
      <c r="Q24" s="8"/>
      <c r="R24" s="119"/>
      <c r="S24" s="120"/>
      <c r="T24" s="121"/>
      <c r="U24" s="122"/>
    </row>
    <row r="25" spans="1:21" s="10" customFormat="1">
      <c r="A25" s="8">
        <v>10</v>
      </c>
      <c r="B25" s="8"/>
      <c r="C25" s="8"/>
      <c r="D25" s="8" t="s">
        <v>48</v>
      </c>
      <c r="E25" s="25" t="s">
        <v>76</v>
      </c>
      <c r="F25" s="25"/>
      <c r="G25" s="38" t="s">
        <v>174</v>
      </c>
      <c r="H25" s="38" t="s">
        <v>135</v>
      </c>
      <c r="I25" s="8" t="s">
        <v>136</v>
      </c>
      <c r="J25" s="8" t="s">
        <v>97</v>
      </c>
      <c r="K25" s="8"/>
      <c r="L25" s="8"/>
      <c r="M25" s="8"/>
      <c r="N25" s="8"/>
      <c r="O25" s="8"/>
      <c r="P25" s="8"/>
      <c r="Q25" s="8"/>
      <c r="R25" s="119"/>
      <c r="S25" s="120"/>
      <c r="T25" s="121"/>
      <c r="U25" s="122"/>
    </row>
    <row r="26" spans="1:21" s="10" customFormat="1">
      <c r="A26" s="8">
        <v>10</v>
      </c>
      <c r="B26" s="8"/>
      <c r="C26" s="8"/>
      <c r="D26" s="8" t="s">
        <v>49</v>
      </c>
      <c r="E26" s="25" t="s">
        <v>77</v>
      </c>
      <c r="F26" s="25"/>
      <c r="G26" s="38" t="s">
        <v>175</v>
      </c>
      <c r="H26" s="38" t="s">
        <v>137</v>
      </c>
      <c r="I26" s="8" t="s">
        <v>124</v>
      </c>
      <c r="J26" s="8" t="s">
        <v>97</v>
      </c>
      <c r="K26" s="8"/>
      <c r="L26" s="8"/>
      <c r="M26" s="8"/>
      <c r="N26" s="8"/>
      <c r="O26" s="8"/>
      <c r="P26" s="8"/>
      <c r="Q26" s="8"/>
      <c r="R26" s="119"/>
      <c r="S26" s="120"/>
      <c r="T26" s="121"/>
      <c r="U26" s="122"/>
    </row>
    <row r="27" spans="1:21" s="10" customFormat="1">
      <c r="A27" s="8">
        <v>10</v>
      </c>
      <c r="B27" s="8"/>
      <c r="C27" s="8"/>
      <c r="D27" s="8" t="s">
        <v>50</v>
      </c>
      <c r="E27" s="25" t="s">
        <v>78</v>
      </c>
      <c r="F27" s="25"/>
      <c r="G27" s="38" t="s">
        <v>176</v>
      </c>
      <c r="H27" s="38" t="s">
        <v>138</v>
      </c>
      <c r="I27" s="8" t="s">
        <v>124</v>
      </c>
      <c r="J27" s="8" t="s">
        <v>97</v>
      </c>
      <c r="K27" s="8"/>
      <c r="L27" s="8"/>
      <c r="M27" s="8"/>
      <c r="N27" s="8"/>
      <c r="O27" s="8"/>
      <c r="P27" s="8"/>
      <c r="Q27" s="8"/>
      <c r="R27" s="119"/>
      <c r="S27" s="120"/>
      <c r="T27" s="121"/>
      <c r="U27" s="122"/>
    </row>
    <row r="28" spans="1:21" s="10" customFormat="1">
      <c r="A28" s="8">
        <v>10</v>
      </c>
      <c r="B28" s="8"/>
      <c r="C28" s="8"/>
      <c r="D28" s="8" t="s">
        <v>51</v>
      </c>
      <c r="E28" s="25" t="s">
        <v>79</v>
      </c>
      <c r="F28" s="25"/>
      <c r="G28" s="38" t="s">
        <v>177</v>
      </c>
      <c r="H28" s="38" t="s">
        <v>100</v>
      </c>
      <c r="I28" s="8" t="s">
        <v>124</v>
      </c>
      <c r="J28" s="8" t="s">
        <v>97</v>
      </c>
      <c r="K28" s="8"/>
      <c r="L28" s="8"/>
      <c r="M28" s="8"/>
      <c r="N28" s="8"/>
      <c r="O28" s="8"/>
      <c r="P28" s="8"/>
      <c r="Q28" s="8"/>
      <c r="R28" s="119"/>
      <c r="S28" s="120"/>
      <c r="T28" s="121"/>
      <c r="U28" s="122"/>
    </row>
    <row r="29" spans="1:21" s="10" customFormat="1">
      <c r="A29" s="8">
        <v>10</v>
      </c>
      <c r="B29" s="8"/>
      <c r="C29" s="8"/>
      <c r="D29" s="8" t="s">
        <v>52</v>
      </c>
      <c r="E29" s="25" t="s">
        <v>80</v>
      </c>
      <c r="F29" s="25"/>
      <c r="G29" s="38" t="s">
        <v>178</v>
      </c>
      <c r="H29" s="38" t="s">
        <v>139</v>
      </c>
      <c r="I29" s="8" t="s">
        <v>124</v>
      </c>
      <c r="J29" s="8" t="s">
        <v>97</v>
      </c>
      <c r="K29" s="8"/>
      <c r="L29" s="8"/>
      <c r="M29" s="8"/>
      <c r="N29" s="8"/>
      <c r="O29" s="8"/>
      <c r="P29" s="8"/>
      <c r="Q29" s="8"/>
      <c r="R29" s="119"/>
      <c r="S29" s="120"/>
      <c r="T29" s="121"/>
      <c r="U29" s="122"/>
    </row>
    <row r="30" spans="1:21" s="10" customFormat="1">
      <c r="A30" s="8">
        <v>10</v>
      </c>
      <c r="B30" s="8"/>
      <c r="C30" s="8"/>
      <c r="D30" s="8" t="s">
        <v>53</v>
      </c>
      <c r="E30" s="25" t="s">
        <v>81</v>
      </c>
      <c r="F30" s="25"/>
      <c r="G30" s="38" t="s">
        <v>179</v>
      </c>
      <c r="H30" s="38" t="s">
        <v>140</v>
      </c>
      <c r="I30" s="8" t="s">
        <v>124</v>
      </c>
      <c r="J30" s="8" t="s">
        <v>97</v>
      </c>
      <c r="K30" s="8"/>
      <c r="L30" s="8"/>
      <c r="M30" s="8"/>
      <c r="N30" s="8"/>
      <c r="O30" s="8"/>
      <c r="P30" s="8"/>
      <c r="Q30" s="8"/>
      <c r="R30" s="119"/>
      <c r="S30" s="120"/>
      <c r="T30" s="121"/>
      <c r="U30" s="122"/>
    </row>
    <row r="31" spans="1:21" s="10" customFormat="1">
      <c r="A31" s="8">
        <v>10</v>
      </c>
      <c r="B31" s="8"/>
      <c r="C31" s="8"/>
      <c r="D31" s="8" t="s">
        <v>54</v>
      </c>
      <c r="E31" s="25" t="s">
        <v>82</v>
      </c>
      <c r="F31" s="25"/>
      <c r="G31" s="38" t="s">
        <v>180</v>
      </c>
      <c r="H31" s="38" t="s">
        <v>101</v>
      </c>
      <c r="I31" s="8" t="s">
        <v>124</v>
      </c>
      <c r="J31" s="8" t="s">
        <v>97</v>
      </c>
      <c r="K31" s="8"/>
      <c r="L31" s="8"/>
      <c r="M31" s="8"/>
      <c r="N31" s="8"/>
      <c r="O31" s="8"/>
      <c r="P31" s="8"/>
      <c r="Q31" s="8"/>
      <c r="R31" s="119"/>
      <c r="S31" s="120"/>
      <c r="T31" s="121"/>
      <c r="U31" s="122"/>
    </row>
    <row r="32" spans="1:21" s="10" customFormat="1">
      <c r="A32" s="8">
        <v>10</v>
      </c>
      <c r="B32" s="8"/>
      <c r="C32" s="8"/>
      <c r="D32" s="8" t="s">
        <v>55</v>
      </c>
      <c r="E32" s="25" t="s">
        <v>83</v>
      </c>
      <c r="F32" s="25"/>
      <c r="G32" s="38" t="s">
        <v>181</v>
      </c>
      <c r="H32" s="38" t="s">
        <v>141</v>
      </c>
      <c r="I32" s="8" t="s">
        <v>124</v>
      </c>
      <c r="J32" s="8" t="s">
        <v>97</v>
      </c>
      <c r="K32" s="8"/>
      <c r="L32" s="8"/>
      <c r="M32" s="8"/>
      <c r="N32" s="8"/>
      <c r="O32" s="8"/>
      <c r="P32" s="8"/>
      <c r="Q32" s="8"/>
      <c r="R32" s="119"/>
      <c r="S32" s="120"/>
      <c r="T32" s="121"/>
      <c r="U32" s="122"/>
    </row>
    <row r="33" spans="1:21" s="10" customFormat="1">
      <c r="A33" s="8">
        <v>10</v>
      </c>
      <c r="B33" s="8"/>
      <c r="C33" s="8"/>
      <c r="D33" s="8" t="s">
        <v>56</v>
      </c>
      <c r="E33" s="25" t="s">
        <v>84</v>
      </c>
      <c r="F33" s="25"/>
      <c r="G33" s="38" t="s">
        <v>182</v>
      </c>
      <c r="H33" s="38" t="s">
        <v>142</v>
      </c>
      <c r="I33" s="8" t="s">
        <v>124</v>
      </c>
      <c r="J33" s="8" t="s">
        <v>97</v>
      </c>
      <c r="K33" s="8"/>
      <c r="L33" s="8"/>
      <c r="M33" s="8"/>
      <c r="N33" s="8"/>
      <c r="O33" s="8"/>
      <c r="P33" s="8"/>
      <c r="Q33" s="8"/>
      <c r="R33" s="119"/>
      <c r="S33" s="120"/>
      <c r="T33" s="121"/>
      <c r="U33" s="122"/>
    </row>
    <row r="34" spans="1:21" s="10" customFormat="1">
      <c r="A34" s="8">
        <v>10</v>
      </c>
      <c r="B34" s="8"/>
      <c r="C34" s="8"/>
      <c r="D34" s="8" t="s">
        <v>57</v>
      </c>
      <c r="E34" s="25" t="s">
        <v>85</v>
      </c>
      <c r="F34" s="25"/>
      <c r="G34" s="38" t="s">
        <v>183</v>
      </c>
      <c r="H34" s="38" t="s">
        <v>102</v>
      </c>
      <c r="I34" s="8" t="s">
        <v>124</v>
      </c>
      <c r="J34" s="8" t="s">
        <v>97</v>
      </c>
      <c r="K34" s="8"/>
      <c r="L34" s="8"/>
      <c r="M34" s="8"/>
      <c r="N34" s="8"/>
      <c r="O34" s="8"/>
      <c r="P34" s="8"/>
      <c r="Q34" s="8"/>
      <c r="R34" s="119"/>
      <c r="S34" s="120"/>
      <c r="T34" s="121"/>
      <c r="U34" s="122"/>
    </row>
    <row r="35" spans="1:21" s="10" customFormat="1">
      <c r="A35" s="8">
        <v>10</v>
      </c>
      <c r="B35" s="8"/>
      <c r="C35" s="8"/>
      <c r="D35" s="8" t="s">
        <v>58</v>
      </c>
      <c r="E35" s="25" t="s">
        <v>86</v>
      </c>
      <c r="F35" s="25"/>
      <c r="G35" s="38" t="s">
        <v>184</v>
      </c>
      <c r="H35" s="38" t="s">
        <v>103</v>
      </c>
      <c r="I35" s="8" t="s">
        <v>124</v>
      </c>
      <c r="J35" s="8" t="s">
        <v>97</v>
      </c>
      <c r="K35" s="8"/>
      <c r="L35" s="8"/>
      <c r="M35" s="8"/>
      <c r="N35" s="8"/>
      <c r="O35" s="8"/>
      <c r="P35" s="8"/>
      <c r="Q35" s="8"/>
      <c r="R35" s="119"/>
      <c r="S35" s="120"/>
      <c r="T35" s="121"/>
      <c r="U35" s="122"/>
    </row>
    <row r="36" spans="1:21" s="10" customFormat="1">
      <c r="A36" s="8">
        <v>10</v>
      </c>
      <c r="B36" s="8"/>
      <c r="C36" s="8"/>
      <c r="D36" s="8" t="s">
        <v>59</v>
      </c>
      <c r="E36" s="25" t="s">
        <v>71</v>
      </c>
      <c r="F36" s="25"/>
      <c r="G36" s="38" t="s">
        <v>185</v>
      </c>
      <c r="H36" s="38" t="s">
        <v>104</v>
      </c>
      <c r="I36" s="8" t="s">
        <v>124</v>
      </c>
      <c r="J36" s="8" t="s">
        <v>97</v>
      </c>
      <c r="K36" s="8"/>
      <c r="L36" s="8"/>
      <c r="M36" s="8"/>
      <c r="N36" s="8"/>
      <c r="O36" s="8"/>
      <c r="P36" s="8"/>
      <c r="Q36" s="8"/>
      <c r="R36" s="119"/>
      <c r="S36" s="120"/>
      <c r="T36" s="121"/>
      <c r="U36" s="122"/>
    </row>
    <row r="37" spans="1:21" s="10" customFormat="1">
      <c r="A37" s="8">
        <v>10</v>
      </c>
      <c r="B37" s="8"/>
      <c r="C37" s="8"/>
      <c r="D37" s="8" t="s">
        <v>60</v>
      </c>
      <c r="E37" s="25" t="s">
        <v>87</v>
      </c>
      <c r="F37" s="25"/>
      <c r="G37" s="38" t="s">
        <v>186</v>
      </c>
      <c r="H37" s="38" t="s">
        <v>105</v>
      </c>
      <c r="I37" s="8" t="s">
        <v>124</v>
      </c>
      <c r="J37" s="8" t="s">
        <v>97</v>
      </c>
      <c r="K37" s="8"/>
      <c r="L37" s="8"/>
      <c r="M37" s="8"/>
      <c r="N37" s="8"/>
      <c r="O37" s="8"/>
      <c r="P37" s="8"/>
      <c r="Q37" s="8"/>
      <c r="R37" s="119"/>
      <c r="S37" s="120"/>
      <c r="T37" s="121"/>
      <c r="U37" s="122"/>
    </row>
    <row r="38" spans="1:21" s="10" customFormat="1">
      <c r="A38" s="8">
        <v>10</v>
      </c>
      <c r="B38" s="8"/>
      <c r="C38" s="8"/>
      <c r="D38" s="8" t="s">
        <v>61</v>
      </c>
      <c r="E38" s="25" t="s">
        <v>87</v>
      </c>
      <c r="F38" s="25"/>
      <c r="G38" s="38" t="s">
        <v>187</v>
      </c>
      <c r="H38" s="38" t="s">
        <v>143</v>
      </c>
      <c r="I38" s="8" t="s">
        <v>124</v>
      </c>
      <c r="J38" s="8" t="s">
        <v>97</v>
      </c>
      <c r="K38" s="8"/>
      <c r="L38" s="8"/>
      <c r="M38" s="8"/>
      <c r="N38" s="8"/>
      <c r="O38" s="8"/>
      <c r="P38" s="8"/>
      <c r="Q38" s="8"/>
      <c r="R38" s="119"/>
      <c r="S38" s="120"/>
      <c r="T38" s="121"/>
      <c r="U38" s="122"/>
    </row>
    <row r="39" spans="1:21" s="10" customFormat="1" ht="26">
      <c r="A39" s="8">
        <v>10</v>
      </c>
      <c r="B39" s="8"/>
      <c r="C39" s="8"/>
      <c r="D39" s="8" t="s">
        <v>62</v>
      </c>
      <c r="E39" s="25" t="s">
        <v>88</v>
      </c>
      <c r="F39" s="25"/>
      <c r="G39" s="38" t="s">
        <v>188</v>
      </c>
      <c r="H39" s="38" t="s">
        <v>144</v>
      </c>
      <c r="I39" s="8" t="s">
        <v>124</v>
      </c>
      <c r="J39" s="8" t="s">
        <v>97</v>
      </c>
      <c r="K39" s="8"/>
      <c r="L39" s="8"/>
      <c r="M39" s="8"/>
      <c r="N39" s="8"/>
      <c r="O39" s="8"/>
      <c r="P39" s="8"/>
      <c r="Q39" s="8"/>
      <c r="R39" s="119"/>
      <c r="S39" s="120"/>
      <c r="T39" s="121"/>
      <c r="U39" s="122"/>
    </row>
    <row r="40" spans="1:21" s="10" customFormat="1">
      <c r="A40" s="56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39"/>
    </row>
  </sheetData>
  <mergeCells count="60">
    <mergeCell ref="R38:S38"/>
    <mergeCell ref="T38:U38"/>
    <mergeCell ref="R39:S39"/>
    <mergeCell ref="T39:U39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23:S23"/>
    <mergeCell ref="T23:U23"/>
    <mergeCell ref="R19:S19"/>
    <mergeCell ref="T19:U19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6" t="s">
        <v>110</v>
      </c>
      <c r="B1" s="46" t="s">
        <v>110</v>
      </c>
      <c r="C1" s="46"/>
      <c r="D1" s="1" t="s">
        <v>117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7" t="s">
        <v>110</v>
      </c>
      <c r="B2" s="22"/>
      <c r="C2" s="22"/>
      <c r="D2" s="59" t="s">
        <v>147</v>
      </c>
      <c r="E2" s="7" t="s">
        <v>0</v>
      </c>
      <c r="F2" s="48" t="str">
        <f>IF(LogicCommon!C2="","",LogicCommon!C2)</f>
        <v>MS</v>
      </c>
      <c r="G2" s="7" t="s">
        <v>1</v>
      </c>
      <c r="H2" s="48" t="str">
        <f>IF(LogicCommon!E2="","",LogicCommon!E2)</f>
        <v>MSBEL5030</v>
      </c>
      <c r="I2" s="7" t="s">
        <v>111</v>
      </c>
      <c r="J2" s="8" t="s">
        <v>90</v>
      </c>
      <c r="K2" s="7" t="s">
        <v>95</v>
      </c>
      <c r="L2" s="48" t="str">
        <f>IF(LogicCommon!G2="","",LogicCommon!G2)</f>
        <v>MC</v>
      </c>
      <c r="M2" s="5" t="s">
        <v>112</v>
      </c>
      <c r="N2" s="23" t="s">
        <v>146</v>
      </c>
      <c r="O2" s="7"/>
      <c r="P2" s="7"/>
      <c r="Q2" s="4"/>
      <c r="R2" s="5"/>
      <c r="S2" s="5"/>
      <c r="T2" s="5"/>
      <c r="U2" s="5"/>
    </row>
    <row r="3" spans="1:21" s="10" customFormat="1">
      <c r="A3" s="49" t="s">
        <v>110</v>
      </c>
      <c r="B3" s="50"/>
      <c r="C3" s="50"/>
      <c r="D3" s="51" t="str">
        <f>IF(LogicCommon!A3="","",LogicCommon!A3)</f>
        <v/>
      </c>
      <c r="E3" s="7" t="s">
        <v>2</v>
      </c>
      <c r="F3" s="48" t="str">
        <f>IF(LogicCommon!C3="","",LogicCommon!C3)</f>
        <v>MSBE</v>
      </c>
      <c r="G3" s="7" t="s">
        <v>3</v>
      </c>
      <c r="H3" s="48" t="str">
        <f>IF(LogicCommon!E3="","",LogicCommon!E3)</f>
        <v>MSBEL_StkMngService</v>
      </c>
      <c r="I3" s="7" t="s">
        <v>118</v>
      </c>
      <c r="J3" s="8" t="s">
        <v>30</v>
      </c>
      <c r="K3" s="7" t="s">
        <v>96</v>
      </c>
      <c r="L3" s="48" t="str">
        <f>IF(LogicCommon!G3="","",LogicCommon!G3)</f>
        <v/>
      </c>
      <c r="M3" s="52"/>
      <c r="N3" s="7"/>
      <c r="O3" s="7" t="s">
        <v>119</v>
      </c>
      <c r="P3" s="8" t="s">
        <v>120</v>
      </c>
      <c r="Q3" s="4"/>
      <c r="R3" s="5"/>
      <c r="S3" s="5"/>
      <c r="T3" s="5"/>
      <c r="U3" s="5"/>
    </row>
    <row r="4" spans="1:21" s="10" customFormat="1">
      <c r="A4" s="49" t="s">
        <v>110</v>
      </c>
      <c r="B4" s="50"/>
      <c r="C4" s="50"/>
      <c r="D4" s="4"/>
      <c r="E4" s="7" t="s">
        <v>19</v>
      </c>
      <c r="F4" s="53" t="s">
        <v>121</v>
      </c>
      <c r="G4" s="7" t="s">
        <v>4</v>
      </c>
      <c r="H4" s="48" t="str">
        <f>IF(LogicCommon!E4="","",LogicCommon!E4)</f>
        <v>在庫管理サービス</v>
      </c>
      <c r="I4" s="7" t="s">
        <v>122</v>
      </c>
      <c r="J4" s="8" t="s">
        <v>91</v>
      </c>
      <c r="K4" s="7" t="s">
        <v>5</v>
      </c>
      <c r="L4" s="48" t="str">
        <f>IF(LogicCommon!G4="","",LogicCommon!G4)</f>
        <v>MS.MSUDL5010</v>
      </c>
      <c r="M4" s="54" t="s">
        <v>114</v>
      </c>
      <c r="N4" s="23"/>
      <c r="O4" s="55"/>
      <c r="P4" s="4"/>
      <c r="Q4" s="4"/>
      <c r="R4" s="5"/>
      <c r="S4" s="5"/>
      <c r="T4" s="5"/>
      <c r="U4" s="5"/>
    </row>
    <row r="5" spans="1:21" s="10" customFormat="1">
      <c r="A5" s="56" t="s">
        <v>110</v>
      </c>
      <c r="B5" s="46"/>
      <c r="C5" s="46"/>
      <c r="D5" s="21"/>
      <c r="E5" s="7" t="s">
        <v>113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>
      <c r="A6" s="49" t="s">
        <v>110</v>
      </c>
      <c r="B6" s="50"/>
      <c r="C6" s="50"/>
      <c r="D6" s="4" t="s">
        <v>9</v>
      </c>
      <c r="E6" s="12" t="s">
        <v>93</v>
      </c>
      <c r="F6" s="12"/>
      <c r="G6" s="12"/>
      <c r="H6" s="12"/>
      <c r="I6" s="12"/>
      <c r="J6" s="12"/>
      <c r="K6" s="12"/>
      <c r="L6" s="58"/>
      <c r="M6" s="15" t="s">
        <v>116</v>
      </c>
      <c r="N6" s="15"/>
      <c r="O6" s="15" t="s">
        <v>116</v>
      </c>
      <c r="P6" s="15"/>
      <c r="Q6" s="15" t="s">
        <v>116</v>
      </c>
      <c r="R6" s="4"/>
      <c r="S6" s="4"/>
      <c r="T6" s="4"/>
      <c r="U6" s="4"/>
    </row>
    <row r="7" spans="1:21" s="10" customFormat="1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24</v>
      </c>
      <c r="M7" s="25"/>
      <c r="N7" s="24" t="s">
        <v>24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60"/>
      <c r="C8" s="61"/>
      <c r="D8" s="24" t="s">
        <v>148</v>
      </c>
      <c r="E8" s="24" t="s">
        <v>149</v>
      </c>
      <c r="F8" s="58"/>
      <c r="G8" s="24" t="s">
        <v>107</v>
      </c>
      <c r="H8" s="24" t="s">
        <v>150</v>
      </c>
      <c r="I8" s="58"/>
      <c r="J8" s="3"/>
      <c r="K8" s="8"/>
      <c r="L8" s="24" t="s">
        <v>26</v>
      </c>
      <c r="M8" s="25"/>
      <c r="N8" s="24" t="s">
        <v>109</v>
      </c>
      <c r="O8" s="25"/>
      <c r="P8" s="24" t="s">
        <v>115</v>
      </c>
      <c r="Q8" s="25"/>
      <c r="R8" s="3"/>
      <c r="S8" s="21"/>
      <c r="T8" s="119" t="s">
        <v>151</v>
      </c>
      <c r="U8" s="120"/>
    </row>
    <row r="9" spans="1:21" s="10" customFormat="1" ht="60" customHeight="1">
      <c r="A9" s="8" t="s">
        <v>20</v>
      </c>
      <c r="B9" s="28"/>
      <c r="C9" s="29"/>
      <c r="D9" s="24" t="s">
        <v>152</v>
      </c>
      <c r="E9" s="62" t="s">
        <v>153</v>
      </c>
      <c r="F9" s="24" t="s">
        <v>154</v>
      </c>
      <c r="G9" s="24" t="s">
        <v>155</v>
      </c>
      <c r="H9" s="24" t="s">
        <v>156</v>
      </c>
      <c r="I9" s="63" t="s">
        <v>157</v>
      </c>
      <c r="J9" s="24" t="s">
        <v>158</v>
      </c>
      <c r="K9" s="59"/>
      <c r="L9" s="63"/>
      <c r="M9" s="24"/>
      <c r="N9" s="24"/>
      <c r="O9" s="24"/>
      <c r="P9" s="24"/>
      <c r="Q9" s="24"/>
      <c r="R9" s="119" t="s">
        <v>159</v>
      </c>
      <c r="S9" s="120"/>
      <c r="T9" s="119" t="s">
        <v>160</v>
      </c>
      <c r="U9" s="120"/>
    </row>
    <row r="10" spans="1:21" s="10" customFormat="1" ht="39">
      <c r="A10" s="28" t="s">
        <v>27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157</v>
      </c>
      <c r="M10" s="24" t="s">
        <v>158</v>
      </c>
      <c r="N10" s="24" t="s">
        <v>157</v>
      </c>
      <c r="O10" s="24" t="s">
        <v>158</v>
      </c>
      <c r="P10" s="24" t="s">
        <v>157</v>
      </c>
      <c r="Q10" s="24" t="s">
        <v>158</v>
      </c>
      <c r="R10" s="30"/>
      <c r="S10" s="30"/>
      <c r="T10" s="35"/>
      <c r="U10" s="45"/>
    </row>
    <row r="11" spans="1:21" s="10" customFormat="1">
      <c r="A11" s="8">
        <v>10</v>
      </c>
      <c r="B11" s="28" t="s">
        <v>28</v>
      </c>
      <c r="C11" s="29"/>
      <c r="D11" s="23" t="s">
        <v>92</v>
      </c>
      <c r="E11" s="26" t="s">
        <v>8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1"/>
      <c r="U11" s="122"/>
    </row>
    <row r="12" spans="1:21" s="10" customFormat="1">
      <c r="A12" s="8">
        <v>10</v>
      </c>
      <c r="B12" s="8"/>
      <c r="C12" s="8"/>
      <c r="D12" s="8" t="s">
        <v>35</v>
      </c>
      <c r="E12" s="25" t="s">
        <v>63</v>
      </c>
      <c r="F12" s="25"/>
      <c r="G12" s="38" t="s">
        <v>161</v>
      </c>
      <c r="H12" s="38" t="s">
        <v>123</v>
      </c>
      <c r="I12" s="8" t="s">
        <v>124</v>
      </c>
      <c r="J12" s="8" t="s">
        <v>97</v>
      </c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>
      <c r="A13" s="56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39"/>
    </row>
  </sheetData>
  <mergeCells count="6"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3" customWidth="1"/>
    <col min="43" max="44" width="2.08984375" style="44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s="40" customFormat="1" ht="38.25" customHeight="1" thickBot="1">
      <c r="A1" s="97" t="s">
        <v>10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s="40" customFormat="1" ht="12" customHeight="1" thickBo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2"/>
      <c r="AR2" s="42"/>
    </row>
    <row r="3" spans="1:57" ht="15" customHeight="1" thickBot="1">
      <c r="A3" s="100" t="s">
        <v>11</v>
      </c>
      <c r="B3" s="101"/>
      <c r="C3" s="101"/>
      <c r="D3" s="101"/>
      <c r="E3" s="101"/>
      <c r="F3" s="101"/>
      <c r="G3" s="102"/>
      <c r="H3" s="103" t="s">
        <v>12</v>
      </c>
      <c r="I3" s="101"/>
      <c r="J3" s="101"/>
      <c r="K3" s="101"/>
      <c r="L3" s="101"/>
      <c r="M3" s="101"/>
      <c r="N3" s="102"/>
      <c r="O3" s="103" t="s">
        <v>13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6" t="s">
        <v>14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>
      <c r="A4" s="109">
        <v>1</v>
      </c>
      <c r="B4" s="110"/>
      <c r="C4" s="110"/>
      <c r="D4" s="110"/>
      <c r="E4" s="110"/>
      <c r="F4" s="110"/>
      <c r="G4" s="111"/>
      <c r="H4" s="112"/>
      <c r="I4" s="113"/>
      <c r="J4" s="113"/>
      <c r="K4" s="113"/>
      <c r="L4" s="113"/>
      <c r="M4" s="113"/>
      <c r="N4" s="114"/>
      <c r="O4" s="112" t="s">
        <v>15</v>
      </c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/>
      <c r="AQ4" s="117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8"/>
    </row>
    <row r="5" spans="1:57" ht="15" customHeight="1">
      <c r="A5" s="74">
        <v>1.1000000000000001</v>
      </c>
      <c r="B5" s="75"/>
      <c r="C5" s="75"/>
      <c r="D5" s="75"/>
      <c r="E5" s="75"/>
      <c r="F5" s="75"/>
      <c r="G5" s="76"/>
      <c r="H5" s="77"/>
      <c r="I5" s="78"/>
      <c r="J5" s="78"/>
      <c r="K5" s="78"/>
      <c r="L5" s="78"/>
      <c r="M5" s="78"/>
      <c r="N5" s="79"/>
      <c r="O5" s="91" t="s">
        <v>189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190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>
      <c r="A6" s="74"/>
      <c r="B6" s="75"/>
      <c r="C6" s="75"/>
      <c r="D6" s="75"/>
      <c r="E6" s="75"/>
      <c r="F6" s="75"/>
      <c r="G6" s="76"/>
      <c r="H6" s="84"/>
      <c r="I6" s="85"/>
      <c r="J6" s="85"/>
      <c r="K6" s="85"/>
      <c r="L6" s="85"/>
      <c r="M6" s="85"/>
      <c r="N6" s="86"/>
      <c r="O6" s="77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>
      <c r="A7" s="74"/>
      <c r="B7" s="75"/>
      <c r="C7" s="75"/>
      <c r="D7" s="75"/>
      <c r="E7" s="75"/>
      <c r="F7" s="75"/>
      <c r="G7" s="76"/>
      <c r="H7" s="84"/>
      <c r="I7" s="85"/>
      <c r="J7" s="85"/>
      <c r="K7" s="85"/>
      <c r="L7" s="85"/>
      <c r="M7" s="85"/>
      <c r="N7" s="86"/>
      <c r="O7" s="7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8"/>
      <c r="AQ7" s="82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90"/>
    </row>
    <row r="8" spans="1:57" ht="15" customHeight="1">
      <c r="A8" s="74"/>
      <c r="B8" s="75"/>
      <c r="C8" s="75"/>
      <c r="D8" s="75"/>
      <c r="E8" s="75"/>
      <c r="F8" s="75"/>
      <c r="G8" s="76"/>
      <c r="H8" s="77"/>
      <c r="I8" s="78"/>
      <c r="J8" s="78"/>
      <c r="K8" s="78"/>
      <c r="L8" s="78"/>
      <c r="M8" s="78"/>
      <c r="N8" s="79"/>
      <c r="O8" s="77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>
      <c r="A9" s="74"/>
      <c r="B9" s="75"/>
      <c r="C9" s="75"/>
      <c r="D9" s="75"/>
      <c r="E9" s="75"/>
      <c r="F9" s="75"/>
      <c r="G9" s="76"/>
      <c r="H9" s="77"/>
      <c r="I9" s="78"/>
      <c r="J9" s="78"/>
      <c r="K9" s="78"/>
      <c r="L9" s="78"/>
      <c r="M9" s="78"/>
      <c r="N9" s="79"/>
      <c r="O9" s="77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>
      <c r="A10" s="74"/>
      <c r="B10" s="75"/>
      <c r="C10" s="75"/>
      <c r="D10" s="75"/>
      <c r="E10" s="75"/>
      <c r="F10" s="75"/>
      <c r="G10" s="76"/>
      <c r="H10" s="77"/>
      <c r="I10" s="78"/>
      <c r="J10" s="78"/>
      <c r="K10" s="78"/>
      <c r="L10" s="78"/>
      <c r="M10" s="78"/>
      <c r="N10" s="79"/>
      <c r="O10" s="77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>
      <c r="A11" s="74"/>
      <c r="B11" s="75"/>
      <c r="C11" s="75"/>
      <c r="D11" s="75"/>
      <c r="E11" s="75"/>
      <c r="F11" s="75"/>
      <c r="G11" s="76"/>
      <c r="H11" s="77"/>
      <c r="I11" s="78"/>
      <c r="J11" s="78"/>
      <c r="K11" s="78"/>
      <c r="L11" s="78"/>
      <c r="M11" s="78"/>
      <c r="N11" s="79"/>
      <c r="O11" s="77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>
      <c r="A12" s="74"/>
      <c r="B12" s="75"/>
      <c r="C12" s="75"/>
      <c r="D12" s="75"/>
      <c r="E12" s="75"/>
      <c r="F12" s="75"/>
      <c r="G12" s="76"/>
      <c r="H12" s="77"/>
      <c r="I12" s="78"/>
      <c r="J12" s="78"/>
      <c r="K12" s="78"/>
      <c r="L12" s="78"/>
      <c r="M12" s="78"/>
      <c r="N12" s="79"/>
      <c r="O12" s="77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>
      <c r="A13" s="74"/>
      <c r="B13" s="75"/>
      <c r="C13" s="75"/>
      <c r="D13" s="75"/>
      <c r="E13" s="75"/>
      <c r="F13" s="75"/>
      <c r="G13" s="76"/>
      <c r="H13" s="77"/>
      <c r="I13" s="78"/>
      <c r="J13" s="78"/>
      <c r="K13" s="78"/>
      <c r="L13" s="78"/>
      <c r="M13" s="78"/>
      <c r="N13" s="79"/>
      <c r="O13" s="77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>
      <c r="A14" s="74"/>
      <c r="B14" s="75"/>
      <c r="C14" s="75"/>
      <c r="D14" s="75"/>
      <c r="E14" s="75"/>
      <c r="F14" s="75"/>
      <c r="G14" s="76"/>
      <c r="H14" s="77"/>
      <c r="I14" s="78"/>
      <c r="J14" s="78"/>
      <c r="K14" s="78"/>
      <c r="L14" s="78"/>
      <c r="M14" s="78"/>
      <c r="N14" s="79"/>
      <c r="O14" s="77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>
      <c r="A15" s="74"/>
      <c r="B15" s="75"/>
      <c r="C15" s="75"/>
      <c r="D15" s="75"/>
      <c r="E15" s="75"/>
      <c r="F15" s="75"/>
      <c r="G15" s="76"/>
      <c r="H15" s="77"/>
      <c r="I15" s="78"/>
      <c r="J15" s="78"/>
      <c r="K15" s="78"/>
      <c r="L15" s="78"/>
      <c r="M15" s="78"/>
      <c r="N15" s="79"/>
      <c r="O15" s="77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>
      <c r="A16" s="74"/>
      <c r="B16" s="75"/>
      <c r="C16" s="75"/>
      <c r="D16" s="75"/>
      <c r="E16" s="75"/>
      <c r="F16" s="75"/>
      <c r="G16" s="76"/>
      <c r="H16" s="77"/>
      <c r="I16" s="78"/>
      <c r="J16" s="78"/>
      <c r="K16" s="78"/>
      <c r="L16" s="78"/>
      <c r="M16" s="78"/>
      <c r="N16" s="79"/>
      <c r="O16" s="77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>
      <c r="A17" s="74"/>
      <c r="B17" s="75"/>
      <c r="C17" s="75"/>
      <c r="D17" s="75"/>
      <c r="E17" s="75"/>
      <c r="F17" s="75"/>
      <c r="G17" s="76"/>
      <c r="H17" s="77"/>
      <c r="I17" s="78"/>
      <c r="J17" s="78"/>
      <c r="K17" s="78"/>
      <c r="L17" s="78"/>
      <c r="M17" s="78"/>
      <c r="N17" s="79"/>
      <c r="O17" s="77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>
      <c r="A18" s="74"/>
      <c r="B18" s="75"/>
      <c r="C18" s="75"/>
      <c r="D18" s="75"/>
      <c r="E18" s="75"/>
      <c r="F18" s="75"/>
      <c r="G18" s="76"/>
      <c r="H18" s="77"/>
      <c r="I18" s="78"/>
      <c r="J18" s="78"/>
      <c r="K18" s="78"/>
      <c r="L18" s="78"/>
      <c r="M18" s="78"/>
      <c r="N18" s="79"/>
      <c r="O18" s="77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>
      <c r="A19" s="74"/>
      <c r="B19" s="75"/>
      <c r="C19" s="75"/>
      <c r="D19" s="75"/>
      <c r="E19" s="75"/>
      <c r="F19" s="75"/>
      <c r="G19" s="76"/>
      <c r="H19" s="77"/>
      <c r="I19" s="78"/>
      <c r="J19" s="78"/>
      <c r="K19" s="78"/>
      <c r="L19" s="78"/>
      <c r="M19" s="78"/>
      <c r="N19" s="79"/>
      <c r="O19" s="77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>
      <c r="A20" s="74"/>
      <c r="B20" s="75"/>
      <c r="C20" s="75"/>
      <c r="D20" s="75"/>
      <c r="E20" s="75"/>
      <c r="F20" s="75"/>
      <c r="G20" s="76"/>
      <c r="H20" s="77"/>
      <c r="I20" s="78"/>
      <c r="J20" s="78"/>
      <c r="K20" s="78"/>
      <c r="L20" s="78"/>
      <c r="M20" s="78"/>
      <c r="N20" s="79"/>
      <c r="O20" s="77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>
      <c r="A21" s="74"/>
      <c r="B21" s="75"/>
      <c r="C21" s="75"/>
      <c r="D21" s="75"/>
      <c r="E21" s="75"/>
      <c r="F21" s="75"/>
      <c r="G21" s="76"/>
      <c r="H21" s="77"/>
      <c r="I21" s="78"/>
      <c r="J21" s="78"/>
      <c r="K21" s="78"/>
      <c r="L21" s="78"/>
      <c r="M21" s="78"/>
      <c r="N21" s="79"/>
      <c r="O21" s="77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>
      <c r="A22" s="74"/>
      <c r="B22" s="75"/>
      <c r="C22" s="75"/>
      <c r="D22" s="75"/>
      <c r="E22" s="75"/>
      <c r="F22" s="75"/>
      <c r="G22" s="76"/>
      <c r="H22" s="77"/>
      <c r="I22" s="78"/>
      <c r="J22" s="78"/>
      <c r="K22" s="78"/>
      <c r="L22" s="78"/>
      <c r="M22" s="78"/>
      <c r="N22" s="79"/>
      <c r="O22" s="77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>
      <c r="A23" s="74"/>
      <c r="B23" s="75"/>
      <c r="C23" s="75"/>
      <c r="D23" s="75"/>
      <c r="E23" s="75"/>
      <c r="F23" s="75"/>
      <c r="G23" s="76"/>
      <c r="H23" s="77"/>
      <c r="I23" s="78"/>
      <c r="J23" s="78"/>
      <c r="K23" s="78"/>
      <c r="L23" s="78"/>
      <c r="M23" s="78"/>
      <c r="N23" s="79"/>
      <c r="O23" s="77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>
      <c r="A24" s="74"/>
      <c r="B24" s="75"/>
      <c r="C24" s="75"/>
      <c r="D24" s="75"/>
      <c r="E24" s="75"/>
      <c r="F24" s="75"/>
      <c r="G24" s="76"/>
      <c r="H24" s="77"/>
      <c r="I24" s="78"/>
      <c r="J24" s="78"/>
      <c r="K24" s="78"/>
      <c r="L24" s="78"/>
      <c r="M24" s="78"/>
      <c r="N24" s="79"/>
      <c r="O24" s="77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>
      <c r="A25" s="74"/>
      <c r="B25" s="75"/>
      <c r="C25" s="75"/>
      <c r="D25" s="75"/>
      <c r="E25" s="75"/>
      <c r="F25" s="75"/>
      <c r="G25" s="76"/>
      <c r="H25" s="77"/>
      <c r="I25" s="78"/>
      <c r="J25" s="78"/>
      <c r="K25" s="78"/>
      <c r="L25" s="78"/>
      <c r="M25" s="78"/>
      <c r="N25" s="79"/>
      <c r="O25" s="77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>
      <c r="A26" s="74"/>
      <c r="B26" s="75"/>
      <c r="C26" s="75"/>
      <c r="D26" s="75"/>
      <c r="E26" s="75"/>
      <c r="F26" s="75"/>
      <c r="G26" s="76"/>
      <c r="H26" s="77"/>
      <c r="I26" s="78"/>
      <c r="J26" s="78"/>
      <c r="K26" s="78"/>
      <c r="L26" s="78"/>
      <c r="M26" s="78"/>
      <c r="N26" s="79"/>
      <c r="O26" s="77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>
      <c r="A27" s="74"/>
      <c r="B27" s="75"/>
      <c r="C27" s="75"/>
      <c r="D27" s="75"/>
      <c r="E27" s="75"/>
      <c r="F27" s="75"/>
      <c r="G27" s="76"/>
      <c r="H27" s="77"/>
      <c r="I27" s="78"/>
      <c r="J27" s="78"/>
      <c r="K27" s="78"/>
      <c r="L27" s="78"/>
      <c r="M27" s="78"/>
      <c r="N27" s="79"/>
      <c r="O27" s="77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>
      <c r="A28" s="74"/>
      <c r="B28" s="75"/>
      <c r="C28" s="75"/>
      <c r="D28" s="75"/>
      <c r="E28" s="75"/>
      <c r="F28" s="75"/>
      <c r="G28" s="76"/>
      <c r="H28" s="77"/>
      <c r="I28" s="78"/>
      <c r="J28" s="78"/>
      <c r="K28" s="78"/>
      <c r="L28" s="78"/>
      <c r="M28" s="78"/>
      <c r="N28" s="79"/>
      <c r="O28" s="77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>
      <c r="A29" s="74"/>
      <c r="B29" s="75"/>
      <c r="C29" s="75"/>
      <c r="D29" s="75"/>
      <c r="E29" s="75"/>
      <c r="F29" s="75"/>
      <c r="G29" s="76"/>
      <c r="H29" s="77"/>
      <c r="I29" s="78"/>
      <c r="J29" s="78"/>
      <c r="K29" s="78"/>
      <c r="L29" s="78"/>
      <c r="M29" s="78"/>
      <c r="N29" s="79"/>
      <c r="O29" s="77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>
      <c r="A30" s="74"/>
      <c r="B30" s="75"/>
      <c r="C30" s="75"/>
      <c r="D30" s="75"/>
      <c r="E30" s="75"/>
      <c r="F30" s="75"/>
      <c r="G30" s="76"/>
      <c r="H30" s="77"/>
      <c r="I30" s="78"/>
      <c r="J30" s="78"/>
      <c r="K30" s="78"/>
      <c r="L30" s="78"/>
      <c r="M30" s="78"/>
      <c r="N30" s="79"/>
      <c r="O30" s="77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>
      <c r="A31" s="74"/>
      <c r="B31" s="75"/>
      <c r="C31" s="75"/>
      <c r="D31" s="75"/>
      <c r="E31" s="75"/>
      <c r="F31" s="75"/>
      <c r="G31" s="76"/>
      <c r="H31" s="77"/>
      <c r="I31" s="78"/>
      <c r="J31" s="78"/>
      <c r="K31" s="78"/>
      <c r="L31" s="78"/>
      <c r="M31" s="78"/>
      <c r="N31" s="79"/>
      <c r="O31" s="77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>
      <c r="A32" s="74"/>
      <c r="B32" s="75"/>
      <c r="C32" s="75"/>
      <c r="D32" s="75"/>
      <c r="E32" s="75"/>
      <c r="F32" s="75"/>
      <c r="G32" s="76"/>
      <c r="H32" s="77"/>
      <c r="I32" s="78"/>
      <c r="J32" s="78"/>
      <c r="K32" s="78"/>
      <c r="L32" s="78"/>
      <c r="M32" s="78"/>
      <c r="N32" s="79"/>
      <c r="O32" s="77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>
      <c r="A33" s="74"/>
      <c r="B33" s="75"/>
      <c r="C33" s="75"/>
      <c r="D33" s="75"/>
      <c r="E33" s="75"/>
      <c r="F33" s="75"/>
      <c r="G33" s="76"/>
      <c r="H33" s="77"/>
      <c r="I33" s="78"/>
      <c r="J33" s="78"/>
      <c r="K33" s="78"/>
      <c r="L33" s="78"/>
      <c r="M33" s="78"/>
      <c r="N33" s="79"/>
      <c r="O33" s="77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>
      <c r="A34" s="74"/>
      <c r="B34" s="75"/>
      <c r="C34" s="75"/>
      <c r="D34" s="75"/>
      <c r="E34" s="75"/>
      <c r="F34" s="75"/>
      <c r="G34" s="76"/>
      <c r="H34" s="77"/>
      <c r="I34" s="78"/>
      <c r="J34" s="78"/>
      <c r="K34" s="78"/>
      <c r="L34" s="78"/>
      <c r="M34" s="78"/>
      <c r="N34" s="79"/>
      <c r="O34" s="77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>
      <c r="A35" s="64"/>
      <c r="B35" s="65"/>
      <c r="C35" s="65"/>
      <c r="D35" s="65"/>
      <c r="E35" s="65"/>
      <c r="F35" s="65"/>
      <c r="G35" s="66"/>
      <c r="H35" s="67"/>
      <c r="I35" s="68"/>
      <c r="J35" s="68"/>
      <c r="K35" s="68"/>
      <c r="L35" s="68"/>
      <c r="M35" s="68"/>
      <c r="N35" s="69"/>
      <c r="O35" s="67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1"/>
      <c r="AQ35" s="72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Stk_Upd01</vt:lpstr>
      <vt:lpstr>Stk_Upd02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2026-03-27T05:58:42Z</dcterms:modified>
  <cp:category/>
</cp:coreProperties>
</file>