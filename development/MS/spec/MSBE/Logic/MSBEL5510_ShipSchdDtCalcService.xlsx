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E\Logic\"/>
    </mc:Choice>
  </mc:AlternateContent>
  <xr:revisionPtr revIDLastSave="0" documentId="13_ncr:1_{C8E63ACD-47A3-44E7-BA98-668F6F0C53DB}" xr6:coauthVersionLast="47" xr6:coauthVersionMax="47" xr10:uidLastSave="{00000000-0000-0000-0000-000000000000}"/>
  <bookViews>
    <workbookView xWindow="1710" yWindow="1710" windowWidth="21600" windowHeight="11265" tabRatio="794" activeTab="2" xr2:uid="{00000000-000D-0000-FFFF-FFFF00000000}"/>
  </bookViews>
  <sheets>
    <sheet name="LogicCommon" sheetId="3" r:id="rId1"/>
    <sheet name="ShipSchdDt_Srch01" sheetId="6" r:id="rId2"/>
    <sheet name="来歴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3" i="6" l="1"/>
  <c r="L4" i="6"/>
  <c r="H4" i="6"/>
  <c r="L3" i="6"/>
  <c r="H3" i="6"/>
  <c r="F3" i="6"/>
  <c r="D3" i="6"/>
  <c r="L2" i="6"/>
  <c r="H2" i="6"/>
  <c r="F2" i="6"/>
</calcChain>
</file>

<file path=xl/sharedStrings.xml><?xml version="1.0" encoding="utf-8"?>
<sst xmlns="http://schemas.openxmlformats.org/spreadsheetml/2006/main" count="215" uniqueCount="147">
  <si>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</si>
  <si>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</si>
  <si>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</si>
  <si>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</si>
  <si>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</si>
  <si>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SuperLogicID :</t>
    <phoneticPr fontId="1"/>
  </si>
  <si>
    <t>詳細 :</t>
    <rPh sb="0" eb="2">
      <t>ショウサイ</t>
    </rPh>
    <phoneticPr fontId="1"/>
  </si>
  <si>
    <t>オペレーション実装仕様書</t>
    <rPh sb="7" eb="9">
      <t>ジッソウ</t>
    </rPh>
    <rPh sb="9" eb="12">
      <t>シヨウショ</t>
    </rPh>
    <phoneticPr fontId="1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</si>
  <si>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</si>
  <si>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</si>
  <si>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</si>
  <si>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</si>
  <si>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</si>
  <si>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</si>
  <si>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</si>
  <si>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3"/>
  </si>
  <si>
    <t>MS</t>
  </si>
  <si>
    <t>MSBE</t>
  </si>
  <si>
    <t>Version :</t>
  </si>
  <si>
    <t>#</t>
    <phoneticPr fontId="1"/>
  </si>
  <si>
    <t>U</t>
    <phoneticPr fontId="1"/>
  </si>
  <si>
    <t>*</t>
  </si>
  <si>
    <t>L</t>
  </si>
  <si>
    <t>K</t>
    <phoneticPr fontId="1"/>
  </si>
  <si>
    <t>o</t>
    <phoneticPr fontId="1"/>
  </si>
  <si>
    <t>TargetName</t>
    <phoneticPr fontId="1"/>
  </si>
  <si>
    <t>#</t>
    <phoneticPr fontId="1"/>
  </si>
  <si>
    <t>#MA.FLG</t>
  </si>
  <si>
    <t>peg_no</t>
  </si>
  <si>
    <t>MSBEL5510</t>
    <phoneticPr fontId="3"/>
  </si>
  <si>
    <t>MSBEL_ShipSchdDtCalcService</t>
    <phoneticPr fontId="3"/>
  </si>
  <si>
    <t>出荷予定日計算サービス</t>
    <rPh sb="0" eb="2">
      <t>シュッカ</t>
    </rPh>
    <rPh sb="2" eb="4">
      <t>ヨテイ</t>
    </rPh>
    <rPh sb="4" eb="5">
      <t>ビ</t>
    </rPh>
    <rPh sb="5" eb="7">
      <t>ケイサン</t>
    </rPh>
    <phoneticPr fontId="3"/>
  </si>
  <si>
    <t>ShipSchdDt_Srch01</t>
    <phoneticPr fontId="3"/>
  </si>
  <si>
    <t>ship_to_id_typ</t>
  </si>
  <si>
    <t>ship_to_id_cd</t>
  </si>
  <si>
    <t>ship_to_lg_grp_cd</t>
  </si>
  <si>
    <t>ship_fr_lg_grp_cd</t>
  </si>
  <si>
    <t>ship_term_cd</t>
  </si>
  <si>
    <t>dlv_rqst_tm</t>
  </si>
  <si>
    <t>dlv_day_week_typ</t>
  </si>
  <si>
    <t>#MA.INT</t>
  </si>
  <si>
    <t>#MA.LG_GRP_CD</t>
  </si>
  <si>
    <t>#MA.SHIP_TERM_CD</t>
  </si>
  <si>
    <t>#MA.TM</t>
  </si>
  <si>
    <t>#MA.DAY_WEEK_TYP</t>
  </si>
  <si>
    <t>ship_inst_typ</t>
  </si>
  <si>
    <t>cl_time_chk_flg</t>
  </si>
  <si>
    <t>ship_dt_chk_flg</t>
  </si>
  <si>
    <t>#MA.DT</t>
  </si>
  <si>
    <t>#MA.SHIP_INST_TYP</t>
  </si>
  <si>
    <t>#MS.SHIP_TO_ID_TYP</t>
    <phoneticPr fontId="3"/>
  </si>
  <si>
    <t>#MS.SHIP_TO_ID_CD</t>
    <phoneticPr fontId="3"/>
  </si>
  <si>
    <t>Srch01_Cnd</t>
    <phoneticPr fontId="3"/>
  </si>
  <si>
    <t>base_dt</t>
    <phoneticPr fontId="3"/>
  </si>
  <si>
    <t>ship_rqst_tm</t>
    <phoneticPr fontId="3"/>
  </si>
  <si>
    <t>基準日、リードタイムから出荷予定日を計算する。</t>
    <phoneticPr fontId="3"/>
  </si>
  <si>
    <t>出荷予定日計算</t>
    <rPh sb="0" eb="2">
      <t>シュッカ</t>
    </rPh>
    <rPh sb="2" eb="4">
      <t>ヨテイ</t>
    </rPh>
    <rPh sb="4" eb="5">
      <t>ビ</t>
    </rPh>
    <rPh sb="5" eb="7">
      <t>ケイサン</t>
    </rPh>
    <phoneticPr fontId="3"/>
  </si>
  <si>
    <t>$share$</t>
    <phoneticPr fontId="3"/>
  </si>
  <si>
    <t>ship_schd_tm</t>
    <phoneticPr fontId="3"/>
  </si>
  <si>
    <t>#MA.TM</t>
    <phoneticPr fontId="3"/>
  </si>
  <si>
    <t>dlv_schd_tm</t>
    <phoneticPr fontId="3"/>
  </si>
  <si>
    <t>ship_wk_cd</t>
    <phoneticPr fontId="3"/>
  </si>
  <si>
    <t>#MA.SHIP_WK_CD</t>
    <phoneticPr fontId="3"/>
  </si>
  <si>
    <t>#MA.SHIP_WK_GRP_CD</t>
    <phoneticPr fontId="3"/>
  </si>
  <si>
    <t>ship_wk_grp_cd</t>
    <phoneticPr fontId="3"/>
  </si>
  <si>
    <t>Pj.ID :</t>
    <phoneticPr fontId="1"/>
  </si>
  <si>
    <t>SuperClassPj.ID :</t>
    <phoneticPr fontId="1"/>
  </si>
  <si>
    <t>ID</t>
    <phoneticPr fontId="1"/>
  </si>
  <si>
    <t>TargetName</t>
    <phoneticPr fontId="1"/>
  </si>
  <si>
    <t>TargetName</t>
    <phoneticPr fontId="1"/>
  </si>
  <si>
    <t>*</t>
    <phoneticPr fontId="1"/>
  </si>
  <si>
    <t>L</t>
    <phoneticPr fontId="1"/>
  </si>
  <si>
    <t>Ope.ID :</t>
    <phoneticPr fontId="1"/>
  </si>
  <si>
    <t xml:space="preserve">Ope.Body : </t>
    <phoneticPr fontId="1"/>
  </si>
  <si>
    <t>Ope.Method :</t>
    <phoneticPr fontId="1"/>
  </si>
  <si>
    <t>Gene.Type :</t>
    <phoneticPr fontId="1"/>
  </si>
  <si>
    <t>ALL</t>
    <phoneticPr fontId="1"/>
  </si>
  <si>
    <t>000000</t>
    <phoneticPr fontId="1"/>
  </si>
  <si>
    <t xml:space="preserve">Ope.Name : </t>
    <phoneticPr fontId="1"/>
  </si>
  <si>
    <t>ImplOpe.ID:</t>
    <phoneticPr fontId="1"/>
  </si>
  <si>
    <t>ACType :</t>
    <phoneticPr fontId="1"/>
  </si>
  <si>
    <t>DBC:MSW_SHIP_SCHD_DT_CALC</t>
    <phoneticPr fontId="3"/>
  </si>
  <si>
    <t>紐付けＮＯ</t>
    <phoneticPr fontId="3"/>
  </si>
  <si>
    <t>E</t>
    <phoneticPr fontId="3"/>
  </si>
  <si>
    <t>送付先識別区分</t>
    <phoneticPr fontId="3"/>
  </si>
  <si>
    <t>-</t>
    <phoneticPr fontId="3"/>
  </si>
  <si>
    <t>送付先識別ＣＤ</t>
    <phoneticPr fontId="3"/>
  </si>
  <si>
    <t>出荷先物流グループＣＤ</t>
    <phoneticPr fontId="3"/>
  </si>
  <si>
    <t>出荷元物流グループＣＤ</t>
    <phoneticPr fontId="3"/>
  </si>
  <si>
    <t>出荷条件ＣＤ</t>
    <phoneticPr fontId="3"/>
  </si>
  <si>
    <t>納入希望日時</t>
    <phoneticPr fontId="3"/>
  </si>
  <si>
    <t>着曜日</t>
    <phoneticPr fontId="3"/>
  </si>
  <si>
    <t>出荷希望日時</t>
    <phoneticPr fontId="3"/>
  </si>
  <si>
    <t>基準日</t>
    <phoneticPr fontId="3"/>
  </si>
  <si>
    <t>出荷指図区分</t>
    <phoneticPr fontId="3"/>
  </si>
  <si>
    <t>締時間チェックＦＬＧ</t>
    <phoneticPr fontId="3"/>
  </si>
  <si>
    <t>出荷日チェックＦＬＧ</t>
    <phoneticPr fontId="3"/>
  </si>
  <si>
    <t>出荷予定日時</t>
    <phoneticPr fontId="3"/>
  </si>
  <si>
    <t>納品予定日時</t>
    <phoneticPr fontId="3"/>
  </si>
  <si>
    <t>出荷作業グループＣＤ</t>
    <phoneticPr fontId="3"/>
  </si>
  <si>
    <t>出荷作業ＣＤ</t>
    <phoneticPr fontId="3"/>
  </si>
  <si>
    <t>super/share</t>
    <phoneticPr fontId="1"/>
  </si>
  <si>
    <t>MS.MSUDL5010</t>
    <phoneticPr fontId="3"/>
  </si>
  <si>
    <t>"mcframe.serverMAUD.MAUDL5010.MAUDL_Operation"</t>
    <phoneticPr fontId="3"/>
  </si>
  <si>
    <t>ship_cal_cd_chk_flg</t>
    <phoneticPr fontId="3"/>
  </si>
  <si>
    <t>#MA.FLG</t>
    <phoneticPr fontId="3"/>
  </si>
  <si>
    <t>early_ship_dt_add_days_chk_flg</t>
    <phoneticPr fontId="3"/>
  </si>
  <si>
    <t>最早出荷日加算日数チェックＦＬＧ</t>
    <rPh sb="0" eb="9">
      <t>サイソウシュ</t>
    </rPh>
    <phoneticPr fontId="3"/>
  </si>
  <si>
    <t>ShipSchdDt_Srch01</t>
    <phoneticPr fontId="1"/>
  </si>
  <si>
    <t>Srch01_Cndブロックに以下の項目を追加
・ship_cal_cd_chk_flg、early_ship_dt_add_days_chk_flg</t>
    <phoneticPr fontId="1"/>
  </si>
  <si>
    <t>出荷作業カレンダチェックＦＬＧ</t>
    <rPh sb="0" eb="2">
      <t>シュッカ</t>
    </rPh>
    <rPh sb="2" eb="4">
      <t>サギョウ</t>
    </rPh>
    <phoneticPr fontId="3"/>
  </si>
  <si>
    <t>MS7032#278</t>
    <phoneticPr fontId="1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</si>
  <si>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</si>
  <si>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</si>
  <si>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</si>
  <si>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</si>
  <si>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</si>
  <si>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3"/>
  </si>
  <si>
    <t>型
Type</t>
    <phoneticPr fontId="3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</si>
  <si>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</si>
  <si>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</si>
  <si>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</si>
  <si>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</si>
  <si>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</si>
  <si>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</si>
  <si>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</si>
  <si>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Pegging No.</t>
  </si>
  <si>
    <t>Receiving point identification type</t>
  </si>
  <si>
    <t>Receiving point identification cd.</t>
  </si>
  <si>
    <t>Receiving point distribution group cd.</t>
  </si>
  <si>
    <t>Shipping point distribution group cd.</t>
  </si>
  <si>
    <t>Shipping conditions cd.</t>
  </si>
  <si>
    <t>Desired delivery date and time</t>
  </si>
  <si>
    <t>Arrival day of week</t>
  </si>
  <si>
    <t>Desired shipping date and time</t>
  </si>
  <si>
    <t>Base date</t>
  </si>
  <si>
    <t>Shipping order type</t>
  </si>
  <si>
    <t>Closing time check flg.</t>
  </si>
  <si>
    <t>Shipping date check flg.</t>
  </si>
  <si>
    <t>Shipping operation calendar cd check flg.</t>
  </si>
  <si>
    <t>Number of days added to earliest shipping date check flg.</t>
  </si>
  <si>
    <t>Scheduled shipping date and time</t>
  </si>
  <si>
    <t>Scheduled delivery date and time</t>
  </si>
  <si>
    <t>Shipping operation group cd.</t>
  </si>
  <si>
    <t>Shipping operation cd.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</si>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</sst>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&quot;¥&quot;#,##0_);[Red]\(&quot;¥&quot;#,##0\)"/>
    <numFmt numFmtId="177" formatCode="0.0_ "/>
    <numFmt numFmtId="178" formatCode="#,##0_);[Red]\(#,##0\)"/>
    <numFmt numFmtId="179" formatCode="&quot;$&quot;#,##0_);[Red]\(&quot;$&quot;#,##0\)"/>
  </numFmts>
  <fonts count="12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theme="0"/>
      <name val="ＭＳ ゴシック"/>
      <family val="3"/>
      <charset val="128"/>
    </font>
    <font>
      <sz val="10"/>
      <name val="ＭＳ Ｐ明朝"/>
      <family val="1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0000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8">
    <xf numFmtId="0" fontId="0" fillId="0" borderId="0">
      <alignment vertical="top" wrapText="1"/>
    </xf>
    <xf numFmtId="178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4" fillId="0" borderId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0" fontId="4" fillId="0" borderId="0"/>
    <xf numFmtId="0" fontId="11" fillId="0" borderId="0"/>
  </cellStyleXfs>
  <cellXfs count="135">
    <xf numFmtId="0" fontId="0" fillId="0" borderId="0" xfId="0">
      <alignment vertical="top" wrapText="1"/>
    </xf>
    <xf numFmtId="0" fontId="6" fillId="0" borderId="3" xfId="0" applyFont="1" applyBorder="1" applyAlignment="1">
      <alignment vertical="center"/>
    </xf>
    <xf numFmtId="0" fontId="6" fillId="0" borderId="3" xfId="0" applyFont="1" applyBorder="1" applyAlignment="1">
      <alignment horizontal="left" vertical="top"/>
    </xf>
    <xf numFmtId="0" fontId="6" fillId="0" borderId="3" xfId="0" applyFon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0" xfId="0" applyFont="1" applyAlignment="1">
      <alignment vertical="center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vertical="top"/>
    </xf>
    <xf numFmtId="0" fontId="6" fillId="2" borderId="5" xfId="0" applyFont="1" applyFill="1" applyBorder="1" applyAlignment="1">
      <alignment vertical="top"/>
    </xf>
    <xf numFmtId="0" fontId="6" fillId="0" borderId="0" xfId="0" applyFont="1" applyAlignment="1">
      <alignment vertical="center" wrapText="1"/>
    </xf>
    <xf numFmtId="0" fontId="6" fillId="0" borderId="0" xfId="0" applyFont="1">
      <alignment vertical="top" wrapText="1"/>
    </xf>
    <xf numFmtId="0" fontId="6" fillId="3" borderId="5" xfId="0" applyFont="1" applyFill="1" applyBorder="1" applyAlignment="1">
      <alignment vertical="top"/>
    </xf>
    <xf numFmtId="0" fontId="6" fillId="3" borderId="2" xfId="0" applyFont="1" applyFill="1" applyBorder="1" applyAlignment="1">
      <alignment vertical="top"/>
    </xf>
    <xf numFmtId="0" fontId="6" fillId="3" borderId="2" xfId="0" applyFont="1" applyFill="1" applyBorder="1" applyAlignment="1">
      <alignment horizontal="left" vertical="top"/>
    </xf>
    <xf numFmtId="0" fontId="6" fillId="3" borderId="9" xfId="0" applyFont="1" applyFill="1" applyBorder="1" applyAlignment="1">
      <alignment vertical="top"/>
    </xf>
    <xf numFmtId="0" fontId="6" fillId="0" borderId="3" xfId="0" applyFont="1" applyBorder="1">
      <alignment vertical="top" wrapText="1"/>
    </xf>
    <xf numFmtId="0" fontId="6" fillId="0" borderId="4" xfId="0" applyFont="1" applyBorder="1" applyAlignment="1">
      <alignment vertical="center"/>
    </xf>
    <xf numFmtId="0" fontId="6" fillId="0" borderId="4" xfId="0" applyFont="1" applyBorder="1" applyAlignment="1">
      <alignment horizontal="left" vertical="top"/>
    </xf>
    <xf numFmtId="0" fontId="6" fillId="0" borderId="6" xfId="0" applyFont="1" applyBorder="1" applyAlignment="1">
      <alignment vertical="top"/>
    </xf>
    <xf numFmtId="0" fontId="6" fillId="0" borderId="0" xfId="0" applyFont="1" applyAlignment="1">
      <alignment horizontal="left" vertical="top"/>
    </xf>
    <xf numFmtId="0" fontId="6" fillId="0" borderId="10" xfId="0" applyFont="1" applyBorder="1" applyAlignment="1">
      <alignment vertical="top"/>
    </xf>
    <xf numFmtId="0" fontId="6" fillId="0" borderId="7" xfId="0" applyFont="1" applyBorder="1" applyAlignment="1">
      <alignment vertical="top"/>
    </xf>
    <xf numFmtId="0" fontId="6" fillId="2" borderId="4" xfId="0" applyFont="1" applyFill="1" applyBorder="1" applyAlignment="1">
      <alignment vertical="top"/>
    </xf>
    <xf numFmtId="0" fontId="6" fillId="2" borderId="5" xfId="0" applyFont="1" applyFill="1" applyBorder="1" applyAlignment="1">
      <alignment vertical="center"/>
    </xf>
    <xf numFmtId="0" fontId="6" fillId="0" borderId="5" xfId="0" applyFont="1" applyBorder="1">
      <alignment vertical="top" wrapText="1"/>
    </xf>
    <xf numFmtId="0" fontId="6" fillId="2" borderId="5" xfId="0" applyFont="1" applyFill="1" applyBorder="1" applyAlignment="1" applyProtection="1">
      <alignment vertical="top"/>
      <protection locked="0"/>
    </xf>
    <xf numFmtId="0" fontId="6" fillId="2" borderId="5" xfId="0" applyFont="1" applyFill="1" applyBorder="1">
      <alignment vertical="top" wrapText="1"/>
    </xf>
    <xf numFmtId="0" fontId="6" fillId="2" borderId="5" xfId="0" applyFont="1" applyFill="1" applyBorder="1" applyAlignment="1">
      <alignment wrapText="1"/>
    </xf>
    <xf numFmtId="0" fontId="6" fillId="2" borderId="9" xfId="0" applyFont="1" applyFill="1" applyBorder="1" applyAlignment="1">
      <alignment wrapText="1"/>
    </xf>
    <xf numFmtId="0" fontId="6" fillId="2" borderId="8" xfId="0" applyFont="1" applyFill="1" applyBorder="1" applyAlignment="1">
      <alignment vertical="top"/>
    </xf>
    <xf numFmtId="0" fontId="6" fillId="2" borderId="9" xfId="0" applyFont="1" applyFill="1" applyBorder="1" applyAlignment="1">
      <alignment vertical="top"/>
    </xf>
    <xf numFmtId="0" fontId="6" fillId="0" borderId="4" xfId="0" applyFont="1" applyBorder="1" applyAlignment="1">
      <alignment wrapText="1"/>
    </xf>
    <xf numFmtId="0" fontId="6" fillId="2" borderId="2" xfId="0" applyFont="1" applyFill="1" applyBorder="1" applyAlignment="1">
      <alignment vertical="top"/>
    </xf>
    <xf numFmtId="0" fontId="6" fillId="0" borderId="2" xfId="0" applyFont="1" applyBorder="1">
      <alignment vertical="top" wrapText="1"/>
    </xf>
    <xf numFmtId="0" fontId="6" fillId="0" borderId="2" xfId="0" applyFont="1" applyBorder="1" applyAlignment="1">
      <alignment wrapText="1"/>
    </xf>
    <xf numFmtId="0" fontId="6" fillId="0" borderId="0" xfId="0" applyFont="1" applyAlignment="1">
      <alignment wrapText="1"/>
    </xf>
    <xf numFmtId="0" fontId="6" fillId="0" borderId="2" xfId="0" applyFont="1" applyBorder="1" applyAlignment="1"/>
    <xf numFmtId="0" fontId="6" fillId="0" borderId="9" xfId="0" applyFont="1" applyBorder="1" applyAlignment="1">
      <alignment wrapText="1"/>
    </xf>
    <xf numFmtId="0" fontId="6" fillId="0" borderId="8" xfId="0" applyFont="1" applyBorder="1" applyAlignment="1">
      <alignment wrapText="1"/>
    </xf>
    <xf numFmtId="0" fontId="6" fillId="3" borderId="5" xfId="0" applyFont="1" applyFill="1" applyBorder="1">
      <alignment vertical="top" wrapText="1"/>
    </xf>
    <xf numFmtId="0" fontId="6" fillId="0" borderId="10" xfId="0" applyFont="1" applyBorder="1">
      <alignment vertical="top" wrapText="1"/>
    </xf>
    <xf numFmtId="0" fontId="6" fillId="0" borderId="7" xfId="0" applyFont="1" applyBorder="1">
      <alignment vertical="top" wrapText="1"/>
    </xf>
    <xf numFmtId="0" fontId="9" fillId="0" borderId="0" xfId="0" applyFont="1">
      <alignment vertical="top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6" fillId="0" borderId="8" xfId="0" applyFont="1" applyBorder="1">
      <alignment vertical="top" wrapText="1"/>
    </xf>
    <xf numFmtId="0" fontId="6" fillId="0" borderId="9" xfId="0" applyFont="1" applyBorder="1">
      <alignment vertical="top" wrapText="1"/>
    </xf>
    <xf numFmtId="0" fontId="6" fillId="3" borderId="8" xfId="0" applyFont="1" applyFill="1" applyBorder="1" applyAlignment="1">
      <alignment wrapText="1"/>
    </xf>
    <xf numFmtId="0" fontId="6" fillId="3" borderId="9" xfId="0" applyFont="1" applyFill="1" applyBorder="1" applyAlignment="1">
      <alignment wrapText="1"/>
    </xf>
    <xf numFmtId="0" fontId="6" fillId="0" borderId="9" xfId="0" applyFont="1" applyBorder="1" applyAlignment="1"/>
    <xf numFmtId="0" fontId="6" fillId="2" borderId="3" xfId="0" applyFont="1" applyFill="1" applyBorder="1" applyAlignment="1">
      <alignment vertical="top"/>
    </xf>
    <xf numFmtId="0" fontId="6" fillId="2" borderId="30" xfId="0" applyFont="1" applyFill="1" applyBorder="1" applyAlignment="1">
      <alignment vertical="top"/>
    </xf>
    <xf numFmtId="0" fontId="6" fillId="4" borderId="5" xfId="0" applyFont="1" applyFill="1" applyBorder="1" applyAlignment="1">
      <alignment vertical="top"/>
    </xf>
    <xf numFmtId="0" fontId="6" fillId="2" borderId="31" xfId="0" applyFont="1" applyFill="1" applyBorder="1" applyAlignment="1">
      <alignment vertical="top"/>
    </xf>
    <xf numFmtId="0" fontId="6" fillId="2" borderId="0" xfId="0" applyFont="1" applyFill="1" applyAlignment="1">
      <alignment vertical="top"/>
    </xf>
    <xf numFmtId="0" fontId="6" fillId="4" borderId="0" xfId="0" applyFont="1" applyFill="1">
      <alignment vertical="top" wrapText="1"/>
    </xf>
    <xf numFmtId="0" fontId="6" fillId="0" borderId="8" xfId="0" applyFont="1" applyBorder="1" applyAlignment="1">
      <alignment vertical="top"/>
    </xf>
    <xf numFmtId="0" fontId="6" fillId="2" borderId="5" xfId="0" quotePrefix="1" applyFont="1" applyFill="1" applyBorder="1" applyAlignment="1">
      <alignment vertical="top"/>
    </xf>
    <xf numFmtId="0" fontId="6" fillId="0" borderId="5" xfId="0" applyFont="1" applyBorder="1" applyAlignment="1">
      <alignment vertical="center"/>
    </xf>
    <xf numFmtId="0" fontId="6" fillId="0" borderId="0" xfId="0" applyFont="1" applyAlignment="1"/>
    <xf numFmtId="0" fontId="6" fillId="2" borderId="32" xfId="0" applyFont="1" applyFill="1" applyBorder="1" applyAlignment="1">
      <alignment vertical="top"/>
    </xf>
    <xf numFmtId="0" fontId="6" fillId="0" borderId="2" xfId="0" applyFont="1" applyBorder="1" applyAlignment="1">
      <alignment vertical="top"/>
    </xf>
    <xf numFmtId="0" fontId="6" fillId="0" borderId="32" xfId="0" applyFont="1" applyBorder="1" applyAlignment="1">
      <alignment vertical="top"/>
    </xf>
    <xf numFmtId="0" fontId="10" fillId="5" borderId="5" xfId="0" applyFont="1" applyFill="1" applyBorder="1" applyAlignment="1">
      <alignment vertical="top"/>
    </xf>
    <xf numFmtId="0" fontId="10" fillId="5" borderId="5" xfId="0" applyFont="1" applyFill="1" applyBorder="1">
      <alignment vertical="top" wrapText="1"/>
    </xf>
    <xf numFmtId="0" fontId="10" fillId="5" borderId="8" xfId="0" applyFont="1" applyFill="1" applyBorder="1">
      <alignment vertical="top" wrapText="1"/>
    </xf>
    <xf numFmtId="0" fontId="10" fillId="5" borderId="9" xfId="0" applyFont="1" applyFill="1" applyBorder="1">
      <alignment vertical="top" wrapText="1"/>
    </xf>
    <xf numFmtId="0" fontId="10" fillId="5" borderId="8" xfId="0" applyFont="1" applyFill="1" applyBorder="1" applyAlignment="1">
      <alignment wrapText="1"/>
    </xf>
    <xf numFmtId="0" fontId="10" fillId="5" borderId="9" xfId="0" applyFont="1" applyFill="1" applyBorder="1" applyAlignment="1">
      <alignment wrapText="1"/>
    </xf>
    <xf numFmtId="0" fontId="6" fillId="0" borderId="4" xfId="0" applyFont="1" applyBorder="1">
      <alignment vertical="top" wrapText="1"/>
    </xf>
    <xf numFmtId="0" fontId="6" fillId="2" borderId="8" xfId="0" applyFont="1" applyFill="1" applyBorder="1">
      <alignment vertical="top" wrapText="1"/>
    </xf>
    <xf numFmtId="0" fontId="6" fillId="2" borderId="9" xfId="0" applyFont="1" applyFill="1" applyBorder="1">
      <alignment vertical="top" wrapText="1"/>
    </xf>
    <xf numFmtId="177" fontId="8" fillId="0" borderId="25" xfId="0" applyNumberFormat="1" applyFont="1" applyBorder="1" applyAlignment="1">
      <alignment horizontal="center" vertical="center"/>
    </xf>
    <xf numFmtId="177" fontId="8" fillId="0" borderId="26" xfId="0" applyNumberFormat="1" applyFont="1" applyBorder="1" applyAlignment="1">
      <alignment horizontal="center" vertical="center"/>
    </xf>
    <xf numFmtId="177" fontId="8" fillId="0" borderId="27" xfId="0" applyNumberFormat="1" applyFont="1" applyBorder="1" applyAlignment="1">
      <alignment horizontal="center" vertical="center"/>
    </xf>
    <xf numFmtId="0" fontId="8" fillId="0" borderId="28" xfId="0" applyFont="1" applyBorder="1" applyAlignment="1">
      <alignment horizontal="left" vertical="center" wrapText="1"/>
    </xf>
    <xf numFmtId="0" fontId="8" fillId="0" borderId="26" xfId="0" applyFont="1" applyBorder="1" applyAlignment="1">
      <alignment horizontal="left" vertical="center" wrapText="1"/>
    </xf>
    <xf numFmtId="0" fontId="8" fillId="0" borderId="27" xfId="0" applyFont="1" applyBorder="1" applyAlignment="1">
      <alignment horizontal="left" vertical="center" wrapText="1"/>
    </xf>
    <xf numFmtId="0" fontId="8" fillId="0" borderId="26" xfId="0" applyFont="1" applyBorder="1" applyAlignment="1">
      <alignment vertical="center" wrapText="1"/>
    </xf>
    <xf numFmtId="0" fontId="8" fillId="0" borderId="27" xfId="0" applyFont="1" applyBorder="1" applyAlignment="1">
      <alignment vertical="center" wrapText="1"/>
    </xf>
    <xf numFmtId="0" fontId="8" fillId="0" borderId="28" xfId="0" applyFont="1" applyBorder="1" applyAlignment="1">
      <alignment vertical="center" wrapText="1"/>
    </xf>
    <xf numFmtId="0" fontId="8" fillId="0" borderId="29" xfId="0" applyFont="1" applyBorder="1" applyAlignment="1">
      <alignment vertical="center" wrapText="1"/>
    </xf>
    <xf numFmtId="177" fontId="8" fillId="0" borderId="23" xfId="0" applyNumberFormat="1" applyFont="1" applyBorder="1" applyAlignment="1">
      <alignment horizontal="center" vertical="center"/>
    </xf>
    <xf numFmtId="177" fontId="8" fillId="0" borderId="2" xfId="0" applyNumberFormat="1" applyFont="1" applyBorder="1" applyAlignment="1">
      <alignment horizontal="center" vertical="center"/>
    </xf>
    <xf numFmtId="177" fontId="8" fillId="0" borderId="9" xfId="0" applyNumberFormat="1" applyFont="1" applyBorder="1" applyAlignment="1">
      <alignment horizontal="center" vertical="center"/>
    </xf>
    <xf numFmtId="0" fontId="8" fillId="0" borderId="8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0" fontId="8" fillId="0" borderId="2" xfId="0" applyFont="1" applyBorder="1" applyAlignment="1">
      <alignment vertical="center" wrapText="1"/>
    </xf>
    <xf numFmtId="0" fontId="8" fillId="0" borderId="9" xfId="0" applyFont="1" applyBorder="1" applyAlignment="1">
      <alignment vertical="center" wrapText="1"/>
    </xf>
    <xf numFmtId="0" fontId="8" fillId="0" borderId="8" xfId="0" applyFont="1" applyBorder="1" applyAlignment="1">
      <alignment vertical="center" wrapText="1"/>
    </xf>
    <xf numFmtId="0" fontId="8" fillId="0" borderId="24" xfId="0" applyFont="1" applyBorder="1" applyAlignment="1">
      <alignment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177" fontId="8" fillId="0" borderId="23" xfId="6" applyNumberFormat="1" applyFont="1" applyBorder="1" applyAlignment="1">
      <alignment horizontal="center" vertical="center"/>
    </xf>
    <xf numFmtId="177" fontId="8" fillId="0" borderId="2" xfId="7" applyNumberFormat="1" applyFont="1" applyBorder="1" applyAlignment="1">
      <alignment horizontal="center" vertical="center"/>
    </xf>
    <xf numFmtId="177" fontId="8" fillId="0" borderId="9" xfId="7" applyNumberFormat="1" applyFont="1" applyBorder="1" applyAlignment="1">
      <alignment horizontal="center" vertical="center"/>
    </xf>
    <xf numFmtId="0" fontId="8" fillId="0" borderId="8" xfId="6" applyFont="1" applyBorder="1" applyAlignment="1">
      <alignment horizontal="center" vertical="center" wrapText="1"/>
    </xf>
    <xf numFmtId="0" fontId="8" fillId="0" borderId="2" xfId="7" applyFont="1" applyBorder="1" applyAlignment="1">
      <alignment horizontal="center" vertical="center" wrapText="1"/>
    </xf>
    <xf numFmtId="0" fontId="8" fillId="0" borderId="9" xfId="7" applyFont="1" applyBorder="1" applyAlignment="1">
      <alignment horizontal="center" vertical="center" wrapText="1"/>
    </xf>
    <xf numFmtId="0" fontId="8" fillId="0" borderId="8" xfId="6" applyFont="1" applyBorder="1" applyAlignment="1">
      <alignment vertical="center" wrapText="1"/>
    </xf>
    <xf numFmtId="0" fontId="8" fillId="0" borderId="2" xfId="7" applyFont="1" applyBorder="1" applyAlignment="1">
      <alignment vertical="center" wrapText="1"/>
    </xf>
    <xf numFmtId="0" fontId="8" fillId="0" borderId="24" xfId="7" applyFont="1" applyBorder="1" applyAlignment="1">
      <alignment vertical="center" wrapText="1"/>
    </xf>
    <xf numFmtId="0" fontId="8" fillId="0" borderId="8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8" fillId="0" borderId="9" xfId="0" applyFont="1" applyBorder="1" applyAlignment="1">
      <alignment horizontal="left" vertical="center"/>
    </xf>
    <xf numFmtId="0" fontId="8" fillId="0" borderId="8" xfId="0" applyFont="1" applyBorder="1" applyAlignment="1">
      <alignment vertical="center"/>
    </xf>
    <xf numFmtId="0" fontId="8" fillId="0" borderId="2" xfId="0" applyFont="1" applyBorder="1" applyAlignment="1">
      <alignment vertical="center"/>
    </xf>
    <xf numFmtId="0" fontId="8" fillId="0" borderId="24" xfId="0" applyFont="1" applyBorder="1" applyAlignment="1">
      <alignment vertical="center"/>
    </xf>
    <xf numFmtId="0" fontId="7" fillId="3" borderId="11" xfId="0" applyFont="1" applyFill="1" applyBorder="1" applyAlignment="1">
      <alignment horizontal="center" vertical="center"/>
    </xf>
    <xf numFmtId="0" fontId="8" fillId="0" borderId="12" xfId="0" applyFont="1" applyBorder="1" applyAlignment="1">
      <alignment vertical="center"/>
    </xf>
    <xf numFmtId="0" fontId="8" fillId="0" borderId="13" xfId="0" applyFont="1" applyBorder="1" applyAlignment="1">
      <alignment vertical="center"/>
    </xf>
    <xf numFmtId="0" fontId="9" fillId="3" borderId="14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15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177" fontId="8" fillId="0" borderId="18" xfId="0" applyNumberFormat="1" applyFont="1" applyBorder="1" applyAlignment="1">
      <alignment horizontal="center" vertical="center"/>
    </xf>
    <xf numFmtId="177" fontId="8" fillId="0" borderId="19" xfId="0" applyNumberFormat="1" applyFont="1" applyBorder="1" applyAlignment="1">
      <alignment horizontal="center" vertical="center"/>
    </xf>
    <xf numFmtId="177" fontId="8" fillId="0" borderId="20" xfId="0" applyNumberFormat="1" applyFont="1" applyBorder="1" applyAlignment="1">
      <alignment horizontal="center" vertical="center"/>
    </xf>
    <xf numFmtId="0" fontId="8" fillId="0" borderId="21" xfId="0" applyFont="1" applyBorder="1" applyAlignment="1">
      <alignment horizontal="left" vertical="center" wrapText="1"/>
    </xf>
    <xf numFmtId="0" fontId="8" fillId="0" borderId="19" xfId="0" applyFont="1" applyBorder="1" applyAlignment="1">
      <alignment horizontal="left" vertical="center" wrapText="1"/>
    </xf>
    <xf numFmtId="0" fontId="8" fillId="0" borderId="20" xfId="0" applyFont="1" applyBorder="1" applyAlignment="1">
      <alignment horizontal="left" vertical="center" wrapText="1"/>
    </xf>
    <xf numFmtId="0" fontId="8" fillId="0" borderId="19" xfId="0" applyFont="1" applyBorder="1" applyAlignment="1">
      <alignment vertical="center" wrapText="1"/>
    </xf>
    <xf numFmtId="0" fontId="8" fillId="0" borderId="20" xfId="0" applyFont="1" applyBorder="1" applyAlignment="1">
      <alignment vertical="center" wrapText="1"/>
    </xf>
    <xf numFmtId="0" fontId="8" fillId="0" borderId="21" xfId="0" applyFont="1" applyBorder="1" applyAlignment="1">
      <alignment vertical="center" wrapText="1"/>
    </xf>
    <xf numFmtId="0" fontId="8" fillId="0" borderId="22" xfId="0" applyFont="1" applyBorder="1" applyAlignment="1">
      <alignment vertical="center" wrapText="1"/>
    </xf>
    <xf numFmtId="0" fontId="6" fillId="0" borderId="8" xfId="0" applyFont="1" applyBorder="1">
      <alignment vertical="top" wrapText="1"/>
    </xf>
    <xf numFmtId="0" fontId="6" fillId="0" borderId="9" xfId="0" applyFont="1" applyBorder="1">
      <alignment vertical="top" wrapText="1"/>
    </xf>
    <xf numFmtId="0" fontId="6" fillId="3" borderId="8" xfId="0" applyFont="1" applyFill="1" applyBorder="1" applyAlignment="1">
      <alignment wrapText="1"/>
    </xf>
    <xf numFmtId="0" fontId="6" fillId="3" borderId="9" xfId="0" applyFont="1" applyFill="1" applyBorder="1" applyAlignment="1">
      <alignment wrapText="1"/>
    </xf>
  </cellXfs>
  <cellStyles count="8">
    <cellStyle name="Comma [0]" xfId="1" xr:uid="{00000000-0005-0000-0000-00005B000000}"/>
    <cellStyle name="Currency [0]" xfId="2" xr:uid="{00000000-0005-0000-0000-00005E000000}"/>
    <cellStyle name="桁区切り" xfId="4" builtinId="6" hidden="1"/>
    <cellStyle name="常规_S005_プロトタイプデータまとめ_r07 " xfId="3" xr:uid="{00000000-0005-0000-0000-000028070000}"/>
    <cellStyle name="通貨" xfId="5" builtinId="7" hidden="1"/>
    <cellStyle name="標準" xfId="0" builtinId="0"/>
    <cellStyle name="標準_02_変更来歴例" xfId="7" xr:uid="{B2CDD96D-0284-478F-9C72-6FBE8434C36B}"/>
    <cellStyle name="標準_変更来歴_1" xfId="6" xr:uid="{5CA09F95-6EF6-4847-95E3-B11D0638EBEB}"/>
  </cellStyles>
  <dxfs count="0"/>
  <tableStyles count="0" defaultTableStyle="TableStyleMedium9" defaultPivotStyle="PivotStyleLight16"/>
  <colors>
    <mruColors>
      <color rgb="FF69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7</v>
      </c>
      <c r="B2" s="7" t="s">
        <v>0</v>
      </c>
      <c r="C2" s="8" t="s">
        <v>16</v>
      </c>
      <c r="D2" s="7" t="s">
        <v>1</v>
      </c>
      <c r="E2" s="8" t="s">
        <v>29</v>
      </c>
      <c r="F2" s="7" t="s">
        <v>65</v>
      </c>
      <c r="G2" s="8" t="s">
        <v>15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2</v>
      </c>
      <c r="C3" s="8" t="s">
        <v>17</v>
      </c>
      <c r="D3" s="7" t="s">
        <v>3</v>
      </c>
      <c r="E3" s="8" t="s">
        <v>30</v>
      </c>
      <c r="F3" s="7" t="s">
        <v>66</v>
      </c>
      <c r="G3" s="8"/>
      <c r="H3" s="5"/>
      <c r="I3" s="5"/>
    </row>
    <row r="4" spans="1:13" x14ac:dyDescent="0.2">
      <c r="A4" s="4"/>
      <c r="B4" s="7"/>
      <c r="C4" s="7"/>
      <c r="D4" s="7" t="s">
        <v>4</v>
      </c>
      <c r="E4" s="11" t="s">
        <v>31</v>
      </c>
      <c r="F4" s="7" t="s">
        <v>5</v>
      </c>
      <c r="G4" s="8" t="s">
        <v>102</v>
      </c>
      <c r="I4" s="5"/>
      <c r="J4" s="4"/>
    </row>
    <row r="5" spans="1:13" x14ac:dyDescent="0.2">
      <c r="A5" s="6" t="s">
        <v>8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2">
    <pageSetUpPr fitToPage="1"/>
  </sheetPr>
  <dimension ref="A1:U52"/>
  <sheetViews>
    <sheetView topLeftCell="A19" zoomScale="85" zoomScaleNormal="85" zoomScaleSheetLayoutView="85" workbookViewId="0">
      <selection activeCell="D24" sqref="D24"/>
    </sheetView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3.1796875" style="5" customWidth="1"/>
    <col min="5" max="5" width="25.81640625" style="5" customWidth="1"/>
    <col min="6" max="6" width="23.08984375" style="4" customWidth="1"/>
    <col min="7" max="7" width="30.81640625" style="4" customWidth="1"/>
    <col min="8" max="8" width="31.36328125" style="4" customWidth="1"/>
    <col min="9" max="10" width="15.81640625" style="4" customWidth="1"/>
    <col min="11" max="11" width="16.08984375" style="4" customWidth="1"/>
    <col min="12" max="12" width="14.36328125" style="4" customWidth="1"/>
    <col min="13" max="13" width="33.90625" style="4" bestFit="1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0" t="s">
        <v>70</v>
      </c>
      <c r="B1" s="50" t="s">
        <v>70</v>
      </c>
      <c r="C1" s="50"/>
      <c r="D1" s="1" t="s">
        <v>71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51" t="s">
        <v>70</v>
      </c>
      <c r="B2" s="22"/>
      <c r="C2" s="22"/>
      <c r="D2" s="69" t="s">
        <v>112</v>
      </c>
      <c r="E2" s="7" t="s">
        <v>0</v>
      </c>
      <c r="F2" s="52" t="str">
        <f>IF(LogicCommon!C2="","",LogicCommon!C2)</f>
        <v>MS</v>
      </c>
      <c r="G2" s="7" t="s">
        <v>1</v>
      </c>
      <c r="H2" s="52" t="str">
        <f>IF(LogicCommon!E2="","",LogicCommon!E2)</f>
        <v>MSBEL5510</v>
      </c>
      <c r="I2" s="7" t="s">
        <v>72</v>
      </c>
      <c r="J2" s="8" t="s">
        <v>32</v>
      </c>
      <c r="K2" s="7" t="s">
        <v>65</v>
      </c>
      <c r="L2" s="52" t="str">
        <f>IF(LogicCommon!G2="","",LogicCommon!G2)</f>
        <v>MC</v>
      </c>
      <c r="M2" s="5" t="s">
        <v>73</v>
      </c>
      <c r="N2" s="23" t="s">
        <v>103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3" t="s">
        <v>70</v>
      </c>
      <c r="B3" s="54"/>
      <c r="C3" s="54"/>
      <c r="D3" s="55" t="str">
        <f>IF(LogicCommon!A3="","",LogicCommon!A3)</f>
        <v/>
      </c>
      <c r="E3" s="7" t="s">
        <v>2</v>
      </c>
      <c r="F3" s="52" t="str">
        <f>IF(LogicCommon!C3="","",LogicCommon!C3)</f>
        <v>MSBE</v>
      </c>
      <c r="G3" s="7" t="s">
        <v>3</v>
      </c>
      <c r="H3" s="52" t="str">
        <f>IF(LogicCommon!E3="","",LogicCommon!E3)</f>
        <v>MSBEL_ShipSchdDtCalcService</v>
      </c>
      <c r="I3" s="7" t="s">
        <v>74</v>
      </c>
      <c r="J3" s="8" t="str">
        <f>J2</f>
        <v>ShipSchdDt_Srch01</v>
      </c>
      <c r="K3" s="7" t="s">
        <v>66</v>
      </c>
      <c r="L3" s="52" t="str">
        <f>IF(LogicCommon!G3="","",LogicCommon!G3)</f>
        <v/>
      </c>
      <c r="M3" s="56"/>
      <c r="N3" s="7"/>
      <c r="O3" s="7" t="s">
        <v>75</v>
      </c>
      <c r="P3" s="8" t="s">
        <v>76</v>
      </c>
      <c r="Q3" s="4"/>
      <c r="R3" s="5"/>
      <c r="S3" s="5"/>
      <c r="T3" s="5"/>
      <c r="U3" s="5"/>
    </row>
    <row r="4" spans="1:21" s="10" customFormat="1" x14ac:dyDescent="0.2">
      <c r="A4" s="53" t="s">
        <v>70</v>
      </c>
      <c r="B4" s="54"/>
      <c r="C4" s="54"/>
      <c r="D4" s="4"/>
      <c r="E4" s="7" t="s">
        <v>18</v>
      </c>
      <c r="F4" s="57" t="s">
        <v>77</v>
      </c>
      <c r="G4" s="7" t="s">
        <v>4</v>
      </c>
      <c r="H4" s="52" t="str">
        <f>IF(LogicCommon!E4="","",LogicCommon!E4)</f>
        <v>出荷予定日計算サービス</v>
      </c>
      <c r="I4" s="7" t="s">
        <v>78</v>
      </c>
      <c r="J4" s="8" t="s">
        <v>56</v>
      </c>
      <c r="K4" s="7" t="s">
        <v>5</v>
      </c>
      <c r="L4" s="52" t="str">
        <f>IF(LogicCommon!G4="","",LogicCommon!G4)</f>
        <v>MS.MSUDL5010</v>
      </c>
      <c r="M4" s="58" t="s">
        <v>79</v>
      </c>
      <c r="N4" s="23"/>
      <c r="O4" s="59"/>
      <c r="P4" s="4"/>
      <c r="Q4" s="4"/>
      <c r="R4" s="5"/>
      <c r="S4" s="5"/>
      <c r="T4" s="5"/>
      <c r="U4" s="5"/>
    </row>
    <row r="5" spans="1:21" s="10" customFormat="1" x14ac:dyDescent="0.2">
      <c r="A5" s="60" t="s">
        <v>70</v>
      </c>
      <c r="B5" s="50"/>
      <c r="C5" s="50"/>
      <c r="D5" s="21"/>
      <c r="E5" s="7" t="s">
        <v>80</v>
      </c>
      <c r="F5" s="57"/>
      <c r="G5" s="61"/>
      <c r="H5" s="61"/>
      <c r="I5" s="61"/>
      <c r="J5" s="61"/>
      <c r="K5" s="61"/>
      <c r="L5" s="6"/>
      <c r="M5" s="5"/>
      <c r="N5" s="5"/>
      <c r="O5" s="59"/>
      <c r="P5" s="4"/>
      <c r="Q5" s="4"/>
      <c r="R5" s="5"/>
      <c r="S5" s="5"/>
      <c r="T5" s="5"/>
      <c r="U5" s="5"/>
    </row>
    <row r="6" spans="1:21" s="10" customFormat="1" x14ac:dyDescent="0.2">
      <c r="A6" s="53" t="s">
        <v>70</v>
      </c>
      <c r="B6" s="54"/>
      <c r="C6" s="54"/>
      <c r="D6" s="4" t="s">
        <v>8</v>
      </c>
      <c r="E6" s="12" t="s">
        <v>55</v>
      </c>
      <c r="F6" s="12"/>
      <c r="G6" s="12"/>
      <c r="H6" s="12"/>
      <c r="I6" s="12"/>
      <c r="J6" s="12"/>
      <c r="K6" s="12"/>
      <c r="L6" s="62"/>
      <c r="M6" s="15" t="s">
        <v>67</v>
      </c>
      <c r="N6" s="15"/>
      <c r="O6" s="15" t="s">
        <v>67</v>
      </c>
      <c r="P6" s="15"/>
      <c r="Q6" s="15" t="s">
        <v>67</v>
      </c>
      <c r="R6" s="4"/>
      <c r="S6" s="4"/>
      <c r="T6" s="4"/>
      <c r="U6" s="4"/>
    </row>
    <row r="7" spans="1:21" s="10" customFormat="1" x14ac:dyDescent="0.2">
      <c r="A7" s="22" t="s">
        <v>19</v>
      </c>
      <c r="B7" s="22"/>
      <c r="C7" s="22"/>
      <c r="D7" s="6"/>
      <c r="E7" s="6"/>
      <c r="F7" s="6"/>
      <c r="G7" s="6"/>
      <c r="H7" s="6"/>
      <c r="I7" s="6" t="s">
        <v>20</v>
      </c>
      <c r="J7" s="6"/>
      <c r="K7" s="8" t="s">
        <v>23</v>
      </c>
      <c r="L7" s="24" t="s">
        <v>24</v>
      </c>
      <c r="M7" s="25"/>
      <c r="N7" s="24" t="s">
        <v>24</v>
      </c>
      <c r="O7" s="26"/>
      <c r="P7" s="24" t="s">
        <v>24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19</v>
      </c>
      <c r="B8" s="70"/>
      <c r="C8" s="71"/>
      <c r="D8" s="24" t="s">
        <v>113</v>
      </c>
      <c r="E8" s="24" t="s">
        <v>114</v>
      </c>
      <c r="F8" s="62"/>
      <c r="G8" s="24" t="s">
        <v>101</v>
      </c>
      <c r="H8" s="24" t="s">
        <v>115</v>
      </c>
      <c r="I8" s="62"/>
      <c r="J8" s="3"/>
      <c r="K8" s="8"/>
      <c r="L8" s="24" t="s">
        <v>25</v>
      </c>
      <c r="M8" s="25"/>
      <c r="N8" s="24" t="s">
        <v>68</v>
      </c>
      <c r="O8" s="26"/>
      <c r="P8" s="24" t="s">
        <v>69</v>
      </c>
      <c r="Q8" s="26"/>
      <c r="R8" s="3"/>
      <c r="S8" s="21"/>
      <c r="T8" s="131" t="s">
        <v>116</v>
      </c>
      <c r="U8" s="132"/>
    </row>
    <row r="9" spans="1:21" s="10" customFormat="1" ht="60" customHeight="1" x14ac:dyDescent="0.2">
      <c r="A9" s="8" t="s">
        <v>19</v>
      </c>
      <c r="B9" s="29"/>
      <c r="C9" s="30"/>
      <c r="D9" s="24" t="s">
        <v>117</v>
      </c>
      <c r="E9" s="45" t="s">
        <v>118</v>
      </c>
      <c r="F9" s="24" t="s">
        <v>119</v>
      </c>
      <c r="G9" s="24" t="s">
        <v>120</v>
      </c>
      <c r="H9" s="24" t="s">
        <v>121</v>
      </c>
      <c r="I9" s="46" t="s">
        <v>122</v>
      </c>
      <c r="J9" s="24" t="s">
        <v>123</v>
      </c>
      <c r="K9" s="69"/>
      <c r="L9" s="46"/>
      <c r="M9" s="24"/>
      <c r="N9" s="24"/>
      <c r="O9" s="24"/>
      <c r="P9" s="24"/>
      <c r="Q9" s="24"/>
      <c r="R9" s="131" t="s">
        <v>124</v>
      </c>
      <c r="S9" s="132"/>
      <c r="T9" s="131" t="s">
        <v>125</v>
      </c>
      <c r="U9" s="132"/>
    </row>
    <row r="10" spans="1:21" s="10" customFormat="1" ht="39" x14ac:dyDescent="0.2">
      <c r="A10" s="29" t="s">
        <v>26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4" t="s">
        <v>122</v>
      </c>
      <c r="M10" s="24" t="s">
        <v>123</v>
      </c>
      <c r="N10" s="24" t="s">
        <v>122</v>
      </c>
      <c r="O10" s="24" t="s">
        <v>123</v>
      </c>
      <c r="P10" s="24" t="s">
        <v>122</v>
      </c>
      <c r="Q10" s="24" t="s">
        <v>123</v>
      </c>
      <c r="R10" s="31"/>
      <c r="S10" s="31"/>
      <c r="T10" s="36"/>
      <c r="U10" s="49"/>
    </row>
    <row r="11" spans="1:21" s="10" customFormat="1" x14ac:dyDescent="0.2">
      <c r="A11" s="8">
        <v>10</v>
      </c>
      <c r="B11" s="29" t="s">
        <v>21</v>
      </c>
      <c r="C11" s="30"/>
      <c r="D11" s="23" t="s">
        <v>52</v>
      </c>
      <c r="E11" s="27" t="s">
        <v>22</v>
      </c>
      <c r="F11" s="37"/>
      <c r="G11" s="23" t="s">
        <v>57</v>
      </c>
      <c r="H11" s="28" t="s">
        <v>81</v>
      </c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33"/>
      <c r="U11" s="134"/>
    </row>
    <row r="12" spans="1:21" s="10" customFormat="1" x14ac:dyDescent="0.2">
      <c r="A12" s="8">
        <v>10</v>
      </c>
      <c r="B12" s="8"/>
      <c r="C12" s="8"/>
      <c r="D12" s="8" t="s">
        <v>28</v>
      </c>
      <c r="E12" s="26" t="s">
        <v>40</v>
      </c>
      <c r="F12" s="26"/>
      <c r="G12" s="39" t="s">
        <v>126</v>
      </c>
      <c r="H12" s="39" t="s">
        <v>82</v>
      </c>
      <c r="I12" s="8" t="s">
        <v>83</v>
      </c>
      <c r="J12" s="8" t="s">
        <v>83</v>
      </c>
      <c r="K12" s="8"/>
      <c r="L12" s="8"/>
      <c r="M12" s="8"/>
      <c r="N12" s="8"/>
      <c r="O12" s="8"/>
      <c r="P12" s="8"/>
      <c r="Q12" s="8"/>
      <c r="R12" s="131"/>
      <c r="S12" s="132"/>
      <c r="T12" s="133"/>
      <c r="U12" s="134"/>
    </row>
    <row r="13" spans="1:21" s="10" customFormat="1" ht="26" x14ac:dyDescent="0.2">
      <c r="A13" s="8">
        <v>10</v>
      </c>
      <c r="B13" s="8"/>
      <c r="C13" s="8"/>
      <c r="D13" s="8" t="s">
        <v>33</v>
      </c>
      <c r="E13" s="26" t="s">
        <v>50</v>
      </c>
      <c r="F13" s="26"/>
      <c r="G13" s="39" t="s">
        <v>127</v>
      </c>
      <c r="H13" s="39" t="s">
        <v>84</v>
      </c>
      <c r="I13" s="8" t="s">
        <v>83</v>
      </c>
      <c r="J13" s="8" t="s">
        <v>85</v>
      </c>
      <c r="K13" s="8"/>
      <c r="L13" s="8"/>
      <c r="M13" s="8"/>
      <c r="N13" s="8"/>
      <c r="O13" s="8"/>
      <c r="P13" s="8"/>
      <c r="Q13" s="8"/>
      <c r="R13" s="45"/>
      <c r="S13" s="46"/>
      <c r="T13" s="47"/>
      <c r="U13" s="48"/>
    </row>
    <row r="14" spans="1:21" s="10" customFormat="1" ht="26" x14ac:dyDescent="0.2">
      <c r="A14" s="8">
        <v>10</v>
      </c>
      <c r="B14" s="8"/>
      <c r="C14" s="8"/>
      <c r="D14" s="8" t="s">
        <v>34</v>
      </c>
      <c r="E14" s="26" t="s">
        <v>51</v>
      </c>
      <c r="F14" s="26"/>
      <c r="G14" s="39" t="s">
        <v>128</v>
      </c>
      <c r="H14" s="39" t="s">
        <v>86</v>
      </c>
      <c r="I14" s="8" t="s">
        <v>83</v>
      </c>
      <c r="J14" s="8" t="s">
        <v>85</v>
      </c>
      <c r="K14" s="8"/>
      <c r="L14" s="8"/>
      <c r="M14" s="8"/>
      <c r="N14" s="8"/>
      <c r="O14" s="8"/>
      <c r="P14" s="8"/>
      <c r="Q14" s="8"/>
      <c r="R14" s="131"/>
      <c r="S14" s="132"/>
      <c r="T14" s="133"/>
      <c r="U14" s="134"/>
    </row>
    <row r="15" spans="1:21" s="10" customFormat="1" ht="26" x14ac:dyDescent="0.2">
      <c r="A15" s="8">
        <v>10</v>
      </c>
      <c r="B15" s="8"/>
      <c r="C15" s="8"/>
      <c r="D15" s="8" t="s">
        <v>35</v>
      </c>
      <c r="E15" s="26" t="s">
        <v>41</v>
      </c>
      <c r="F15" s="26"/>
      <c r="G15" s="39" t="s">
        <v>129</v>
      </c>
      <c r="H15" s="39" t="s">
        <v>87</v>
      </c>
      <c r="I15" s="8" t="s">
        <v>83</v>
      </c>
      <c r="J15" s="8" t="s">
        <v>85</v>
      </c>
      <c r="K15" s="8"/>
      <c r="L15" s="8"/>
      <c r="M15" s="8"/>
      <c r="N15" s="8"/>
      <c r="O15" s="8"/>
      <c r="P15" s="8"/>
      <c r="Q15" s="8"/>
      <c r="R15" s="131"/>
      <c r="S15" s="132"/>
      <c r="T15" s="133"/>
      <c r="U15" s="134"/>
    </row>
    <row r="16" spans="1:21" s="10" customFormat="1" ht="26" x14ac:dyDescent="0.2">
      <c r="A16" s="8">
        <v>10</v>
      </c>
      <c r="B16" s="8"/>
      <c r="C16" s="8"/>
      <c r="D16" s="8" t="s">
        <v>36</v>
      </c>
      <c r="E16" s="26" t="s">
        <v>41</v>
      </c>
      <c r="F16" s="26"/>
      <c r="G16" s="39" t="s">
        <v>130</v>
      </c>
      <c r="H16" s="39" t="s">
        <v>88</v>
      </c>
      <c r="I16" s="8" t="s">
        <v>83</v>
      </c>
      <c r="J16" s="8" t="s">
        <v>85</v>
      </c>
      <c r="K16" s="8"/>
      <c r="L16" s="8"/>
      <c r="M16" s="8"/>
      <c r="N16" s="8"/>
      <c r="O16" s="8"/>
      <c r="P16" s="8"/>
      <c r="Q16" s="8"/>
      <c r="R16" s="131"/>
      <c r="S16" s="132"/>
      <c r="T16" s="133"/>
      <c r="U16" s="134"/>
    </row>
    <row r="17" spans="1:21" s="10" customFormat="1" x14ac:dyDescent="0.2">
      <c r="A17" s="8">
        <v>10</v>
      </c>
      <c r="B17" s="8"/>
      <c r="C17" s="8"/>
      <c r="D17" s="8" t="s">
        <v>37</v>
      </c>
      <c r="E17" s="26" t="s">
        <v>42</v>
      </c>
      <c r="F17" s="26"/>
      <c r="G17" s="39" t="s">
        <v>131</v>
      </c>
      <c r="H17" s="39" t="s">
        <v>89</v>
      </c>
      <c r="I17" s="8" t="s">
        <v>83</v>
      </c>
      <c r="J17" s="8" t="s">
        <v>85</v>
      </c>
      <c r="K17" s="8"/>
      <c r="L17" s="8"/>
      <c r="M17" s="8"/>
      <c r="N17" s="8"/>
      <c r="O17" s="8"/>
      <c r="P17" s="8"/>
      <c r="Q17" s="8"/>
      <c r="R17" s="131"/>
      <c r="S17" s="132"/>
      <c r="T17" s="133"/>
      <c r="U17" s="134"/>
    </row>
    <row r="18" spans="1:21" s="10" customFormat="1" x14ac:dyDescent="0.2">
      <c r="A18" s="8">
        <v>10</v>
      </c>
      <c r="B18" s="8"/>
      <c r="C18" s="8"/>
      <c r="D18" s="8" t="s">
        <v>38</v>
      </c>
      <c r="E18" s="26" t="s">
        <v>43</v>
      </c>
      <c r="F18" s="26"/>
      <c r="G18" s="39" t="s">
        <v>132</v>
      </c>
      <c r="H18" s="39" t="s">
        <v>90</v>
      </c>
      <c r="I18" s="8" t="s">
        <v>83</v>
      </c>
      <c r="J18" s="8" t="s">
        <v>85</v>
      </c>
      <c r="K18" s="8"/>
      <c r="L18" s="8"/>
      <c r="M18" s="8"/>
      <c r="N18" s="8"/>
      <c r="O18" s="8"/>
      <c r="P18" s="8"/>
      <c r="Q18" s="8"/>
      <c r="R18" s="131"/>
      <c r="S18" s="132"/>
      <c r="T18" s="133"/>
      <c r="U18" s="134"/>
    </row>
    <row r="19" spans="1:21" s="10" customFormat="1" x14ac:dyDescent="0.2">
      <c r="A19" s="8">
        <v>10</v>
      </c>
      <c r="B19" s="8"/>
      <c r="C19" s="8"/>
      <c r="D19" s="8" t="s">
        <v>39</v>
      </c>
      <c r="E19" s="26" t="s">
        <v>44</v>
      </c>
      <c r="F19" s="26"/>
      <c r="G19" s="39" t="s">
        <v>133</v>
      </c>
      <c r="H19" s="39" t="s">
        <v>91</v>
      </c>
      <c r="I19" s="8" t="s">
        <v>83</v>
      </c>
      <c r="J19" s="8" t="s">
        <v>85</v>
      </c>
      <c r="K19" s="8"/>
      <c r="L19" s="8"/>
      <c r="M19" s="8"/>
      <c r="N19" s="8"/>
      <c r="O19" s="8"/>
      <c r="P19" s="8"/>
      <c r="Q19" s="8"/>
      <c r="R19" s="45"/>
      <c r="S19" s="46"/>
      <c r="T19" s="47"/>
      <c r="U19" s="48"/>
    </row>
    <row r="20" spans="1:21" s="10" customFormat="1" x14ac:dyDescent="0.2">
      <c r="A20" s="8">
        <v>10</v>
      </c>
      <c r="B20" s="8"/>
      <c r="C20" s="8"/>
      <c r="D20" s="8" t="s">
        <v>54</v>
      </c>
      <c r="E20" s="26" t="s">
        <v>43</v>
      </c>
      <c r="F20" s="26"/>
      <c r="G20" s="39" t="s">
        <v>134</v>
      </c>
      <c r="H20" s="39" t="s">
        <v>92</v>
      </c>
      <c r="I20" s="8" t="s">
        <v>83</v>
      </c>
      <c r="J20" s="8" t="s">
        <v>85</v>
      </c>
      <c r="K20" s="8"/>
      <c r="L20" s="8"/>
      <c r="M20" s="8"/>
      <c r="N20" s="8"/>
      <c r="O20" s="8"/>
      <c r="P20" s="8"/>
      <c r="Q20" s="8"/>
      <c r="R20" s="131"/>
      <c r="S20" s="132"/>
      <c r="T20" s="133"/>
      <c r="U20" s="134"/>
    </row>
    <row r="21" spans="1:21" s="10" customFormat="1" x14ac:dyDescent="0.2">
      <c r="A21" s="8">
        <v>10</v>
      </c>
      <c r="B21" s="8"/>
      <c r="C21" s="8"/>
      <c r="D21" s="8" t="s">
        <v>53</v>
      </c>
      <c r="E21" s="26" t="s">
        <v>48</v>
      </c>
      <c r="F21" s="26"/>
      <c r="G21" s="39" t="s">
        <v>135</v>
      </c>
      <c r="H21" s="39" t="s">
        <v>93</v>
      </c>
      <c r="I21" s="8" t="s">
        <v>83</v>
      </c>
      <c r="J21" s="8" t="s">
        <v>85</v>
      </c>
      <c r="K21" s="8"/>
      <c r="L21" s="8"/>
      <c r="M21" s="8"/>
      <c r="N21" s="8"/>
      <c r="O21" s="8"/>
      <c r="P21" s="8"/>
      <c r="Q21" s="8"/>
      <c r="R21" s="131"/>
      <c r="S21" s="132"/>
      <c r="T21" s="133"/>
      <c r="U21" s="134"/>
    </row>
    <row r="22" spans="1:21" s="10" customFormat="1" x14ac:dyDescent="0.2">
      <c r="A22" s="8">
        <v>10</v>
      </c>
      <c r="B22" s="8"/>
      <c r="C22" s="8"/>
      <c r="D22" s="8" t="s">
        <v>45</v>
      </c>
      <c r="E22" s="26" t="s">
        <v>49</v>
      </c>
      <c r="F22" s="26"/>
      <c r="G22" s="39" t="s">
        <v>136</v>
      </c>
      <c r="H22" s="39" t="s">
        <v>94</v>
      </c>
      <c r="I22" s="8" t="s">
        <v>83</v>
      </c>
      <c r="J22" s="8" t="s">
        <v>85</v>
      </c>
      <c r="K22" s="8"/>
      <c r="L22" s="8"/>
      <c r="M22" s="8"/>
      <c r="N22" s="8"/>
      <c r="O22" s="8"/>
      <c r="P22" s="8"/>
      <c r="Q22" s="8"/>
      <c r="R22" s="131"/>
      <c r="S22" s="132"/>
      <c r="T22" s="133"/>
      <c r="U22" s="134"/>
    </row>
    <row r="23" spans="1:21" s="10" customFormat="1" x14ac:dyDescent="0.2">
      <c r="A23" s="8">
        <v>10</v>
      </c>
      <c r="B23" s="8"/>
      <c r="C23" s="8"/>
      <c r="D23" s="8" t="s">
        <v>46</v>
      </c>
      <c r="E23" s="26" t="s">
        <v>27</v>
      </c>
      <c r="F23" s="26"/>
      <c r="G23" s="39" t="s">
        <v>137</v>
      </c>
      <c r="H23" s="39" t="s">
        <v>95</v>
      </c>
      <c r="I23" s="8" t="s">
        <v>83</v>
      </c>
      <c r="J23" s="8" t="s">
        <v>85</v>
      </c>
      <c r="K23" s="8"/>
      <c r="L23" s="8"/>
      <c r="M23" s="8"/>
      <c r="N23" s="8"/>
      <c r="O23" s="8"/>
      <c r="P23" s="8"/>
      <c r="Q23" s="8"/>
      <c r="R23" s="131"/>
      <c r="S23" s="132"/>
      <c r="T23" s="133"/>
      <c r="U23" s="134"/>
    </row>
    <row r="24" spans="1:21" s="10" customFormat="1" x14ac:dyDescent="0.2">
      <c r="A24" s="8">
        <v>10</v>
      </c>
      <c r="B24" s="8"/>
      <c r="C24" s="8"/>
      <c r="D24" s="8" t="s">
        <v>47</v>
      </c>
      <c r="E24" s="26" t="s">
        <v>27</v>
      </c>
      <c r="F24" s="26"/>
      <c r="G24" s="39" t="s">
        <v>138</v>
      </c>
      <c r="H24" s="39" t="s">
        <v>96</v>
      </c>
      <c r="I24" s="8" t="s">
        <v>83</v>
      </c>
      <c r="J24" s="8" t="s">
        <v>85</v>
      </c>
      <c r="K24" s="8"/>
      <c r="L24" s="8"/>
      <c r="M24" s="8"/>
      <c r="N24" s="8"/>
      <c r="O24" s="8"/>
      <c r="P24" s="8"/>
      <c r="Q24" s="8"/>
      <c r="R24" s="131"/>
      <c r="S24" s="132"/>
      <c r="T24" s="133"/>
      <c r="U24" s="134"/>
    </row>
    <row r="25" spans="1:21" s="10" customFormat="1" ht="26" x14ac:dyDescent="0.2">
      <c r="A25" s="63">
        <v>10</v>
      </c>
      <c r="B25" s="63"/>
      <c r="C25" s="63"/>
      <c r="D25" s="63" t="s">
        <v>104</v>
      </c>
      <c r="E25" s="64" t="s">
        <v>105</v>
      </c>
      <c r="F25" s="64"/>
      <c r="G25" s="64" t="s">
        <v>139</v>
      </c>
      <c r="H25" s="64" t="s">
        <v>110</v>
      </c>
      <c r="I25" s="63" t="s">
        <v>83</v>
      </c>
      <c r="J25" s="63" t="s">
        <v>85</v>
      </c>
      <c r="K25" s="63"/>
      <c r="L25" s="63"/>
      <c r="M25" s="63"/>
      <c r="N25" s="63"/>
      <c r="O25" s="63"/>
      <c r="P25" s="63"/>
      <c r="Q25" s="63"/>
      <c r="R25" s="65"/>
      <c r="S25" s="66"/>
      <c r="T25" s="67"/>
      <c r="U25" s="68"/>
    </row>
    <row r="26" spans="1:21" s="10" customFormat="1" ht="39" x14ac:dyDescent="0.2">
      <c r="A26" s="63">
        <v>10</v>
      </c>
      <c r="B26" s="63"/>
      <c r="C26" s="63"/>
      <c r="D26" s="63" t="s">
        <v>106</v>
      </c>
      <c r="E26" s="64" t="s">
        <v>105</v>
      </c>
      <c r="F26" s="64"/>
      <c r="G26" s="64" t="s">
        <v>140</v>
      </c>
      <c r="H26" s="64" t="s">
        <v>107</v>
      </c>
      <c r="I26" s="63" t="s">
        <v>83</v>
      </c>
      <c r="J26" s="63" t="s">
        <v>85</v>
      </c>
      <c r="K26" s="63"/>
      <c r="L26" s="63"/>
      <c r="M26" s="63"/>
      <c r="N26" s="63"/>
      <c r="O26" s="63"/>
      <c r="P26" s="63"/>
      <c r="Q26" s="63"/>
      <c r="R26" s="65"/>
      <c r="S26" s="66"/>
      <c r="T26" s="67"/>
      <c r="U26" s="68"/>
    </row>
    <row r="27" spans="1:21" s="10" customFormat="1" ht="26" x14ac:dyDescent="0.2">
      <c r="A27" s="8">
        <v>10</v>
      </c>
      <c r="B27" s="8"/>
      <c r="C27" s="8"/>
      <c r="D27" s="8" t="s">
        <v>58</v>
      </c>
      <c r="E27" s="26" t="s">
        <v>59</v>
      </c>
      <c r="F27" s="26"/>
      <c r="G27" s="39" t="s">
        <v>141</v>
      </c>
      <c r="H27" s="39" t="s">
        <v>97</v>
      </c>
      <c r="I27" s="8" t="s">
        <v>85</v>
      </c>
      <c r="J27" s="8" t="s">
        <v>83</v>
      </c>
      <c r="K27" s="8"/>
      <c r="L27" s="8"/>
      <c r="M27" s="8"/>
      <c r="N27" s="8"/>
      <c r="O27" s="8"/>
      <c r="P27" s="8"/>
      <c r="Q27" s="8"/>
      <c r="R27" s="131"/>
      <c r="S27" s="132"/>
      <c r="T27" s="133"/>
      <c r="U27" s="134"/>
    </row>
    <row r="28" spans="1:21" s="10" customFormat="1" ht="26" x14ac:dyDescent="0.2">
      <c r="A28" s="8">
        <v>10</v>
      </c>
      <c r="B28" s="8"/>
      <c r="C28" s="8"/>
      <c r="D28" s="8" t="s">
        <v>60</v>
      </c>
      <c r="E28" s="26" t="s">
        <v>59</v>
      </c>
      <c r="F28" s="26"/>
      <c r="G28" s="39" t="s">
        <v>142</v>
      </c>
      <c r="H28" s="39" t="s">
        <v>98</v>
      </c>
      <c r="I28" s="8" t="s">
        <v>85</v>
      </c>
      <c r="J28" s="8" t="s">
        <v>83</v>
      </c>
      <c r="K28" s="8"/>
      <c r="L28" s="8"/>
      <c r="M28" s="8"/>
      <c r="N28" s="8"/>
      <c r="O28" s="8"/>
      <c r="P28" s="8"/>
      <c r="Q28" s="8"/>
      <c r="R28" s="131"/>
      <c r="S28" s="132"/>
      <c r="T28" s="133"/>
      <c r="U28" s="134"/>
    </row>
    <row r="29" spans="1:21" s="10" customFormat="1" x14ac:dyDescent="0.2">
      <c r="A29" s="8">
        <v>10</v>
      </c>
      <c r="B29" s="8"/>
      <c r="C29" s="8"/>
      <c r="D29" s="8" t="s">
        <v>64</v>
      </c>
      <c r="E29" s="26" t="s">
        <v>63</v>
      </c>
      <c r="F29" s="26"/>
      <c r="G29" s="39" t="s">
        <v>143</v>
      </c>
      <c r="H29" s="39" t="s">
        <v>99</v>
      </c>
      <c r="I29" s="8" t="s">
        <v>85</v>
      </c>
      <c r="J29" s="8" t="s">
        <v>83</v>
      </c>
      <c r="K29" s="8"/>
      <c r="L29" s="8"/>
      <c r="M29" s="8"/>
      <c r="N29" s="8"/>
      <c r="O29" s="8"/>
      <c r="P29" s="8"/>
      <c r="Q29" s="8"/>
      <c r="R29" s="131"/>
      <c r="S29" s="132"/>
      <c r="T29" s="133"/>
      <c r="U29" s="134"/>
    </row>
    <row r="30" spans="1:21" s="10" customFormat="1" x14ac:dyDescent="0.2">
      <c r="A30" s="8">
        <v>10</v>
      </c>
      <c r="B30" s="8"/>
      <c r="C30" s="8"/>
      <c r="D30" s="8" t="s">
        <v>61</v>
      </c>
      <c r="E30" s="26" t="s">
        <v>62</v>
      </c>
      <c r="F30" s="26"/>
      <c r="G30" s="39" t="s">
        <v>144</v>
      </c>
      <c r="H30" s="39" t="s">
        <v>100</v>
      </c>
      <c r="I30" s="8" t="s">
        <v>85</v>
      </c>
      <c r="J30" s="8" t="s">
        <v>83</v>
      </c>
      <c r="K30" s="8"/>
      <c r="L30" s="8"/>
      <c r="M30" s="8"/>
      <c r="N30" s="8"/>
      <c r="O30" s="8"/>
      <c r="P30" s="8"/>
      <c r="Q30" s="8"/>
      <c r="R30" s="131"/>
      <c r="S30" s="132"/>
      <c r="T30" s="133"/>
      <c r="U30" s="134"/>
    </row>
    <row r="31" spans="1:21" s="10" customFormat="1" x14ac:dyDescent="0.2">
      <c r="A31" s="53"/>
      <c r="U31" s="40"/>
    </row>
    <row r="32" spans="1:21" s="10" customFormat="1" x14ac:dyDescent="0.2">
      <c r="A32" s="53"/>
      <c r="U32" s="40"/>
    </row>
    <row r="33" spans="1:21" s="10" customFormat="1" x14ac:dyDescent="0.2">
      <c r="A33" s="53"/>
      <c r="U33" s="40"/>
    </row>
    <row r="34" spans="1:21" s="10" customFormat="1" x14ac:dyDescent="0.2">
      <c r="A34" s="53"/>
      <c r="U34" s="40"/>
    </row>
    <row r="35" spans="1:21" s="10" customFormat="1" x14ac:dyDescent="0.2">
      <c r="A35" s="53"/>
      <c r="U35" s="40"/>
    </row>
    <row r="36" spans="1:21" s="10" customFormat="1" x14ac:dyDescent="0.2">
      <c r="A36" s="53"/>
      <c r="U36" s="40"/>
    </row>
    <row r="37" spans="1:21" s="10" customFormat="1" x14ac:dyDescent="0.2">
      <c r="A37" s="53"/>
      <c r="U37" s="40"/>
    </row>
    <row r="38" spans="1:21" s="10" customFormat="1" x14ac:dyDescent="0.2">
      <c r="A38" s="53"/>
      <c r="U38" s="40"/>
    </row>
    <row r="39" spans="1:21" s="10" customFormat="1" x14ac:dyDescent="0.2">
      <c r="A39" s="53"/>
      <c r="U39" s="40"/>
    </row>
    <row r="40" spans="1:21" s="10" customFormat="1" x14ac:dyDescent="0.2">
      <c r="A40" s="53"/>
      <c r="U40" s="40"/>
    </row>
    <row r="41" spans="1:21" s="10" customFormat="1" x14ac:dyDescent="0.2">
      <c r="A41" s="53"/>
      <c r="U41" s="40"/>
    </row>
    <row r="42" spans="1:21" s="10" customFormat="1" x14ac:dyDescent="0.2">
      <c r="A42" s="53"/>
      <c r="U42" s="40"/>
    </row>
    <row r="43" spans="1:21" s="10" customFormat="1" x14ac:dyDescent="0.2">
      <c r="A43" s="53"/>
      <c r="U43" s="40"/>
    </row>
    <row r="44" spans="1:21" s="10" customFormat="1" x14ac:dyDescent="0.2">
      <c r="A44" s="53"/>
      <c r="U44" s="40"/>
    </row>
    <row r="45" spans="1:21" s="10" customFormat="1" x14ac:dyDescent="0.2">
      <c r="A45" s="53"/>
      <c r="U45" s="40"/>
    </row>
    <row r="46" spans="1:21" s="10" customFormat="1" x14ac:dyDescent="0.2">
      <c r="A46" s="53"/>
      <c r="U46" s="40"/>
    </row>
    <row r="47" spans="1:21" s="10" customFormat="1" x14ac:dyDescent="0.2">
      <c r="A47" s="53"/>
      <c r="U47" s="40"/>
    </row>
    <row r="48" spans="1:21" s="10" customFormat="1" x14ac:dyDescent="0.2">
      <c r="A48" s="53"/>
      <c r="U48" s="40"/>
    </row>
    <row r="49" spans="1:21" s="10" customFormat="1" x14ac:dyDescent="0.2">
      <c r="A49" s="53"/>
      <c r="U49" s="40"/>
    </row>
    <row r="50" spans="1:21" s="10" customFormat="1" x14ac:dyDescent="0.2">
      <c r="A50" s="53"/>
      <c r="U50" s="40"/>
    </row>
    <row r="51" spans="1:21" s="10" customFormat="1" x14ac:dyDescent="0.2">
      <c r="A51" s="53"/>
      <c r="U51" s="40"/>
    </row>
    <row r="52" spans="1:21" s="10" customFormat="1" ht="12.75" customHeight="1" x14ac:dyDescent="0.2">
      <c r="A52" s="60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41"/>
    </row>
  </sheetData>
  <mergeCells count="34">
    <mergeCell ref="R24:S24"/>
    <mergeCell ref="T24:U24"/>
    <mergeCell ref="R23:S23"/>
    <mergeCell ref="T23:U23"/>
    <mergeCell ref="R30:S30"/>
    <mergeCell ref="T30:U30"/>
    <mergeCell ref="R27:S27"/>
    <mergeCell ref="T27:U27"/>
    <mergeCell ref="R28:S28"/>
    <mergeCell ref="T28:U28"/>
    <mergeCell ref="R29:S29"/>
    <mergeCell ref="T29:U29"/>
    <mergeCell ref="R18:S18"/>
    <mergeCell ref="T18:U18"/>
    <mergeCell ref="R20:S20"/>
    <mergeCell ref="T20:U20"/>
    <mergeCell ref="R21:S21"/>
    <mergeCell ref="T21:U21"/>
    <mergeCell ref="T8:U8"/>
    <mergeCell ref="R9:S9"/>
    <mergeCell ref="T9:U9"/>
    <mergeCell ref="T11:U11"/>
    <mergeCell ref="R22:S22"/>
    <mergeCell ref="T22:U22"/>
    <mergeCell ref="R12:S12"/>
    <mergeCell ref="T12:U12"/>
    <mergeCell ref="R14:S14"/>
    <mergeCell ref="T14:U14"/>
    <mergeCell ref="R15:S15"/>
    <mergeCell ref="T15:U15"/>
    <mergeCell ref="R16:S16"/>
    <mergeCell ref="T16:U16"/>
    <mergeCell ref="R17:S17"/>
    <mergeCell ref="T17:U17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E35"/>
  <sheetViews>
    <sheetView tabSelected="1" zoomScale="85" zoomScaleNormal="85" workbookViewId="0">
      <selection activeCell="A5" sqref="A5:G5"/>
    </sheetView>
  </sheetViews>
  <sheetFormatPr defaultRowHeight="13" x14ac:dyDescent="0.2"/>
  <cols>
    <col min="1" max="42" width="2.08984375" style="42" customWidth="1"/>
    <col min="43" max="44" width="2.08984375" style="44" customWidth="1"/>
    <col min="45" max="71" width="2.08984375" style="42" customWidth="1"/>
    <col min="72" max="256" width="9" style="42"/>
    <col min="257" max="327" width="2.08984375" style="42" customWidth="1"/>
    <col min="328" max="512" width="9" style="42"/>
    <col min="513" max="583" width="2.08984375" style="42" customWidth="1"/>
    <col min="584" max="768" width="9" style="42"/>
    <col min="769" max="839" width="2.08984375" style="42" customWidth="1"/>
    <col min="840" max="1024" width="9" style="42"/>
    <col min="1025" max="1095" width="2.08984375" style="42" customWidth="1"/>
    <col min="1096" max="1280" width="9" style="42"/>
    <col min="1281" max="1351" width="2.08984375" style="42" customWidth="1"/>
    <col min="1352" max="1536" width="9" style="42"/>
    <col min="1537" max="1607" width="2.08984375" style="42" customWidth="1"/>
    <col min="1608" max="1792" width="9" style="42"/>
    <col min="1793" max="1863" width="2.08984375" style="42" customWidth="1"/>
    <col min="1864" max="2048" width="9" style="42"/>
    <col min="2049" max="2119" width="2.08984375" style="42" customWidth="1"/>
    <col min="2120" max="2304" width="9" style="42"/>
    <col min="2305" max="2375" width="2.08984375" style="42" customWidth="1"/>
    <col min="2376" max="2560" width="9" style="42"/>
    <col min="2561" max="2631" width="2.08984375" style="42" customWidth="1"/>
    <col min="2632" max="2816" width="9" style="42"/>
    <col min="2817" max="2887" width="2.08984375" style="42" customWidth="1"/>
    <col min="2888" max="3072" width="9" style="42"/>
    <col min="3073" max="3143" width="2.08984375" style="42" customWidth="1"/>
    <col min="3144" max="3328" width="9" style="42"/>
    <col min="3329" max="3399" width="2.08984375" style="42" customWidth="1"/>
    <col min="3400" max="3584" width="9" style="42"/>
    <col min="3585" max="3655" width="2.08984375" style="42" customWidth="1"/>
    <col min="3656" max="3840" width="9" style="42"/>
    <col min="3841" max="3911" width="2.08984375" style="42" customWidth="1"/>
    <col min="3912" max="4096" width="9" style="42"/>
    <col min="4097" max="4167" width="2.08984375" style="42" customWidth="1"/>
    <col min="4168" max="4352" width="9" style="42"/>
    <col min="4353" max="4423" width="2.08984375" style="42" customWidth="1"/>
    <col min="4424" max="4608" width="9" style="42"/>
    <col min="4609" max="4679" width="2.08984375" style="42" customWidth="1"/>
    <col min="4680" max="4864" width="9" style="42"/>
    <col min="4865" max="4935" width="2.08984375" style="42" customWidth="1"/>
    <col min="4936" max="5120" width="9" style="42"/>
    <col min="5121" max="5191" width="2.08984375" style="42" customWidth="1"/>
    <col min="5192" max="5376" width="9" style="42"/>
    <col min="5377" max="5447" width="2.08984375" style="42" customWidth="1"/>
    <col min="5448" max="5632" width="9" style="42"/>
    <col min="5633" max="5703" width="2.08984375" style="42" customWidth="1"/>
    <col min="5704" max="5888" width="9" style="42"/>
    <col min="5889" max="5959" width="2.08984375" style="42" customWidth="1"/>
    <col min="5960" max="6144" width="9" style="42"/>
    <col min="6145" max="6215" width="2.08984375" style="42" customWidth="1"/>
    <col min="6216" max="6400" width="9" style="42"/>
    <col min="6401" max="6471" width="2.08984375" style="42" customWidth="1"/>
    <col min="6472" max="6656" width="9" style="42"/>
    <col min="6657" max="6727" width="2.08984375" style="42" customWidth="1"/>
    <col min="6728" max="6912" width="9" style="42"/>
    <col min="6913" max="6983" width="2.08984375" style="42" customWidth="1"/>
    <col min="6984" max="7168" width="9" style="42"/>
    <col min="7169" max="7239" width="2.08984375" style="42" customWidth="1"/>
    <col min="7240" max="7424" width="9" style="42"/>
    <col min="7425" max="7495" width="2.08984375" style="42" customWidth="1"/>
    <col min="7496" max="7680" width="9" style="42"/>
    <col min="7681" max="7751" width="2.08984375" style="42" customWidth="1"/>
    <col min="7752" max="7936" width="9" style="42"/>
    <col min="7937" max="8007" width="2.08984375" style="42" customWidth="1"/>
    <col min="8008" max="8192" width="9" style="42"/>
    <col min="8193" max="8263" width="2.08984375" style="42" customWidth="1"/>
    <col min="8264" max="8448" width="9" style="42"/>
    <col min="8449" max="8519" width="2.08984375" style="42" customWidth="1"/>
    <col min="8520" max="8704" width="9" style="42"/>
    <col min="8705" max="8775" width="2.08984375" style="42" customWidth="1"/>
    <col min="8776" max="8960" width="9" style="42"/>
    <col min="8961" max="9031" width="2.08984375" style="42" customWidth="1"/>
    <col min="9032" max="9216" width="9" style="42"/>
    <col min="9217" max="9287" width="2.08984375" style="42" customWidth="1"/>
    <col min="9288" max="9472" width="9" style="42"/>
    <col min="9473" max="9543" width="2.08984375" style="42" customWidth="1"/>
    <col min="9544" max="9728" width="9" style="42"/>
    <col min="9729" max="9799" width="2.08984375" style="42" customWidth="1"/>
    <col min="9800" max="9984" width="9" style="42"/>
    <col min="9985" max="10055" width="2.08984375" style="42" customWidth="1"/>
    <col min="10056" max="10240" width="9" style="42"/>
    <col min="10241" max="10311" width="2.08984375" style="42" customWidth="1"/>
    <col min="10312" max="10496" width="9" style="42"/>
    <col min="10497" max="10567" width="2.08984375" style="42" customWidth="1"/>
    <col min="10568" max="10752" width="9" style="42"/>
    <col min="10753" max="10823" width="2.08984375" style="42" customWidth="1"/>
    <col min="10824" max="11008" width="9" style="42"/>
    <col min="11009" max="11079" width="2.08984375" style="42" customWidth="1"/>
    <col min="11080" max="11264" width="9" style="42"/>
    <col min="11265" max="11335" width="2.08984375" style="42" customWidth="1"/>
    <col min="11336" max="11520" width="9" style="42"/>
    <col min="11521" max="11591" width="2.08984375" style="42" customWidth="1"/>
    <col min="11592" max="11776" width="9" style="42"/>
    <col min="11777" max="11847" width="2.08984375" style="42" customWidth="1"/>
    <col min="11848" max="12032" width="9" style="42"/>
    <col min="12033" max="12103" width="2.08984375" style="42" customWidth="1"/>
    <col min="12104" max="12288" width="9" style="42"/>
    <col min="12289" max="12359" width="2.08984375" style="42" customWidth="1"/>
    <col min="12360" max="12544" width="9" style="42"/>
    <col min="12545" max="12615" width="2.08984375" style="42" customWidth="1"/>
    <col min="12616" max="12800" width="9" style="42"/>
    <col min="12801" max="12871" width="2.08984375" style="42" customWidth="1"/>
    <col min="12872" max="13056" width="9" style="42"/>
    <col min="13057" max="13127" width="2.08984375" style="42" customWidth="1"/>
    <col min="13128" max="13312" width="9" style="42"/>
    <col min="13313" max="13383" width="2.08984375" style="42" customWidth="1"/>
    <col min="13384" max="13568" width="9" style="42"/>
    <col min="13569" max="13639" width="2.08984375" style="42" customWidth="1"/>
    <col min="13640" max="13824" width="9" style="42"/>
    <col min="13825" max="13895" width="2.08984375" style="42" customWidth="1"/>
    <col min="13896" max="14080" width="9" style="42"/>
    <col min="14081" max="14151" width="2.08984375" style="42" customWidth="1"/>
    <col min="14152" max="14336" width="9" style="42"/>
    <col min="14337" max="14407" width="2.08984375" style="42" customWidth="1"/>
    <col min="14408" max="14592" width="9" style="42"/>
    <col min="14593" max="14663" width="2.08984375" style="42" customWidth="1"/>
    <col min="14664" max="14848" width="9" style="42"/>
    <col min="14849" max="14919" width="2.08984375" style="42" customWidth="1"/>
    <col min="14920" max="15104" width="9" style="42"/>
    <col min="15105" max="15175" width="2.08984375" style="42" customWidth="1"/>
    <col min="15176" max="15360" width="9" style="42"/>
    <col min="15361" max="15431" width="2.08984375" style="42" customWidth="1"/>
    <col min="15432" max="15616" width="9" style="42"/>
    <col min="15617" max="15687" width="2.08984375" style="42" customWidth="1"/>
    <col min="15688" max="15872" width="9" style="42"/>
    <col min="15873" max="15943" width="2.08984375" style="42" customWidth="1"/>
    <col min="15944" max="16128" width="9" style="42"/>
    <col min="16129" max="16199" width="2.08984375" style="42" customWidth="1"/>
    <col min="16200" max="16384" width="9" style="42"/>
  </cols>
  <sheetData>
    <row r="1" spans="1:57" ht="38.25" customHeight="1" thickBot="1" x14ac:dyDescent="0.25">
      <c r="A1" s="110" t="s">
        <v>9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1"/>
      <c r="AB1" s="111"/>
      <c r="AC1" s="111"/>
      <c r="AD1" s="111"/>
      <c r="AE1" s="111"/>
      <c r="AF1" s="111"/>
      <c r="AG1" s="111"/>
      <c r="AH1" s="111"/>
      <c r="AI1" s="111"/>
      <c r="AJ1" s="111"/>
      <c r="AK1" s="111"/>
      <c r="AL1" s="111"/>
      <c r="AM1" s="111"/>
      <c r="AN1" s="111"/>
      <c r="AO1" s="111"/>
      <c r="AP1" s="111"/>
      <c r="AQ1" s="111"/>
      <c r="AR1" s="111"/>
      <c r="AS1" s="111"/>
      <c r="AT1" s="111"/>
      <c r="AU1" s="111"/>
      <c r="AV1" s="111"/>
      <c r="AW1" s="111"/>
      <c r="AX1" s="111"/>
      <c r="AY1" s="111"/>
      <c r="AZ1" s="111"/>
      <c r="BA1" s="111"/>
      <c r="BB1" s="111"/>
      <c r="BC1" s="111"/>
      <c r="BD1" s="111"/>
      <c r="BE1" s="112"/>
    </row>
    <row r="2" spans="1:57" ht="12" customHeight="1" thickBot="1" x14ac:dyDescent="0.25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</row>
    <row r="3" spans="1:57" ht="15" customHeight="1" thickBot="1" x14ac:dyDescent="0.25">
      <c r="A3" s="113" t="s">
        <v>10</v>
      </c>
      <c r="B3" s="114"/>
      <c r="C3" s="114"/>
      <c r="D3" s="114"/>
      <c r="E3" s="114"/>
      <c r="F3" s="114"/>
      <c r="G3" s="115"/>
      <c r="H3" s="116" t="s">
        <v>11</v>
      </c>
      <c r="I3" s="114"/>
      <c r="J3" s="114"/>
      <c r="K3" s="114"/>
      <c r="L3" s="114"/>
      <c r="M3" s="114"/>
      <c r="N3" s="115"/>
      <c r="O3" s="116" t="s">
        <v>12</v>
      </c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  <c r="AA3" s="117"/>
      <c r="AB3" s="117"/>
      <c r="AC3" s="117"/>
      <c r="AD3" s="117"/>
      <c r="AE3" s="117"/>
      <c r="AF3" s="117"/>
      <c r="AG3" s="117"/>
      <c r="AH3" s="117"/>
      <c r="AI3" s="117"/>
      <c r="AJ3" s="117"/>
      <c r="AK3" s="117"/>
      <c r="AL3" s="117"/>
      <c r="AM3" s="117"/>
      <c r="AN3" s="117"/>
      <c r="AO3" s="117"/>
      <c r="AP3" s="118"/>
      <c r="AQ3" s="116" t="s">
        <v>13</v>
      </c>
      <c r="AR3" s="119"/>
      <c r="AS3" s="119"/>
      <c r="AT3" s="119"/>
      <c r="AU3" s="119"/>
      <c r="AV3" s="119"/>
      <c r="AW3" s="119"/>
      <c r="AX3" s="119"/>
      <c r="AY3" s="119"/>
      <c r="AZ3" s="119"/>
      <c r="BA3" s="119"/>
      <c r="BB3" s="119"/>
      <c r="BC3" s="119"/>
      <c r="BD3" s="119"/>
      <c r="BE3" s="120"/>
    </row>
    <row r="4" spans="1:57" ht="15" customHeight="1" x14ac:dyDescent="0.2">
      <c r="A4" s="121">
        <v>1</v>
      </c>
      <c r="B4" s="122"/>
      <c r="C4" s="122"/>
      <c r="D4" s="122"/>
      <c r="E4" s="122"/>
      <c r="F4" s="122"/>
      <c r="G4" s="123"/>
      <c r="H4" s="124"/>
      <c r="I4" s="125"/>
      <c r="J4" s="125"/>
      <c r="K4" s="125"/>
      <c r="L4" s="125"/>
      <c r="M4" s="125"/>
      <c r="N4" s="126"/>
      <c r="O4" s="124" t="s">
        <v>14</v>
      </c>
      <c r="P4" s="127"/>
      <c r="Q4" s="127"/>
      <c r="R4" s="127"/>
      <c r="S4" s="127"/>
      <c r="T4" s="127"/>
      <c r="U4" s="127"/>
      <c r="V4" s="127"/>
      <c r="W4" s="127"/>
      <c r="X4" s="127"/>
      <c r="Y4" s="127"/>
      <c r="Z4" s="127"/>
      <c r="AA4" s="127"/>
      <c r="AB4" s="127"/>
      <c r="AC4" s="127"/>
      <c r="AD4" s="127"/>
      <c r="AE4" s="127"/>
      <c r="AF4" s="127"/>
      <c r="AG4" s="127"/>
      <c r="AH4" s="127"/>
      <c r="AI4" s="127"/>
      <c r="AJ4" s="127"/>
      <c r="AK4" s="127"/>
      <c r="AL4" s="127"/>
      <c r="AM4" s="127"/>
      <c r="AN4" s="127"/>
      <c r="AO4" s="127"/>
      <c r="AP4" s="128"/>
      <c r="AQ4" s="129"/>
      <c r="AR4" s="127"/>
      <c r="AS4" s="127"/>
      <c r="AT4" s="127"/>
      <c r="AU4" s="127"/>
      <c r="AV4" s="127"/>
      <c r="AW4" s="127"/>
      <c r="AX4" s="127"/>
      <c r="AY4" s="127"/>
      <c r="AZ4" s="127"/>
      <c r="BA4" s="127"/>
      <c r="BB4" s="127"/>
      <c r="BC4" s="127"/>
      <c r="BD4" s="127"/>
      <c r="BE4" s="130"/>
    </row>
    <row r="5" spans="1:57" ht="31.5" customHeight="1" x14ac:dyDescent="0.2">
      <c r="A5" s="95">
        <v>1.1000000000000001</v>
      </c>
      <c r="B5" s="96"/>
      <c r="C5" s="96"/>
      <c r="D5" s="96"/>
      <c r="E5" s="96"/>
      <c r="F5" s="96"/>
      <c r="G5" s="97"/>
      <c r="H5" s="98" t="s">
        <v>111</v>
      </c>
      <c r="I5" s="99"/>
      <c r="J5" s="99"/>
      <c r="K5" s="99"/>
      <c r="L5" s="99"/>
      <c r="M5" s="99"/>
      <c r="N5" s="100"/>
      <c r="O5" s="85" t="s">
        <v>109</v>
      </c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  <c r="AP5" s="89"/>
      <c r="AQ5" s="101" t="s">
        <v>108</v>
      </c>
      <c r="AR5" s="102"/>
      <c r="AS5" s="102"/>
      <c r="AT5" s="102"/>
      <c r="AU5" s="102"/>
      <c r="AV5" s="102"/>
      <c r="AW5" s="102"/>
      <c r="AX5" s="102"/>
      <c r="AY5" s="102"/>
      <c r="AZ5" s="102"/>
      <c r="BA5" s="102"/>
      <c r="BB5" s="102"/>
      <c r="BC5" s="102"/>
      <c r="BD5" s="102"/>
      <c r="BE5" s="103"/>
    </row>
    <row r="6" spans="1:57" ht="15" customHeight="1" x14ac:dyDescent="0.2">
      <c r="A6" s="82">
        <v>1.2000000000000002</v>
      </c>
      <c r="B6" s="83"/>
      <c r="C6" s="83"/>
      <c r="D6" s="83"/>
      <c r="E6" s="83"/>
      <c r="F6" s="83"/>
      <c r="G6" s="84"/>
      <c r="H6" s="92"/>
      <c r="I6" s="93"/>
      <c r="J6" s="93"/>
      <c r="K6" s="93"/>
      <c r="L6" s="93"/>
      <c r="M6" s="93"/>
      <c r="N6" s="94"/>
      <c r="O6" s="104" t="s">
        <v>145</v>
      </c>
      <c r="P6" s="105"/>
      <c r="Q6" s="105"/>
      <c r="R6" s="105"/>
      <c r="S6" s="105"/>
      <c r="T6" s="105"/>
      <c r="U6" s="105"/>
      <c r="V6" s="105"/>
      <c r="W6" s="105"/>
      <c r="X6" s="105"/>
      <c r="Y6" s="105"/>
      <c r="Z6" s="105"/>
      <c r="AA6" s="105"/>
      <c r="AB6" s="105"/>
      <c r="AC6" s="105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5"/>
      <c r="AO6" s="105"/>
      <c r="AP6" s="106"/>
      <c r="AQ6" s="107" t="s">
        <v>146</v>
      </c>
      <c r="AR6" s="108"/>
      <c r="AS6" s="108"/>
      <c r="AT6" s="108"/>
      <c r="AU6" s="108"/>
      <c r="AV6" s="108"/>
      <c r="AW6" s="108"/>
      <c r="AX6" s="108"/>
      <c r="AY6" s="108"/>
      <c r="AZ6" s="108"/>
      <c r="BA6" s="108"/>
      <c r="BB6" s="108"/>
      <c r="BC6" s="108"/>
      <c r="BD6" s="108"/>
      <c r="BE6" s="109"/>
    </row>
    <row r="7" spans="1:57" ht="15" customHeight="1" x14ac:dyDescent="0.2">
      <c r="A7" s="82"/>
      <c r="B7" s="83"/>
      <c r="C7" s="83"/>
      <c r="D7" s="83"/>
      <c r="E7" s="83"/>
      <c r="F7" s="83"/>
      <c r="G7" s="84"/>
      <c r="H7" s="92"/>
      <c r="I7" s="93"/>
      <c r="J7" s="93"/>
      <c r="K7" s="93"/>
      <c r="L7" s="93"/>
      <c r="M7" s="93"/>
      <c r="N7" s="94"/>
      <c r="O7" s="85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7"/>
      <c r="AQ7" s="90"/>
      <c r="AR7" s="88"/>
      <c r="AS7" s="88"/>
      <c r="AT7" s="88"/>
      <c r="AU7" s="88"/>
      <c r="AV7" s="88"/>
      <c r="AW7" s="88"/>
      <c r="AX7" s="88"/>
      <c r="AY7" s="88"/>
      <c r="AZ7" s="88"/>
      <c r="BA7" s="88"/>
      <c r="BB7" s="88"/>
      <c r="BC7" s="88"/>
      <c r="BD7" s="88"/>
      <c r="BE7" s="91"/>
    </row>
    <row r="8" spans="1:57" ht="15" customHeight="1" x14ac:dyDescent="0.2">
      <c r="A8" s="82"/>
      <c r="B8" s="83"/>
      <c r="C8" s="83"/>
      <c r="D8" s="83"/>
      <c r="E8" s="83"/>
      <c r="F8" s="83"/>
      <c r="G8" s="84"/>
      <c r="H8" s="85"/>
      <c r="I8" s="86"/>
      <c r="J8" s="86"/>
      <c r="K8" s="86"/>
      <c r="L8" s="86"/>
      <c r="M8" s="86"/>
      <c r="N8" s="87"/>
      <c r="O8" s="85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  <c r="AP8" s="89"/>
      <c r="AQ8" s="90"/>
      <c r="AR8" s="88"/>
      <c r="AS8" s="88"/>
      <c r="AT8" s="88"/>
      <c r="AU8" s="88"/>
      <c r="AV8" s="88"/>
      <c r="AW8" s="88"/>
      <c r="AX8" s="88"/>
      <c r="AY8" s="88"/>
      <c r="AZ8" s="88"/>
      <c r="BA8" s="88"/>
      <c r="BB8" s="88"/>
      <c r="BC8" s="88"/>
      <c r="BD8" s="88"/>
      <c r="BE8" s="91"/>
    </row>
    <row r="9" spans="1:57" ht="15" customHeight="1" x14ac:dyDescent="0.2">
      <c r="A9" s="82"/>
      <c r="B9" s="83"/>
      <c r="C9" s="83"/>
      <c r="D9" s="83"/>
      <c r="E9" s="83"/>
      <c r="F9" s="83"/>
      <c r="G9" s="84"/>
      <c r="H9" s="85"/>
      <c r="I9" s="86"/>
      <c r="J9" s="86"/>
      <c r="K9" s="86"/>
      <c r="L9" s="86"/>
      <c r="M9" s="86"/>
      <c r="N9" s="87"/>
      <c r="O9" s="85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  <c r="AP9" s="89"/>
      <c r="AQ9" s="90"/>
      <c r="AR9" s="88"/>
      <c r="AS9" s="88"/>
      <c r="AT9" s="88"/>
      <c r="AU9" s="88"/>
      <c r="AV9" s="88"/>
      <c r="AW9" s="88"/>
      <c r="AX9" s="88"/>
      <c r="AY9" s="88"/>
      <c r="AZ9" s="88"/>
      <c r="BA9" s="88"/>
      <c r="BB9" s="88"/>
      <c r="BC9" s="88"/>
      <c r="BD9" s="88"/>
      <c r="BE9" s="91"/>
    </row>
    <row r="10" spans="1:57" ht="15" customHeight="1" x14ac:dyDescent="0.2">
      <c r="A10" s="82"/>
      <c r="B10" s="83"/>
      <c r="C10" s="83"/>
      <c r="D10" s="83"/>
      <c r="E10" s="83"/>
      <c r="F10" s="83"/>
      <c r="G10" s="84"/>
      <c r="H10" s="85"/>
      <c r="I10" s="86"/>
      <c r="J10" s="86"/>
      <c r="K10" s="86"/>
      <c r="L10" s="86"/>
      <c r="M10" s="86"/>
      <c r="N10" s="87"/>
      <c r="O10" s="85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  <c r="AP10" s="89"/>
      <c r="AQ10" s="90"/>
      <c r="AR10" s="88"/>
      <c r="AS10" s="88"/>
      <c r="AT10" s="88"/>
      <c r="AU10" s="88"/>
      <c r="AV10" s="88"/>
      <c r="AW10" s="88"/>
      <c r="AX10" s="88"/>
      <c r="AY10" s="88"/>
      <c r="AZ10" s="88"/>
      <c r="BA10" s="88"/>
      <c r="BB10" s="88"/>
      <c r="BC10" s="88"/>
      <c r="BD10" s="88"/>
      <c r="BE10" s="91"/>
    </row>
    <row r="11" spans="1:57" ht="15" customHeight="1" x14ac:dyDescent="0.2">
      <c r="A11" s="82"/>
      <c r="B11" s="83"/>
      <c r="C11" s="83"/>
      <c r="D11" s="83"/>
      <c r="E11" s="83"/>
      <c r="F11" s="83"/>
      <c r="G11" s="84"/>
      <c r="H11" s="85"/>
      <c r="I11" s="86"/>
      <c r="J11" s="86"/>
      <c r="K11" s="86"/>
      <c r="L11" s="86"/>
      <c r="M11" s="86"/>
      <c r="N11" s="87"/>
      <c r="O11" s="85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  <c r="AP11" s="89"/>
      <c r="AQ11" s="90"/>
      <c r="AR11" s="88"/>
      <c r="AS11" s="88"/>
      <c r="AT11" s="88"/>
      <c r="AU11" s="88"/>
      <c r="AV11" s="88"/>
      <c r="AW11" s="88"/>
      <c r="AX11" s="88"/>
      <c r="AY11" s="88"/>
      <c r="AZ11" s="88"/>
      <c r="BA11" s="88"/>
      <c r="BB11" s="88"/>
      <c r="BC11" s="88"/>
      <c r="BD11" s="88"/>
      <c r="BE11" s="91"/>
    </row>
    <row r="12" spans="1:57" ht="15" customHeight="1" x14ac:dyDescent="0.2">
      <c r="A12" s="82"/>
      <c r="B12" s="83"/>
      <c r="C12" s="83"/>
      <c r="D12" s="83"/>
      <c r="E12" s="83"/>
      <c r="F12" s="83"/>
      <c r="G12" s="84"/>
      <c r="H12" s="85"/>
      <c r="I12" s="86"/>
      <c r="J12" s="86"/>
      <c r="K12" s="86"/>
      <c r="L12" s="86"/>
      <c r="M12" s="86"/>
      <c r="N12" s="87"/>
      <c r="O12" s="85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89"/>
      <c r="AQ12" s="90"/>
      <c r="AR12" s="88"/>
      <c r="AS12" s="88"/>
      <c r="AT12" s="88"/>
      <c r="AU12" s="88"/>
      <c r="AV12" s="88"/>
      <c r="AW12" s="88"/>
      <c r="AX12" s="88"/>
      <c r="AY12" s="88"/>
      <c r="AZ12" s="88"/>
      <c r="BA12" s="88"/>
      <c r="BB12" s="88"/>
      <c r="BC12" s="88"/>
      <c r="BD12" s="88"/>
      <c r="BE12" s="91"/>
    </row>
    <row r="13" spans="1:57" ht="15" customHeight="1" x14ac:dyDescent="0.2">
      <c r="A13" s="82"/>
      <c r="B13" s="83"/>
      <c r="C13" s="83"/>
      <c r="D13" s="83"/>
      <c r="E13" s="83"/>
      <c r="F13" s="83"/>
      <c r="G13" s="84"/>
      <c r="H13" s="85"/>
      <c r="I13" s="86"/>
      <c r="J13" s="86"/>
      <c r="K13" s="86"/>
      <c r="L13" s="86"/>
      <c r="M13" s="86"/>
      <c r="N13" s="87"/>
      <c r="O13" s="85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  <c r="AP13" s="89"/>
      <c r="AQ13" s="90"/>
      <c r="AR13" s="88"/>
      <c r="AS13" s="88"/>
      <c r="AT13" s="88"/>
      <c r="AU13" s="88"/>
      <c r="AV13" s="88"/>
      <c r="AW13" s="88"/>
      <c r="AX13" s="88"/>
      <c r="AY13" s="88"/>
      <c r="AZ13" s="88"/>
      <c r="BA13" s="88"/>
      <c r="BB13" s="88"/>
      <c r="BC13" s="88"/>
      <c r="BD13" s="88"/>
      <c r="BE13" s="91"/>
    </row>
    <row r="14" spans="1:57" ht="15" customHeight="1" x14ac:dyDescent="0.2">
      <c r="A14" s="82"/>
      <c r="B14" s="83"/>
      <c r="C14" s="83"/>
      <c r="D14" s="83"/>
      <c r="E14" s="83"/>
      <c r="F14" s="83"/>
      <c r="G14" s="84"/>
      <c r="H14" s="85"/>
      <c r="I14" s="86"/>
      <c r="J14" s="86"/>
      <c r="K14" s="86"/>
      <c r="L14" s="86"/>
      <c r="M14" s="86"/>
      <c r="N14" s="87"/>
      <c r="O14" s="85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  <c r="AP14" s="89"/>
      <c r="AQ14" s="90"/>
      <c r="AR14" s="88"/>
      <c r="AS14" s="88"/>
      <c r="AT14" s="88"/>
      <c r="AU14" s="88"/>
      <c r="AV14" s="88"/>
      <c r="AW14" s="88"/>
      <c r="AX14" s="88"/>
      <c r="AY14" s="88"/>
      <c r="AZ14" s="88"/>
      <c r="BA14" s="88"/>
      <c r="BB14" s="88"/>
      <c r="BC14" s="88"/>
      <c r="BD14" s="88"/>
      <c r="BE14" s="91"/>
    </row>
    <row r="15" spans="1:57" ht="15" customHeight="1" x14ac:dyDescent="0.2">
      <c r="A15" s="82"/>
      <c r="B15" s="83"/>
      <c r="C15" s="83"/>
      <c r="D15" s="83"/>
      <c r="E15" s="83"/>
      <c r="F15" s="83"/>
      <c r="G15" s="84"/>
      <c r="H15" s="85"/>
      <c r="I15" s="86"/>
      <c r="J15" s="86"/>
      <c r="K15" s="86"/>
      <c r="L15" s="86"/>
      <c r="M15" s="86"/>
      <c r="N15" s="87"/>
      <c r="O15" s="85"/>
      <c r="P15" s="88"/>
      <c r="Q15" s="88"/>
      <c r="R15" s="88"/>
      <c r="S15" s="88"/>
      <c r="T15" s="88"/>
      <c r="U15" s="88"/>
      <c r="V15" s="88"/>
      <c r="W15" s="88"/>
      <c r="X15" s="88"/>
      <c r="Y15" s="88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  <c r="AP15" s="89"/>
      <c r="AQ15" s="90"/>
      <c r="AR15" s="88"/>
      <c r="AS15" s="88"/>
      <c r="AT15" s="88"/>
      <c r="AU15" s="88"/>
      <c r="AV15" s="88"/>
      <c r="AW15" s="88"/>
      <c r="AX15" s="88"/>
      <c r="AY15" s="88"/>
      <c r="AZ15" s="88"/>
      <c r="BA15" s="88"/>
      <c r="BB15" s="88"/>
      <c r="BC15" s="88"/>
      <c r="BD15" s="88"/>
      <c r="BE15" s="91"/>
    </row>
    <row r="16" spans="1:57" ht="15" customHeight="1" x14ac:dyDescent="0.2">
      <c r="A16" s="82"/>
      <c r="B16" s="83"/>
      <c r="C16" s="83"/>
      <c r="D16" s="83"/>
      <c r="E16" s="83"/>
      <c r="F16" s="83"/>
      <c r="G16" s="84"/>
      <c r="H16" s="85"/>
      <c r="I16" s="86"/>
      <c r="J16" s="86"/>
      <c r="K16" s="86"/>
      <c r="L16" s="86"/>
      <c r="M16" s="86"/>
      <c r="N16" s="87"/>
      <c r="O16" s="85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  <c r="AP16" s="89"/>
      <c r="AQ16" s="90"/>
      <c r="AR16" s="88"/>
      <c r="AS16" s="88"/>
      <c r="AT16" s="88"/>
      <c r="AU16" s="88"/>
      <c r="AV16" s="88"/>
      <c r="AW16" s="88"/>
      <c r="AX16" s="88"/>
      <c r="AY16" s="88"/>
      <c r="AZ16" s="88"/>
      <c r="BA16" s="88"/>
      <c r="BB16" s="88"/>
      <c r="BC16" s="88"/>
      <c r="BD16" s="88"/>
      <c r="BE16" s="91"/>
    </row>
    <row r="17" spans="1:57" ht="15" customHeight="1" x14ac:dyDescent="0.2">
      <c r="A17" s="82"/>
      <c r="B17" s="83"/>
      <c r="C17" s="83"/>
      <c r="D17" s="83"/>
      <c r="E17" s="83"/>
      <c r="F17" s="83"/>
      <c r="G17" s="84"/>
      <c r="H17" s="85"/>
      <c r="I17" s="86"/>
      <c r="J17" s="86"/>
      <c r="K17" s="86"/>
      <c r="L17" s="86"/>
      <c r="M17" s="86"/>
      <c r="N17" s="87"/>
      <c r="O17" s="85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  <c r="AP17" s="89"/>
      <c r="AQ17" s="90"/>
      <c r="AR17" s="88"/>
      <c r="AS17" s="88"/>
      <c r="AT17" s="88"/>
      <c r="AU17" s="88"/>
      <c r="AV17" s="88"/>
      <c r="AW17" s="88"/>
      <c r="AX17" s="88"/>
      <c r="AY17" s="88"/>
      <c r="AZ17" s="88"/>
      <c r="BA17" s="88"/>
      <c r="BB17" s="88"/>
      <c r="BC17" s="88"/>
      <c r="BD17" s="88"/>
      <c r="BE17" s="91"/>
    </row>
    <row r="18" spans="1:57" ht="15" customHeight="1" x14ac:dyDescent="0.2">
      <c r="A18" s="82"/>
      <c r="B18" s="83"/>
      <c r="C18" s="83"/>
      <c r="D18" s="83"/>
      <c r="E18" s="83"/>
      <c r="F18" s="83"/>
      <c r="G18" s="84"/>
      <c r="H18" s="85"/>
      <c r="I18" s="86"/>
      <c r="J18" s="86"/>
      <c r="K18" s="86"/>
      <c r="L18" s="86"/>
      <c r="M18" s="86"/>
      <c r="N18" s="87"/>
      <c r="O18" s="85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  <c r="AP18" s="89"/>
      <c r="AQ18" s="90"/>
      <c r="AR18" s="88"/>
      <c r="AS18" s="88"/>
      <c r="AT18" s="88"/>
      <c r="AU18" s="88"/>
      <c r="AV18" s="88"/>
      <c r="AW18" s="88"/>
      <c r="AX18" s="88"/>
      <c r="AY18" s="88"/>
      <c r="AZ18" s="88"/>
      <c r="BA18" s="88"/>
      <c r="BB18" s="88"/>
      <c r="BC18" s="88"/>
      <c r="BD18" s="88"/>
      <c r="BE18" s="91"/>
    </row>
    <row r="19" spans="1:57" ht="15" customHeight="1" x14ac:dyDescent="0.2">
      <c r="A19" s="82"/>
      <c r="B19" s="83"/>
      <c r="C19" s="83"/>
      <c r="D19" s="83"/>
      <c r="E19" s="83"/>
      <c r="F19" s="83"/>
      <c r="G19" s="84"/>
      <c r="H19" s="85"/>
      <c r="I19" s="86"/>
      <c r="J19" s="86"/>
      <c r="K19" s="86"/>
      <c r="L19" s="86"/>
      <c r="M19" s="86"/>
      <c r="N19" s="87"/>
      <c r="O19" s="85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  <c r="AP19" s="89"/>
      <c r="AQ19" s="90"/>
      <c r="AR19" s="88"/>
      <c r="AS19" s="88"/>
      <c r="AT19" s="88"/>
      <c r="AU19" s="88"/>
      <c r="AV19" s="88"/>
      <c r="AW19" s="88"/>
      <c r="AX19" s="88"/>
      <c r="AY19" s="88"/>
      <c r="AZ19" s="88"/>
      <c r="BA19" s="88"/>
      <c r="BB19" s="88"/>
      <c r="BC19" s="88"/>
      <c r="BD19" s="88"/>
      <c r="BE19" s="91"/>
    </row>
    <row r="20" spans="1:57" ht="15" customHeight="1" x14ac:dyDescent="0.2">
      <c r="A20" s="82"/>
      <c r="B20" s="83"/>
      <c r="C20" s="83"/>
      <c r="D20" s="83"/>
      <c r="E20" s="83"/>
      <c r="F20" s="83"/>
      <c r="G20" s="84"/>
      <c r="H20" s="85"/>
      <c r="I20" s="86"/>
      <c r="J20" s="86"/>
      <c r="K20" s="86"/>
      <c r="L20" s="86"/>
      <c r="M20" s="86"/>
      <c r="N20" s="87"/>
      <c r="O20" s="85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  <c r="AP20" s="89"/>
      <c r="AQ20" s="90"/>
      <c r="AR20" s="88"/>
      <c r="AS20" s="88"/>
      <c r="AT20" s="88"/>
      <c r="AU20" s="88"/>
      <c r="AV20" s="88"/>
      <c r="AW20" s="88"/>
      <c r="AX20" s="88"/>
      <c r="AY20" s="88"/>
      <c r="AZ20" s="88"/>
      <c r="BA20" s="88"/>
      <c r="BB20" s="88"/>
      <c r="BC20" s="88"/>
      <c r="BD20" s="88"/>
      <c r="BE20" s="91"/>
    </row>
    <row r="21" spans="1:57" ht="15" customHeight="1" x14ac:dyDescent="0.2">
      <c r="A21" s="82"/>
      <c r="B21" s="83"/>
      <c r="C21" s="83"/>
      <c r="D21" s="83"/>
      <c r="E21" s="83"/>
      <c r="F21" s="83"/>
      <c r="G21" s="84"/>
      <c r="H21" s="85"/>
      <c r="I21" s="86"/>
      <c r="J21" s="86"/>
      <c r="K21" s="86"/>
      <c r="L21" s="86"/>
      <c r="M21" s="86"/>
      <c r="N21" s="87"/>
      <c r="O21" s="85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  <c r="AP21" s="89"/>
      <c r="AQ21" s="90"/>
      <c r="AR21" s="88"/>
      <c r="AS21" s="88"/>
      <c r="AT21" s="88"/>
      <c r="AU21" s="88"/>
      <c r="AV21" s="88"/>
      <c r="AW21" s="88"/>
      <c r="AX21" s="88"/>
      <c r="AY21" s="88"/>
      <c r="AZ21" s="88"/>
      <c r="BA21" s="88"/>
      <c r="BB21" s="88"/>
      <c r="BC21" s="88"/>
      <c r="BD21" s="88"/>
      <c r="BE21" s="91"/>
    </row>
    <row r="22" spans="1:57" ht="15" customHeight="1" x14ac:dyDescent="0.2">
      <c r="A22" s="82"/>
      <c r="B22" s="83"/>
      <c r="C22" s="83"/>
      <c r="D22" s="83"/>
      <c r="E22" s="83"/>
      <c r="F22" s="83"/>
      <c r="G22" s="84"/>
      <c r="H22" s="85"/>
      <c r="I22" s="86"/>
      <c r="J22" s="86"/>
      <c r="K22" s="86"/>
      <c r="L22" s="86"/>
      <c r="M22" s="86"/>
      <c r="N22" s="87"/>
      <c r="O22" s="85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  <c r="AP22" s="89"/>
      <c r="AQ22" s="90"/>
      <c r="AR22" s="88"/>
      <c r="AS22" s="88"/>
      <c r="AT22" s="88"/>
      <c r="AU22" s="88"/>
      <c r="AV22" s="88"/>
      <c r="AW22" s="88"/>
      <c r="AX22" s="88"/>
      <c r="AY22" s="88"/>
      <c r="AZ22" s="88"/>
      <c r="BA22" s="88"/>
      <c r="BB22" s="88"/>
      <c r="BC22" s="88"/>
      <c r="BD22" s="88"/>
      <c r="BE22" s="91"/>
    </row>
    <row r="23" spans="1:57" ht="15" customHeight="1" x14ac:dyDescent="0.2">
      <c r="A23" s="82"/>
      <c r="B23" s="83"/>
      <c r="C23" s="83"/>
      <c r="D23" s="83"/>
      <c r="E23" s="83"/>
      <c r="F23" s="83"/>
      <c r="G23" s="84"/>
      <c r="H23" s="85"/>
      <c r="I23" s="86"/>
      <c r="J23" s="86"/>
      <c r="K23" s="86"/>
      <c r="L23" s="86"/>
      <c r="M23" s="86"/>
      <c r="N23" s="87"/>
      <c r="O23" s="85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  <c r="AP23" s="89"/>
      <c r="AQ23" s="90"/>
      <c r="AR23" s="88"/>
      <c r="AS23" s="88"/>
      <c r="AT23" s="88"/>
      <c r="AU23" s="88"/>
      <c r="AV23" s="88"/>
      <c r="AW23" s="88"/>
      <c r="AX23" s="88"/>
      <c r="AY23" s="88"/>
      <c r="AZ23" s="88"/>
      <c r="BA23" s="88"/>
      <c r="BB23" s="88"/>
      <c r="BC23" s="88"/>
      <c r="BD23" s="88"/>
      <c r="BE23" s="91"/>
    </row>
    <row r="24" spans="1:57" ht="15" customHeight="1" x14ac:dyDescent="0.2">
      <c r="A24" s="82"/>
      <c r="B24" s="83"/>
      <c r="C24" s="83"/>
      <c r="D24" s="83"/>
      <c r="E24" s="83"/>
      <c r="F24" s="83"/>
      <c r="G24" s="84"/>
      <c r="H24" s="85"/>
      <c r="I24" s="86"/>
      <c r="J24" s="86"/>
      <c r="K24" s="86"/>
      <c r="L24" s="86"/>
      <c r="M24" s="86"/>
      <c r="N24" s="87"/>
      <c r="O24" s="85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  <c r="AP24" s="89"/>
      <c r="AQ24" s="90"/>
      <c r="AR24" s="88"/>
      <c r="AS24" s="88"/>
      <c r="AT24" s="88"/>
      <c r="AU24" s="88"/>
      <c r="AV24" s="88"/>
      <c r="AW24" s="88"/>
      <c r="AX24" s="88"/>
      <c r="AY24" s="88"/>
      <c r="AZ24" s="88"/>
      <c r="BA24" s="88"/>
      <c r="BB24" s="88"/>
      <c r="BC24" s="88"/>
      <c r="BD24" s="88"/>
      <c r="BE24" s="91"/>
    </row>
    <row r="25" spans="1:57" ht="15" customHeight="1" x14ac:dyDescent="0.2">
      <c r="A25" s="82"/>
      <c r="B25" s="83"/>
      <c r="C25" s="83"/>
      <c r="D25" s="83"/>
      <c r="E25" s="83"/>
      <c r="F25" s="83"/>
      <c r="G25" s="84"/>
      <c r="H25" s="85"/>
      <c r="I25" s="86"/>
      <c r="J25" s="86"/>
      <c r="K25" s="86"/>
      <c r="L25" s="86"/>
      <c r="M25" s="86"/>
      <c r="N25" s="87"/>
      <c r="O25" s="85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  <c r="AP25" s="89"/>
      <c r="AQ25" s="90"/>
      <c r="AR25" s="88"/>
      <c r="AS25" s="88"/>
      <c r="AT25" s="88"/>
      <c r="AU25" s="88"/>
      <c r="AV25" s="88"/>
      <c r="AW25" s="88"/>
      <c r="AX25" s="88"/>
      <c r="AY25" s="88"/>
      <c r="AZ25" s="88"/>
      <c r="BA25" s="88"/>
      <c r="BB25" s="88"/>
      <c r="BC25" s="88"/>
      <c r="BD25" s="88"/>
      <c r="BE25" s="91"/>
    </row>
    <row r="26" spans="1:57" ht="15" customHeight="1" x14ac:dyDescent="0.2">
      <c r="A26" s="82"/>
      <c r="B26" s="83"/>
      <c r="C26" s="83"/>
      <c r="D26" s="83"/>
      <c r="E26" s="83"/>
      <c r="F26" s="83"/>
      <c r="G26" s="84"/>
      <c r="H26" s="85"/>
      <c r="I26" s="86"/>
      <c r="J26" s="86"/>
      <c r="K26" s="86"/>
      <c r="L26" s="86"/>
      <c r="M26" s="86"/>
      <c r="N26" s="87"/>
      <c r="O26" s="85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  <c r="AP26" s="89"/>
      <c r="AQ26" s="90"/>
      <c r="AR26" s="88"/>
      <c r="AS26" s="88"/>
      <c r="AT26" s="88"/>
      <c r="AU26" s="88"/>
      <c r="AV26" s="88"/>
      <c r="AW26" s="88"/>
      <c r="AX26" s="88"/>
      <c r="AY26" s="88"/>
      <c r="AZ26" s="88"/>
      <c r="BA26" s="88"/>
      <c r="BB26" s="88"/>
      <c r="BC26" s="88"/>
      <c r="BD26" s="88"/>
      <c r="BE26" s="91"/>
    </row>
    <row r="27" spans="1:57" ht="15" customHeight="1" x14ac:dyDescent="0.2">
      <c r="A27" s="82"/>
      <c r="B27" s="83"/>
      <c r="C27" s="83"/>
      <c r="D27" s="83"/>
      <c r="E27" s="83"/>
      <c r="F27" s="83"/>
      <c r="G27" s="84"/>
      <c r="H27" s="85"/>
      <c r="I27" s="86"/>
      <c r="J27" s="86"/>
      <c r="K27" s="86"/>
      <c r="L27" s="86"/>
      <c r="M27" s="86"/>
      <c r="N27" s="87"/>
      <c r="O27" s="85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  <c r="AP27" s="89"/>
      <c r="AQ27" s="90"/>
      <c r="AR27" s="88"/>
      <c r="AS27" s="88"/>
      <c r="AT27" s="88"/>
      <c r="AU27" s="88"/>
      <c r="AV27" s="88"/>
      <c r="AW27" s="88"/>
      <c r="AX27" s="88"/>
      <c r="AY27" s="88"/>
      <c r="AZ27" s="88"/>
      <c r="BA27" s="88"/>
      <c r="BB27" s="88"/>
      <c r="BC27" s="88"/>
      <c r="BD27" s="88"/>
      <c r="BE27" s="91"/>
    </row>
    <row r="28" spans="1:57" ht="15" customHeight="1" x14ac:dyDescent="0.2">
      <c r="A28" s="82"/>
      <c r="B28" s="83"/>
      <c r="C28" s="83"/>
      <c r="D28" s="83"/>
      <c r="E28" s="83"/>
      <c r="F28" s="83"/>
      <c r="G28" s="84"/>
      <c r="H28" s="85"/>
      <c r="I28" s="86"/>
      <c r="J28" s="86"/>
      <c r="K28" s="86"/>
      <c r="L28" s="86"/>
      <c r="M28" s="86"/>
      <c r="N28" s="87"/>
      <c r="O28" s="85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  <c r="AP28" s="89"/>
      <c r="AQ28" s="90"/>
      <c r="AR28" s="88"/>
      <c r="AS28" s="88"/>
      <c r="AT28" s="88"/>
      <c r="AU28" s="88"/>
      <c r="AV28" s="88"/>
      <c r="AW28" s="88"/>
      <c r="AX28" s="88"/>
      <c r="AY28" s="88"/>
      <c r="AZ28" s="88"/>
      <c r="BA28" s="88"/>
      <c r="BB28" s="88"/>
      <c r="BC28" s="88"/>
      <c r="BD28" s="88"/>
      <c r="BE28" s="91"/>
    </row>
    <row r="29" spans="1:57" ht="15" customHeight="1" x14ac:dyDescent="0.2">
      <c r="A29" s="82"/>
      <c r="B29" s="83"/>
      <c r="C29" s="83"/>
      <c r="D29" s="83"/>
      <c r="E29" s="83"/>
      <c r="F29" s="83"/>
      <c r="G29" s="84"/>
      <c r="H29" s="85"/>
      <c r="I29" s="86"/>
      <c r="J29" s="86"/>
      <c r="K29" s="86"/>
      <c r="L29" s="86"/>
      <c r="M29" s="86"/>
      <c r="N29" s="87"/>
      <c r="O29" s="85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  <c r="AP29" s="89"/>
      <c r="AQ29" s="90"/>
      <c r="AR29" s="88"/>
      <c r="AS29" s="88"/>
      <c r="AT29" s="88"/>
      <c r="AU29" s="88"/>
      <c r="AV29" s="88"/>
      <c r="AW29" s="88"/>
      <c r="AX29" s="88"/>
      <c r="AY29" s="88"/>
      <c r="AZ29" s="88"/>
      <c r="BA29" s="88"/>
      <c r="BB29" s="88"/>
      <c r="BC29" s="88"/>
      <c r="BD29" s="88"/>
      <c r="BE29" s="91"/>
    </row>
    <row r="30" spans="1:57" ht="15" customHeight="1" x14ac:dyDescent="0.2">
      <c r="A30" s="82"/>
      <c r="B30" s="83"/>
      <c r="C30" s="83"/>
      <c r="D30" s="83"/>
      <c r="E30" s="83"/>
      <c r="F30" s="83"/>
      <c r="G30" s="84"/>
      <c r="H30" s="85"/>
      <c r="I30" s="86"/>
      <c r="J30" s="86"/>
      <c r="K30" s="86"/>
      <c r="L30" s="86"/>
      <c r="M30" s="86"/>
      <c r="N30" s="87"/>
      <c r="O30" s="85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  <c r="AP30" s="89"/>
      <c r="AQ30" s="90"/>
      <c r="AR30" s="88"/>
      <c r="AS30" s="88"/>
      <c r="AT30" s="88"/>
      <c r="AU30" s="88"/>
      <c r="AV30" s="88"/>
      <c r="AW30" s="88"/>
      <c r="AX30" s="88"/>
      <c r="AY30" s="88"/>
      <c r="AZ30" s="88"/>
      <c r="BA30" s="88"/>
      <c r="BB30" s="88"/>
      <c r="BC30" s="88"/>
      <c r="BD30" s="88"/>
      <c r="BE30" s="91"/>
    </row>
    <row r="31" spans="1:57" ht="15" customHeight="1" x14ac:dyDescent="0.2">
      <c r="A31" s="82"/>
      <c r="B31" s="83"/>
      <c r="C31" s="83"/>
      <c r="D31" s="83"/>
      <c r="E31" s="83"/>
      <c r="F31" s="83"/>
      <c r="G31" s="84"/>
      <c r="H31" s="85"/>
      <c r="I31" s="86"/>
      <c r="J31" s="86"/>
      <c r="K31" s="86"/>
      <c r="L31" s="86"/>
      <c r="M31" s="86"/>
      <c r="N31" s="87"/>
      <c r="O31" s="85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  <c r="AP31" s="89"/>
      <c r="AQ31" s="90"/>
      <c r="AR31" s="88"/>
      <c r="AS31" s="88"/>
      <c r="AT31" s="88"/>
      <c r="AU31" s="88"/>
      <c r="AV31" s="88"/>
      <c r="AW31" s="88"/>
      <c r="AX31" s="88"/>
      <c r="AY31" s="88"/>
      <c r="AZ31" s="88"/>
      <c r="BA31" s="88"/>
      <c r="BB31" s="88"/>
      <c r="BC31" s="88"/>
      <c r="BD31" s="88"/>
      <c r="BE31" s="91"/>
    </row>
    <row r="32" spans="1:57" ht="15" customHeight="1" x14ac:dyDescent="0.2">
      <c r="A32" s="82"/>
      <c r="B32" s="83"/>
      <c r="C32" s="83"/>
      <c r="D32" s="83"/>
      <c r="E32" s="83"/>
      <c r="F32" s="83"/>
      <c r="G32" s="84"/>
      <c r="H32" s="85"/>
      <c r="I32" s="86"/>
      <c r="J32" s="86"/>
      <c r="K32" s="86"/>
      <c r="L32" s="86"/>
      <c r="M32" s="86"/>
      <c r="N32" s="87"/>
      <c r="O32" s="85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  <c r="AP32" s="89"/>
      <c r="AQ32" s="90"/>
      <c r="AR32" s="88"/>
      <c r="AS32" s="88"/>
      <c r="AT32" s="88"/>
      <c r="AU32" s="88"/>
      <c r="AV32" s="88"/>
      <c r="AW32" s="88"/>
      <c r="AX32" s="88"/>
      <c r="AY32" s="88"/>
      <c r="AZ32" s="88"/>
      <c r="BA32" s="88"/>
      <c r="BB32" s="88"/>
      <c r="BC32" s="88"/>
      <c r="BD32" s="88"/>
      <c r="BE32" s="91"/>
    </row>
    <row r="33" spans="1:57" ht="15" customHeight="1" x14ac:dyDescent="0.2">
      <c r="A33" s="82"/>
      <c r="B33" s="83"/>
      <c r="C33" s="83"/>
      <c r="D33" s="83"/>
      <c r="E33" s="83"/>
      <c r="F33" s="83"/>
      <c r="G33" s="84"/>
      <c r="H33" s="85"/>
      <c r="I33" s="86"/>
      <c r="J33" s="86"/>
      <c r="K33" s="86"/>
      <c r="L33" s="86"/>
      <c r="M33" s="86"/>
      <c r="N33" s="87"/>
      <c r="O33" s="85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  <c r="AP33" s="89"/>
      <c r="AQ33" s="90"/>
      <c r="AR33" s="88"/>
      <c r="AS33" s="88"/>
      <c r="AT33" s="88"/>
      <c r="AU33" s="88"/>
      <c r="AV33" s="88"/>
      <c r="AW33" s="88"/>
      <c r="AX33" s="88"/>
      <c r="AY33" s="88"/>
      <c r="AZ33" s="88"/>
      <c r="BA33" s="88"/>
      <c r="BB33" s="88"/>
      <c r="BC33" s="88"/>
      <c r="BD33" s="88"/>
      <c r="BE33" s="91"/>
    </row>
    <row r="34" spans="1:57" ht="15" customHeight="1" x14ac:dyDescent="0.2">
      <c r="A34" s="82"/>
      <c r="B34" s="83"/>
      <c r="C34" s="83"/>
      <c r="D34" s="83"/>
      <c r="E34" s="83"/>
      <c r="F34" s="83"/>
      <c r="G34" s="84"/>
      <c r="H34" s="85"/>
      <c r="I34" s="86"/>
      <c r="J34" s="86"/>
      <c r="K34" s="86"/>
      <c r="L34" s="86"/>
      <c r="M34" s="86"/>
      <c r="N34" s="87"/>
      <c r="O34" s="85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  <c r="AP34" s="89"/>
      <c r="AQ34" s="90"/>
      <c r="AR34" s="88"/>
      <c r="AS34" s="88"/>
      <c r="AT34" s="88"/>
      <c r="AU34" s="88"/>
      <c r="AV34" s="88"/>
      <c r="AW34" s="88"/>
      <c r="AX34" s="88"/>
      <c r="AY34" s="88"/>
      <c r="AZ34" s="88"/>
      <c r="BA34" s="88"/>
      <c r="BB34" s="88"/>
      <c r="BC34" s="88"/>
      <c r="BD34" s="88"/>
      <c r="BE34" s="91"/>
    </row>
    <row r="35" spans="1:57" ht="15" customHeight="1" thickBot="1" x14ac:dyDescent="0.25">
      <c r="A35" s="72"/>
      <c r="B35" s="73"/>
      <c r="C35" s="73"/>
      <c r="D35" s="73"/>
      <c r="E35" s="73"/>
      <c r="F35" s="73"/>
      <c r="G35" s="74"/>
      <c r="H35" s="75"/>
      <c r="I35" s="76"/>
      <c r="J35" s="76"/>
      <c r="K35" s="76"/>
      <c r="L35" s="76"/>
      <c r="M35" s="76"/>
      <c r="N35" s="77"/>
      <c r="O35" s="75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  <c r="AA35" s="78"/>
      <c r="AB35" s="78"/>
      <c r="AC35" s="78"/>
      <c r="AD35" s="78"/>
      <c r="AE35" s="78"/>
      <c r="AF35" s="78"/>
      <c r="AG35" s="78"/>
      <c r="AH35" s="78"/>
      <c r="AI35" s="78"/>
      <c r="AJ35" s="78"/>
      <c r="AK35" s="78"/>
      <c r="AL35" s="78"/>
      <c r="AM35" s="78"/>
      <c r="AN35" s="78"/>
      <c r="AO35" s="78"/>
      <c r="AP35" s="79"/>
      <c r="AQ35" s="80"/>
      <c r="AR35" s="78"/>
      <c r="AS35" s="78"/>
      <c r="AT35" s="78"/>
      <c r="AU35" s="78"/>
      <c r="AV35" s="78"/>
      <c r="AW35" s="78"/>
      <c r="AX35" s="78"/>
      <c r="AY35" s="78"/>
      <c r="AZ35" s="78"/>
      <c r="BA35" s="78"/>
      <c r="BB35" s="78"/>
      <c r="BC35" s="78"/>
      <c r="BD35" s="78"/>
      <c r="BE35" s="81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ShipSchdDt_Srch01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2026-03-27T05:58:48Z</dcterms:modified>
  <cp:category/>
</cp:coreProperties>
</file>