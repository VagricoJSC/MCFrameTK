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CE5E185-7409-4645-9385-C08F31A92790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OPRqst_Srch01" sheetId="1" r:id="rId2"/>
    <sheet name="OPRqst_Srch02" sheetId="5" r:id="rId3"/>
    <sheet name="OPRqst_Chk01" sheetId="7" r:id="rId4"/>
    <sheet name="OPRqst_Ins01" sheetId="6" r:id="rId5"/>
    <sheet name="来歴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F4" i="7"/>
  <c r="L3" i="7"/>
  <c r="H3" i="7"/>
  <c r="F3" i="7"/>
  <c r="D3" i="7"/>
  <c r="L2" i="7"/>
  <c r="H2" i="7"/>
  <c r="F2" i="7"/>
  <c r="L4" i="6"/>
  <c r="H4" i="6"/>
  <c r="F4" i="6"/>
  <c r="L3" i="6"/>
  <c r="H3" i="6"/>
  <c r="F3" i="6"/>
  <c r="D3" i="6"/>
  <c r="L2" i="6"/>
  <c r="H2" i="6"/>
  <c r="F2" i="6"/>
  <c r="L4" i="5" l="1"/>
  <c r="H4" i="5"/>
  <c r="F4" i="5"/>
  <c r="L3" i="5"/>
  <c r="H3" i="5"/>
  <c r="F3" i="5"/>
  <c r="D3" i="5"/>
  <c r="L2" i="5"/>
  <c r="H2" i="5"/>
  <c r="F2" i="5"/>
  <c r="L4" i="1" l="1"/>
  <c r="L3" i="1"/>
  <c r="L2" i="1"/>
  <c r="H4" i="1"/>
  <c r="H3" i="1"/>
  <c r="H2" i="1"/>
  <c r="F4" i="1"/>
  <c r="F3" i="1"/>
  <c r="F2" i="1"/>
  <c r="D3" i="1"/>
</calcChain>
</file>

<file path=xl/sharedStrings.xml><?xml version="1.0" encoding="utf-8"?>
<sst xmlns="http://schemas.openxmlformats.org/spreadsheetml/2006/main" count="1191" uniqueCount="404">
  <si>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</si>
  <si>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</si>
  <si>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</si>
  <si>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</si>
  <si>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</si>
  <si>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</si>
  <si>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</si>
  <si>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</si>
  <si>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</si>
  <si>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</si>
  <si>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</si>
  <si>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</si>
  <si>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</si>
  <si>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</si>
  <si>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</si>
  <si>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</si>
  <si>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</si>
  <si>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</si>
  <si>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</si>
  <si>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</si>
  <si>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</si>
  <si>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</si>
  <si>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</si>
  <si>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</si>
  <si>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</si>
  <si>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</si>
  <si>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mfg_loc_nm</t>
    <phoneticPr fontId="1"/>
  </si>
  <si>
    <t>MSBE</t>
    <phoneticPr fontId="5"/>
  </si>
  <si>
    <t>master_dt</t>
    <phoneticPr fontId="5"/>
  </si>
  <si>
    <t>strg_loc_cd</t>
    <phoneticPr fontId="1"/>
  </si>
  <si>
    <t>#MA.DT</t>
  </si>
  <si>
    <t>#MA.WG_CD</t>
  </si>
  <si>
    <t>#MA.WG_NM</t>
  </si>
  <si>
    <t>#MA.LOC_CD</t>
  </si>
  <si>
    <t>#MA.LOC_NM</t>
  </si>
  <si>
    <t>itm_cd</t>
    <phoneticPr fontId="1"/>
  </si>
  <si>
    <t>itm_sub1</t>
    <phoneticPr fontId="1"/>
  </si>
  <si>
    <t>itm_sub2</t>
  </si>
  <si>
    <t>itm_sub3</t>
  </si>
  <si>
    <t>#MA.ITM_CD</t>
    <phoneticPr fontId="1"/>
  </si>
  <si>
    <t>#MA.ITM_SUB1</t>
    <phoneticPr fontId="1"/>
  </si>
  <si>
    <t>#MA.ITM_SUB2</t>
  </si>
  <si>
    <t>#MA.ITM_SUB3</t>
  </si>
  <si>
    <t>#MA.FLG</t>
    <phoneticPr fontId="1"/>
  </si>
  <si>
    <t>L</t>
    <phoneticPr fontId="1"/>
  </si>
  <si>
    <t>strg_loc_cd</t>
    <phoneticPr fontId="1"/>
  </si>
  <si>
    <t>mfg_loc_cd</t>
    <phoneticPr fontId="1"/>
  </si>
  <si>
    <t>bom_ptn</t>
    <phoneticPr fontId="1"/>
  </si>
  <si>
    <t>#MA.BOM_PTN</t>
    <phoneticPr fontId="1"/>
  </si>
  <si>
    <t>sppl_cd</t>
    <phoneticPr fontId="1"/>
  </si>
  <si>
    <t>sppl_nm</t>
    <phoneticPr fontId="1"/>
  </si>
  <si>
    <t>#MA.BP_CD</t>
    <phoneticPr fontId="1"/>
  </si>
  <si>
    <t>#MA.BP_NM</t>
    <phoneticPr fontId="1"/>
  </si>
  <si>
    <t>maker_cd</t>
    <phoneticPr fontId="1"/>
  </si>
  <si>
    <t>maker_nm</t>
    <phoneticPr fontId="1"/>
  </si>
  <si>
    <t>rqst_loc_cd</t>
    <phoneticPr fontId="1"/>
  </si>
  <si>
    <t>rqst_loc_nm</t>
    <phoneticPr fontId="1"/>
  </si>
  <si>
    <t>#MA.LOC_CD</t>
    <phoneticPr fontId="1"/>
  </si>
  <si>
    <t>#MA.LOC_NM</t>
    <phoneticPr fontId="1"/>
  </si>
  <si>
    <t>rqst_qty</t>
    <phoneticPr fontId="1"/>
  </si>
  <si>
    <t>stk_qty</t>
    <phoneticPr fontId="1"/>
  </si>
  <si>
    <t>#MA.QTY</t>
    <phoneticPr fontId="1"/>
  </si>
  <si>
    <t>rqst_wg_nm</t>
  </si>
  <si>
    <t>検索</t>
    <rPh sb="0" eb="2">
      <t>ケンサク</t>
    </rPh>
    <phoneticPr fontId="1"/>
  </si>
  <si>
    <t>#MA.FLG</t>
  </si>
  <si>
    <t>#MS.OP_RPL_MTD_TYP</t>
    <phoneticPr fontId="1"/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</si>
  <si>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</si>
  <si>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</si>
  <si>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</si>
  <si>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</si>
  <si>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</si>
  <si>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</si>
  <si>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</si>
  <si>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</si>
  <si>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inst_po_cnt_rmrks</t>
  </si>
  <si>
    <t>#MS.INST_PO_CNT_RMRKS</t>
  </si>
  <si>
    <t>st_schd_dt</t>
  </si>
  <si>
    <t>end_schd_dt</t>
  </si>
  <si>
    <t>登録</t>
    <rPh sb="0" eb="2">
      <t>トウロク</t>
    </rPh>
    <phoneticPr fontId="5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</si>
  <si>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</si>
  <si>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</si>
  <si>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</si>
  <si>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</si>
  <si>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</si>
  <si>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</si>
  <si>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</si>
  <si>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</si>
  <si>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</si>
  <si>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</si>
  <si>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</si>
  <si>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</si>
  <si>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</si>
  <si>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</si>
  <si>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</si>
  <si>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</si>
  <si>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</si>
  <si>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</si>
  <si>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</si>
  <si>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peg_no</t>
  </si>
  <si>
    <t>#MA.INT</t>
  </si>
  <si>
    <t>err_flg</t>
  </si>
  <si>
    <t>$share$</t>
  </si>
  <si>
    <t>登録前チェック</t>
    <rPh sb="0" eb="2">
      <t>トウロク</t>
    </rPh>
    <rPh sb="2" eb="3">
      <t>マエ</t>
    </rPh>
    <phoneticPr fontId="5"/>
  </si>
  <si>
    <t>MSBEL5070</t>
    <phoneticPr fontId="5"/>
  </si>
  <si>
    <t>MSBEL_OPStkRplService</t>
    <phoneticPr fontId="5"/>
  </si>
  <si>
    <t>補充方法決定</t>
    <rPh sb="0" eb="2">
      <t>ホジュウ</t>
    </rPh>
    <rPh sb="2" eb="4">
      <t>ホウホウ</t>
    </rPh>
    <rPh sb="4" eb="6">
      <t>ケッテイ</t>
    </rPh>
    <phoneticPr fontId="5"/>
  </si>
  <si>
    <t>発注点在庫補充サービス</t>
    <rPh sb="0" eb="2">
      <t>ハッチュウ</t>
    </rPh>
    <rPh sb="2" eb="3">
      <t>テン</t>
    </rPh>
    <rPh sb="3" eb="5">
      <t>ザイコ</t>
    </rPh>
    <rPh sb="5" eb="7">
      <t>ホジュウ</t>
    </rPh>
    <phoneticPr fontId="5"/>
  </si>
  <si>
    <t>OPRqst_Srch01</t>
  </si>
  <si>
    <t>OPRqst_Srch02</t>
  </si>
  <si>
    <t>OPRqst_Chk01</t>
  </si>
  <si>
    <t>OPRqst_Ins01</t>
  </si>
  <si>
    <t>ver_no</t>
  </si>
  <si>
    <t>#MA.VER_NO</t>
  </si>
  <si>
    <t>st_schd_dt</t>
    <phoneticPr fontId="1"/>
  </si>
  <si>
    <t>op_rpl_mtd_typ</t>
    <phoneticPr fontId="1"/>
  </si>
  <si>
    <t>#MA.DEC_PLACE</t>
    <phoneticPr fontId="1"/>
  </si>
  <si>
    <t>prio</t>
  </si>
  <si>
    <t>shortage_qty</t>
    <phoneticPr fontId="1"/>
  </si>
  <si>
    <t>rqst_qty</t>
    <phoneticPr fontId="1"/>
  </si>
  <si>
    <t>dec_place</t>
    <phoneticPr fontId="1"/>
  </si>
  <si>
    <t>sppl_cd</t>
    <phoneticPr fontId="1"/>
  </si>
  <si>
    <t>op_rpl_mtd_typ</t>
    <phoneticPr fontId="1"/>
  </si>
  <si>
    <t>#MS.OP_RPL_MTD_TYP</t>
    <phoneticPr fontId="1"/>
  </si>
  <si>
    <t>end_schd_dt</t>
    <phoneticPr fontId="1"/>
  </si>
  <si>
    <t>unit_cd</t>
    <phoneticPr fontId="1"/>
  </si>
  <si>
    <t>#MA.UNIT_CD</t>
    <phoneticPr fontId="1"/>
  </si>
  <si>
    <t>unit_cd</t>
    <phoneticPr fontId="1"/>
  </si>
  <si>
    <t>#MA.UNIT_CD</t>
    <phoneticPr fontId="1"/>
  </si>
  <si>
    <t>strg_wg_cd</t>
    <phoneticPr fontId="1"/>
  </si>
  <si>
    <t>strg_site_cd</t>
    <phoneticPr fontId="1"/>
  </si>
  <si>
    <t>#MA.SITE_CD</t>
    <phoneticPr fontId="1"/>
  </si>
  <si>
    <t>strg_site_cd</t>
    <phoneticPr fontId="1"/>
  </si>
  <si>
    <t>OPRqst_Srch02_Rslt</t>
    <phoneticPr fontId="1"/>
  </si>
  <si>
    <t>OPRqst_Ins01_Rslt</t>
    <phoneticPr fontId="1"/>
  </si>
  <si>
    <t>#MA.WG_CD</t>
    <phoneticPr fontId="5"/>
  </si>
  <si>
    <t>master_dt</t>
    <phoneticPr fontId="5"/>
  </si>
  <si>
    <t>#MA.ORDER_RATIO</t>
    <phoneticPr fontId="1"/>
  </si>
  <si>
    <t>order_ratio</t>
  </si>
  <si>
    <t>strg_loc_grp_cd</t>
    <phoneticPr fontId="1"/>
  </si>
  <si>
    <t>#MA.LOC_GRP_CD</t>
    <phoneticPr fontId="1"/>
  </si>
  <si>
    <t>op_rpl_mtd_typ</t>
    <phoneticPr fontId="1"/>
  </si>
  <si>
    <t>mfg_loc_grp_cd</t>
    <phoneticPr fontId="1"/>
  </si>
  <si>
    <t>#MS.OP_RPL_MTD_TYP</t>
    <phoneticPr fontId="1"/>
  </si>
  <si>
    <t>strg_wg_cd</t>
    <phoneticPr fontId="1"/>
  </si>
  <si>
    <t>rqst_loc_cd</t>
    <phoneticPr fontId="1"/>
  </si>
  <si>
    <t>rqst_wg_cd</t>
    <phoneticPr fontId="1"/>
  </si>
  <si>
    <t>rqst_loc_cd</t>
    <phoneticPr fontId="1"/>
  </si>
  <si>
    <t>rqst_wg_cd</t>
    <phoneticPr fontId="1"/>
  </si>
  <si>
    <t>gi_schd_qty</t>
    <phoneticPr fontId="1"/>
  </si>
  <si>
    <t>gr_schd_qty</t>
    <phoneticPr fontId="1"/>
  </si>
  <si>
    <t>gi_schd_cont_qty</t>
    <phoneticPr fontId="1"/>
  </si>
  <si>
    <t>mfg_loc_sppl_cd</t>
    <phoneticPr fontId="1"/>
  </si>
  <si>
    <t>L</t>
  </si>
  <si>
    <t>rord_stk_qty</t>
  </si>
  <si>
    <t>gi_loc_cd</t>
  </si>
  <si>
    <t>OPRqst_Srch01_Rslt</t>
    <phoneticPr fontId="1"/>
  </si>
  <si>
    <t>gr_schd_dt_to</t>
    <phoneticPr fontId="5"/>
  </si>
  <si>
    <t>gi_schd_dt_to</t>
    <phoneticPr fontId="5"/>
  </si>
  <si>
    <t>OPRqst_Srch01_Cnd</t>
    <phoneticPr fontId="1"/>
  </si>
  <si>
    <t>gr_schd_cont_qty</t>
    <phoneticPr fontId="1"/>
  </si>
  <si>
    <t>#MA.CONT_QTY</t>
    <phoneticPr fontId="1"/>
  </si>
  <si>
    <t>stk_cont_qty</t>
    <phoneticPr fontId="1"/>
  </si>
  <si>
    <t>#MA.CONT_QTY</t>
    <phoneticPr fontId="1"/>
  </si>
  <si>
    <t>shortage_cont_qty</t>
    <phoneticPr fontId="1"/>
  </si>
  <si>
    <t>shortage_flg</t>
  </si>
  <si>
    <t>gi_schd_flg</t>
    <phoneticPr fontId="1"/>
  </si>
  <si>
    <t>rord_rqst_qty</t>
    <phoneticPr fontId="1"/>
  </si>
  <si>
    <t>rqst_wg_cd</t>
    <phoneticPr fontId="1"/>
  </si>
  <si>
    <t>OPRqst_Chk01_Rslt</t>
    <phoneticPr fontId="1"/>
  </si>
  <si>
    <t>ver_flg</t>
    <phoneticPr fontId="1"/>
  </si>
  <si>
    <t>asset_mng_typ</t>
    <phoneticPr fontId="1"/>
  </si>
  <si>
    <t>#MA.ASSET_MNG_TYP</t>
    <phoneticPr fontId="1"/>
  </si>
  <si>
    <t>screen_crct_flg</t>
    <phoneticPr fontId="5"/>
  </si>
  <si>
    <t>sno1_mng_typ</t>
    <phoneticPr fontId="1"/>
  </si>
  <si>
    <t>#MA.SNO_MNG_TYP</t>
    <phoneticPr fontId="1"/>
  </si>
  <si>
    <t>sno2_mng_typ</t>
    <phoneticPr fontId="1"/>
  </si>
  <si>
    <t>sno3_mng_typ</t>
    <phoneticPr fontId="1"/>
  </si>
  <si>
    <t>sno4_mng_typ</t>
    <phoneticPr fontId="1"/>
  </si>
  <si>
    <t>MS</t>
    <phoneticPr fontId="5"/>
  </si>
  <si>
    <t>000000</t>
    <phoneticPr fontId="1"/>
  </si>
  <si>
    <t>*</t>
    <phoneticPr fontId="1"/>
  </si>
  <si>
    <t xml:space="preserve">Ope.Body : </t>
    <phoneticPr fontId="1"/>
  </si>
  <si>
    <t>E</t>
    <phoneticPr fontId="1"/>
  </si>
  <si>
    <t>枝番３</t>
    <phoneticPr fontId="2"/>
  </si>
  <si>
    <t>-</t>
    <phoneticPr fontId="1"/>
  </si>
  <si>
    <t>発注点在庫数量</t>
    <phoneticPr fontId="1"/>
  </si>
  <si>
    <t>格納場所ＣＤ</t>
    <phoneticPr fontId="1"/>
  </si>
  <si>
    <t>super/share</t>
    <phoneticPr fontId="1"/>
  </si>
  <si>
    <t>CONST</t>
    <phoneticPr fontId="1"/>
  </si>
  <si>
    <t>TargetName</t>
    <phoneticPr fontId="1"/>
  </si>
  <si>
    <t xml:space="preserve">Ope.Name : </t>
    <phoneticPr fontId="1"/>
  </si>
  <si>
    <t>補充数量</t>
    <phoneticPr fontId="1"/>
  </si>
  <si>
    <t>小数部有効桁数</t>
    <phoneticPr fontId="1"/>
  </si>
  <si>
    <t>発注先ＣＤ</t>
    <phoneticPr fontId="1"/>
  </si>
  <si>
    <t>発注先名</t>
    <phoneticPr fontId="1"/>
  </si>
  <si>
    <t>優先順</t>
    <phoneticPr fontId="1"/>
  </si>
  <si>
    <t>TargetName</t>
    <phoneticPr fontId="1"/>
  </si>
  <si>
    <t>MA.MAUAL0010.ItmSub3</t>
    <phoneticPr fontId="1"/>
  </si>
  <si>
    <t>itm_is_srch_typ;itm_cd;itm_sub1;itm_sub2</t>
    <phoneticPr fontId="1"/>
  </si>
  <si>
    <t>資産管理区分</t>
    <phoneticPr fontId="1"/>
  </si>
  <si>
    <t>手配ＮＯ１管理区分</t>
    <phoneticPr fontId="1"/>
  </si>
  <si>
    <t>手配ＮＯ４管理区分</t>
    <phoneticPr fontId="1"/>
  </si>
  <si>
    <t>MA.MAUAL0010.Loc</t>
    <phoneticPr fontId="1"/>
  </si>
  <si>
    <t>strg_wg_cd;strg_site_cd</t>
    <phoneticPr fontId="1"/>
  </si>
  <si>
    <t>依頼数量</t>
    <phoneticPr fontId="1"/>
  </si>
  <si>
    <t>着手予定日</t>
    <phoneticPr fontId="5"/>
  </si>
  <si>
    <t>手配ＮＯ１</t>
    <phoneticPr fontId="1"/>
  </si>
  <si>
    <t>手配ＮＯ２</t>
    <phoneticPr fontId="1"/>
  </si>
  <si>
    <t>エラー</t>
    <phoneticPr fontId="1"/>
  </si>
  <si>
    <t>ImplOpe.ID:</t>
    <phoneticPr fontId="1"/>
  </si>
  <si>
    <t>TargetName</t>
    <phoneticPr fontId="1"/>
  </si>
  <si>
    <t>Ope.Method :</t>
    <phoneticPr fontId="1"/>
  </si>
  <si>
    <t>Gene.Type :</t>
    <phoneticPr fontId="1"/>
  </si>
  <si>
    <t>ID</t>
    <phoneticPr fontId="1"/>
  </si>
  <si>
    <t>Ope.ID :</t>
    <phoneticPr fontId="1"/>
  </si>
  <si>
    <t>ALL</t>
    <phoneticPr fontId="1"/>
  </si>
  <si>
    <t>品目ＣＤ</t>
    <phoneticPr fontId="2"/>
  </si>
  <si>
    <t>枝番１</t>
    <phoneticPr fontId="2"/>
  </si>
  <si>
    <t>枝番２</t>
    <phoneticPr fontId="2"/>
  </si>
  <si>
    <t>格納場所ＣＤ</t>
    <phoneticPr fontId="2"/>
  </si>
  <si>
    <t>発注点依頼数量</t>
    <phoneticPr fontId="1"/>
  </si>
  <si>
    <t>出庫予定含む</t>
    <phoneticPr fontId="1"/>
  </si>
  <si>
    <t>出庫場所ＣＤ</t>
    <phoneticPr fontId="1"/>
  </si>
  <si>
    <t>入庫予定日ＴＯ</t>
    <phoneticPr fontId="2"/>
  </si>
  <si>
    <t>出庫予定日ＴＯ</t>
    <phoneticPr fontId="2"/>
  </si>
  <si>
    <t>マスタ適用日</t>
    <phoneticPr fontId="6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</si>
  <si>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</si>
  <si>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</si>
  <si>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</si>
  <si>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</si>
  <si>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入庫数量</t>
    <phoneticPr fontId="1"/>
  </si>
  <si>
    <t>在庫数量</t>
    <phoneticPr fontId="1"/>
  </si>
  <si>
    <t>出庫数量</t>
    <phoneticPr fontId="1"/>
  </si>
  <si>
    <t>不足数量</t>
    <phoneticPr fontId="1"/>
  </si>
  <si>
    <t>入庫有効成分</t>
    <phoneticPr fontId="1"/>
  </si>
  <si>
    <t>在庫有効成分</t>
    <phoneticPr fontId="1"/>
  </si>
  <si>
    <t>出庫有効成分</t>
    <phoneticPr fontId="1"/>
  </si>
  <si>
    <t>不足有効成分</t>
    <phoneticPr fontId="1"/>
  </si>
  <si>
    <t>不足</t>
    <phoneticPr fontId="1"/>
  </si>
  <si>
    <t>格納ワーキンググループＣＤ</t>
    <phoneticPr fontId="1"/>
  </si>
  <si>
    <t>格納場所Ｇ</t>
    <phoneticPr fontId="1"/>
  </si>
  <si>
    <t>補充方法区分</t>
    <phoneticPr fontId="2"/>
  </si>
  <si>
    <t>製造場所ＣＤ</t>
    <phoneticPr fontId="1"/>
  </si>
  <si>
    <t>製造場所名</t>
    <phoneticPr fontId="1"/>
  </si>
  <si>
    <t>製造場所Ｇ</t>
    <phoneticPr fontId="1"/>
  </si>
  <si>
    <t>外注先ＣＤ</t>
    <phoneticPr fontId="1"/>
  </si>
  <si>
    <t>構成パタン</t>
    <phoneticPr fontId="2"/>
  </si>
  <si>
    <t>メーカＣＤ</t>
    <phoneticPr fontId="1"/>
  </si>
  <si>
    <t>メーカ名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</si>
  <si>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</si>
  <si>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</si>
  <si>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</si>
  <si>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</si>
  <si>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オーダ比率</t>
    <phoneticPr fontId="1"/>
  </si>
  <si>
    <t>紐付けＮＯ</t>
    <phoneticPr fontId="1"/>
  </si>
  <si>
    <t>asset_mng_typ;unit_cd;ver_flg;sno1_mng_typ;sno2_mng_typ;sno3_mng_typ;sno4_mng_typ</t>
    <phoneticPr fontId="1"/>
  </si>
  <si>
    <t>MAC_ITM_IS_SRCH_TYP.STK1;itm_cd;itm_sub1;itm_sub2</t>
    <phoneticPr fontId="1"/>
  </si>
  <si>
    <t>手配ＮＯ２管理区分</t>
    <phoneticPr fontId="1"/>
  </si>
  <si>
    <t>手配ＮＯ３管理区分</t>
    <phoneticPr fontId="1"/>
  </si>
  <si>
    <t>単位ＣＤ</t>
    <phoneticPr fontId="1"/>
  </si>
  <si>
    <t>版管理対象</t>
    <phoneticPr fontId="1"/>
  </si>
  <si>
    <t>wg_cd;site_cd</t>
    <phoneticPr fontId="1"/>
  </si>
  <si>
    <t>格納ワーキンググループＣＤ</t>
    <phoneticPr fontId="2"/>
  </si>
  <si>
    <t>格納工場・物流倉庫ＣＤ</t>
    <phoneticPr fontId="2"/>
  </si>
  <si>
    <t>製造場所ＣＤ</t>
    <phoneticPr fontId="2"/>
  </si>
  <si>
    <t>op_rpl_mtd</t>
    <phoneticPr fontId="1"/>
  </si>
  <si>
    <t>MAC_LOC_IS_SRCH_TYP.COMM;true</t>
    <phoneticPr fontId="1"/>
  </si>
  <si>
    <t>loc_is_srch_typ;mode_nullval_flg</t>
    <phoneticPr fontId="1"/>
  </si>
  <si>
    <t>MA.MAUAL0010.Bp</t>
    <phoneticPr fontId="1"/>
  </si>
  <si>
    <t>MAC_BP_IS_SRCH_TYP.SPPL;true</t>
    <phoneticPr fontId="1"/>
  </si>
  <si>
    <t>bp_is_srch_typ;mode_nullval_flg</t>
    <phoneticPr fontId="1"/>
  </si>
  <si>
    <t>MAC_BP_IS_SRCH_TYP.MAKER;true</t>
    <phoneticPr fontId="1"/>
  </si>
  <si>
    <t>依頼先ワーキンググループＣＤ</t>
    <phoneticPr fontId="2"/>
  </si>
  <si>
    <t>positive</t>
    <phoneticPr fontId="1"/>
  </si>
  <si>
    <t>schd_dt:BF</t>
    <phoneticPr fontId="1"/>
  </si>
  <si>
    <t>schd_dt</t>
    <phoneticPr fontId="1"/>
  </si>
  <si>
    <t>納入希望日</t>
    <phoneticPr fontId="5"/>
  </si>
  <si>
    <t>schd_dt:AF</t>
    <phoneticPr fontId="1"/>
  </si>
  <si>
    <t>版ＮＯ</t>
    <phoneticPr fontId="1"/>
  </si>
  <si>
    <t>MA.MAUAL0010.ItmVer</t>
    <phoneticPr fontId="1"/>
  </si>
  <si>
    <t>itm_cd;itm_sub1;itm_sub2;itm_sub3;strg_site_cd</t>
    <phoneticPr fontId="1"/>
  </si>
  <si>
    <t>itm_cd;itm_sub1;itm_sub2;itm_sub3;site_cd</t>
    <phoneticPr fontId="1"/>
  </si>
  <si>
    <t>手配ＮＯ３</t>
    <phoneticPr fontId="1"/>
  </si>
  <si>
    <t>手配ＮＯ４</t>
    <phoneticPr fontId="1"/>
  </si>
  <si>
    <t>画面訂正</t>
    <phoneticPr fontId="4"/>
  </si>
  <si>
    <t>指図・発注連絡備考</t>
    <phoneticPr fontId="1"/>
  </si>
  <si>
    <t>MS.MSBEL5070.OPRqst_Chk01.OPRqst_Chk01_Rslt</t>
    <phoneticPr fontId="1"/>
  </si>
  <si>
    <t>指図・発注連絡備考</t>
    <phoneticPr fontId="5"/>
  </si>
  <si>
    <t>min_lot_qty</t>
    <phoneticPr fontId="1"/>
  </si>
  <si>
    <t>#MA.QTY</t>
  </si>
  <si>
    <t>#MA.QTY</t>
    <phoneticPr fontId="1"/>
  </si>
  <si>
    <t>最小ロット数量</t>
    <phoneticPr fontId="1"/>
  </si>
  <si>
    <t>batch_lot_qty</t>
    <phoneticPr fontId="1"/>
  </si>
  <si>
    <t>max_lot_qty</t>
    <phoneticPr fontId="1"/>
  </si>
  <si>
    <t>yield_schd_qty</t>
  </si>
  <si>
    <t>mfg_inst_qty</t>
    <phoneticPr fontId="1"/>
  </si>
  <si>
    <t>製造指図数量</t>
    <phoneticPr fontId="1"/>
  </si>
  <si>
    <t>fxd_rqmt_qty</t>
  </si>
  <si>
    <t>lot_sizing_flg</t>
    <phoneticPr fontId="1"/>
  </si>
  <si>
    <t>ロットサイジング</t>
    <phoneticPr fontId="1"/>
  </si>
  <si>
    <t>MS.MSUDL5010</t>
    <phoneticPr fontId="1"/>
  </si>
  <si>
    <t>"mcframe.serverMAUD.MAUDL5010.MAUDL_Searcher"</t>
    <phoneticPr fontId="1"/>
  </si>
  <si>
    <t>MA.MAUDL5010.Checker</t>
    <phoneticPr fontId="5"/>
  </si>
  <si>
    <t>"mcframe.serverMAUD.MAUDL5010.MAUDL_Operation"</t>
    <phoneticPr fontId="5"/>
  </si>
  <si>
    <t>刻みロット数量</t>
    <phoneticPr fontId="1"/>
  </si>
  <si>
    <t>最大ロット数量</t>
    <phoneticPr fontId="1"/>
  </si>
  <si>
    <t>出来高予定数量</t>
    <phoneticPr fontId="1"/>
  </si>
  <si>
    <t>固定必要数量</t>
    <phoneticPr fontId="1"/>
  </si>
  <si>
    <t>rqst_str_ln_cd</t>
    <phoneticPr fontId="1"/>
  </si>
  <si>
    <t>#MA.STR_LN_CD</t>
  </si>
  <si>
    <t>依頼先棚・ラインＣＤ</t>
    <phoneticPr fontId="5"/>
  </si>
  <si>
    <t>rqst_str_ln_nm</t>
    <phoneticPr fontId="1"/>
  </si>
  <si>
    <t>#MA.STR_LN_NM</t>
  </si>
  <si>
    <t>依頼先棚・ライン名</t>
    <phoneticPr fontId="5"/>
  </si>
  <si>
    <t>wg_cd</t>
    <phoneticPr fontId="1"/>
  </si>
  <si>
    <t>rqst_str_ln_tgt_flg</t>
    <phoneticPr fontId="1"/>
  </si>
  <si>
    <t>依頼先棚・ライン対象</t>
    <phoneticPr fontId="5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</si>
  <si>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</si>
  <si>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</si>
  <si>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</si>
  <si>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</si>
  <si>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</si>
  <si>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</si>
  <si>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</si>
  <si>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</si>
  <si>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</si>
  <si>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</si>
  <si>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</si>
  <si>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</si>
  <si>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</si>
  <si>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</si>
  <si>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</si>
  <si>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</si>
  <si>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</si>
  <si>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</si>
  <si>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Storage location cd.</t>
  </si>
  <si>
    <t>Reorder point inventory qty.</t>
  </si>
  <si>
    <t>Reorder point request qty.</t>
  </si>
  <si>
    <t>Include GI schedule</t>
  </si>
  <si>
    <t>GI location cd.</t>
  </si>
  <si>
    <t>Scheduled GR date TO</t>
  </si>
  <si>
    <t>Scheduled GI date TO</t>
  </si>
  <si>
    <t>Master application date</t>
  </si>
  <si>
    <t>Request qty.</t>
  </si>
  <si>
    <t>GR qty.</t>
  </si>
  <si>
    <t>Inventory qty.</t>
  </si>
  <si>
    <t>GI qty.</t>
  </si>
  <si>
    <t>Insufficient qty.</t>
  </si>
  <si>
    <t>GR active ingredient</t>
  </si>
  <si>
    <t>Inventory active ingredient</t>
  </si>
  <si>
    <t>GI active ingredient</t>
  </si>
  <si>
    <t>Shortage of active ingredient</t>
  </si>
  <si>
    <t>Shortage</t>
  </si>
  <si>
    <t>Storage WG cd.</t>
  </si>
  <si>
    <t>Storage location G</t>
  </si>
  <si>
    <t>Replenishment qty.</t>
  </si>
  <si>
    <t>Number of decimal places</t>
  </si>
  <si>
    <t>Replenishment method type</t>
  </si>
  <si>
    <t>Mfg. location cd.</t>
  </si>
  <si>
    <t>Mfg. location name</t>
  </si>
  <si>
    <t>Mfg. location G</t>
  </si>
  <si>
    <t>Subcontractor cd.</t>
  </si>
  <si>
    <t>BOM pattern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</si>
  <si>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</si>
  <si>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</si>
  <si>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</si>
  <si>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</si>
  <si>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</si>
  <si>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</si>
  <si>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For requested rack/line</t>
  </si>
  <si>
    <t>Rack/Line cd. (Requested)</t>
  </si>
  <si>
    <t>Rack/Line name (Requested)</t>
  </si>
  <si>
    <t>Requested WG cd.</t>
  </si>
  <si>
    <t>Requested WG name</t>
  </si>
  <si>
    <t>Priority</t>
  </si>
  <si>
    <t>Order ratio</t>
  </si>
  <si>
    <t>Lot sizing</t>
  </si>
  <si>
    <t>Min. lot qty.</t>
  </si>
  <si>
    <t>Increments lot qty.</t>
  </si>
  <si>
    <t>Max. lot qty.</t>
  </si>
  <si>
    <t>Output scheduled qty.</t>
  </si>
  <si>
    <t>Mfg. order qty.</t>
  </si>
  <si>
    <t>Fixed required qty.</t>
  </si>
  <si>
    <t>Pegging No.</t>
  </si>
  <si>
    <t>Asset management type</t>
  </si>
  <si>
    <t>SEIBAN No. 1 management type</t>
  </si>
  <si>
    <t>SEIBAN No. 2 management type</t>
  </si>
  <si>
    <t>SEIBAN No. 3 management type</t>
  </si>
  <si>
    <t>SEIBAN No. 4 management type</t>
  </si>
  <si>
    <t>Unit cd.</t>
  </si>
  <si>
    <t>For version control</t>
  </si>
  <si>
    <t>Storage factory/distribution warehouse cd.</t>
  </si>
  <si>
    <t>Scheduled start date</t>
  </si>
  <si>
    <t>Desired delivery date</t>
  </si>
  <si>
    <t>Version No.</t>
  </si>
  <si>
    <t>SEIBAN No. 1</t>
  </si>
  <si>
    <t>SEIBAN No. 2</t>
  </si>
  <si>
    <t>SEIBAN No. 3</t>
  </si>
  <si>
    <t>SEIBAN No. 4</t>
  </si>
  <si>
    <t>Screen correction</t>
  </si>
  <si>
    <t>Order/PO contact remarks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</si>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</sst>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/>
    <xf numFmtId="0" fontId="9" fillId="0" borderId="13" xfId="0" applyFont="1" applyBorder="1" applyAlignment="1">
      <alignment vertical="top"/>
    </xf>
    <xf numFmtId="0" fontId="9" fillId="0" borderId="33" xfId="0" applyFont="1" applyBorder="1" applyAlignment="1">
      <alignment vertical="top"/>
    </xf>
    <xf numFmtId="0" fontId="9" fillId="2" borderId="33" xfId="0" quotePrefix="1" applyFont="1" applyFill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8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center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/>
    <xf numFmtId="0" fontId="9" fillId="0" borderId="0" xfId="0" applyFont="1" applyAlignment="1">
      <alignment wrapText="1"/>
    </xf>
    <xf numFmtId="0" fontId="9" fillId="0" borderId="12" xfId="0" applyFont="1" applyBorder="1" applyAlignment="1">
      <alignment wrapText="1"/>
    </xf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vertical="center"/>
    </xf>
    <xf numFmtId="0" fontId="9" fillId="0" borderId="3" xfId="0" applyFont="1" applyBorder="1">
      <alignment vertical="top" wrapText="1"/>
    </xf>
    <xf numFmtId="0" fontId="9" fillId="0" borderId="7" xfId="0" applyFont="1" applyBorder="1">
      <alignment vertical="top" wrapText="1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top"/>
    </xf>
    <xf numFmtId="49" fontId="9" fillId="2" borderId="5" xfId="0" applyNumberFormat="1" applyFont="1" applyFill="1" applyBorder="1" applyAlignment="1">
      <alignment vertical="top"/>
    </xf>
    <xf numFmtId="49" fontId="9" fillId="2" borderId="5" xfId="0" applyNumberFormat="1" applyFont="1" applyFill="1" applyBorder="1">
      <alignment vertical="top" wrapText="1"/>
    </xf>
    <xf numFmtId="49" fontId="9" fillId="0" borderId="0" xfId="0" applyNumberFormat="1" applyFont="1" applyAlignment="1">
      <alignment wrapText="1"/>
    </xf>
    <xf numFmtId="49" fontId="9" fillId="0" borderId="2" xfId="0" applyNumberFormat="1" applyFont="1" applyBorder="1" applyAlignment="1">
      <alignment wrapText="1"/>
    </xf>
    <xf numFmtId="49" fontId="9" fillId="0" borderId="4" xfId="0" applyNumberFormat="1" applyFont="1" applyBorder="1" applyAlignment="1">
      <alignment vertical="top"/>
    </xf>
    <xf numFmtId="49" fontId="9" fillId="0" borderId="4" xfId="0" applyNumberFormat="1" applyFont="1" applyBorder="1">
      <alignment vertical="top" wrapText="1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45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178</v>
      </c>
      <c r="D2" s="7" t="s">
        <v>2</v>
      </c>
      <c r="E2" s="8" t="s">
        <v>103</v>
      </c>
      <c r="F2" s="7" t="s">
        <v>22</v>
      </c>
      <c r="G2" s="8" t="s">
        <v>23</v>
      </c>
      <c r="H2" s="7"/>
      <c r="I2" s="9"/>
    </row>
    <row r="3" spans="1:13" x14ac:dyDescent="0.2">
      <c r="A3" s="10"/>
      <c r="B3" s="7" t="s">
        <v>3</v>
      </c>
      <c r="C3" s="8" t="s">
        <v>27</v>
      </c>
      <c r="D3" s="7" t="s">
        <v>4</v>
      </c>
      <c r="E3" s="8" t="s">
        <v>104</v>
      </c>
      <c r="F3" s="7" t="s">
        <v>24</v>
      </c>
      <c r="G3" s="8"/>
      <c r="H3" s="7"/>
      <c r="I3" s="8"/>
    </row>
    <row r="4" spans="1:13" x14ac:dyDescent="0.2">
      <c r="A4" s="4"/>
      <c r="B4" s="7" t="s">
        <v>11</v>
      </c>
      <c r="C4" s="9" t="s">
        <v>179</v>
      </c>
      <c r="D4" s="7" t="s">
        <v>5</v>
      </c>
      <c r="E4" s="8" t="s">
        <v>106</v>
      </c>
      <c r="F4" s="7" t="s">
        <v>25</v>
      </c>
      <c r="G4" s="8" t="s">
        <v>300</v>
      </c>
      <c r="H4" s="11"/>
      <c r="I4" s="12"/>
    </row>
    <row r="5" spans="1:13" x14ac:dyDescent="0.2">
      <c r="A5" s="12"/>
      <c r="B5" s="13" t="s">
        <v>12</v>
      </c>
      <c r="C5" s="14"/>
      <c r="D5" s="6"/>
      <c r="E5" s="6"/>
      <c r="F5" s="6"/>
      <c r="G5" s="6"/>
      <c r="H5" s="6"/>
      <c r="I5" s="6"/>
      <c r="L5" s="11"/>
      <c r="M5" s="4"/>
    </row>
    <row r="6" spans="1:13" x14ac:dyDescent="0.2">
      <c r="A6" s="15" t="s">
        <v>15</v>
      </c>
      <c r="B6" s="16"/>
      <c r="C6" s="17"/>
      <c r="D6" s="16"/>
      <c r="E6" s="16"/>
      <c r="F6" s="18"/>
      <c r="G6" s="19"/>
      <c r="H6" s="19"/>
      <c r="I6" s="74"/>
      <c r="J6" s="4"/>
      <c r="K6" s="4"/>
      <c r="L6" s="4"/>
    </row>
    <row r="7" spans="1:13" s="23" customFormat="1" x14ac:dyDescent="0.2">
      <c r="A7" s="20" t="s">
        <v>6</v>
      </c>
      <c r="B7" s="6"/>
      <c r="C7" s="21"/>
      <c r="D7" s="6"/>
      <c r="E7" s="6"/>
      <c r="F7" s="6"/>
      <c r="G7" s="6"/>
      <c r="H7" s="6"/>
      <c r="I7" s="22"/>
    </row>
    <row r="8" spans="1:13" s="23" customFormat="1" x14ac:dyDescent="0.2">
      <c r="A8" s="24"/>
      <c r="B8" s="4"/>
      <c r="C8" s="25"/>
      <c r="D8" s="4"/>
      <c r="E8" s="4"/>
      <c r="F8" s="4"/>
      <c r="G8" s="4"/>
      <c r="H8" s="4"/>
      <c r="I8" s="12"/>
    </row>
    <row r="9" spans="1:13" x14ac:dyDescent="0.2">
      <c r="A9" s="24"/>
      <c r="B9" s="4"/>
      <c r="I9" s="12"/>
    </row>
    <row r="10" spans="1:13" x14ac:dyDescent="0.2">
      <c r="A10" s="24"/>
      <c r="B10" s="4"/>
      <c r="I10" s="12"/>
      <c r="J10" s="4"/>
    </row>
    <row r="11" spans="1:13" x14ac:dyDescent="0.2">
      <c r="A11" s="24"/>
      <c r="B11" s="4"/>
      <c r="I11" s="12"/>
      <c r="J11" s="4"/>
    </row>
    <row r="12" spans="1:13" x14ac:dyDescent="0.2">
      <c r="A12" s="24"/>
      <c r="B12" s="4"/>
      <c r="I12" s="12"/>
      <c r="J12" s="4"/>
    </row>
    <row r="13" spans="1:13" x14ac:dyDescent="0.2">
      <c r="A13" s="24"/>
      <c r="B13" s="4"/>
      <c r="I13" s="12"/>
      <c r="J13" s="4"/>
    </row>
    <row r="14" spans="1:13" x14ac:dyDescent="0.2">
      <c r="A14" s="24"/>
      <c r="B14" s="4"/>
      <c r="I14" s="12"/>
      <c r="J14" s="4"/>
    </row>
    <row r="15" spans="1:13" x14ac:dyDescent="0.2">
      <c r="A15" s="24"/>
      <c r="B15" s="4"/>
      <c r="I15" s="12"/>
      <c r="J15" s="4"/>
    </row>
    <row r="16" spans="1:13" x14ac:dyDescent="0.2">
      <c r="A16" s="24"/>
      <c r="B16" s="4"/>
      <c r="I16" s="12"/>
      <c r="J16" s="4"/>
    </row>
    <row r="17" spans="1:10" x14ac:dyDescent="0.2">
      <c r="A17" s="24"/>
      <c r="B17" s="4"/>
      <c r="I17" s="12"/>
      <c r="J17" s="4"/>
    </row>
    <row r="18" spans="1:10" x14ac:dyDescent="0.2">
      <c r="A18" s="24"/>
      <c r="B18" s="4"/>
      <c r="I18" s="12"/>
      <c r="J18" s="4"/>
    </row>
    <row r="19" spans="1:10" x14ac:dyDescent="0.2">
      <c r="A19" s="24"/>
      <c r="B19" s="4"/>
      <c r="I19" s="12"/>
      <c r="J19" s="4"/>
    </row>
    <row r="20" spans="1:10" x14ac:dyDescent="0.2">
      <c r="A20" s="26"/>
      <c r="B20" s="3"/>
      <c r="C20" s="2"/>
      <c r="D20" s="3"/>
      <c r="E20" s="3"/>
      <c r="F20" s="3"/>
      <c r="G20" s="3"/>
      <c r="H20" s="3"/>
      <c r="I20" s="27"/>
      <c r="J20" s="4"/>
    </row>
    <row r="21" spans="1:10" x14ac:dyDescent="0.2">
      <c r="B21" s="4"/>
      <c r="J21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5"/>
  <sheetViews>
    <sheetView topLeftCell="A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21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0" t="s">
        <v>180</v>
      </c>
      <c r="B1" s="60" t="s">
        <v>180</v>
      </c>
      <c r="C1" s="60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180</v>
      </c>
      <c r="B2" s="29"/>
      <c r="C2" s="29"/>
      <c r="D2" s="79" t="s">
        <v>317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MSBEL5070</v>
      </c>
      <c r="I2" s="7" t="s">
        <v>214</v>
      </c>
      <c r="J2" s="8" t="s">
        <v>107</v>
      </c>
      <c r="K2" s="7" t="s">
        <v>22</v>
      </c>
      <c r="L2" s="61" t="str">
        <f>IF(LogicCommon!G2="","",LogicCommon!G2)</f>
        <v>MC</v>
      </c>
      <c r="M2" s="5" t="s">
        <v>181</v>
      </c>
      <c r="N2" s="30" t="s">
        <v>301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180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MSBEL_OPStkRplService</v>
      </c>
      <c r="I3" s="7" t="s">
        <v>211</v>
      </c>
      <c r="J3" s="8" t="s">
        <v>107</v>
      </c>
      <c r="K3" s="7" t="s">
        <v>24</v>
      </c>
      <c r="L3" s="61" t="str">
        <f>IF(LogicCommon!G3="","",LogicCommon!G3)</f>
        <v/>
      </c>
      <c r="M3" s="65"/>
      <c r="N3" s="7"/>
      <c r="O3" s="7" t="s">
        <v>212</v>
      </c>
      <c r="P3" s="8" t="s">
        <v>215</v>
      </c>
      <c r="Q3" s="4"/>
      <c r="R3" s="5"/>
      <c r="S3" s="5"/>
      <c r="T3" s="5"/>
      <c r="U3" s="5"/>
    </row>
    <row r="4" spans="1:21" s="10" customFormat="1" x14ac:dyDescent="0.2">
      <c r="A4" s="62" t="s">
        <v>180</v>
      </c>
      <c r="B4" s="63"/>
      <c r="C4" s="63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1" t="str">
        <f>IF(LogicCommon!E4="","",LogicCommon!E4)</f>
        <v>発注点在庫補充サービス</v>
      </c>
      <c r="I4" s="7" t="s">
        <v>190</v>
      </c>
      <c r="J4" s="8" t="s">
        <v>63</v>
      </c>
      <c r="K4" s="7" t="s">
        <v>25</v>
      </c>
      <c r="L4" s="61" t="str">
        <f>IF(LogicCommon!G4="","",LogicCommon!G4)</f>
        <v>MS.MSUDL5010</v>
      </c>
      <c r="M4" s="66" t="s">
        <v>209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67" t="s">
        <v>180</v>
      </c>
      <c r="B5" s="60"/>
      <c r="C5" s="60"/>
      <c r="D5" s="27"/>
      <c r="E5" s="7" t="s">
        <v>12</v>
      </c>
      <c r="F5" s="9"/>
      <c r="G5" s="68"/>
      <c r="H5" s="68"/>
      <c r="I5" s="68"/>
      <c r="J5" s="68"/>
      <c r="K5" s="68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2" t="s">
        <v>180</v>
      </c>
      <c r="B6" s="63"/>
      <c r="C6" s="63"/>
      <c r="D6" s="4" t="s">
        <v>15</v>
      </c>
      <c r="E6" s="16"/>
      <c r="F6" s="16"/>
      <c r="G6" s="16"/>
      <c r="H6" s="16"/>
      <c r="I6" s="16"/>
      <c r="J6" s="16"/>
      <c r="K6" s="16"/>
      <c r="L6" s="69"/>
      <c r="M6" s="49"/>
      <c r="N6" s="49"/>
      <c r="O6" s="49" t="s">
        <v>213</v>
      </c>
      <c r="P6" s="49"/>
      <c r="Q6" s="49" t="s">
        <v>213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80"/>
      <c r="C8" s="81"/>
      <c r="D8" s="31" t="s">
        <v>318</v>
      </c>
      <c r="E8" s="31" t="s">
        <v>319</v>
      </c>
      <c r="F8" s="69"/>
      <c r="G8" s="31" t="s">
        <v>187</v>
      </c>
      <c r="H8" s="31" t="s">
        <v>320</v>
      </c>
      <c r="I8" s="69"/>
      <c r="J8" s="3"/>
      <c r="K8" s="8" t="s">
        <v>188</v>
      </c>
      <c r="L8" s="8"/>
      <c r="M8" s="8"/>
      <c r="N8" s="31" t="s">
        <v>189</v>
      </c>
      <c r="O8" s="32"/>
      <c r="P8" s="31" t="s">
        <v>189</v>
      </c>
      <c r="Q8" s="32"/>
      <c r="R8" s="3"/>
      <c r="S8" s="27"/>
      <c r="T8" s="134" t="s">
        <v>321</v>
      </c>
      <c r="U8" s="135"/>
    </row>
    <row r="9" spans="1:21" s="10" customFormat="1" ht="60" customHeight="1" x14ac:dyDescent="0.2">
      <c r="A9" s="8" t="s">
        <v>8</v>
      </c>
      <c r="B9" s="34"/>
      <c r="C9" s="35"/>
      <c r="D9" s="31" t="s">
        <v>322</v>
      </c>
      <c r="E9" s="73" t="s">
        <v>323</v>
      </c>
      <c r="F9" s="31" t="s">
        <v>324</v>
      </c>
      <c r="G9" s="31" t="s">
        <v>325</v>
      </c>
      <c r="H9" s="31" t="s">
        <v>326</v>
      </c>
      <c r="I9" s="74" t="s">
        <v>327</v>
      </c>
      <c r="J9" s="31" t="s">
        <v>328</v>
      </c>
      <c r="K9" s="79"/>
      <c r="L9" s="79"/>
      <c r="M9" s="79"/>
      <c r="N9" s="31"/>
      <c r="O9" s="31"/>
      <c r="P9" s="31"/>
      <c r="Q9" s="31"/>
      <c r="R9" s="134" t="s">
        <v>329</v>
      </c>
      <c r="S9" s="135"/>
      <c r="T9" s="134" t="s">
        <v>330</v>
      </c>
      <c r="U9" s="135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327</v>
      </c>
      <c r="O10" s="31" t="s">
        <v>328</v>
      </c>
      <c r="P10" s="31" t="s">
        <v>327</v>
      </c>
      <c r="Q10" s="31" t="s">
        <v>328</v>
      </c>
      <c r="R10" s="36"/>
      <c r="S10" s="36"/>
      <c r="T10" s="39"/>
      <c r="U10" s="72"/>
    </row>
    <row r="11" spans="1:21" s="10" customFormat="1" x14ac:dyDescent="0.2">
      <c r="A11" s="8">
        <v>10</v>
      </c>
      <c r="B11" s="34" t="s">
        <v>0</v>
      </c>
      <c r="C11" s="35"/>
      <c r="D11" s="30" t="s">
        <v>158</v>
      </c>
      <c r="E11" s="33" t="s">
        <v>152</v>
      </c>
      <c r="F11" s="41"/>
      <c r="G11" s="30"/>
      <c r="H11" s="42"/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32"/>
      <c r="U11" s="133"/>
    </row>
    <row r="12" spans="1:21" s="10" customFormat="1" x14ac:dyDescent="0.2">
      <c r="A12" s="8">
        <v>10</v>
      </c>
      <c r="B12" s="8"/>
      <c r="C12" s="8"/>
      <c r="D12" s="8" t="s">
        <v>35</v>
      </c>
      <c r="E12" s="32" t="s">
        <v>39</v>
      </c>
      <c r="F12" s="32"/>
      <c r="G12" s="75" t="s">
        <v>331</v>
      </c>
      <c r="H12" s="75" t="s">
        <v>216</v>
      </c>
      <c r="I12" s="8" t="s">
        <v>182</v>
      </c>
      <c r="J12" s="8" t="s">
        <v>184</v>
      </c>
      <c r="K12" s="8"/>
      <c r="L12" s="8"/>
      <c r="M12" s="8"/>
      <c r="N12" s="8"/>
      <c r="O12" s="8"/>
      <c r="P12" s="8"/>
      <c r="Q12" s="8"/>
      <c r="R12" s="73"/>
      <c r="S12" s="74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36</v>
      </c>
      <c r="E13" s="32" t="s">
        <v>40</v>
      </c>
      <c r="F13" s="32"/>
      <c r="G13" s="75" t="s">
        <v>332</v>
      </c>
      <c r="H13" s="75" t="s">
        <v>217</v>
      </c>
      <c r="I13" s="8" t="s">
        <v>182</v>
      </c>
      <c r="J13" s="8" t="s">
        <v>184</v>
      </c>
      <c r="K13" s="8"/>
      <c r="L13" s="8"/>
      <c r="M13" s="8"/>
      <c r="N13" s="8"/>
      <c r="O13" s="8"/>
      <c r="P13" s="8"/>
      <c r="Q13" s="8"/>
      <c r="R13" s="73"/>
      <c r="S13" s="74"/>
      <c r="T13" s="132"/>
      <c r="U13" s="133"/>
    </row>
    <row r="14" spans="1:21" s="10" customFormat="1" x14ac:dyDescent="0.2">
      <c r="A14" s="8">
        <v>10</v>
      </c>
      <c r="B14" s="8"/>
      <c r="C14" s="8"/>
      <c r="D14" s="8" t="s">
        <v>37</v>
      </c>
      <c r="E14" s="32" t="s">
        <v>41</v>
      </c>
      <c r="F14" s="32"/>
      <c r="G14" s="75" t="s">
        <v>333</v>
      </c>
      <c r="H14" s="75" t="s">
        <v>218</v>
      </c>
      <c r="I14" s="8" t="s">
        <v>182</v>
      </c>
      <c r="J14" s="8" t="s">
        <v>184</v>
      </c>
      <c r="K14" s="8"/>
      <c r="L14" s="8"/>
      <c r="M14" s="8"/>
      <c r="N14" s="8"/>
      <c r="O14" s="8"/>
      <c r="P14" s="8"/>
      <c r="Q14" s="8"/>
      <c r="R14" s="73"/>
      <c r="S14" s="74"/>
      <c r="T14" s="132"/>
      <c r="U14" s="133"/>
    </row>
    <row r="15" spans="1:21" s="10" customFormat="1" x14ac:dyDescent="0.2">
      <c r="A15" s="8">
        <v>10</v>
      </c>
      <c r="B15" s="8"/>
      <c r="C15" s="8"/>
      <c r="D15" s="8" t="s">
        <v>38</v>
      </c>
      <c r="E15" s="32" t="s">
        <v>42</v>
      </c>
      <c r="F15" s="32"/>
      <c r="G15" s="75" t="s">
        <v>334</v>
      </c>
      <c r="H15" s="75" t="s">
        <v>183</v>
      </c>
      <c r="I15" s="8" t="s">
        <v>182</v>
      </c>
      <c r="J15" s="8" t="s">
        <v>184</v>
      </c>
      <c r="K15" s="8"/>
      <c r="L15" s="8"/>
      <c r="M15" s="8"/>
      <c r="N15" s="8"/>
      <c r="O15" s="8"/>
      <c r="P15" s="8"/>
      <c r="Q15" s="8"/>
      <c r="R15" s="73"/>
      <c r="S15" s="74"/>
      <c r="T15" s="132"/>
      <c r="U15" s="133"/>
    </row>
    <row r="16" spans="1:21" s="10" customFormat="1" x14ac:dyDescent="0.2">
      <c r="A16" s="8">
        <v>10</v>
      </c>
      <c r="B16" s="8"/>
      <c r="C16" s="8"/>
      <c r="D16" s="8" t="s">
        <v>29</v>
      </c>
      <c r="E16" s="32" t="s">
        <v>33</v>
      </c>
      <c r="F16" s="32"/>
      <c r="G16" s="75" t="s">
        <v>335</v>
      </c>
      <c r="H16" s="75" t="s">
        <v>219</v>
      </c>
      <c r="I16" s="8" t="s">
        <v>182</v>
      </c>
      <c r="J16" s="8" t="s">
        <v>184</v>
      </c>
      <c r="K16" s="8"/>
      <c r="L16" s="8"/>
      <c r="M16" s="8"/>
      <c r="N16" s="8"/>
      <c r="O16" s="8"/>
      <c r="P16" s="8"/>
      <c r="Q16" s="8"/>
      <c r="R16" s="73"/>
      <c r="S16" s="74"/>
      <c r="T16" s="132"/>
      <c r="U16" s="133"/>
    </row>
    <row r="17" spans="1:21" s="10" customFormat="1" x14ac:dyDescent="0.2">
      <c r="A17" s="8">
        <v>10</v>
      </c>
      <c r="B17" s="8"/>
      <c r="C17" s="8"/>
      <c r="D17" s="8" t="s">
        <v>153</v>
      </c>
      <c r="E17" s="32" t="s">
        <v>61</v>
      </c>
      <c r="F17" s="32"/>
      <c r="G17" s="75" t="s">
        <v>336</v>
      </c>
      <c r="H17" s="75" t="s">
        <v>185</v>
      </c>
      <c r="I17" s="8" t="s">
        <v>182</v>
      </c>
      <c r="J17" s="8" t="s">
        <v>184</v>
      </c>
      <c r="K17" s="8"/>
      <c r="L17" s="8"/>
      <c r="M17" s="8"/>
      <c r="N17" s="8"/>
      <c r="O17" s="8"/>
      <c r="P17" s="8"/>
      <c r="Q17" s="8"/>
      <c r="R17" s="73"/>
      <c r="S17" s="74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166</v>
      </c>
      <c r="E18" s="32" t="s">
        <v>61</v>
      </c>
      <c r="F18" s="32"/>
      <c r="G18" s="75" t="s">
        <v>337</v>
      </c>
      <c r="H18" s="75" t="s">
        <v>220</v>
      </c>
      <c r="I18" s="8" t="s">
        <v>182</v>
      </c>
      <c r="J18" s="8" t="s">
        <v>184</v>
      </c>
      <c r="K18" s="8"/>
      <c r="L18" s="8"/>
      <c r="M18" s="8"/>
      <c r="N18" s="8"/>
      <c r="O18" s="8"/>
      <c r="P18" s="8"/>
      <c r="Q18" s="8"/>
      <c r="R18" s="73"/>
      <c r="S18" s="74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165</v>
      </c>
      <c r="E19" s="32" t="s">
        <v>43</v>
      </c>
      <c r="F19" s="32"/>
      <c r="G19" s="75" t="s">
        <v>338</v>
      </c>
      <c r="H19" s="75" t="s">
        <v>221</v>
      </c>
      <c r="I19" s="8" t="s">
        <v>182</v>
      </c>
      <c r="J19" s="8" t="s">
        <v>184</v>
      </c>
      <c r="K19" s="8"/>
      <c r="L19" s="8"/>
      <c r="M19" s="8"/>
      <c r="N19" s="8"/>
      <c r="O19" s="8"/>
      <c r="P19" s="8"/>
      <c r="Q19" s="8"/>
      <c r="R19" s="73"/>
      <c r="S19" s="74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154</v>
      </c>
      <c r="E20" s="32" t="s">
        <v>33</v>
      </c>
      <c r="F20" s="32"/>
      <c r="G20" s="75" t="s">
        <v>339</v>
      </c>
      <c r="H20" s="75" t="s">
        <v>222</v>
      </c>
      <c r="I20" s="8" t="s">
        <v>182</v>
      </c>
      <c r="J20" s="8" t="s">
        <v>184</v>
      </c>
      <c r="K20" s="8"/>
      <c r="L20" s="8"/>
      <c r="M20" s="8"/>
      <c r="N20" s="8"/>
      <c r="O20" s="8"/>
      <c r="P20" s="8"/>
      <c r="Q20" s="8"/>
      <c r="R20" s="73"/>
      <c r="S20" s="74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156</v>
      </c>
      <c r="E21" s="32" t="s">
        <v>30</v>
      </c>
      <c r="F21" s="32"/>
      <c r="G21" s="75" t="s">
        <v>340</v>
      </c>
      <c r="H21" s="75" t="s">
        <v>223</v>
      </c>
      <c r="I21" s="8" t="s">
        <v>182</v>
      </c>
      <c r="J21" s="8" t="s">
        <v>184</v>
      </c>
      <c r="K21" s="8"/>
      <c r="L21" s="8"/>
      <c r="M21" s="8"/>
      <c r="N21" s="8"/>
      <c r="O21" s="8"/>
      <c r="P21" s="8"/>
      <c r="Q21" s="8"/>
      <c r="R21" s="73"/>
      <c r="S21" s="74"/>
      <c r="T21" s="132"/>
      <c r="U21" s="133"/>
    </row>
    <row r="22" spans="1:21" s="10" customFormat="1" x14ac:dyDescent="0.2">
      <c r="A22" s="8">
        <v>10</v>
      </c>
      <c r="B22" s="8"/>
      <c r="C22" s="8"/>
      <c r="D22" s="8" t="s">
        <v>157</v>
      </c>
      <c r="E22" s="32" t="s">
        <v>30</v>
      </c>
      <c r="F22" s="32"/>
      <c r="G22" s="75" t="s">
        <v>341</v>
      </c>
      <c r="H22" s="75" t="s">
        <v>224</v>
      </c>
      <c r="I22" s="8" t="s">
        <v>182</v>
      </c>
      <c r="J22" s="8" t="s">
        <v>184</v>
      </c>
      <c r="K22" s="8"/>
      <c r="L22" s="8"/>
      <c r="M22" s="8"/>
      <c r="N22" s="8"/>
      <c r="O22" s="8"/>
      <c r="P22" s="8"/>
      <c r="Q22" s="8"/>
      <c r="R22" s="73"/>
      <c r="S22" s="74"/>
      <c r="T22" s="132"/>
      <c r="U22" s="133"/>
    </row>
    <row r="23" spans="1:21" s="10" customFormat="1" x14ac:dyDescent="0.2">
      <c r="A23" s="8">
        <v>10</v>
      </c>
      <c r="B23" s="8"/>
      <c r="C23" s="8"/>
      <c r="D23" s="8" t="s">
        <v>28</v>
      </c>
      <c r="E23" s="32" t="s">
        <v>30</v>
      </c>
      <c r="F23" s="32"/>
      <c r="G23" s="75" t="s">
        <v>342</v>
      </c>
      <c r="H23" s="75" t="s">
        <v>225</v>
      </c>
      <c r="I23" s="8" t="s">
        <v>182</v>
      </c>
      <c r="J23" s="8" t="s">
        <v>184</v>
      </c>
      <c r="K23" s="8"/>
      <c r="L23" s="8"/>
      <c r="M23" s="8"/>
      <c r="N23" s="8"/>
      <c r="O23" s="8"/>
      <c r="P23" s="8"/>
      <c r="Q23" s="8"/>
      <c r="R23" s="73"/>
      <c r="S23" s="74"/>
      <c r="T23" s="132"/>
      <c r="U23" s="133"/>
    </row>
    <row r="24" spans="1:21" s="10" customFormat="1" x14ac:dyDescent="0.2">
      <c r="A24" s="62"/>
      <c r="U24" s="44"/>
    </row>
    <row r="25" spans="1:21" s="10" customFormat="1" x14ac:dyDescent="0.2">
      <c r="A25" s="8">
        <v>20</v>
      </c>
      <c r="B25" s="34" t="s">
        <v>0</v>
      </c>
      <c r="C25" s="35"/>
      <c r="D25" s="30" t="s">
        <v>155</v>
      </c>
      <c r="E25" s="33" t="s">
        <v>44</v>
      </c>
      <c r="F25" s="45"/>
      <c r="G25" s="30"/>
      <c r="H25" s="42"/>
      <c r="I25" s="46"/>
      <c r="J25" s="47"/>
      <c r="K25" s="47"/>
      <c r="L25" s="47"/>
      <c r="M25" s="47"/>
      <c r="N25" s="33"/>
      <c r="O25" s="33"/>
      <c r="P25" s="33"/>
      <c r="Q25" s="33"/>
      <c r="R25" s="43"/>
      <c r="S25" s="41"/>
      <c r="T25" s="132"/>
      <c r="U25" s="133"/>
    </row>
    <row r="26" spans="1:21" s="10" customFormat="1" x14ac:dyDescent="0.2">
      <c r="A26" s="8">
        <v>20</v>
      </c>
      <c r="B26" s="8"/>
      <c r="C26" s="8"/>
      <c r="D26" s="8" t="s">
        <v>35</v>
      </c>
      <c r="E26" s="32" t="s">
        <v>39</v>
      </c>
      <c r="F26" s="32"/>
      <c r="G26" s="75" t="s">
        <v>331</v>
      </c>
      <c r="H26" s="75" t="s">
        <v>226</v>
      </c>
      <c r="I26" s="8" t="s">
        <v>184</v>
      </c>
      <c r="J26" s="8" t="s">
        <v>182</v>
      </c>
      <c r="K26" s="8"/>
      <c r="L26" s="8"/>
      <c r="M26" s="8"/>
      <c r="N26" s="8"/>
      <c r="O26" s="8"/>
      <c r="P26" s="8"/>
      <c r="Q26" s="8"/>
      <c r="R26" s="73"/>
      <c r="S26" s="74"/>
      <c r="T26" s="132"/>
      <c r="U26" s="133"/>
    </row>
    <row r="27" spans="1:21" s="10" customFormat="1" x14ac:dyDescent="0.2">
      <c r="A27" s="8">
        <v>20</v>
      </c>
      <c r="B27" s="8"/>
      <c r="C27" s="8"/>
      <c r="D27" s="8" t="s">
        <v>36</v>
      </c>
      <c r="E27" s="32" t="s">
        <v>40</v>
      </c>
      <c r="F27" s="32"/>
      <c r="G27" s="75" t="s">
        <v>332</v>
      </c>
      <c r="H27" s="75" t="s">
        <v>227</v>
      </c>
      <c r="I27" s="8" t="s">
        <v>184</v>
      </c>
      <c r="J27" s="8" t="s">
        <v>182</v>
      </c>
      <c r="K27" s="8"/>
      <c r="L27" s="8"/>
      <c r="M27" s="8"/>
      <c r="N27" s="8"/>
      <c r="O27" s="8"/>
      <c r="P27" s="8"/>
      <c r="Q27" s="8"/>
      <c r="R27" s="73"/>
      <c r="S27" s="74"/>
      <c r="T27" s="132"/>
      <c r="U27" s="133"/>
    </row>
    <row r="28" spans="1:21" s="10" customFormat="1" x14ac:dyDescent="0.2">
      <c r="A28" s="8">
        <v>20</v>
      </c>
      <c r="B28" s="8"/>
      <c r="C28" s="8"/>
      <c r="D28" s="8" t="s">
        <v>37</v>
      </c>
      <c r="E28" s="32" t="s">
        <v>41</v>
      </c>
      <c r="F28" s="32"/>
      <c r="G28" s="75" t="s">
        <v>333</v>
      </c>
      <c r="H28" s="75" t="s">
        <v>228</v>
      </c>
      <c r="I28" s="8" t="s">
        <v>184</v>
      </c>
      <c r="J28" s="8" t="s">
        <v>182</v>
      </c>
      <c r="K28" s="8"/>
      <c r="L28" s="8"/>
      <c r="M28" s="8"/>
      <c r="N28" s="8"/>
      <c r="O28" s="8"/>
      <c r="P28" s="8"/>
      <c r="Q28" s="8"/>
      <c r="R28" s="73"/>
      <c r="S28" s="74"/>
      <c r="T28" s="132"/>
      <c r="U28" s="133"/>
    </row>
    <row r="29" spans="1:21" s="10" customFormat="1" x14ac:dyDescent="0.2">
      <c r="A29" s="8">
        <v>20</v>
      </c>
      <c r="B29" s="8"/>
      <c r="C29" s="8"/>
      <c r="D29" s="8" t="s">
        <v>38</v>
      </c>
      <c r="E29" s="32" t="s">
        <v>42</v>
      </c>
      <c r="F29" s="32"/>
      <c r="G29" s="75" t="s">
        <v>334</v>
      </c>
      <c r="H29" s="75" t="s">
        <v>229</v>
      </c>
      <c r="I29" s="8" t="s">
        <v>184</v>
      </c>
      <c r="J29" s="8" t="s">
        <v>182</v>
      </c>
      <c r="K29" s="8"/>
      <c r="L29" s="8"/>
      <c r="M29" s="8"/>
      <c r="N29" s="8"/>
      <c r="O29" s="8"/>
      <c r="P29" s="8"/>
      <c r="Q29" s="8"/>
      <c r="R29" s="73"/>
      <c r="S29" s="74"/>
      <c r="T29" s="132"/>
      <c r="U29" s="133"/>
    </row>
    <row r="30" spans="1:21" s="10" customFormat="1" x14ac:dyDescent="0.2">
      <c r="A30" s="8">
        <v>20</v>
      </c>
      <c r="B30" s="8"/>
      <c r="C30" s="8"/>
      <c r="D30" s="8" t="s">
        <v>45</v>
      </c>
      <c r="E30" s="32" t="s">
        <v>33</v>
      </c>
      <c r="F30" s="32"/>
      <c r="G30" s="75" t="s">
        <v>335</v>
      </c>
      <c r="H30" s="75" t="s">
        <v>186</v>
      </c>
      <c r="I30" s="8" t="s">
        <v>184</v>
      </c>
      <c r="J30" s="8" t="s">
        <v>182</v>
      </c>
      <c r="K30" s="8"/>
      <c r="L30" s="8"/>
      <c r="M30" s="8"/>
      <c r="N30" s="8"/>
      <c r="O30" s="8"/>
      <c r="P30" s="8"/>
      <c r="Q30" s="8"/>
      <c r="R30" s="73"/>
      <c r="S30" s="74"/>
      <c r="T30" s="132"/>
      <c r="U30" s="133"/>
    </row>
    <row r="31" spans="1:21" s="10" customFormat="1" x14ac:dyDescent="0.2">
      <c r="A31" s="8">
        <v>20</v>
      </c>
      <c r="B31" s="8"/>
      <c r="C31" s="8"/>
      <c r="D31" s="8" t="s">
        <v>118</v>
      </c>
      <c r="E31" s="32" t="s">
        <v>61</v>
      </c>
      <c r="F31" s="32"/>
      <c r="G31" s="75" t="s">
        <v>343</v>
      </c>
      <c r="H31" s="75" t="s">
        <v>204</v>
      </c>
      <c r="I31" s="8" t="s">
        <v>184</v>
      </c>
      <c r="J31" s="8" t="s">
        <v>182</v>
      </c>
      <c r="K31" s="8"/>
      <c r="L31" s="8"/>
      <c r="M31" s="8"/>
      <c r="N31" s="8"/>
      <c r="O31" s="8"/>
      <c r="P31" s="8"/>
      <c r="Q31" s="8"/>
      <c r="R31" s="73"/>
      <c r="S31" s="74"/>
      <c r="T31" s="132"/>
      <c r="U31" s="133"/>
    </row>
    <row r="32" spans="1:21" s="10" customFormat="1" x14ac:dyDescent="0.2">
      <c r="A32" s="8">
        <v>20</v>
      </c>
      <c r="B32" s="8"/>
      <c r="C32" s="8"/>
      <c r="D32" s="8" t="s">
        <v>149</v>
      </c>
      <c r="E32" s="32" t="s">
        <v>61</v>
      </c>
      <c r="F32" s="32"/>
      <c r="G32" s="75" t="s">
        <v>344</v>
      </c>
      <c r="H32" s="75" t="s">
        <v>230</v>
      </c>
      <c r="I32" s="8" t="s">
        <v>184</v>
      </c>
      <c r="J32" s="8" t="s">
        <v>182</v>
      </c>
      <c r="K32" s="8"/>
      <c r="L32" s="8"/>
      <c r="M32" s="8"/>
      <c r="N32" s="8"/>
      <c r="O32" s="8"/>
      <c r="P32" s="8"/>
      <c r="Q32" s="8"/>
      <c r="R32" s="73"/>
      <c r="S32" s="74"/>
      <c r="T32" s="70"/>
      <c r="U32" s="71"/>
    </row>
    <row r="33" spans="1:21" s="10" customFormat="1" x14ac:dyDescent="0.2">
      <c r="A33" s="8">
        <v>20</v>
      </c>
      <c r="B33" s="8"/>
      <c r="C33" s="8"/>
      <c r="D33" s="8" t="s">
        <v>60</v>
      </c>
      <c r="E33" s="32" t="s">
        <v>61</v>
      </c>
      <c r="F33" s="32"/>
      <c r="G33" s="75" t="s">
        <v>345</v>
      </c>
      <c r="H33" s="75" t="s">
        <v>231</v>
      </c>
      <c r="I33" s="8" t="s">
        <v>184</v>
      </c>
      <c r="J33" s="8" t="s">
        <v>182</v>
      </c>
      <c r="K33" s="8"/>
      <c r="L33" s="8"/>
      <c r="M33" s="8"/>
      <c r="N33" s="8"/>
      <c r="O33" s="8"/>
      <c r="P33" s="8"/>
      <c r="Q33" s="8"/>
      <c r="R33" s="73"/>
      <c r="S33" s="74"/>
      <c r="T33" s="70"/>
      <c r="U33" s="71"/>
    </row>
    <row r="34" spans="1:21" s="10" customFormat="1" x14ac:dyDescent="0.2">
      <c r="A34" s="8">
        <v>20</v>
      </c>
      <c r="B34" s="8"/>
      <c r="C34" s="8"/>
      <c r="D34" s="8" t="s">
        <v>148</v>
      </c>
      <c r="E34" s="32" t="s">
        <v>61</v>
      </c>
      <c r="F34" s="32"/>
      <c r="G34" s="75" t="s">
        <v>346</v>
      </c>
      <c r="H34" s="75" t="s">
        <v>232</v>
      </c>
      <c r="I34" s="8" t="s">
        <v>184</v>
      </c>
      <c r="J34" s="8" t="s">
        <v>182</v>
      </c>
      <c r="K34" s="8"/>
      <c r="L34" s="8"/>
      <c r="M34" s="8"/>
      <c r="N34" s="8"/>
      <c r="O34" s="8"/>
      <c r="P34" s="8"/>
      <c r="Q34" s="8"/>
      <c r="R34" s="73"/>
      <c r="S34" s="74"/>
      <c r="T34" s="70"/>
      <c r="U34" s="71"/>
    </row>
    <row r="35" spans="1:21" s="10" customFormat="1" x14ac:dyDescent="0.2">
      <c r="A35" s="8">
        <v>20</v>
      </c>
      <c r="B35" s="8"/>
      <c r="C35" s="8"/>
      <c r="D35" s="8" t="s">
        <v>117</v>
      </c>
      <c r="E35" s="32" t="s">
        <v>61</v>
      </c>
      <c r="F35" s="32"/>
      <c r="G35" s="75" t="s">
        <v>347</v>
      </c>
      <c r="H35" s="75" t="s">
        <v>233</v>
      </c>
      <c r="I35" s="8" t="s">
        <v>184</v>
      </c>
      <c r="J35" s="8" t="s">
        <v>182</v>
      </c>
      <c r="K35" s="8"/>
      <c r="L35" s="8"/>
      <c r="M35" s="8"/>
      <c r="N35" s="8"/>
      <c r="O35" s="8"/>
      <c r="P35" s="8"/>
      <c r="Q35" s="8"/>
      <c r="R35" s="73"/>
      <c r="S35" s="74"/>
      <c r="T35" s="132"/>
      <c r="U35" s="133"/>
    </row>
    <row r="36" spans="1:21" s="10" customFormat="1" x14ac:dyDescent="0.2">
      <c r="A36" s="8">
        <v>20</v>
      </c>
      <c r="B36" s="8"/>
      <c r="C36" s="8"/>
      <c r="D36" s="8" t="s">
        <v>159</v>
      </c>
      <c r="E36" s="32" t="s">
        <v>160</v>
      </c>
      <c r="F36" s="32"/>
      <c r="G36" s="75" t="s">
        <v>348</v>
      </c>
      <c r="H36" s="75" t="s">
        <v>234</v>
      </c>
      <c r="I36" s="8" t="s">
        <v>184</v>
      </c>
      <c r="J36" s="8" t="s">
        <v>182</v>
      </c>
      <c r="K36" s="8"/>
      <c r="L36" s="8"/>
      <c r="M36" s="8"/>
      <c r="N36" s="8"/>
      <c r="O36" s="8"/>
      <c r="P36" s="8"/>
      <c r="Q36" s="8"/>
      <c r="R36" s="73"/>
      <c r="S36" s="74"/>
      <c r="T36" s="132"/>
      <c r="U36" s="133"/>
    </row>
    <row r="37" spans="1:21" s="10" customFormat="1" x14ac:dyDescent="0.2">
      <c r="A37" s="8">
        <v>20</v>
      </c>
      <c r="B37" s="8"/>
      <c r="C37" s="8"/>
      <c r="D37" s="8" t="s">
        <v>161</v>
      </c>
      <c r="E37" s="32" t="s">
        <v>162</v>
      </c>
      <c r="F37" s="32"/>
      <c r="G37" s="75" t="s">
        <v>349</v>
      </c>
      <c r="H37" s="75" t="s">
        <v>235</v>
      </c>
      <c r="I37" s="8" t="s">
        <v>184</v>
      </c>
      <c r="J37" s="8" t="s">
        <v>182</v>
      </c>
      <c r="K37" s="8"/>
      <c r="L37" s="8"/>
      <c r="M37" s="8"/>
      <c r="N37" s="8"/>
      <c r="O37" s="8"/>
      <c r="P37" s="8"/>
      <c r="Q37" s="8"/>
      <c r="R37" s="73"/>
      <c r="S37" s="74"/>
      <c r="T37" s="132"/>
      <c r="U37" s="133"/>
    </row>
    <row r="38" spans="1:21" s="10" customFormat="1" x14ac:dyDescent="0.2">
      <c r="A38" s="8">
        <v>20</v>
      </c>
      <c r="B38" s="8"/>
      <c r="C38" s="8"/>
      <c r="D38" s="8" t="s">
        <v>150</v>
      </c>
      <c r="E38" s="32" t="s">
        <v>162</v>
      </c>
      <c r="F38" s="32"/>
      <c r="G38" s="75" t="s">
        <v>350</v>
      </c>
      <c r="H38" s="75" t="s">
        <v>236</v>
      </c>
      <c r="I38" s="8" t="s">
        <v>184</v>
      </c>
      <c r="J38" s="8" t="s">
        <v>182</v>
      </c>
      <c r="K38" s="8"/>
      <c r="L38" s="8"/>
      <c r="M38" s="8"/>
      <c r="N38" s="8"/>
      <c r="O38" s="8"/>
      <c r="P38" s="8"/>
      <c r="Q38" s="8"/>
      <c r="R38" s="73"/>
      <c r="S38" s="74"/>
      <c r="T38" s="132"/>
      <c r="U38" s="133"/>
    </row>
    <row r="39" spans="1:21" s="10" customFormat="1" x14ac:dyDescent="0.2">
      <c r="A39" s="8">
        <v>20</v>
      </c>
      <c r="B39" s="8"/>
      <c r="C39" s="8"/>
      <c r="D39" s="8" t="s">
        <v>163</v>
      </c>
      <c r="E39" s="32" t="s">
        <v>160</v>
      </c>
      <c r="F39" s="32"/>
      <c r="G39" s="75" t="s">
        <v>351</v>
      </c>
      <c r="H39" s="75" t="s">
        <v>237</v>
      </c>
      <c r="I39" s="8" t="s">
        <v>184</v>
      </c>
      <c r="J39" s="8" t="s">
        <v>182</v>
      </c>
      <c r="K39" s="8"/>
      <c r="L39" s="8"/>
      <c r="M39" s="8"/>
      <c r="N39" s="8"/>
      <c r="O39" s="8"/>
      <c r="P39" s="8"/>
      <c r="Q39" s="8"/>
      <c r="R39" s="73"/>
      <c r="S39" s="74"/>
      <c r="T39" s="132"/>
      <c r="U39" s="133"/>
    </row>
    <row r="40" spans="1:21" s="10" customFormat="1" x14ac:dyDescent="0.2">
      <c r="A40" s="8">
        <v>20</v>
      </c>
      <c r="B40" s="8"/>
      <c r="C40" s="8"/>
      <c r="D40" s="8" t="s">
        <v>164</v>
      </c>
      <c r="E40" s="32" t="s">
        <v>64</v>
      </c>
      <c r="F40" s="32"/>
      <c r="G40" s="75" t="s">
        <v>352</v>
      </c>
      <c r="H40" s="75" t="s">
        <v>238</v>
      </c>
      <c r="I40" s="8" t="s">
        <v>184</v>
      </c>
      <c r="J40" s="8" t="s">
        <v>182</v>
      </c>
      <c r="K40" s="8"/>
      <c r="L40" s="8"/>
      <c r="M40" s="8"/>
      <c r="N40" s="8"/>
      <c r="O40" s="8"/>
      <c r="P40" s="8"/>
      <c r="Q40" s="8"/>
      <c r="R40" s="73"/>
      <c r="S40" s="74"/>
      <c r="T40" s="70"/>
      <c r="U40" s="71"/>
    </row>
    <row r="41" spans="1:21" s="10" customFormat="1" x14ac:dyDescent="0.2">
      <c r="A41" s="28"/>
      <c r="B41" s="29"/>
      <c r="C41" s="29"/>
      <c r="D41" s="48" t="s">
        <v>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22"/>
    </row>
    <row r="42" spans="1:21" s="10" customFormat="1" x14ac:dyDescent="0.2">
      <c r="A42" s="62"/>
      <c r="U42" s="44"/>
    </row>
    <row r="43" spans="1:21" s="10" customFormat="1" x14ac:dyDescent="0.2">
      <c r="A43" s="62"/>
      <c r="U43" s="44"/>
    </row>
    <row r="44" spans="1:21" s="10" customFormat="1" x14ac:dyDescent="0.2">
      <c r="A44" s="62"/>
      <c r="U44" s="44"/>
    </row>
    <row r="45" spans="1:21" s="10" customFormat="1" x14ac:dyDescent="0.2">
      <c r="A45" s="62"/>
      <c r="U45" s="44"/>
    </row>
    <row r="46" spans="1:21" s="10" customFormat="1" x14ac:dyDescent="0.2">
      <c r="A46" s="62"/>
      <c r="U46" s="44"/>
    </row>
    <row r="47" spans="1:21" s="10" customFormat="1" x14ac:dyDescent="0.2">
      <c r="A47" s="62"/>
      <c r="U47" s="44"/>
    </row>
    <row r="48" spans="1:21" s="10" customFormat="1" x14ac:dyDescent="0.2">
      <c r="A48" s="62"/>
      <c r="U48" s="44"/>
    </row>
    <row r="49" spans="1:21" s="10" customFormat="1" x14ac:dyDescent="0.2">
      <c r="A49" s="62"/>
      <c r="U49" s="44"/>
    </row>
    <row r="50" spans="1:21" s="10" customFormat="1" x14ac:dyDescent="0.2">
      <c r="A50" s="62"/>
      <c r="U50" s="44"/>
    </row>
    <row r="51" spans="1:21" s="10" customFormat="1" x14ac:dyDescent="0.2">
      <c r="A51" s="62"/>
      <c r="U51" s="44"/>
    </row>
    <row r="52" spans="1:21" s="10" customFormat="1" x14ac:dyDescent="0.2">
      <c r="A52" s="62"/>
      <c r="U52" s="44"/>
    </row>
    <row r="53" spans="1:21" s="10" customFormat="1" x14ac:dyDescent="0.2">
      <c r="A53" s="62"/>
      <c r="U53" s="44"/>
    </row>
    <row r="54" spans="1:21" s="10" customFormat="1" x14ac:dyDescent="0.2">
      <c r="A54" s="62"/>
      <c r="U54" s="44"/>
    </row>
    <row r="55" spans="1:21" s="10" customFormat="1" x14ac:dyDescent="0.2">
      <c r="A55" s="67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50"/>
    </row>
  </sheetData>
  <mergeCells count="24">
    <mergeCell ref="T38:U38"/>
    <mergeCell ref="T39:U39"/>
    <mergeCell ref="T35:U35"/>
    <mergeCell ref="T31:U31"/>
    <mergeCell ref="R9:S9"/>
    <mergeCell ref="T16:U16"/>
    <mergeCell ref="T26:U26"/>
    <mergeCell ref="T14:U14"/>
    <mergeCell ref="T15:U15"/>
    <mergeCell ref="T12:U12"/>
    <mergeCell ref="T13:U13"/>
    <mergeCell ref="T25:U25"/>
    <mergeCell ref="T21:U21"/>
    <mergeCell ref="T22:U22"/>
    <mergeCell ref="T37:U37"/>
    <mergeCell ref="T28:U28"/>
    <mergeCell ref="T36:U36"/>
    <mergeCell ref="T29:U29"/>
    <mergeCell ref="T30:U30"/>
    <mergeCell ref="T8:U8"/>
    <mergeCell ref="T23:U23"/>
    <mergeCell ref="T9:U9"/>
    <mergeCell ref="T11:U11"/>
    <mergeCell ref="T27:U2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2"/>
  <sheetViews>
    <sheetView topLeftCell="A19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1" width="24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0" t="s">
        <v>180</v>
      </c>
      <c r="B1" s="60" t="s">
        <v>180</v>
      </c>
      <c r="C1" s="60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180</v>
      </c>
      <c r="B2" s="29"/>
      <c r="C2" s="29"/>
      <c r="D2" s="79" t="s">
        <v>317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MSBEL5070</v>
      </c>
      <c r="I2" s="7" t="s">
        <v>214</v>
      </c>
      <c r="J2" s="8" t="s">
        <v>108</v>
      </c>
      <c r="K2" s="7" t="s">
        <v>22</v>
      </c>
      <c r="L2" s="61" t="str">
        <f>IF(LogicCommon!G2="","",LogicCommon!G2)</f>
        <v>MC</v>
      </c>
      <c r="M2" s="5" t="s">
        <v>181</v>
      </c>
      <c r="N2" s="30" t="s">
        <v>301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180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MSBEL_OPStkRplService</v>
      </c>
      <c r="I3" s="7" t="s">
        <v>211</v>
      </c>
      <c r="J3" s="8" t="s">
        <v>108</v>
      </c>
      <c r="K3" s="7" t="s">
        <v>24</v>
      </c>
      <c r="L3" s="61" t="str">
        <f>IF(LogicCommon!G3="","",LogicCommon!G3)</f>
        <v/>
      </c>
      <c r="M3" s="65"/>
      <c r="N3" s="7"/>
      <c r="O3" s="7" t="s">
        <v>212</v>
      </c>
      <c r="P3" s="8" t="s">
        <v>215</v>
      </c>
      <c r="Q3" s="4"/>
      <c r="R3" s="5"/>
      <c r="S3" s="5"/>
      <c r="T3" s="5"/>
      <c r="U3" s="5"/>
    </row>
    <row r="4" spans="1:21" s="10" customFormat="1" x14ac:dyDescent="0.2">
      <c r="A4" s="62" t="s">
        <v>180</v>
      </c>
      <c r="B4" s="63"/>
      <c r="C4" s="63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1" t="str">
        <f>IF(LogicCommon!E4="","",LogicCommon!E4)</f>
        <v>発注点在庫補充サービス</v>
      </c>
      <c r="I4" s="7" t="s">
        <v>190</v>
      </c>
      <c r="J4" s="8" t="s">
        <v>105</v>
      </c>
      <c r="K4" s="7" t="s">
        <v>25</v>
      </c>
      <c r="L4" s="61" t="str">
        <f>IF(LogicCommon!G4="","",LogicCommon!G4)</f>
        <v>MS.MSUDL5010</v>
      </c>
      <c r="M4" s="66" t="s">
        <v>209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67" t="s">
        <v>180</v>
      </c>
      <c r="B5" s="60"/>
      <c r="C5" s="60"/>
      <c r="D5" s="27"/>
      <c r="E5" s="7" t="s">
        <v>12</v>
      </c>
      <c r="F5" s="9"/>
      <c r="G5" s="68"/>
      <c r="H5" s="68"/>
      <c r="I5" s="68"/>
      <c r="J5" s="68"/>
      <c r="K5" s="68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2" t="s">
        <v>180</v>
      </c>
      <c r="B6" s="63"/>
      <c r="C6" s="63"/>
      <c r="D6" s="4" t="s">
        <v>15</v>
      </c>
      <c r="E6" s="16"/>
      <c r="F6" s="16"/>
      <c r="G6" s="16"/>
      <c r="H6" s="16"/>
      <c r="I6" s="16"/>
      <c r="J6" s="16"/>
      <c r="K6" s="16"/>
      <c r="L6" s="69"/>
      <c r="M6" s="49"/>
      <c r="N6" s="49"/>
      <c r="O6" s="49" t="s">
        <v>213</v>
      </c>
      <c r="P6" s="49"/>
      <c r="Q6" s="49" t="s">
        <v>213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80"/>
      <c r="C8" s="81"/>
      <c r="D8" s="31" t="s">
        <v>318</v>
      </c>
      <c r="E8" s="31" t="s">
        <v>319</v>
      </c>
      <c r="F8" s="69"/>
      <c r="G8" s="31" t="s">
        <v>187</v>
      </c>
      <c r="H8" s="31" t="s">
        <v>320</v>
      </c>
      <c r="I8" s="69"/>
      <c r="J8" s="3"/>
      <c r="K8" s="8" t="s">
        <v>188</v>
      </c>
      <c r="L8" s="8"/>
      <c r="M8" s="8"/>
      <c r="N8" s="31" t="s">
        <v>196</v>
      </c>
      <c r="O8" s="32"/>
      <c r="P8" s="31" t="s">
        <v>196</v>
      </c>
      <c r="Q8" s="32"/>
      <c r="R8" s="3"/>
      <c r="S8" s="27"/>
      <c r="T8" s="134" t="s">
        <v>321</v>
      </c>
      <c r="U8" s="135"/>
    </row>
    <row r="9" spans="1:21" s="10" customFormat="1" ht="60" customHeight="1" x14ac:dyDescent="0.2">
      <c r="A9" s="8" t="s">
        <v>8</v>
      </c>
      <c r="B9" s="34"/>
      <c r="C9" s="35"/>
      <c r="D9" s="31" t="s">
        <v>322</v>
      </c>
      <c r="E9" s="73" t="s">
        <v>323</v>
      </c>
      <c r="F9" s="31" t="s">
        <v>324</v>
      </c>
      <c r="G9" s="31" t="s">
        <v>325</v>
      </c>
      <c r="H9" s="31" t="s">
        <v>326</v>
      </c>
      <c r="I9" s="74" t="s">
        <v>327</v>
      </c>
      <c r="J9" s="31" t="s">
        <v>328</v>
      </c>
      <c r="K9" s="79"/>
      <c r="L9" s="79"/>
      <c r="M9" s="79"/>
      <c r="N9" s="31"/>
      <c r="O9" s="31"/>
      <c r="P9" s="31"/>
      <c r="Q9" s="31"/>
      <c r="R9" s="134" t="s">
        <v>329</v>
      </c>
      <c r="S9" s="135"/>
      <c r="T9" s="134" t="s">
        <v>330</v>
      </c>
      <c r="U9" s="135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327</v>
      </c>
      <c r="O10" s="31" t="s">
        <v>328</v>
      </c>
      <c r="P10" s="31" t="s">
        <v>327</v>
      </c>
      <c r="Q10" s="31" t="s">
        <v>328</v>
      </c>
      <c r="R10" s="36"/>
      <c r="S10" s="36"/>
      <c r="T10" s="39"/>
      <c r="U10" s="72"/>
    </row>
    <row r="11" spans="1:21" s="10" customFormat="1" x14ac:dyDescent="0.2">
      <c r="A11" s="8">
        <v>10</v>
      </c>
      <c r="B11" s="34" t="s">
        <v>0</v>
      </c>
      <c r="C11" s="35"/>
      <c r="D11" s="30" t="s">
        <v>132</v>
      </c>
      <c r="E11" s="33" t="s">
        <v>7</v>
      </c>
      <c r="F11" s="41"/>
      <c r="G11" s="30"/>
      <c r="H11" s="42"/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32"/>
      <c r="U11" s="133"/>
    </row>
    <row r="12" spans="1:21" s="10" customFormat="1" x14ac:dyDescent="0.2">
      <c r="A12" s="8">
        <v>10</v>
      </c>
      <c r="B12" s="8"/>
      <c r="C12" s="8"/>
      <c r="D12" s="8" t="s">
        <v>135</v>
      </c>
      <c r="E12" s="32" t="s">
        <v>30</v>
      </c>
      <c r="F12" s="32"/>
      <c r="G12" s="75" t="s">
        <v>342</v>
      </c>
      <c r="H12" s="75" t="s">
        <v>225</v>
      </c>
      <c r="I12" s="8" t="s">
        <v>182</v>
      </c>
      <c r="J12" s="8" t="s">
        <v>184</v>
      </c>
      <c r="K12" s="8"/>
      <c r="L12" s="8"/>
      <c r="M12" s="8"/>
      <c r="N12" s="8"/>
      <c r="O12" s="8"/>
      <c r="P12" s="8"/>
      <c r="Q12" s="8"/>
      <c r="R12" s="134"/>
      <c r="S12" s="135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35</v>
      </c>
      <c r="E13" s="32" t="s">
        <v>39</v>
      </c>
      <c r="F13" s="32"/>
      <c r="G13" s="75" t="s">
        <v>331</v>
      </c>
      <c r="H13" s="75" t="s">
        <v>226</v>
      </c>
      <c r="I13" s="8" t="s">
        <v>182</v>
      </c>
      <c r="J13" s="8" t="s">
        <v>182</v>
      </c>
      <c r="K13" s="8"/>
      <c r="L13" s="8"/>
      <c r="M13" s="8"/>
      <c r="N13" s="8"/>
      <c r="O13" s="8"/>
      <c r="P13" s="8"/>
      <c r="Q13" s="8"/>
      <c r="R13" s="134"/>
      <c r="S13" s="135"/>
      <c r="T13" s="132"/>
      <c r="U13" s="133"/>
    </row>
    <row r="14" spans="1:21" s="10" customFormat="1" x14ac:dyDescent="0.2">
      <c r="A14" s="8">
        <v>10</v>
      </c>
      <c r="B14" s="8"/>
      <c r="C14" s="8"/>
      <c r="D14" s="8" t="s">
        <v>36</v>
      </c>
      <c r="E14" s="32" t="s">
        <v>40</v>
      </c>
      <c r="F14" s="32"/>
      <c r="G14" s="75" t="s">
        <v>332</v>
      </c>
      <c r="H14" s="75" t="s">
        <v>227</v>
      </c>
      <c r="I14" s="8" t="s">
        <v>182</v>
      </c>
      <c r="J14" s="8" t="s">
        <v>182</v>
      </c>
      <c r="K14" s="8"/>
      <c r="L14" s="8"/>
      <c r="M14" s="8"/>
      <c r="N14" s="8"/>
      <c r="O14" s="8"/>
      <c r="P14" s="8"/>
      <c r="Q14" s="8"/>
      <c r="R14" s="134"/>
      <c r="S14" s="135"/>
      <c r="T14" s="132"/>
      <c r="U14" s="133"/>
    </row>
    <row r="15" spans="1:21" s="10" customFormat="1" x14ac:dyDescent="0.2">
      <c r="A15" s="8">
        <v>10</v>
      </c>
      <c r="B15" s="8"/>
      <c r="C15" s="8"/>
      <c r="D15" s="8" t="s">
        <v>37</v>
      </c>
      <c r="E15" s="32" t="s">
        <v>41</v>
      </c>
      <c r="F15" s="32"/>
      <c r="G15" s="75" t="s">
        <v>333</v>
      </c>
      <c r="H15" s="75" t="s">
        <v>228</v>
      </c>
      <c r="I15" s="8" t="s">
        <v>182</v>
      </c>
      <c r="J15" s="8" t="s">
        <v>182</v>
      </c>
      <c r="K15" s="8"/>
      <c r="L15" s="8"/>
      <c r="M15" s="8"/>
      <c r="N15" s="8"/>
      <c r="O15" s="8"/>
      <c r="P15" s="8"/>
      <c r="Q15" s="8"/>
      <c r="R15" s="134"/>
      <c r="S15" s="135"/>
      <c r="T15" s="132"/>
      <c r="U15" s="133"/>
    </row>
    <row r="16" spans="1:21" s="10" customFormat="1" x14ac:dyDescent="0.2">
      <c r="A16" s="8">
        <v>10</v>
      </c>
      <c r="B16" s="8"/>
      <c r="C16" s="8"/>
      <c r="D16" s="8" t="s">
        <v>38</v>
      </c>
      <c r="E16" s="32" t="s">
        <v>42</v>
      </c>
      <c r="F16" s="32"/>
      <c r="G16" s="75" t="s">
        <v>334</v>
      </c>
      <c r="H16" s="75" t="s">
        <v>229</v>
      </c>
      <c r="I16" s="8" t="s">
        <v>182</v>
      </c>
      <c r="J16" s="8" t="s">
        <v>182</v>
      </c>
      <c r="K16" s="8"/>
      <c r="L16" s="8"/>
      <c r="M16" s="8"/>
      <c r="N16" s="8"/>
      <c r="O16" s="8"/>
      <c r="P16" s="8"/>
      <c r="Q16" s="8"/>
      <c r="R16" s="134"/>
      <c r="S16" s="135"/>
      <c r="T16" s="132"/>
      <c r="U16" s="133"/>
    </row>
    <row r="17" spans="1:21" s="10" customFormat="1" x14ac:dyDescent="0.2">
      <c r="A17" s="8">
        <v>10</v>
      </c>
      <c r="B17" s="8"/>
      <c r="C17" s="8"/>
      <c r="D17" s="8" t="s">
        <v>45</v>
      </c>
      <c r="E17" s="32" t="s">
        <v>33</v>
      </c>
      <c r="F17" s="32"/>
      <c r="G17" s="75" t="s">
        <v>335</v>
      </c>
      <c r="H17" s="75" t="s">
        <v>186</v>
      </c>
      <c r="I17" s="8" t="s">
        <v>182</v>
      </c>
      <c r="J17" s="8" t="s">
        <v>182</v>
      </c>
      <c r="K17" s="8"/>
      <c r="L17" s="8"/>
      <c r="M17" s="8"/>
      <c r="N17" s="8"/>
      <c r="O17" s="8"/>
      <c r="P17" s="8"/>
      <c r="Q17" s="8"/>
      <c r="R17" s="134"/>
      <c r="S17" s="135"/>
      <c r="T17" s="132"/>
      <c r="U17" s="133"/>
    </row>
    <row r="18" spans="1:21" s="10" customFormat="1" x14ac:dyDescent="0.2">
      <c r="A18" s="8">
        <v>10</v>
      </c>
      <c r="B18" s="8"/>
      <c r="C18" s="8"/>
      <c r="D18" s="8" t="s">
        <v>143</v>
      </c>
      <c r="E18" s="32" t="s">
        <v>134</v>
      </c>
      <c r="F18" s="32"/>
      <c r="G18" s="75" t="s">
        <v>353</v>
      </c>
      <c r="H18" s="75" t="s">
        <v>239</v>
      </c>
      <c r="I18" s="8" t="s">
        <v>184</v>
      </c>
      <c r="J18" s="8" t="s">
        <v>184</v>
      </c>
      <c r="K18" s="8"/>
      <c r="L18" s="8"/>
      <c r="M18" s="8"/>
      <c r="N18" s="8"/>
      <c r="O18" s="8"/>
      <c r="P18" s="8"/>
      <c r="Q18" s="8"/>
      <c r="R18" s="134"/>
      <c r="S18" s="135"/>
      <c r="T18" s="132"/>
      <c r="U18" s="133"/>
    </row>
    <row r="19" spans="1:21" s="10" customFormat="1" x14ac:dyDescent="0.2">
      <c r="A19" s="8">
        <v>10</v>
      </c>
      <c r="B19" s="8"/>
      <c r="C19" s="8"/>
      <c r="D19" s="8" t="s">
        <v>138</v>
      </c>
      <c r="E19" s="32" t="s">
        <v>139</v>
      </c>
      <c r="F19" s="32"/>
      <c r="G19" s="75" t="s">
        <v>354</v>
      </c>
      <c r="H19" s="75" t="s">
        <v>240</v>
      </c>
      <c r="I19" s="8" t="s">
        <v>184</v>
      </c>
      <c r="J19" s="8" t="s">
        <v>184</v>
      </c>
      <c r="K19" s="8"/>
      <c r="L19" s="8"/>
      <c r="M19" s="8"/>
      <c r="N19" s="8"/>
      <c r="O19" s="8"/>
      <c r="P19" s="8"/>
      <c r="Q19" s="8"/>
      <c r="R19" s="73"/>
      <c r="S19" s="74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59</v>
      </c>
      <c r="E20" s="32" t="s">
        <v>61</v>
      </c>
      <c r="F20" s="32"/>
      <c r="G20" s="75" t="s">
        <v>355</v>
      </c>
      <c r="H20" s="75" t="s">
        <v>191</v>
      </c>
      <c r="I20" s="8" t="s">
        <v>182</v>
      </c>
      <c r="J20" s="8" t="s">
        <v>182</v>
      </c>
      <c r="K20" s="8"/>
      <c r="L20" s="8"/>
      <c r="M20" s="8"/>
      <c r="N20" s="8"/>
      <c r="O20" s="8"/>
      <c r="P20" s="8"/>
      <c r="Q20" s="8"/>
      <c r="R20" s="134"/>
      <c r="S20" s="135"/>
      <c r="T20" s="132"/>
      <c r="U20" s="133"/>
    </row>
    <row r="21" spans="1:21" s="10" customFormat="1" x14ac:dyDescent="0.2">
      <c r="A21" s="8">
        <v>10</v>
      </c>
      <c r="B21" s="8"/>
      <c r="C21" s="8"/>
      <c r="D21" s="8" t="s">
        <v>119</v>
      </c>
      <c r="E21" s="32" t="s">
        <v>115</v>
      </c>
      <c r="F21" s="32"/>
      <c r="G21" s="75" t="s">
        <v>356</v>
      </c>
      <c r="H21" s="75" t="s">
        <v>192</v>
      </c>
      <c r="I21" s="8" t="s">
        <v>182</v>
      </c>
      <c r="J21" s="8" t="s">
        <v>184</v>
      </c>
      <c r="K21" s="8"/>
      <c r="L21" s="8"/>
      <c r="M21" s="8"/>
      <c r="N21" s="8"/>
      <c r="O21" s="8"/>
      <c r="P21" s="8"/>
      <c r="Q21" s="8"/>
      <c r="R21" s="73"/>
      <c r="S21" s="74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140</v>
      </c>
      <c r="E22" s="32" t="s">
        <v>142</v>
      </c>
      <c r="F22" s="32"/>
      <c r="G22" s="75" t="s">
        <v>357</v>
      </c>
      <c r="H22" s="75" t="s">
        <v>241</v>
      </c>
      <c r="I22" s="8" t="s">
        <v>184</v>
      </c>
      <c r="J22" s="8" t="s">
        <v>182</v>
      </c>
      <c r="K22" s="8"/>
      <c r="L22" s="8"/>
      <c r="M22" s="8"/>
      <c r="N22" s="8"/>
      <c r="O22" s="8"/>
      <c r="P22" s="8"/>
      <c r="Q22" s="8"/>
      <c r="R22" s="134"/>
      <c r="S22" s="135"/>
      <c r="T22" s="132"/>
      <c r="U22" s="133"/>
    </row>
    <row r="23" spans="1:21" s="10" customFormat="1" x14ac:dyDescent="0.2">
      <c r="A23" s="8">
        <v>10</v>
      </c>
      <c r="B23" s="8"/>
      <c r="C23" s="8"/>
      <c r="D23" s="8" t="s">
        <v>46</v>
      </c>
      <c r="E23" s="32" t="s">
        <v>33</v>
      </c>
      <c r="F23" s="32"/>
      <c r="G23" s="75" t="s">
        <v>358</v>
      </c>
      <c r="H23" s="75" t="s">
        <v>242</v>
      </c>
      <c r="I23" s="8" t="s">
        <v>184</v>
      </c>
      <c r="J23" s="8" t="s">
        <v>182</v>
      </c>
      <c r="K23" s="8"/>
      <c r="L23" s="8"/>
      <c r="M23" s="8"/>
      <c r="N23" s="8"/>
      <c r="O23" s="8"/>
      <c r="P23" s="8"/>
      <c r="Q23" s="8"/>
      <c r="R23" s="134"/>
      <c r="S23" s="135"/>
      <c r="T23" s="132"/>
      <c r="U23" s="133"/>
    </row>
    <row r="24" spans="1:21" s="10" customFormat="1" x14ac:dyDescent="0.2">
      <c r="A24" s="8">
        <v>10</v>
      </c>
      <c r="B24" s="8"/>
      <c r="C24" s="8"/>
      <c r="D24" s="8" t="s">
        <v>26</v>
      </c>
      <c r="E24" s="32" t="s">
        <v>34</v>
      </c>
      <c r="F24" s="32"/>
      <c r="G24" s="75" t="s">
        <v>359</v>
      </c>
      <c r="H24" s="75" t="s">
        <v>243</v>
      </c>
      <c r="I24" s="8" t="s">
        <v>184</v>
      </c>
      <c r="J24" s="8" t="s">
        <v>182</v>
      </c>
      <c r="K24" s="8"/>
      <c r="L24" s="8"/>
      <c r="M24" s="8"/>
      <c r="N24" s="8"/>
      <c r="O24" s="8"/>
      <c r="P24" s="8"/>
      <c r="Q24" s="8"/>
      <c r="R24" s="73"/>
      <c r="S24" s="74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141</v>
      </c>
      <c r="E25" s="32" t="s">
        <v>139</v>
      </c>
      <c r="F25" s="32"/>
      <c r="G25" s="75" t="s">
        <v>360</v>
      </c>
      <c r="H25" s="75" t="s">
        <v>244</v>
      </c>
      <c r="I25" s="8" t="s">
        <v>184</v>
      </c>
      <c r="J25" s="8" t="s">
        <v>184</v>
      </c>
      <c r="K25" s="8"/>
      <c r="L25" s="8"/>
      <c r="M25" s="8"/>
      <c r="N25" s="8"/>
      <c r="O25" s="8"/>
      <c r="P25" s="8"/>
      <c r="Q25" s="8"/>
      <c r="R25" s="73"/>
      <c r="S25" s="74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151</v>
      </c>
      <c r="E26" s="32" t="s">
        <v>51</v>
      </c>
      <c r="F26" s="32"/>
      <c r="G26" s="75" t="s">
        <v>361</v>
      </c>
      <c r="H26" s="75" t="s">
        <v>245</v>
      </c>
      <c r="I26" s="8" t="s">
        <v>184</v>
      </c>
      <c r="J26" s="8" t="s">
        <v>182</v>
      </c>
      <c r="K26" s="8"/>
      <c r="L26" s="8"/>
      <c r="M26" s="8"/>
      <c r="N26" s="8"/>
      <c r="O26" s="8"/>
      <c r="P26" s="8"/>
      <c r="Q26" s="8"/>
      <c r="R26" s="134"/>
      <c r="S26" s="135"/>
      <c r="T26" s="132"/>
      <c r="U26" s="133"/>
    </row>
    <row r="27" spans="1:21" s="10" customFormat="1" x14ac:dyDescent="0.2">
      <c r="A27" s="8">
        <v>10</v>
      </c>
      <c r="B27" s="8"/>
      <c r="C27" s="8"/>
      <c r="D27" s="8" t="s">
        <v>47</v>
      </c>
      <c r="E27" s="32" t="s">
        <v>48</v>
      </c>
      <c r="F27" s="32"/>
      <c r="G27" s="75" t="s">
        <v>362</v>
      </c>
      <c r="H27" s="75" t="s">
        <v>246</v>
      </c>
      <c r="I27" s="8" t="s">
        <v>184</v>
      </c>
      <c r="J27" s="8" t="s">
        <v>182</v>
      </c>
      <c r="K27" s="8"/>
      <c r="L27" s="8"/>
      <c r="M27" s="8"/>
      <c r="N27" s="8"/>
      <c r="O27" s="8"/>
      <c r="P27" s="8"/>
      <c r="Q27" s="8"/>
      <c r="R27" s="134"/>
      <c r="S27" s="135"/>
      <c r="T27" s="132"/>
      <c r="U27" s="133"/>
    </row>
    <row r="28" spans="1:21" s="10" customFormat="1" x14ac:dyDescent="0.2">
      <c r="A28" s="8">
        <v>10</v>
      </c>
      <c r="B28" s="8"/>
      <c r="C28" s="8"/>
      <c r="D28" s="8" t="s">
        <v>49</v>
      </c>
      <c r="E28" s="32" t="s">
        <v>51</v>
      </c>
      <c r="F28" s="32"/>
      <c r="G28" s="75" t="s">
        <v>363</v>
      </c>
      <c r="H28" s="75" t="s">
        <v>193</v>
      </c>
      <c r="I28" s="8" t="s">
        <v>184</v>
      </c>
      <c r="J28" s="8" t="s">
        <v>182</v>
      </c>
      <c r="K28" s="8"/>
      <c r="L28" s="8"/>
      <c r="M28" s="8"/>
      <c r="N28" s="8"/>
      <c r="O28" s="8"/>
      <c r="P28" s="8"/>
      <c r="Q28" s="8"/>
      <c r="R28" s="134"/>
      <c r="S28" s="135"/>
      <c r="T28" s="132"/>
      <c r="U28" s="133"/>
    </row>
    <row r="29" spans="1:21" s="10" customFormat="1" x14ac:dyDescent="0.2">
      <c r="A29" s="8">
        <v>10</v>
      </c>
      <c r="B29" s="8"/>
      <c r="C29" s="8"/>
      <c r="D29" s="8" t="s">
        <v>50</v>
      </c>
      <c r="E29" s="32" t="s">
        <v>52</v>
      </c>
      <c r="F29" s="32"/>
      <c r="G29" s="75" t="s">
        <v>364</v>
      </c>
      <c r="H29" s="75" t="s">
        <v>194</v>
      </c>
      <c r="I29" s="8" t="s">
        <v>184</v>
      </c>
      <c r="J29" s="8" t="s">
        <v>182</v>
      </c>
      <c r="K29" s="8"/>
      <c r="L29" s="8"/>
      <c r="M29" s="8"/>
      <c r="N29" s="8"/>
      <c r="O29" s="8"/>
      <c r="P29" s="8"/>
      <c r="Q29" s="8"/>
      <c r="R29" s="73"/>
      <c r="S29" s="74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53</v>
      </c>
      <c r="E30" s="32" t="s">
        <v>51</v>
      </c>
      <c r="F30" s="32"/>
      <c r="G30" s="75" t="s">
        <v>365</v>
      </c>
      <c r="H30" s="75" t="s">
        <v>247</v>
      </c>
      <c r="I30" s="8" t="s">
        <v>184</v>
      </c>
      <c r="J30" s="8" t="s">
        <v>182</v>
      </c>
      <c r="K30" s="8"/>
      <c r="L30" s="8"/>
      <c r="M30" s="8"/>
      <c r="N30" s="8"/>
      <c r="O30" s="8"/>
      <c r="P30" s="8"/>
      <c r="Q30" s="8"/>
      <c r="R30" s="134"/>
      <c r="S30" s="135"/>
      <c r="T30" s="132"/>
      <c r="U30" s="133"/>
    </row>
    <row r="31" spans="1:21" s="10" customFormat="1" x14ac:dyDescent="0.2">
      <c r="A31" s="8">
        <v>10</v>
      </c>
      <c r="B31" s="8"/>
      <c r="C31" s="8"/>
      <c r="D31" s="8" t="s">
        <v>54</v>
      </c>
      <c r="E31" s="32" t="s">
        <v>52</v>
      </c>
      <c r="F31" s="32"/>
      <c r="G31" s="75" t="s">
        <v>366</v>
      </c>
      <c r="H31" s="75" t="s">
        <v>248</v>
      </c>
      <c r="I31" s="8" t="s">
        <v>184</v>
      </c>
      <c r="J31" s="8" t="s">
        <v>182</v>
      </c>
      <c r="K31" s="8"/>
      <c r="L31" s="8"/>
      <c r="M31" s="8"/>
      <c r="N31" s="8"/>
      <c r="O31" s="8"/>
      <c r="P31" s="8"/>
      <c r="Q31" s="8"/>
      <c r="R31" s="73"/>
      <c r="S31" s="74"/>
      <c r="T31" s="70"/>
      <c r="U31" s="71"/>
    </row>
    <row r="32" spans="1:21" s="10" customFormat="1" x14ac:dyDescent="0.2">
      <c r="A32" s="8">
        <v>10</v>
      </c>
      <c r="B32" s="8"/>
      <c r="C32" s="8"/>
      <c r="D32" s="8" t="s">
        <v>55</v>
      </c>
      <c r="E32" s="32" t="s">
        <v>57</v>
      </c>
      <c r="F32" s="32"/>
      <c r="G32" s="75" t="s">
        <v>367</v>
      </c>
      <c r="H32" s="75" t="s">
        <v>249</v>
      </c>
      <c r="I32" s="8" t="s">
        <v>182</v>
      </c>
      <c r="J32" s="8" t="s">
        <v>182</v>
      </c>
      <c r="K32" s="8"/>
      <c r="L32" s="8"/>
      <c r="M32" s="8"/>
      <c r="N32" s="8"/>
      <c r="O32" s="8"/>
      <c r="P32" s="8"/>
      <c r="Q32" s="8"/>
      <c r="R32" s="134"/>
      <c r="S32" s="135"/>
      <c r="T32" s="132"/>
      <c r="U32" s="133"/>
    </row>
    <row r="33" spans="1:21" s="10" customFormat="1" x14ac:dyDescent="0.2">
      <c r="A33" s="8">
        <v>10</v>
      </c>
      <c r="B33" s="8"/>
      <c r="C33" s="8"/>
      <c r="D33" s="8" t="s">
        <v>56</v>
      </c>
      <c r="E33" s="32" t="s">
        <v>58</v>
      </c>
      <c r="F33" s="32"/>
      <c r="G33" s="75" t="s">
        <v>368</v>
      </c>
      <c r="H33" s="75" t="s">
        <v>250</v>
      </c>
      <c r="I33" s="8" t="s">
        <v>184</v>
      </c>
      <c r="J33" s="8" t="s">
        <v>182</v>
      </c>
      <c r="K33" s="8"/>
      <c r="L33" s="8"/>
      <c r="M33" s="8"/>
      <c r="N33" s="8"/>
      <c r="O33" s="8"/>
      <c r="P33" s="8"/>
      <c r="Q33" s="8"/>
      <c r="R33" s="134"/>
      <c r="S33" s="135"/>
      <c r="T33" s="132"/>
      <c r="U33" s="133"/>
    </row>
    <row r="34" spans="1:21" s="10" customFormat="1" x14ac:dyDescent="0.2">
      <c r="A34" s="8">
        <v>10</v>
      </c>
      <c r="B34" s="8"/>
      <c r="C34" s="8"/>
      <c r="D34" s="8" t="s">
        <v>315</v>
      </c>
      <c r="E34" s="32" t="s">
        <v>64</v>
      </c>
      <c r="F34" s="32"/>
      <c r="G34" s="75" t="s">
        <v>369</v>
      </c>
      <c r="H34" s="75" t="s">
        <v>316</v>
      </c>
      <c r="I34" s="8" t="s">
        <v>182</v>
      </c>
      <c r="J34" s="8" t="s">
        <v>182</v>
      </c>
      <c r="K34" s="8"/>
      <c r="L34" s="8"/>
      <c r="M34" s="8"/>
      <c r="N34" s="8"/>
      <c r="O34" s="8"/>
      <c r="P34" s="8"/>
      <c r="Q34" s="8"/>
      <c r="R34" s="73"/>
      <c r="S34" s="74"/>
      <c r="T34" s="70"/>
      <c r="U34" s="71"/>
    </row>
    <row r="35" spans="1:21" s="10" customFormat="1" x14ac:dyDescent="0.2">
      <c r="A35" s="8">
        <v>10</v>
      </c>
      <c r="B35" s="8"/>
      <c r="C35" s="8"/>
      <c r="D35" s="8" t="s">
        <v>308</v>
      </c>
      <c r="E35" s="32" t="s">
        <v>309</v>
      </c>
      <c r="F35" s="32"/>
      <c r="G35" s="75" t="s">
        <v>370</v>
      </c>
      <c r="H35" s="75" t="s">
        <v>310</v>
      </c>
      <c r="I35" s="8" t="s">
        <v>182</v>
      </c>
      <c r="J35" s="8" t="s">
        <v>182</v>
      </c>
      <c r="K35" s="8"/>
      <c r="L35" s="8"/>
      <c r="M35" s="8"/>
      <c r="N35" s="8"/>
      <c r="O35" s="8"/>
      <c r="P35" s="8"/>
      <c r="Q35" s="8"/>
      <c r="R35" s="134"/>
      <c r="S35" s="135"/>
      <c r="T35" s="132"/>
      <c r="U35" s="133"/>
    </row>
    <row r="36" spans="1:21" s="10" customFormat="1" x14ac:dyDescent="0.2">
      <c r="A36" s="8">
        <v>10</v>
      </c>
      <c r="B36" s="8"/>
      <c r="C36" s="8"/>
      <c r="D36" s="8" t="s">
        <v>311</v>
      </c>
      <c r="E36" s="32" t="s">
        <v>312</v>
      </c>
      <c r="F36" s="32"/>
      <c r="G36" s="75" t="s">
        <v>371</v>
      </c>
      <c r="H36" s="75" t="s">
        <v>313</v>
      </c>
      <c r="I36" s="8" t="s">
        <v>184</v>
      </c>
      <c r="J36" s="8" t="s">
        <v>182</v>
      </c>
      <c r="K36" s="8"/>
      <c r="L36" s="8"/>
      <c r="M36" s="8"/>
      <c r="N36" s="8"/>
      <c r="O36" s="8"/>
      <c r="P36" s="8"/>
      <c r="Q36" s="8"/>
      <c r="R36" s="134"/>
      <c r="S36" s="135"/>
      <c r="T36" s="132"/>
      <c r="U36" s="133"/>
    </row>
    <row r="37" spans="1:21" s="10" customFormat="1" x14ac:dyDescent="0.2">
      <c r="A37" s="8">
        <v>10</v>
      </c>
      <c r="B37" s="8"/>
      <c r="C37" s="8"/>
      <c r="D37" s="8" t="s">
        <v>167</v>
      </c>
      <c r="E37" s="32" t="s">
        <v>31</v>
      </c>
      <c r="F37" s="32"/>
      <c r="G37" s="75" t="s">
        <v>372</v>
      </c>
      <c r="H37" s="75" t="s">
        <v>251</v>
      </c>
      <c r="I37" s="8" t="s">
        <v>182</v>
      </c>
      <c r="J37" s="8" t="s">
        <v>182</v>
      </c>
      <c r="K37" s="8"/>
      <c r="L37" s="8"/>
      <c r="M37" s="8"/>
      <c r="N37" s="8"/>
      <c r="O37" s="8"/>
      <c r="P37" s="8"/>
      <c r="Q37" s="8"/>
      <c r="R37" s="134"/>
      <c r="S37" s="135"/>
      <c r="T37" s="132"/>
      <c r="U37" s="133"/>
    </row>
    <row r="38" spans="1:21" s="10" customFormat="1" x14ac:dyDescent="0.2">
      <c r="A38" s="8">
        <v>10</v>
      </c>
      <c r="B38" s="8"/>
      <c r="C38" s="8"/>
      <c r="D38" s="8" t="s">
        <v>62</v>
      </c>
      <c r="E38" s="32" t="s">
        <v>32</v>
      </c>
      <c r="F38" s="32"/>
      <c r="G38" s="75" t="s">
        <v>373</v>
      </c>
      <c r="H38" s="75" t="s">
        <v>252</v>
      </c>
      <c r="I38" s="8" t="s">
        <v>184</v>
      </c>
      <c r="J38" s="8" t="s">
        <v>182</v>
      </c>
      <c r="K38" s="8"/>
      <c r="L38" s="8"/>
      <c r="M38" s="8"/>
      <c r="N38" s="8"/>
      <c r="O38" s="8"/>
      <c r="P38" s="8"/>
      <c r="Q38" s="8"/>
      <c r="R38" s="134"/>
      <c r="S38" s="135"/>
      <c r="T38" s="132"/>
      <c r="U38" s="133"/>
    </row>
    <row r="39" spans="1:21" s="10" customFormat="1" x14ac:dyDescent="0.2">
      <c r="A39" s="8">
        <v>10</v>
      </c>
      <c r="B39" s="8"/>
      <c r="C39" s="8"/>
      <c r="D39" s="8" t="s">
        <v>116</v>
      </c>
      <c r="E39" s="32" t="s">
        <v>99</v>
      </c>
      <c r="F39" s="32"/>
      <c r="G39" s="75" t="s">
        <v>374</v>
      </c>
      <c r="H39" s="75" t="s">
        <v>195</v>
      </c>
      <c r="I39" s="8" t="s">
        <v>184</v>
      </c>
      <c r="J39" s="8" t="s">
        <v>184</v>
      </c>
      <c r="K39" s="8"/>
      <c r="L39" s="8"/>
      <c r="M39" s="8"/>
      <c r="N39" s="8"/>
      <c r="O39" s="8"/>
      <c r="P39" s="8"/>
      <c r="Q39" s="8"/>
      <c r="R39" s="134"/>
      <c r="S39" s="135"/>
      <c r="T39" s="132"/>
      <c r="U39" s="133"/>
    </row>
    <row r="40" spans="1:21" s="10" customFormat="1" x14ac:dyDescent="0.2">
      <c r="A40" s="8">
        <v>10</v>
      </c>
      <c r="B40" s="8"/>
      <c r="C40" s="8"/>
      <c r="D40" s="8" t="s">
        <v>137</v>
      </c>
      <c r="E40" s="32" t="s">
        <v>136</v>
      </c>
      <c r="F40" s="32"/>
      <c r="G40" s="75" t="s">
        <v>375</v>
      </c>
      <c r="H40" s="75" t="s">
        <v>253</v>
      </c>
      <c r="I40" s="8" t="s">
        <v>184</v>
      </c>
      <c r="J40" s="8" t="s">
        <v>184</v>
      </c>
      <c r="K40" s="8"/>
      <c r="L40" s="8"/>
      <c r="M40" s="8"/>
      <c r="N40" s="8"/>
      <c r="O40" s="8"/>
      <c r="P40" s="8"/>
      <c r="Q40" s="8"/>
      <c r="R40" s="134"/>
      <c r="S40" s="135"/>
      <c r="T40" s="132"/>
      <c r="U40" s="133"/>
    </row>
    <row r="41" spans="1:21" s="10" customFormat="1" x14ac:dyDescent="0.2">
      <c r="A41" s="8">
        <v>10</v>
      </c>
      <c r="B41" s="8"/>
      <c r="C41" s="8"/>
      <c r="D41" s="8" t="s">
        <v>298</v>
      </c>
      <c r="E41" s="32" t="s">
        <v>43</v>
      </c>
      <c r="F41" s="32"/>
      <c r="G41" s="75" t="s">
        <v>376</v>
      </c>
      <c r="H41" s="75" t="s">
        <v>299</v>
      </c>
      <c r="I41" s="8" t="s">
        <v>184</v>
      </c>
      <c r="J41" s="8" t="s">
        <v>184</v>
      </c>
      <c r="K41" s="8"/>
      <c r="L41" s="8"/>
      <c r="M41" s="8"/>
      <c r="N41" s="8"/>
      <c r="O41" s="8"/>
      <c r="P41" s="8"/>
      <c r="Q41" s="8"/>
      <c r="R41" s="73"/>
      <c r="S41" s="74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288</v>
      </c>
      <c r="E42" s="32" t="s">
        <v>290</v>
      </c>
      <c r="F42" s="32"/>
      <c r="G42" s="75" t="s">
        <v>377</v>
      </c>
      <c r="H42" s="75" t="s">
        <v>291</v>
      </c>
      <c r="I42" s="8" t="s">
        <v>184</v>
      </c>
      <c r="J42" s="8" t="s">
        <v>184</v>
      </c>
      <c r="K42" s="8"/>
      <c r="L42" s="8"/>
      <c r="M42" s="8"/>
      <c r="N42" s="8"/>
      <c r="O42" s="8"/>
      <c r="P42" s="8"/>
      <c r="Q42" s="8"/>
      <c r="R42" s="73"/>
      <c r="S42" s="74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292</v>
      </c>
      <c r="E43" s="32" t="s">
        <v>289</v>
      </c>
      <c r="F43" s="32"/>
      <c r="G43" s="75" t="s">
        <v>378</v>
      </c>
      <c r="H43" s="75" t="s">
        <v>304</v>
      </c>
      <c r="I43" s="8" t="s">
        <v>184</v>
      </c>
      <c r="J43" s="8" t="s">
        <v>184</v>
      </c>
      <c r="K43" s="8"/>
      <c r="L43" s="8"/>
      <c r="M43" s="8"/>
      <c r="N43" s="8"/>
      <c r="O43" s="8"/>
      <c r="P43" s="8"/>
      <c r="Q43" s="8"/>
      <c r="R43" s="73"/>
      <c r="S43" s="74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293</v>
      </c>
      <c r="E44" s="32" t="s">
        <v>289</v>
      </c>
      <c r="F44" s="32"/>
      <c r="G44" s="75" t="s">
        <v>379</v>
      </c>
      <c r="H44" s="75" t="s">
        <v>305</v>
      </c>
      <c r="I44" s="8" t="s">
        <v>184</v>
      </c>
      <c r="J44" s="8" t="s">
        <v>184</v>
      </c>
      <c r="K44" s="8"/>
      <c r="L44" s="8"/>
      <c r="M44" s="8"/>
      <c r="N44" s="8"/>
      <c r="O44" s="8"/>
      <c r="P44" s="8"/>
      <c r="Q44" s="8"/>
      <c r="R44" s="134"/>
      <c r="S44" s="135"/>
      <c r="T44" s="132"/>
      <c r="U44" s="133"/>
    </row>
    <row r="45" spans="1:21" s="10" customFormat="1" x14ac:dyDescent="0.2">
      <c r="A45" s="8">
        <v>10</v>
      </c>
      <c r="B45" s="8"/>
      <c r="C45" s="8"/>
      <c r="D45" s="8" t="s">
        <v>294</v>
      </c>
      <c r="E45" s="32" t="s">
        <v>289</v>
      </c>
      <c r="F45" s="32"/>
      <c r="G45" s="75" t="s">
        <v>380</v>
      </c>
      <c r="H45" s="75" t="s">
        <v>306</v>
      </c>
      <c r="I45" s="8" t="s">
        <v>184</v>
      </c>
      <c r="J45" s="8" t="s">
        <v>184</v>
      </c>
      <c r="K45" s="8"/>
      <c r="L45" s="8"/>
      <c r="M45" s="8"/>
      <c r="N45" s="8"/>
      <c r="O45" s="8"/>
      <c r="P45" s="8"/>
      <c r="Q45" s="8"/>
      <c r="R45" s="73"/>
      <c r="S45" s="74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295</v>
      </c>
      <c r="E46" s="32" t="s">
        <v>289</v>
      </c>
      <c r="F46" s="32"/>
      <c r="G46" s="75" t="s">
        <v>381</v>
      </c>
      <c r="H46" s="75" t="s">
        <v>296</v>
      </c>
      <c r="I46" s="8" t="s">
        <v>184</v>
      </c>
      <c r="J46" s="8" t="s">
        <v>184</v>
      </c>
      <c r="K46" s="8"/>
      <c r="L46" s="8"/>
      <c r="M46" s="8"/>
      <c r="N46" s="8"/>
      <c r="O46" s="8"/>
      <c r="P46" s="8"/>
      <c r="Q46" s="8"/>
      <c r="R46" s="73"/>
      <c r="S46" s="74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297</v>
      </c>
      <c r="E47" s="32" t="s">
        <v>289</v>
      </c>
      <c r="F47" s="32"/>
      <c r="G47" s="75" t="s">
        <v>382</v>
      </c>
      <c r="H47" s="75" t="s">
        <v>307</v>
      </c>
      <c r="I47" s="8" t="s">
        <v>184</v>
      </c>
      <c r="J47" s="8" t="s">
        <v>184</v>
      </c>
      <c r="K47" s="8"/>
      <c r="L47" s="8"/>
      <c r="M47" s="8"/>
      <c r="N47" s="8"/>
      <c r="O47" s="8"/>
      <c r="P47" s="8"/>
      <c r="Q47" s="8"/>
      <c r="R47" s="134"/>
      <c r="S47" s="135"/>
      <c r="T47" s="132"/>
      <c r="U47" s="133"/>
    </row>
    <row r="48" spans="1:21" s="10" customFormat="1" x14ac:dyDescent="0.2">
      <c r="A48" s="28"/>
      <c r="B48" s="29"/>
      <c r="C48" s="29"/>
      <c r="D48" s="48" t="s">
        <v>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22"/>
    </row>
    <row r="49" spans="1:21" s="10" customFormat="1" x14ac:dyDescent="0.2">
      <c r="A49" s="62"/>
      <c r="U49" s="44"/>
    </row>
    <row r="50" spans="1:21" s="10" customFormat="1" x14ac:dyDescent="0.2">
      <c r="A50" s="62"/>
      <c r="U50" s="44"/>
    </row>
    <row r="51" spans="1:21" s="10" customFormat="1" x14ac:dyDescent="0.2">
      <c r="A51" s="62"/>
      <c r="U51" s="44"/>
    </row>
    <row r="52" spans="1:21" s="10" customFormat="1" x14ac:dyDescent="0.2">
      <c r="A52" s="62"/>
      <c r="U52" s="44"/>
    </row>
    <row r="53" spans="1:21" s="10" customFormat="1" x14ac:dyDescent="0.2">
      <c r="A53" s="62"/>
      <c r="U53" s="44"/>
    </row>
    <row r="54" spans="1:21" s="10" customFormat="1" x14ac:dyDescent="0.2">
      <c r="A54" s="62"/>
      <c r="U54" s="44"/>
    </row>
    <row r="55" spans="1:21" s="10" customFormat="1" x14ac:dyDescent="0.2">
      <c r="A55" s="62"/>
      <c r="U55" s="44"/>
    </row>
    <row r="56" spans="1:21" s="10" customFormat="1" x14ac:dyDescent="0.2">
      <c r="A56" s="62"/>
      <c r="U56" s="44"/>
    </row>
    <row r="57" spans="1:21" s="10" customFormat="1" x14ac:dyDescent="0.2">
      <c r="A57" s="62"/>
      <c r="U57" s="44"/>
    </row>
    <row r="58" spans="1:21" s="10" customFormat="1" x14ac:dyDescent="0.2">
      <c r="A58" s="62"/>
      <c r="U58" s="44"/>
    </row>
    <row r="59" spans="1:21" s="10" customFormat="1" x14ac:dyDescent="0.2">
      <c r="A59" s="62"/>
      <c r="U59" s="44"/>
    </row>
    <row r="60" spans="1:21" s="10" customFormat="1" x14ac:dyDescent="0.2">
      <c r="A60" s="62"/>
      <c r="U60" s="44"/>
    </row>
    <row r="61" spans="1:21" s="10" customFormat="1" x14ac:dyDescent="0.2">
      <c r="A61" s="62"/>
      <c r="U61" s="44"/>
    </row>
    <row r="62" spans="1:21" s="10" customFormat="1" x14ac:dyDescent="0.2">
      <c r="A62" s="67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50"/>
    </row>
  </sheetData>
  <mergeCells count="52">
    <mergeCell ref="R47:S47"/>
    <mergeCell ref="T47:U47"/>
    <mergeCell ref="R44:S44"/>
    <mergeCell ref="T44:U44"/>
    <mergeCell ref="R39:S39"/>
    <mergeCell ref="T39:U39"/>
    <mergeCell ref="R40:S40"/>
    <mergeCell ref="T40:U40"/>
    <mergeCell ref="R33:S33"/>
    <mergeCell ref="T33:U33"/>
    <mergeCell ref="R37:S37"/>
    <mergeCell ref="T37:U37"/>
    <mergeCell ref="R38:S38"/>
    <mergeCell ref="T38:U38"/>
    <mergeCell ref="R35:S35"/>
    <mergeCell ref="T35:U35"/>
    <mergeCell ref="R36:S36"/>
    <mergeCell ref="T36:U36"/>
    <mergeCell ref="T11:U11"/>
    <mergeCell ref="T8:U8"/>
    <mergeCell ref="R9:S9"/>
    <mergeCell ref="T9:U9"/>
    <mergeCell ref="R12:S12"/>
    <mergeCell ref="T12:U12"/>
    <mergeCell ref="R15:S15"/>
    <mergeCell ref="T15:U15"/>
    <mergeCell ref="R16:S16"/>
    <mergeCell ref="T16:U16"/>
    <mergeCell ref="R13:S13"/>
    <mergeCell ref="T13:U13"/>
    <mergeCell ref="R14:S14"/>
    <mergeCell ref="T14:U14"/>
    <mergeCell ref="R17:S17"/>
    <mergeCell ref="T17:U17"/>
    <mergeCell ref="R22:S22"/>
    <mergeCell ref="T22:U22"/>
    <mergeCell ref="R18:S18"/>
    <mergeCell ref="T18:U18"/>
    <mergeCell ref="R20:S20"/>
    <mergeCell ref="T20:U20"/>
    <mergeCell ref="R23:S23"/>
    <mergeCell ref="T23:U23"/>
    <mergeCell ref="R30:S30"/>
    <mergeCell ref="T30:U30"/>
    <mergeCell ref="R32:S32"/>
    <mergeCell ref="T32:U32"/>
    <mergeCell ref="R27:S27"/>
    <mergeCell ref="T27:U27"/>
    <mergeCell ref="R28:S28"/>
    <mergeCell ref="T28:U28"/>
    <mergeCell ref="R26:S26"/>
    <mergeCell ref="T26:U2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61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29.36328125" style="4" customWidth="1"/>
    <col min="9" max="10" width="15.81640625" style="4" customWidth="1"/>
    <col min="11" max="13" width="16.36328125" style="4" customWidth="1"/>
    <col min="14" max="14" width="50.6328125" style="4" customWidth="1"/>
    <col min="15" max="18" width="16.36328125" style="4" customWidth="1"/>
    <col min="19" max="21" width="16.36328125" style="5" customWidth="1"/>
    <col min="22" max="24" width="20.08984375" style="51" customWidth="1"/>
    <col min="25" max="26" width="20.08984375" style="52" customWidth="1"/>
    <col min="27" max="27" width="20.453125" style="5" bestFit="1" customWidth="1"/>
    <col min="28" max="34" width="16.36328125" style="5" customWidth="1"/>
    <col min="35" max="35" width="30.81640625" style="5" customWidth="1"/>
    <col min="36" max="38" width="16.36328125" style="5" customWidth="1"/>
    <col min="39" max="16384" width="9" style="5"/>
  </cols>
  <sheetData>
    <row r="1" spans="1:38" s="10" customFormat="1" x14ac:dyDescent="0.2">
      <c r="A1" s="60" t="s">
        <v>180</v>
      </c>
      <c r="B1" s="60" t="s">
        <v>180</v>
      </c>
      <c r="C1" s="60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1"/>
      <c r="W1" s="51"/>
      <c r="X1" s="51"/>
      <c r="Y1" s="52"/>
      <c r="Z1" s="52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8" t="s">
        <v>180</v>
      </c>
      <c r="B2" s="29"/>
      <c r="C2" s="29"/>
      <c r="D2" s="79" t="s">
        <v>317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MSBEL5070</v>
      </c>
      <c r="I2" s="7" t="s">
        <v>214</v>
      </c>
      <c r="J2" s="8" t="s">
        <v>109</v>
      </c>
      <c r="K2" s="7" t="s">
        <v>22</v>
      </c>
      <c r="L2" s="61" t="str">
        <f>IF(LogicCommon!G2="","",LogicCommon!G2)</f>
        <v>MC</v>
      </c>
      <c r="M2" s="5" t="s">
        <v>181</v>
      </c>
      <c r="N2" s="30" t="s">
        <v>302</v>
      </c>
      <c r="O2" s="7"/>
      <c r="P2" s="7"/>
      <c r="Q2" s="4"/>
      <c r="R2" s="5"/>
      <c r="S2" s="5"/>
      <c r="T2" s="5"/>
      <c r="U2" s="5"/>
      <c r="V2" s="51"/>
      <c r="W2" s="51"/>
      <c r="X2" s="51"/>
      <c r="Y2" s="52"/>
      <c r="Z2" s="52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2" t="s">
        <v>180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MSBEL_OPStkRplService</v>
      </c>
      <c r="I3" s="7" t="s">
        <v>211</v>
      </c>
      <c r="J3" s="8" t="s">
        <v>109</v>
      </c>
      <c r="K3" s="7" t="s">
        <v>24</v>
      </c>
      <c r="L3" s="61" t="str">
        <f>IF(LogicCommon!G3="","",LogicCommon!G3)</f>
        <v/>
      </c>
      <c r="M3" s="65"/>
      <c r="N3" s="7"/>
      <c r="O3" s="7" t="s">
        <v>212</v>
      </c>
      <c r="P3" s="8" t="s">
        <v>215</v>
      </c>
      <c r="Q3" s="4"/>
      <c r="R3" s="5"/>
      <c r="S3" s="5"/>
      <c r="T3" s="5"/>
      <c r="U3" s="5"/>
      <c r="V3" s="51"/>
      <c r="W3" s="51"/>
      <c r="X3" s="51"/>
      <c r="Y3" s="52"/>
      <c r="Z3" s="52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2" t="s">
        <v>180</v>
      </c>
      <c r="B4" s="63"/>
      <c r="C4" s="63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1" t="str">
        <f>IF(LogicCommon!E4="","",LogicCommon!E4)</f>
        <v>発注点在庫補充サービス</v>
      </c>
      <c r="I4" s="7" t="s">
        <v>190</v>
      </c>
      <c r="J4" s="8" t="s">
        <v>102</v>
      </c>
      <c r="K4" s="7" t="s">
        <v>25</v>
      </c>
      <c r="L4" s="61" t="str">
        <f>IF(LogicCommon!G4="","",LogicCommon!G4)</f>
        <v>MS.MSUDL5010</v>
      </c>
      <c r="M4" s="66" t="s">
        <v>209</v>
      </c>
      <c r="N4" s="30"/>
      <c r="O4" s="11"/>
      <c r="P4" s="4"/>
      <c r="Q4" s="4"/>
      <c r="R4" s="5"/>
      <c r="S4" s="5"/>
      <c r="T4" s="5"/>
      <c r="U4" s="5"/>
      <c r="V4" s="51"/>
      <c r="W4" s="51"/>
      <c r="X4" s="51"/>
      <c r="Y4" s="52"/>
      <c r="Z4" s="52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180</v>
      </c>
      <c r="B5" s="60"/>
      <c r="C5" s="60"/>
      <c r="D5" s="27"/>
      <c r="E5" s="7" t="s">
        <v>12</v>
      </c>
      <c r="F5" s="9"/>
      <c r="G5" s="68"/>
      <c r="H5" s="68"/>
      <c r="I5" s="68"/>
      <c r="J5" s="68"/>
      <c r="K5" s="68"/>
      <c r="L5" s="6"/>
      <c r="M5" s="5"/>
      <c r="N5" s="5"/>
      <c r="O5" s="11"/>
      <c r="P5" s="4"/>
      <c r="Q5" s="4"/>
      <c r="R5" s="5"/>
      <c r="S5" s="5"/>
      <c r="T5" s="5"/>
      <c r="U5" s="5"/>
      <c r="V5" s="51"/>
      <c r="W5" s="51"/>
      <c r="X5" s="51"/>
      <c r="Y5" s="52"/>
      <c r="Z5" s="52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2" t="s">
        <v>180</v>
      </c>
      <c r="B6" s="63"/>
      <c r="C6" s="63"/>
      <c r="D6" s="4" t="s">
        <v>15</v>
      </c>
      <c r="E6" s="16"/>
      <c r="F6" s="16"/>
      <c r="G6" s="16"/>
      <c r="H6" s="16"/>
      <c r="I6" s="16"/>
      <c r="J6" s="16"/>
      <c r="K6" s="16"/>
      <c r="L6" s="69"/>
      <c r="M6" s="49"/>
      <c r="N6" s="49"/>
      <c r="O6" s="49"/>
      <c r="P6" s="49"/>
      <c r="Q6" s="49"/>
      <c r="R6" s="4"/>
      <c r="S6" s="4"/>
      <c r="T6" s="4"/>
      <c r="U6" s="4"/>
      <c r="V6" s="53"/>
      <c r="W6" s="53"/>
      <c r="X6" s="53"/>
      <c r="Y6" s="52"/>
      <c r="Z6" s="52"/>
      <c r="AA6" s="5"/>
      <c r="AB6" s="5"/>
      <c r="AC6" s="5"/>
      <c r="AD6" s="5" t="s">
        <v>213</v>
      </c>
      <c r="AE6" s="5"/>
      <c r="AF6" s="5" t="s">
        <v>213</v>
      </c>
      <c r="AG6" s="5"/>
      <c r="AH6" s="5" t="s">
        <v>213</v>
      </c>
      <c r="AI6" s="5"/>
      <c r="AJ6" s="5"/>
      <c r="AK6" s="5"/>
      <c r="AL6" s="5"/>
    </row>
    <row r="7" spans="1:38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79</v>
      </c>
      <c r="L7" s="8" t="s">
        <v>79</v>
      </c>
      <c r="M7" s="8" t="s">
        <v>79</v>
      </c>
      <c r="N7" s="8" t="s">
        <v>79</v>
      </c>
      <c r="O7" s="8" t="s">
        <v>79</v>
      </c>
      <c r="P7" s="8" t="s">
        <v>79</v>
      </c>
      <c r="Q7" s="8" t="s">
        <v>79</v>
      </c>
      <c r="R7" s="8" t="s">
        <v>79</v>
      </c>
      <c r="S7" s="8" t="s">
        <v>79</v>
      </c>
      <c r="T7" s="8" t="s">
        <v>79</v>
      </c>
      <c r="U7" s="8" t="s">
        <v>79</v>
      </c>
      <c r="V7" s="54" t="s">
        <v>79</v>
      </c>
      <c r="W7" s="54" t="s">
        <v>79</v>
      </c>
      <c r="X7" s="54" t="s">
        <v>79</v>
      </c>
      <c r="Y7" s="55" t="s">
        <v>79</v>
      </c>
      <c r="Z7" s="55" t="s">
        <v>79</v>
      </c>
      <c r="AA7" s="8" t="s">
        <v>79</v>
      </c>
      <c r="AB7" s="8" t="s">
        <v>79</v>
      </c>
      <c r="AC7" s="31" t="s">
        <v>10</v>
      </c>
      <c r="AD7" s="32"/>
      <c r="AE7" s="31" t="s">
        <v>10</v>
      </c>
      <c r="AF7" s="32"/>
      <c r="AG7" s="31" t="s">
        <v>10</v>
      </c>
      <c r="AH7" s="32"/>
      <c r="AI7" s="4"/>
      <c r="AJ7" s="4"/>
      <c r="AK7" s="4"/>
      <c r="AL7" s="4"/>
    </row>
    <row r="8" spans="1:38" s="10" customFormat="1" ht="60" customHeight="1" x14ac:dyDescent="0.2">
      <c r="A8" s="32" t="s">
        <v>8</v>
      </c>
      <c r="B8" s="80"/>
      <c r="C8" s="81"/>
      <c r="D8" s="31" t="s">
        <v>318</v>
      </c>
      <c r="E8" s="31" t="s">
        <v>319</v>
      </c>
      <c r="F8" s="69"/>
      <c r="G8" s="31" t="s">
        <v>187</v>
      </c>
      <c r="H8" s="31" t="s">
        <v>320</v>
      </c>
      <c r="I8" s="69"/>
      <c r="J8" s="3"/>
      <c r="K8" s="8" t="s">
        <v>80</v>
      </c>
      <c r="L8" s="8" t="s">
        <v>81</v>
      </c>
      <c r="M8" s="8" t="s">
        <v>82</v>
      </c>
      <c r="N8" s="8" t="s">
        <v>83</v>
      </c>
      <c r="O8" s="8" t="s">
        <v>84</v>
      </c>
      <c r="P8" s="8" t="s">
        <v>85</v>
      </c>
      <c r="Q8" s="8" t="s">
        <v>86</v>
      </c>
      <c r="R8" s="8" t="s">
        <v>87</v>
      </c>
      <c r="S8" s="8" t="s">
        <v>88</v>
      </c>
      <c r="T8" s="8" t="s">
        <v>89</v>
      </c>
      <c r="U8" s="8" t="s">
        <v>90</v>
      </c>
      <c r="V8" s="54" t="s">
        <v>91</v>
      </c>
      <c r="W8" s="54" t="s">
        <v>92</v>
      </c>
      <c r="X8" s="54" t="s">
        <v>93</v>
      </c>
      <c r="Y8" s="55" t="s">
        <v>94</v>
      </c>
      <c r="Z8" s="55" t="s">
        <v>95</v>
      </c>
      <c r="AA8" s="8" t="s">
        <v>96</v>
      </c>
      <c r="AB8" s="8" t="s">
        <v>97</v>
      </c>
      <c r="AC8" s="31" t="s">
        <v>189</v>
      </c>
      <c r="AD8" s="32"/>
      <c r="AE8" s="31" t="s">
        <v>189</v>
      </c>
      <c r="AF8" s="32"/>
      <c r="AG8" s="31" t="s">
        <v>210</v>
      </c>
      <c r="AH8" s="32"/>
      <c r="AI8" s="3"/>
      <c r="AJ8" s="27"/>
      <c r="AK8" s="134" t="s">
        <v>321</v>
      </c>
      <c r="AL8" s="135"/>
    </row>
    <row r="9" spans="1:38" s="10" customFormat="1" ht="60" customHeight="1" x14ac:dyDescent="0.2">
      <c r="A9" s="8" t="s">
        <v>8</v>
      </c>
      <c r="B9" s="34"/>
      <c r="C9" s="35"/>
      <c r="D9" s="31" t="s">
        <v>322</v>
      </c>
      <c r="E9" s="73" t="s">
        <v>323</v>
      </c>
      <c r="F9" s="31" t="s">
        <v>324</v>
      </c>
      <c r="G9" s="31" t="s">
        <v>325</v>
      </c>
      <c r="H9" s="31" t="s">
        <v>326</v>
      </c>
      <c r="I9" s="74" t="s">
        <v>327</v>
      </c>
      <c r="J9" s="31" t="s">
        <v>328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59"/>
      <c r="W9" s="59"/>
      <c r="X9" s="59"/>
      <c r="Y9" s="59"/>
      <c r="Z9" s="59"/>
      <c r="AA9" s="79"/>
      <c r="AB9" s="79"/>
      <c r="AC9" s="31"/>
      <c r="AD9" s="31"/>
      <c r="AE9" s="31"/>
      <c r="AF9" s="31"/>
      <c r="AG9" s="31"/>
      <c r="AH9" s="31"/>
      <c r="AI9" s="134" t="s">
        <v>329</v>
      </c>
      <c r="AJ9" s="135"/>
      <c r="AK9" s="134" t="s">
        <v>330</v>
      </c>
      <c r="AL9" s="135"/>
    </row>
    <row r="10" spans="1:38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56"/>
      <c r="W10" s="56"/>
      <c r="X10" s="56"/>
      <c r="Y10" s="56"/>
      <c r="Z10" s="56"/>
      <c r="AA10" s="40"/>
      <c r="AB10" s="40"/>
      <c r="AC10" s="31" t="s">
        <v>327</v>
      </c>
      <c r="AD10" s="31" t="s">
        <v>328</v>
      </c>
      <c r="AE10" s="31" t="s">
        <v>327</v>
      </c>
      <c r="AF10" s="31" t="s">
        <v>328</v>
      </c>
      <c r="AG10" s="31" t="s">
        <v>327</v>
      </c>
      <c r="AH10" s="31" t="s">
        <v>328</v>
      </c>
      <c r="AI10" s="36"/>
      <c r="AJ10" s="36"/>
      <c r="AK10" s="39"/>
      <c r="AL10" s="72"/>
    </row>
    <row r="11" spans="1:38" s="10" customFormat="1" x14ac:dyDescent="0.2">
      <c r="A11" s="8">
        <v>10</v>
      </c>
      <c r="B11" s="34" t="s">
        <v>0</v>
      </c>
      <c r="C11" s="35"/>
      <c r="D11" s="30" t="s">
        <v>168</v>
      </c>
      <c r="E11" s="33" t="s">
        <v>7</v>
      </c>
      <c r="F11" s="41"/>
      <c r="G11" s="30"/>
      <c r="H11" s="42"/>
      <c r="I11" s="43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57"/>
      <c r="W11" s="57"/>
      <c r="X11" s="57"/>
      <c r="Y11" s="57"/>
      <c r="Z11" s="57"/>
      <c r="AA11" s="38"/>
      <c r="AB11" s="38"/>
      <c r="AC11" s="33"/>
      <c r="AD11" s="33"/>
      <c r="AE11" s="33"/>
      <c r="AF11" s="33"/>
      <c r="AG11" s="33"/>
      <c r="AH11" s="33"/>
      <c r="AI11" s="43"/>
      <c r="AJ11" s="41"/>
      <c r="AK11" s="132"/>
      <c r="AL11" s="133"/>
    </row>
    <row r="12" spans="1:38" s="10" customFormat="1" x14ac:dyDescent="0.2">
      <c r="A12" s="8">
        <v>10</v>
      </c>
      <c r="B12" s="8"/>
      <c r="C12" s="8"/>
      <c r="D12" s="8" t="s">
        <v>98</v>
      </c>
      <c r="E12" s="32" t="s">
        <v>99</v>
      </c>
      <c r="F12" s="32"/>
      <c r="G12" s="75" t="s">
        <v>383</v>
      </c>
      <c r="H12" s="75" t="s">
        <v>254</v>
      </c>
      <c r="I12" s="8" t="s">
        <v>182</v>
      </c>
      <c r="J12" s="8" t="s">
        <v>182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0"/>
      <c r="AL12" s="71"/>
    </row>
    <row r="13" spans="1:38" s="10" customFormat="1" x14ac:dyDescent="0.2">
      <c r="A13" s="8">
        <v>10</v>
      </c>
      <c r="B13" s="8"/>
      <c r="C13" s="8"/>
      <c r="D13" s="8" t="s">
        <v>28</v>
      </c>
      <c r="E13" s="32" t="s">
        <v>30</v>
      </c>
      <c r="F13" s="32"/>
      <c r="G13" s="75" t="s">
        <v>342</v>
      </c>
      <c r="H13" s="75" t="s">
        <v>225</v>
      </c>
      <c r="I13" s="8" t="s">
        <v>182</v>
      </c>
      <c r="J13" s="8" t="s">
        <v>182</v>
      </c>
      <c r="K13" s="8"/>
      <c r="L13" s="8" t="s">
        <v>182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4"/>
      <c r="AJ13" s="135"/>
      <c r="AK13" s="132"/>
      <c r="AL13" s="133"/>
    </row>
    <row r="14" spans="1:38" s="10" customFormat="1" x14ac:dyDescent="0.2">
      <c r="A14" s="8">
        <v>10</v>
      </c>
      <c r="B14" s="8"/>
      <c r="C14" s="8"/>
      <c r="D14" s="8" t="s">
        <v>35</v>
      </c>
      <c r="E14" s="32" t="s">
        <v>39</v>
      </c>
      <c r="F14" s="32"/>
      <c r="G14" s="75" t="s">
        <v>331</v>
      </c>
      <c r="H14" s="75" t="s">
        <v>226</v>
      </c>
      <c r="I14" s="8" t="s">
        <v>182</v>
      </c>
      <c r="J14" s="8" t="s">
        <v>182</v>
      </c>
      <c r="K14" s="8"/>
      <c r="L14" s="8" t="s">
        <v>182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4"/>
      <c r="AJ14" s="135"/>
      <c r="AK14" s="132"/>
      <c r="AL14" s="133"/>
    </row>
    <row r="15" spans="1:38" s="10" customFormat="1" x14ac:dyDescent="0.2">
      <c r="A15" s="8">
        <v>10</v>
      </c>
      <c r="B15" s="8"/>
      <c r="C15" s="8"/>
      <c r="D15" s="8" t="s">
        <v>36</v>
      </c>
      <c r="E15" s="32" t="s">
        <v>40</v>
      </c>
      <c r="F15" s="32"/>
      <c r="G15" s="75" t="s">
        <v>332</v>
      </c>
      <c r="H15" s="75" t="s">
        <v>227</v>
      </c>
      <c r="I15" s="8" t="s">
        <v>182</v>
      </c>
      <c r="J15" s="8" t="s">
        <v>182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4"/>
      <c r="AJ15" s="135"/>
      <c r="AK15" s="132"/>
      <c r="AL15" s="133"/>
    </row>
    <row r="16" spans="1:38" s="10" customFormat="1" x14ac:dyDescent="0.2">
      <c r="A16" s="8">
        <v>10</v>
      </c>
      <c r="B16" s="8"/>
      <c r="C16" s="8"/>
      <c r="D16" s="8" t="s">
        <v>37</v>
      </c>
      <c r="E16" s="32" t="s">
        <v>41</v>
      </c>
      <c r="F16" s="32"/>
      <c r="G16" s="75" t="s">
        <v>333</v>
      </c>
      <c r="H16" s="75" t="s">
        <v>228</v>
      </c>
      <c r="I16" s="8" t="s">
        <v>182</v>
      </c>
      <c r="J16" s="8" t="s">
        <v>182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4"/>
      <c r="AJ16" s="135"/>
      <c r="AK16" s="132"/>
      <c r="AL16" s="133"/>
    </row>
    <row r="17" spans="1:38" s="10" customFormat="1" x14ac:dyDescent="0.2">
      <c r="A17" s="8">
        <v>10</v>
      </c>
      <c r="B17" s="8"/>
      <c r="C17" s="8"/>
      <c r="D17" s="8" t="s">
        <v>38</v>
      </c>
      <c r="E17" s="32" t="s">
        <v>42</v>
      </c>
      <c r="F17" s="32"/>
      <c r="G17" s="75" t="s">
        <v>334</v>
      </c>
      <c r="H17" s="75" t="s">
        <v>229</v>
      </c>
      <c r="I17" s="8" t="s">
        <v>182</v>
      </c>
      <c r="J17" s="8" t="s">
        <v>182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197</v>
      </c>
      <c r="W17" s="8" t="s">
        <v>255</v>
      </c>
      <c r="X17" s="8" t="s">
        <v>255</v>
      </c>
      <c r="Y17" s="8" t="s">
        <v>256</v>
      </c>
      <c r="Z17" s="8" t="s">
        <v>198</v>
      </c>
      <c r="AA17" s="8"/>
      <c r="AB17" s="8"/>
      <c r="AC17" s="8"/>
      <c r="AD17" s="8"/>
      <c r="AE17" s="8"/>
      <c r="AF17" s="8"/>
      <c r="AG17" s="8"/>
      <c r="AH17" s="8"/>
      <c r="AI17" s="134"/>
      <c r="AJ17" s="135"/>
      <c r="AK17" s="132"/>
      <c r="AL17" s="133"/>
    </row>
    <row r="18" spans="1:38" s="10" customFormat="1" x14ac:dyDescent="0.2">
      <c r="A18" s="8">
        <v>10</v>
      </c>
      <c r="B18" s="8"/>
      <c r="C18" s="8"/>
      <c r="D18" s="8" t="s">
        <v>170</v>
      </c>
      <c r="E18" s="32" t="s">
        <v>171</v>
      </c>
      <c r="F18" s="32"/>
      <c r="G18" s="75" t="s">
        <v>384</v>
      </c>
      <c r="H18" s="75" t="s">
        <v>199</v>
      </c>
      <c r="I18" s="8" t="s">
        <v>184</v>
      </c>
      <c r="J18" s="8" t="s">
        <v>182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0"/>
      <c r="AL18" s="71"/>
    </row>
    <row r="19" spans="1:38" s="10" customFormat="1" x14ac:dyDescent="0.2">
      <c r="A19" s="8">
        <v>10</v>
      </c>
      <c r="B19" s="8"/>
      <c r="C19" s="8"/>
      <c r="D19" s="8" t="s">
        <v>173</v>
      </c>
      <c r="E19" s="32" t="s">
        <v>174</v>
      </c>
      <c r="F19" s="32"/>
      <c r="G19" s="75" t="s">
        <v>385</v>
      </c>
      <c r="H19" s="75" t="s">
        <v>200</v>
      </c>
      <c r="I19" s="8" t="s">
        <v>184</v>
      </c>
      <c r="J19" s="8" t="s">
        <v>184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0"/>
      <c r="AL19" s="71"/>
    </row>
    <row r="20" spans="1:38" s="10" customFormat="1" x14ac:dyDescent="0.2">
      <c r="A20" s="8">
        <v>10</v>
      </c>
      <c r="B20" s="8"/>
      <c r="C20" s="8"/>
      <c r="D20" s="8" t="s">
        <v>175</v>
      </c>
      <c r="E20" s="32" t="s">
        <v>174</v>
      </c>
      <c r="F20" s="32"/>
      <c r="G20" s="75" t="s">
        <v>386</v>
      </c>
      <c r="H20" s="75" t="s">
        <v>257</v>
      </c>
      <c r="I20" s="8" t="s">
        <v>184</v>
      </c>
      <c r="J20" s="8" t="s">
        <v>184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70"/>
      <c r="AL20" s="71"/>
    </row>
    <row r="21" spans="1:38" s="10" customFormat="1" x14ac:dyDescent="0.2">
      <c r="A21" s="8">
        <v>10</v>
      </c>
      <c r="B21" s="8"/>
      <c r="C21" s="8"/>
      <c r="D21" s="8" t="s">
        <v>176</v>
      </c>
      <c r="E21" s="32" t="s">
        <v>174</v>
      </c>
      <c r="F21" s="32"/>
      <c r="G21" s="75" t="s">
        <v>387</v>
      </c>
      <c r="H21" s="75" t="s">
        <v>258</v>
      </c>
      <c r="I21" s="8" t="s">
        <v>184</v>
      </c>
      <c r="J21" s="8" t="s">
        <v>184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3"/>
      <c r="AJ21" s="74"/>
      <c r="AK21" s="70"/>
      <c r="AL21" s="71"/>
    </row>
    <row r="22" spans="1:38" s="10" customFormat="1" x14ac:dyDescent="0.2">
      <c r="A22" s="8">
        <v>10</v>
      </c>
      <c r="B22" s="8"/>
      <c r="C22" s="8"/>
      <c r="D22" s="8" t="s">
        <v>177</v>
      </c>
      <c r="E22" s="32" t="s">
        <v>174</v>
      </c>
      <c r="F22" s="32"/>
      <c r="G22" s="75" t="s">
        <v>388</v>
      </c>
      <c r="H22" s="75" t="s">
        <v>201</v>
      </c>
      <c r="I22" s="8" t="s">
        <v>184</v>
      </c>
      <c r="J22" s="8" t="s">
        <v>184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3"/>
      <c r="AJ22" s="74"/>
      <c r="AK22" s="70"/>
      <c r="AL22" s="71"/>
    </row>
    <row r="23" spans="1:38" s="10" customFormat="1" x14ac:dyDescent="0.2">
      <c r="A23" s="8">
        <v>10</v>
      </c>
      <c r="B23" s="8"/>
      <c r="C23" s="8"/>
      <c r="D23" s="8" t="s">
        <v>124</v>
      </c>
      <c r="E23" s="32" t="s">
        <v>125</v>
      </c>
      <c r="F23" s="32"/>
      <c r="G23" s="75" t="s">
        <v>389</v>
      </c>
      <c r="H23" s="75" t="s">
        <v>259</v>
      </c>
      <c r="I23" s="8" t="s">
        <v>184</v>
      </c>
      <c r="J23" s="8" t="s">
        <v>182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3"/>
      <c r="AJ23" s="74"/>
      <c r="AK23" s="70"/>
      <c r="AL23" s="71"/>
    </row>
    <row r="24" spans="1:38" s="10" customFormat="1" x14ac:dyDescent="0.2">
      <c r="A24" s="8">
        <v>10</v>
      </c>
      <c r="B24" s="8"/>
      <c r="C24" s="8"/>
      <c r="D24" s="8" t="s">
        <v>169</v>
      </c>
      <c r="E24" s="32" t="s">
        <v>43</v>
      </c>
      <c r="F24" s="32"/>
      <c r="G24" s="75" t="s">
        <v>390</v>
      </c>
      <c r="H24" s="75" t="s">
        <v>260</v>
      </c>
      <c r="I24" s="8" t="s">
        <v>184</v>
      </c>
      <c r="J24" s="8" t="s">
        <v>182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3"/>
      <c r="AJ24" s="74"/>
      <c r="AK24" s="70"/>
      <c r="AL24" s="71"/>
    </row>
    <row r="25" spans="1:38" s="10" customFormat="1" x14ac:dyDescent="0.2">
      <c r="A25" s="8">
        <v>10</v>
      </c>
      <c r="B25" s="8"/>
      <c r="C25" s="8"/>
      <c r="D25" s="8" t="s">
        <v>47</v>
      </c>
      <c r="E25" s="32" t="s">
        <v>48</v>
      </c>
      <c r="F25" s="32"/>
      <c r="G25" s="75" t="s">
        <v>362</v>
      </c>
      <c r="H25" s="75" t="s">
        <v>246</v>
      </c>
      <c r="I25" s="8" t="s">
        <v>182</v>
      </c>
      <c r="J25" s="8" t="s">
        <v>182</v>
      </c>
      <c r="K25" s="8"/>
      <c r="L25" s="8" t="s">
        <v>182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182</v>
      </c>
      <c r="AC25" s="8"/>
      <c r="AD25" s="8"/>
      <c r="AE25" s="8"/>
      <c r="AF25" s="8"/>
      <c r="AG25" s="8"/>
      <c r="AH25" s="8"/>
      <c r="AI25" s="134"/>
      <c r="AJ25" s="135"/>
      <c r="AK25" s="132"/>
      <c r="AL25" s="133"/>
    </row>
    <row r="26" spans="1:38" s="10" customFormat="1" x14ac:dyDescent="0.2">
      <c r="A26" s="8">
        <v>10</v>
      </c>
      <c r="B26" s="8"/>
      <c r="C26" s="8"/>
      <c r="D26" s="8" t="s">
        <v>29</v>
      </c>
      <c r="E26" s="32" t="s">
        <v>33</v>
      </c>
      <c r="F26" s="32"/>
      <c r="G26" s="75" t="s">
        <v>335</v>
      </c>
      <c r="H26" s="75" t="s">
        <v>186</v>
      </c>
      <c r="I26" s="8" t="s">
        <v>182</v>
      </c>
      <c r="J26" s="8" t="s">
        <v>182</v>
      </c>
      <c r="K26" s="8"/>
      <c r="L26" s="8" t="s">
        <v>182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202</v>
      </c>
      <c r="W26" s="8" t="s">
        <v>203</v>
      </c>
      <c r="X26" s="8" t="s">
        <v>261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34"/>
      <c r="AJ26" s="135"/>
      <c r="AK26" s="132"/>
      <c r="AL26" s="133"/>
    </row>
    <row r="27" spans="1:38" s="10" customFormat="1" x14ac:dyDescent="0.2">
      <c r="A27" s="8">
        <v>10</v>
      </c>
      <c r="B27" s="8"/>
      <c r="C27" s="8"/>
      <c r="D27" s="8" t="s">
        <v>128</v>
      </c>
      <c r="E27" s="32" t="s">
        <v>31</v>
      </c>
      <c r="F27" s="32"/>
      <c r="G27" s="75" t="s">
        <v>353</v>
      </c>
      <c r="H27" s="75" t="s">
        <v>262</v>
      </c>
      <c r="I27" s="8" t="s">
        <v>184</v>
      </c>
      <c r="J27" s="8" t="s">
        <v>182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3"/>
      <c r="AJ27" s="74"/>
      <c r="AK27" s="70"/>
      <c r="AL27" s="71"/>
    </row>
    <row r="28" spans="1:38" s="10" customFormat="1" ht="26" x14ac:dyDescent="0.2">
      <c r="A28" s="8">
        <v>10</v>
      </c>
      <c r="B28" s="8"/>
      <c r="C28" s="8"/>
      <c r="D28" s="8" t="s">
        <v>131</v>
      </c>
      <c r="E28" s="32" t="s">
        <v>130</v>
      </c>
      <c r="F28" s="32"/>
      <c r="G28" s="75" t="s">
        <v>391</v>
      </c>
      <c r="H28" s="75" t="s">
        <v>263</v>
      </c>
      <c r="I28" s="8" t="s">
        <v>184</v>
      </c>
      <c r="J28" s="8" t="s">
        <v>182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3"/>
      <c r="AJ28" s="74"/>
      <c r="AK28" s="70"/>
      <c r="AL28" s="71"/>
    </row>
    <row r="29" spans="1:38" s="10" customFormat="1" x14ac:dyDescent="0.2">
      <c r="A29" s="8">
        <v>10</v>
      </c>
      <c r="B29" s="8"/>
      <c r="C29" s="8"/>
      <c r="D29" s="8" t="s">
        <v>114</v>
      </c>
      <c r="E29" s="32" t="s">
        <v>65</v>
      </c>
      <c r="F29" s="32"/>
      <c r="G29" s="75" t="s">
        <v>357</v>
      </c>
      <c r="H29" s="75" t="s">
        <v>241</v>
      </c>
      <c r="I29" s="8" t="s">
        <v>182</v>
      </c>
      <c r="J29" s="8" t="s">
        <v>182</v>
      </c>
      <c r="K29" s="8"/>
      <c r="L29" s="8" t="s">
        <v>182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34"/>
      <c r="AJ29" s="135"/>
      <c r="AK29" s="132"/>
      <c r="AL29" s="133"/>
    </row>
    <row r="30" spans="1:38" s="10" customFormat="1" x14ac:dyDescent="0.2">
      <c r="A30" s="8">
        <v>10</v>
      </c>
      <c r="B30" s="8"/>
      <c r="C30" s="8"/>
      <c r="D30" s="8" t="s">
        <v>46</v>
      </c>
      <c r="E30" s="32" t="s">
        <v>33</v>
      </c>
      <c r="F30" s="32"/>
      <c r="G30" s="75" t="s">
        <v>358</v>
      </c>
      <c r="H30" s="75" t="s">
        <v>264</v>
      </c>
      <c r="I30" s="8" t="s">
        <v>182</v>
      </c>
      <c r="J30" s="8" t="s">
        <v>182</v>
      </c>
      <c r="K30" s="8"/>
      <c r="L30" s="8"/>
      <c r="M30" s="8"/>
      <c r="N30" s="8"/>
      <c r="O30" s="8"/>
      <c r="P30" s="8"/>
      <c r="Q30" s="8"/>
      <c r="R30" s="8"/>
      <c r="S30" s="8" t="s">
        <v>265</v>
      </c>
      <c r="T30" s="8" t="s">
        <v>265</v>
      </c>
      <c r="U30" s="8"/>
      <c r="V30" s="8" t="s">
        <v>202</v>
      </c>
      <c r="W30" s="8"/>
      <c r="X30" s="8"/>
      <c r="Y30" s="8" t="s">
        <v>266</v>
      </c>
      <c r="Z30" s="8" t="s">
        <v>267</v>
      </c>
      <c r="AA30" s="8"/>
      <c r="AB30" s="8" t="s">
        <v>182</v>
      </c>
      <c r="AC30" s="8"/>
      <c r="AD30" s="8"/>
      <c r="AE30" s="8"/>
      <c r="AF30" s="8"/>
      <c r="AG30" s="8"/>
      <c r="AH30" s="8"/>
      <c r="AI30" s="134"/>
      <c r="AJ30" s="135"/>
      <c r="AK30" s="132"/>
      <c r="AL30" s="133"/>
    </row>
    <row r="31" spans="1:38" s="10" customFormat="1" x14ac:dyDescent="0.2">
      <c r="A31" s="8">
        <v>10</v>
      </c>
      <c r="B31" s="8"/>
      <c r="C31" s="8"/>
      <c r="D31" s="8" t="s">
        <v>120</v>
      </c>
      <c r="E31" s="32" t="s">
        <v>51</v>
      </c>
      <c r="F31" s="32"/>
      <c r="G31" s="75" t="s">
        <v>363</v>
      </c>
      <c r="H31" s="75" t="s">
        <v>193</v>
      </c>
      <c r="I31" s="8" t="s">
        <v>182</v>
      </c>
      <c r="J31" s="8" t="s">
        <v>182</v>
      </c>
      <c r="K31" s="8"/>
      <c r="L31" s="8"/>
      <c r="M31" s="8"/>
      <c r="N31" s="8"/>
      <c r="O31" s="8"/>
      <c r="P31" s="8"/>
      <c r="Q31" s="8"/>
      <c r="R31" s="8"/>
      <c r="S31" s="8" t="s">
        <v>265</v>
      </c>
      <c r="T31" s="8" t="s">
        <v>265</v>
      </c>
      <c r="U31" s="8"/>
      <c r="V31" s="8" t="s">
        <v>268</v>
      </c>
      <c r="W31" s="8"/>
      <c r="X31" s="8"/>
      <c r="Y31" s="8" t="s">
        <v>269</v>
      </c>
      <c r="Z31" s="8" t="s">
        <v>270</v>
      </c>
      <c r="AA31" s="8"/>
      <c r="AB31" s="8" t="s">
        <v>182</v>
      </c>
      <c r="AC31" s="8"/>
      <c r="AD31" s="8"/>
      <c r="AE31" s="8"/>
      <c r="AF31" s="8"/>
      <c r="AG31" s="8"/>
      <c r="AH31" s="8"/>
      <c r="AI31" s="134"/>
      <c r="AJ31" s="135"/>
      <c r="AK31" s="132"/>
      <c r="AL31" s="133"/>
    </row>
    <row r="32" spans="1:38" s="10" customFormat="1" x14ac:dyDescent="0.2">
      <c r="A32" s="8">
        <v>10</v>
      </c>
      <c r="B32" s="8"/>
      <c r="C32" s="8"/>
      <c r="D32" s="8" t="s">
        <v>53</v>
      </c>
      <c r="E32" s="32" t="s">
        <v>51</v>
      </c>
      <c r="F32" s="32"/>
      <c r="G32" s="75" t="s">
        <v>365</v>
      </c>
      <c r="H32" s="75" t="s">
        <v>247</v>
      </c>
      <c r="I32" s="8" t="s">
        <v>182</v>
      </c>
      <c r="J32" s="8" t="s">
        <v>182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268</v>
      </c>
      <c r="W32" s="8"/>
      <c r="X32" s="8"/>
      <c r="Y32" s="8" t="s">
        <v>271</v>
      </c>
      <c r="Z32" s="8" t="s">
        <v>270</v>
      </c>
      <c r="AA32" s="8"/>
      <c r="AB32" s="8" t="s">
        <v>182</v>
      </c>
      <c r="AC32" s="8"/>
      <c r="AD32" s="8"/>
      <c r="AE32" s="8"/>
      <c r="AF32" s="8"/>
      <c r="AG32" s="8"/>
      <c r="AH32" s="8"/>
      <c r="AI32" s="134"/>
      <c r="AJ32" s="135"/>
      <c r="AK32" s="132"/>
      <c r="AL32" s="133"/>
    </row>
    <row r="33" spans="1:38" s="10" customFormat="1" x14ac:dyDescent="0.2">
      <c r="A33" s="8">
        <v>10</v>
      </c>
      <c r="B33" s="8"/>
      <c r="C33" s="8"/>
      <c r="D33" s="8" t="s">
        <v>144</v>
      </c>
      <c r="E33" s="32" t="s">
        <v>57</v>
      </c>
      <c r="F33" s="32"/>
      <c r="G33" s="75" t="s">
        <v>367</v>
      </c>
      <c r="H33" s="75" t="s">
        <v>249</v>
      </c>
      <c r="I33" s="8" t="s">
        <v>182</v>
      </c>
      <c r="J33" s="8" t="s">
        <v>182</v>
      </c>
      <c r="K33" s="8"/>
      <c r="L33" s="8"/>
      <c r="M33" s="8"/>
      <c r="N33" s="8"/>
      <c r="O33" s="8"/>
      <c r="P33" s="8"/>
      <c r="Q33" s="8"/>
      <c r="R33" s="8"/>
      <c r="S33" s="8" t="s">
        <v>265</v>
      </c>
      <c r="T33" s="8" t="s">
        <v>265</v>
      </c>
      <c r="U33" s="8"/>
      <c r="V33" s="8" t="s">
        <v>202</v>
      </c>
      <c r="W33" s="8" t="s">
        <v>145</v>
      </c>
      <c r="X33" s="8" t="s">
        <v>314</v>
      </c>
      <c r="Y33" s="8" t="s">
        <v>266</v>
      </c>
      <c r="Z33" s="8" t="s">
        <v>267</v>
      </c>
      <c r="AA33" s="8"/>
      <c r="AB33" s="8" t="s">
        <v>182</v>
      </c>
      <c r="AC33" s="8"/>
      <c r="AD33" s="8"/>
      <c r="AE33" s="8"/>
      <c r="AF33" s="8"/>
      <c r="AG33" s="8"/>
      <c r="AH33" s="8"/>
      <c r="AI33" s="134"/>
      <c r="AJ33" s="135"/>
      <c r="AK33" s="132"/>
      <c r="AL33" s="133"/>
    </row>
    <row r="34" spans="1:38" s="10" customFormat="1" x14ac:dyDescent="0.2">
      <c r="A34" s="8">
        <v>10</v>
      </c>
      <c r="B34" s="8"/>
      <c r="C34" s="8"/>
      <c r="D34" s="8" t="s">
        <v>308</v>
      </c>
      <c r="E34" s="32" t="s">
        <v>309</v>
      </c>
      <c r="F34" s="32"/>
      <c r="G34" s="75" t="s">
        <v>370</v>
      </c>
      <c r="H34" s="75" t="s">
        <v>310</v>
      </c>
      <c r="I34" s="8" t="s">
        <v>182</v>
      </c>
      <c r="J34" s="8" t="s">
        <v>182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34"/>
      <c r="AJ34" s="135"/>
      <c r="AK34" s="132"/>
      <c r="AL34" s="133"/>
    </row>
    <row r="35" spans="1:38" s="10" customFormat="1" x14ac:dyDescent="0.2">
      <c r="A35" s="8">
        <v>10</v>
      </c>
      <c r="B35" s="8"/>
      <c r="C35" s="8"/>
      <c r="D35" s="8" t="s">
        <v>145</v>
      </c>
      <c r="E35" s="32" t="s">
        <v>31</v>
      </c>
      <c r="F35" s="32"/>
      <c r="G35" s="75" t="s">
        <v>372</v>
      </c>
      <c r="H35" s="75" t="s">
        <v>272</v>
      </c>
      <c r="I35" s="8" t="s">
        <v>182</v>
      </c>
      <c r="J35" s="8" t="s">
        <v>182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3"/>
      <c r="AJ35" s="74"/>
      <c r="AK35" s="70"/>
      <c r="AL35" s="71"/>
    </row>
    <row r="36" spans="1:38" s="10" customFormat="1" x14ac:dyDescent="0.2">
      <c r="A36" s="8">
        <v>10</v>
      </c>
      <c r="B36" s="8"/>
      <c r="C36" s="8"/>
      <c r="D36" s="8" t="s">
        <v>59</v>
      </c>
      <c r="E36" s="32" t="s">
        <v>61</v>
      </c>
      <c r="F36" s="32"/>
      <c r="G36" s="75" t="s">
        <v>343</v>
      </c>
      <c r="H36" s="75" t="s">
        <v>204</v>
      </c>
      <c r="I36" s="8" t="s">
        <v>182</v>
      </c>
      <c r="J36" s="8" t="s">
        <v>182</v>
      </c>
      <c r="K36" s="8"/>
      <c r="L36" s="8"/>
      <c r="M36" s="8" t="s">
        <v>273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34"/>
      <c r="AJ36" s="135"/>
      <c r="AK36" s="132"/>
      <c r="AL36" s="133"/>
    </row>
    <row r="37" spans="1:38" s="10" customFormat="1" x14ac:dyDescent="0.2">
      <c r="A37" s="8">
        <v>10</v>
      </c>
      <c r="B37" s="8"/>
      <c r="C37" s="8"/>
      <c r="D37" s="8" t="s">
        <v>113</v>
      </c>
      <c r="E37" s="32" t="s">
        <v>30</v>
      </c>
      <c r="F37" s="32"/>
      <c r="G37" s="75" t="s">
        <v>392</v>
      </c>
      <c r="H37" s="75" t="s">
        <v>205</v>
      </c>
      <c r="I37" s="8" t="s">
        <v>182</v>
      </c>
      <c r="J37" s="8" t="s">
        <v>182</v>
      </c>
      <c r="K37" s="8"/>
      <c r="L37" s="8"/>
      <c r="M37" s="8"/>
      <c r="N37" s="8"/>
      <c r="O37" s="8"/>
      <c r="P37" s="8" t="s">
        <v>274</v>
      </c>
      <c r="Q37" s="8"/>
      <c r="R37" s="8"/>
      <c r="S37" s="8"/>
      <c r="T37" s="8" t="s">
        <v>275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34"/>
      <c r="AJ37" s="135"/>
      <c r="AK37" s="132"/>
      <c r="AL37" s="133"/>
    </row>
    <row r="38" spans="1:38" s="10" customFormat="1" x14ac:dyDescent="0.2">
      <c r="A38" s="8">
        <v>10</v>
      </c>
      <c r="B38" s="8"/>
      <c r="C38" s="8"/>
      <c r="D38" s="8" t="s">
        <v>123</v>
      </c>
      <c r="E38" s="32" t="s">
        <v>30</v>
      </c>
      <c r="F38" s="32"/>
      <c r="G38" s="75" t="s">
        <v>393</v>
      </c>
      <c r="H38" s="75" t="s">
        <v>276</v>
      </c>
      <c r="I38" s="8" t="s">
        <v>182</v>
      </c>
      <c r="J38" s="8" t="s">
        <v>182</v>
      </c>
      <c r="K38" s="8"/>
      <c r="L38" s="8"/>
      <c r="M38" s="8"/>
      <c r="N38" s="8"/>
      <c r="O38" s="8"/>
      <c r="P38" s="8" t="s">
        <v>277</v>
      </c>
      <c r="Q38" s="8"/>
      <c r="R38" s="8"/>
      <c r="S38" s="8"/>
      <c r="T38" s="8" t="s">
        <v>275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34"/>
      <c r="AJ38" s="135"/>
      <c r="AK38" s="132"/>
      <c r="AL38" s="133"/>
    </row>
    <row r="39" spans="1:38" s="10" customFormat="1" x14ac:dyDescent="0.2">
      <c r="A39" s="8">
        <v>10</v>
      </c>
      <c r="B39" s="8"/>
      <c r="C39" s="8"/>
      <c r="D39" s="8" t="s">
        <v>111</v>
      </c>
      <c r="E39" s="32" t="s">
        <v>112</v>
      </c>
      <c r="F39" s="32"/>
      <c r="G39" s="75" t="s">
        <v>394</v>
      </c>
      <c r="H39" s="75" t="s">
        <v>278</v>
      </c>
      <c r="I39" s="8" t="s">
        <v>182</v>
      </c>
      <c r="J39" s="8" t="s">
        <v>182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279</v>
      </c>
      <c r="W39" s="8"/>
      <c r="X39" s="8"/>
      <c r="Y39" s="8" t="s">
        <v>280</v>
      </c>
      <c r="Z39" s="8" t="s">
        <v>281</v>
      </c>
      <c r="AA39" s="8"/>
      <c r="AB39" s="8"/>
      <c r="AC39" s="8"/>
      <c r="AD39" s="8"/>
      <c r="AE39" s="8"/>
      <c r="AF39" s="8"/>
      <c r="AG39" s="8"/>
      <c r="AH39" s="8"/>
      <c r="AI39" s="73"/>
      <c r="AJ39" s="74"/>
      <c r="AK39" s="70"/>
      <c r="AL39" s="71"/>
    </row>
    <row r="40" spans="1:38" s="10" customFormat="1" x14ac:dyDescent="0.2">
      <c r="A40" s="8">
        <v>10</v>
      </c>
      <c r="B40" s="8"/>
      <c r="C40" s="8"/>
      <c r="D40" s="8" t="s">
        <v>66</v>
      </c>
      <c r="E40" s="32" t="s">
        <v>67</v>
      </c>
      <c r="F40" s="32"/>
      <c r="G40" s="75" t="s">
        <v>395</v>
      </c>
      <c r="H40" s="75" t="s">
        <v>206</v>
      </c>
      <c r="I40" s="8" t="s">
        <v>182</v>
      </c>
      <c r="J40" s="8" t="s">
        <v>182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s">
        <v>182</v>
      </c>
      <c r="AC40" s="8"/>
      <c r="AD40" s="8"/>
      <c r="AE40" s="8"/>
      <c r="AF40" s="8"/>
      <c r="AG40" s="8"/>
      <c r="AH40" s="8"/>
      <c r="AI40" s="73"/>
      <c r="AJ40" s="74"/>
      <c r="AK40" s="70"/>
      <c r="AL40" s="71"/>
    </row>
    <row r="41" spans="1:38" s="10" customFormat="1" x14ac:dyDescent="0.2">
      <c r="A41" s="8">
        <v>10</v>
      </c>
      <c r="B41" s="8"/>
      <c r="C41" s="8"/>
      <c r="D41" s="8" t="s">
        <v>68</v>
      </c>
      <c r="E41" s="32" t="s">
        <v>69</v>
      </c>
      <c r="F41" s="32"/>
      <c r="G41" s="75" t="s">
        <v>396</v>
      </c>
      <c r="H41" s="75" t="s">
        <v>207</v>
      </c>
      <c r="I41" s="8" t="s">
        <v>182</v>
      </c>
      <c r="J41" s="8" t="s">
        <v>182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 t="s">
        <v>182</v>
      </c>
      <c r="AC41" s="8"/>
      <c r="AD41" s="8"/>
      <c r="AE41" s="8"/>
      <c r="AF41" s="8"/>
      <c r="AG41" s="8"/>
      <c r="AH41" s="8"/>
      <c r="AI41" s="73"/>
      <c r="AJ41" s="74"/>
      <c r="AK41" s="70"/>
      <c r="AL41" s="71"/>
    </row>
    <row r="42" spans="1:38" s="10" customFormat="1" x14ac:dyDescent="0.2">
      <c r="A42" s="8">
        <v>10</v>
      </c>
      <c r="B42" s="8"/>
      <c r="C42" s="8"/>
      <c r="D42" s="8" t="s">
        <v>70</v>
      </c>
      <c r="E42" s="32" t="s">
        <v>71</v>
      </c>
      <c r="F42" s="32"/>
      <c r="G42" s="75" t="s">
        <v>397</v>
      </c>
      <c r="H42" s="75" t="s">
        <v>282</v>
      </c>
      <c r="I42" s="8" t="s">
        <v>182</v>
      </c>
      <c r="J42" s="8" t="s">
        <v>182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s">
        <v>182</v>
      </c>
      <c r="AC42" s="8"/>
      <c r="AD42" s="8"/>
      <c r="AE42" s="8"/>
      <c r="AF42" s="8"/>
      <c r="AG42" s="8"/>
      <c r="AH42" s="8"/>
      <c r="AI42" s="73"/>
      <c r="AJ42" s="74"/>
      <c r="AK42" s="70"/>
      <c r="AL42" s="71"/>
    </row>
    <row r="43" spans="1:38" s="10" customFormat="1" x14ac:dyDescent="0.2">
      <c r="A43" s="8">
        <v>10</v>
      </c>
      <c r="B43" s="8"/>
      <c r="C43" s="8"/>
      <c r="D43" s="8" t="s">
        <v>72</v>
      </c>
      <c r="E43" s="32" t="s">
        <v>73</v>
      </c>
      <c r="F43" s="32"/>
      <c r="G43" s="75" t="s">
        <v>398</v>
      </c>
      <c r="H43" s="75" t="s">
        <v>283</v>
      </c>
      <c r="I43" s="8" t="s">
        <v>182</v>
      </c>
      <c r="J43" s="8" t="s">
        <v>182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 t="s">
        <v>182</v>
      </c>
      <c r="AC43" s="8"/>
      <c r="AD43" s="8"/>
      <c r="AE43" s="8"/>
      <c r="AF43" s="8"/>
      <c r="AG43" s="8"/>
      <c r="AH43" s="8"/>
      <c r="AI43" s="73"/>
      <c r="AJ43" s="74"/>
      <c r="AK43" s="70"/>
      <c r="AL43" s="71"/>
    </row>
    <row r="44" spans="1:38" s="10" customFormat="1" x14ac:dyDescent="0.2">
      <c r="A44" s="8">
        <v>10</v>
      </c>
      <c r="B44" s="8"/>
      <c r="C44" s="8"/>
      <c r="D44" s="8" t="s">
        <v>172</v>
      </c>
      <c r="E44" s="32" t="s">
        <v>64</v>
      </c>
      <c r="F44" s="32"/>
      <c r="G44" s="75" t="s">
        <v>399</v>
      </c>
      <c r="H44" s="75" t="s">
        <v>284</v>
      </c>
      <c r="I44" s="8" t="s">
        <v>184</v>
      </c>
      <c r="J44" s="8" t="s">
        <v>184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3"/>
      <c r="AJ44" s="74"/>
      <c r="AK44" s="70"/>
      <c r="AL44" s="71"/>
    </row>
    <row r="45" spans="1:38" s="10" customFormat="1" x14ac:dyDescent="0.2">
      <c r="A45" s="8">
        <v>10</v>
      </c>
      <c r="B45" s="8"/>
      <c r="C45" s="8"/>
      <c r="D45" s="8" t="s">
        <v>74</v>
      </c>
      <c r="E45" s="32" t="s">
        <v>75</v>
      </c>
      <c r="F45" s="32"/>
      <c r="G45" s="75" t="s">
        <v>400</v>
      </c>
      <c r="H45" s="75" t="s">
        <v>285</v>
      </c>
      <c r="I45" s="8" t="s">
        <v>182</v>
      </c>
      <c r="J45" s="8" t="s">
        <v>182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3"/>
      <c r="AJ45" s="74"/>
      <c r="AK45" s="70"/>
      <c r="AL45" s="71"/>
    </row>
    <row r="46" spans="1:38" s="10" customFormat="1" x14ac:dyDescent="0.2">
      <c r="A46" s="8">
        <v>10</v>
      </c>
      <c r="B46" s="8"/>
      <c r="C46" s="8"/>
      <c r="D46" s="8" t="s">
        <v>100</v>
      </c>
      <c r="E46" s="32" t="s">
        <v>64</v>
      </c>
      <c r="F46" s="32"/>
      <c r="G46" s="75" t="s">
        <v>401</v>
      </c>
      <c r="H46" s="75" t="s">
        <v>208</v>
      </c>
      <c r="I46" s="8" t="s">
        <v>184</v>
      </c>
      <c r="J46" s="8" t="s">
        <v>182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34"/>
      <c r="AJ46" s="135"/>
      <c r="AK46" s="132"/>
      <c r="AL46" s="133"/>
    </row>
    <row r="47" spans="1:38" s="10" customFormat="1" x14ac:dyDescent="0.2">
      <c r="A47" s="28"/>
      <c r="B47" s="29"/>
      <c r="C47" s="29"/>
      <c r="D47" s="48" t="s">
        <v>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58"/>
      <c r="W47" s="58"/>
      <c r="X47" s="58"/>
      <c r="Y47" s="59"/>
      <c r="Z47" s="59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22"/>
    </row>
    <row r="48" spans="1:38" s="10" customFormat="1" x14ac:dyDescent="0.2">
      <c r="A48" s="62"/>
      <c r="AL48" s="44"/>
    </row>
    <row r="49" spans="1:38" s="10" customFormat="1" x14ac:dyDescent="0.2">
      <c r="A49" s="62"/>
      <c r="AL49" s="44"/>
    </row>
    <row r="50" spans="1:38" s="10" customFormat="1" x14ac:dyDescent="0.2">
      <c r="A50" s="62"/>
      <c r="AL50" s="44"/>
    </row>
    <row r="51" spans="1:38" s="10" customFormat="1" x14ac:dyDescent="0.2">
      <c r="A51" s="62"/>
      <c r="AL51" s="44"/>
    </row>
    <row r="52" spans="1:38" s="10" customFormat="1" x14ac:dyDescent="0.2">
      <c r="A52" s="62"/>
      <c r="AL52" s="44"/>
    </row>
    <row r="53" spans="1:38" s="10" customFormat="1" x14ac:dyDescent="0.2">
      <c r="A53" s="62"/>
      <c r="AL53" s="44"/>
    </row>
    <row r="54" spans="1:38" s="10" customFormat="1" x14ac:dyDescent="0.2">
      <c r="A54" s="62"/>
      <c r="AL54" s="44"/>
    </row>
    <row r="55" spans="1:38" s="10" customFormat="1" x14ac:dyDescent="0.2">
      <c r="A55" s="62"/>
      <c r="AL55" s="44"/>
    </row>
    <row r="56" spans="1:38" s="10" customFormat="1" x14ac:dyDescent="0.2">
      <c r="A56" s="62"/>
      <c r="AL56" s="44"/>
    </row>
    <row r="57" spans="1:38" s="10" customFormat="1" x14ac:dyDescent="0.2">
      <c r="A57" s="62"/>
      <c r="AL57" s="44"/>
    </row>
    <row r="58" spans="1:38" s="10" customFormat="1" x14ac:dyDescent="0.2">
      <c r="A58" s="62"/>
      <c r="AL58" s="44"/>
    </row>
    <row r="59" spans="1:38" s="10" customFormat="1" x14ac:dyDescent="0.2">
      <c r="A59" s="62"/>
      <c r="AL59" s="44"/>
    </row>
    <row r="60" spans="1:38" s="10" customFormat="1" x14ac:dyDescent="0.2">
      <c r="A60" s="62"/>
      <c r="AL60" s="44"/>
    </row>
    <row r="61" spans="1:38" s="10" customFormat="1" x14ac:dyDescent="0.2">
      <c r="A61" s="67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50"/>
    </row>
  </sheetData>
  <mergeCells count="38">
    <mergeCell ref="AI34:AJ34"/>
    <mergeCell ref="AK34:AL34"/>
    <mergeCell ref="AI46:AJ46"/>
    <mergeCell ref="AK46:AL46"/>
    <mergeCell ref="AI36:AJ36"/>
    <mergeCell ref="AK36:AL36"/>
    <mergeCell ref="AI37:AJ37"/>
    <mergeCell ref="AK37:AL37"/>
    <mergeCell ref="AI38:AJ38"/>
    <mergeCell ref="AK38:AL38"/>
    <mergeCell ref="AI32:AJ32"/>
    <mergeCell ref="AK32:AL32"/>
    <mergeCell ref="AI33:AJ33"/>
    <mergeCell ref="AK33:AL33"/>
    <mergeCell ref="AI29:AJ29"/>
    <mergeCell ref="AK29:AL29"/>
    <mergeCell ref="AI30:AJ30"/>
    <mergeCell ref="AK30:AL30"/>
    <mergeCell ref="AI31:AJ31"/>
    <mergeCell ref="AK31:AL31"/>
    <mergeCell ref="AI17:AJ17"/>
    <mergeCell ref="AK17:AL17"/>
    <mergeCell ref="AI25:AJ25"/>
    <mergeCell ref="AK25:AL25"/>
    <mergeCell ref="AI26:AJ26"/>
    <mergeCell ref="AK26:AL26"/>
    <mergeCell ref="AI16:AJ16"/>
    <mergeCell ref="AK16:AL16"/>
    <mergeCell ref="AK8:AL8"/>
    <mergeCell ref="AI9:AJ9"/>
    <mergeCell ref="AK9:AL9"/>
    <mergeCell ref="AI13:AJ13"/>
    <mergeCell ref="AK13:AL13"/>
    <mergeCell ref="AK11:AL11"/>
    <mergeCell ref="AI14:AJ14"/>
    <mergeCell ref="AK14:AL14"/>
    <mergeCell ref="AI15:AJ15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0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bestFit="1" customWidth="1"/>
    <col min="3" max="3" width="3.36328125" style="4" hidden="1" customWidth="1"/>
    <col min="4" max="4" width="25.90625" style="5" customWidth="1"/>
    <col min="5" max="5" width="25.6328125" style="5" customWidth="1"/>
    <col min="6" max="6" width="7.90625" style="4" customWidth="1"/>
    <col min="7" max="7" width="30.81640625" style="4" customWidth="1"/>
    <col min="8" max="8" width="39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0" t="s">
        <v>180</v>
      </c>
      <c r="B1" s="60" t="s">
        <v>180</v>
      </c>
      <c r="C1" s="60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8" t="s">
        <v>180</v>
      </c>
      <c r="B2" s="29"/>
      <c r="C2" s="29"/>
      <c r="D2" s="79" t="s">
        <v>317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MSBEL5070</v>
      </c>
      <c r="I2" s="7" t="s">
        <v>214</v>
      </c>
      <c r="J2" s="8" t="s">
        <v>110</v>
      </c>
      <c r="K2" s="7" t="s">
        <v>22</v>
      </c>
      <c r="L2" s="61" t="str">
        <f>IF(LogicCommon!G2="","",LogicCommon!G2)</f>
        <v>MC</v>
      </c>
      <c r="M2" s="5" t="s">
        <v>181</v>
      </c>
      <c r="N2" s="30" t="s">
        <v>303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180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MSBEL_OPStkRplService</v>
      </c>
      <c r="I3" s="7" t="s">
        <v>211</v>
      </c>
      <c r="J3" s="8" t="s">
        <v>110</v>
      </c>
      <c r="K3" s="7" t="s">
        <v>24</v>
      </c>
      <c r="L3" s="61" t="str">
        <f>IF(LogicCommon!G3="","",LogicCommon!G3)</f>
        <v/>
      </c>
      <c r="M3" s="65"/>
      <c r="N3" s="7"/>
      <c r="O3" s="7" t="s">
        <v>212</v>
      </c>
      <c r="P3" s="8" t="s">
        <v>215</v>
      </c>
      <c r="Q3" s="4"/>
      <c r="R3" s="5"/>
      <c r="S3" s="5"/>
      <c r="T3" s="5"/>
      <c r="U3" s="5"/>
    </row>
    <row r="4" spans="1:21" s="10" customFormat="1" x14ac:dyDescent="0.2">
      <c r="A4" s="62" t="s">
        <v>180</v>
      </c>
      <c r="B4" s="63"/>
      <c r="C4" s="63"/>
      <c r="D4" s="4"/>
      <c r="E4" s="7" t="s">
        <v>11</v>
      </c>
      <c r="F4" s="9" t="str">
        <f>IF(LogicCommon!C4="","",LogicCommon!C4)</f>
        <v>000000</v>
      </c>
      <c r="G4" s="7" t="s">
        <v>5</v>
      </c>
      <c r="H4" s="61" t="str">
        <f>IF(LogicCommon!E4="","",LogicCommon!E4)</f>
        <v>発注点在庫補充サービス</v>
      </c>
      <c r="I4" s="7" t="s">
        <v>190</v>
      </c>
      <c r="J4" s="8" t="s">
        <v>78</v>
      </c>
      <c r="K4" s="7" t="s">
        <v>25</v>
      </c>
      <c r="L4" s="61" t="str">
        <f>IF(LogicCommon!G4="","",LogicCommon!G4)</f>
        <v>MS.MSUDL5010</v>
      </c>
      <c r="M4" s="66" t="s">
        <v>209</v>
      </c>
      <c r="N4" s="30"/>
      <c r="O4" s="11"/>
      <c r="P4" s="4"/>
      <c r="Q4" s="4"/>
      <c r="R4" s="5"/>
      <c r="S4" s="5"/>
      <c r="T4" s="5"/>
      <c r="U4" s="5"/>
    </row>
    <row r="5" spans="1:21" s="10" customFormat="1" x14ac:dyDescent="0.2">
      <c r="A5" s="67" t="s">
        <v>180</v>
      </c>
      <c r="B5" s="60"/>
      <c r="C5" s="60"/>
      <c r="D5" s="27"/>
      <c r="E5" s="7" t="s">
        <v>12</v>
      </c>
      <c r="F5" s="9"/>
      <c r="G5" s="68"/>
      <c r="H5" s="68"/>
      <c r="I5" s="68"/>
      <c r="J5" s="68"/>
      <c r="K5" s="68"/>
      <c r="L5" s="6"/>
      <c r="M5" s="5"/>
      <c r="N5" s="5"/>
      <c r="O5" s="11"/>
      <c r="P5" s="4"/>
      <c r="Q5" s="4"/>
      <c r="R5" s="5"/>
      <c r="S5" s="5"/>
      <c r="T5" s="5"/>
      <c r="U5" s="5"/>
    </row>
    <row r="6" spans="1:21" s="10" customFormat="1" x14ac:dyDescent="0.2">
      <c r="A6" s="62" t="s">
        <v>180</v>
      </c>
      <c r="B6" s="63"/>
      <c r="C6" s="63"/>
      <c r="D6" s="4" t="s">
        <v>15</v>
      </c>
      <c r="E6" s="16"/>
      <c r="F6" s="16"/>
      <c r="G6" s="16"/>
      <c r="H6" s="16"/>
      <c r="I6" s="16"/>
      <c r="J6" s="16"/>
      <c r="K6" s="16"/>
      <c r="L6" s="69"/>
      <c r="M6" s="49"/>
      <c r="N6" s="49"/>
      <c r="O6" s="49" t="s">
        <v>213</v>
      </c>
      <c r="P6" s="49"/>
      <c r="Q6" s="49" t="s">
        <v>213</v>
      </c>
      <c r="R6" s="4"/>
      <c r="S6" s="4"/>
      <c r="T6" s="4"/>
      <c r="U6" s="4"/>
    </row>
    <row r="7" spans="1:21" s="10" customFormat="1" x14ac:dyDescent="0.2">
      <c r="A7" s="29" t="s">
        <v>8</v>
      </c>
      <c r="B7" s="29"/>
      <c r="C7" s="29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8" t="s">
        <v>14</v>
      </c>
      <c r="M7" s="8" t="s">
        <v>14</v>
      </c>
      <c r="N7" s="31" t="s">
        <v>10</v>
      </c>
      <c r="O7" s="32"/>
      <c r="P7" s="31" t="s">
        <v>10</v>
      </c>
      <c r="Q7" s="32"/>
      <c r="R7" s="4"/>
      <c r="S7" s="4"/>
      <c r="T7" s="4"/>
      <c r="U7" s="4"/>
    </row>
    <row r="8" spans="1:21" s="10" customFormat="1" ht="60" customHeight="1" x14ac:dyDescent="0.2">
      <c r="A8" s="32" t="s">
        <v>8</v>
      </c>
      <c r="B8" s="80"/>
      <c r="C8" s="81"/>
      <c r="D8" s="31" t="s">
        <v>318</v>
      </c>
      <c r="E8" s="31" t="s">
        <v>319</v>
      </c>
      <c r="F8" s="69"/>
      <c r="G8" s="31" t="s">
        <v>187</v>
      </c>
      <c r="H8" s="31" t="s">
        <v>320</v>
      </c>
      <c r="I8" s="69"/>
      <c r="J8" s="3"/>
      <c r="K8" s="8" t="s">
        <v>188</v>
      </c>
      <c r="L8" s="8"/>
      <c r="M8" s="8"/>
      <c r="N8" s="31" t="s">
        <v>189</v>
      </c>
      <c r="O8" s="32"/>
      <c r="P8" s="31" t="s">
        <v>189</v>
      </c>
      <c r="Q8" s="32"/>
      <c r="R8" s="3"/>
      <c r="S8" s="27"/>
      <c r="T8" s="134" t="s">
        <v>321</v>
      </c>
      <c r="U8" s="135"/>
    </row>
    <row r="9" spans="1:21" s="10" customFormat="1" ht="60" customHeight="1" x14ac:dyDescent="0.2">
      <c r="A9" s="8" t="s">
        <v>8</v>
      </c>
      <c r="B9" s="34"/>
      <c r="C9" s="35"/>
      <c r="D9" s="31" t="s">
        <v>322</v>
      </c>
      <c r="E9" s="73" t="s">
        <v>323</v>
      </c>
      <c r="F9" s="31" t="s">
        <v>324</v>
      </c>
      <c r="G9" s="31" t="s">
        <v>325</v>
      </c>
      <c r="H9" s="31" t="s">
        <v>326</v>
      </c>
      <c r="I9" s="74" t="s">
        <v>327</v>
      </c>
      <c r="J9" s="31" t="s">
        <v>328</v>
      </c>
      <c r="K9" s="79"/>
      <c r="L9" s="79"/>
      <c r="M9" s="79"/>
      <c r="N9" s="31"/>
      <c r="O9" s="31"/>
      <c r="P9" s="31"/>
      <c r="Q9" s="31"/>
      <c r="R9" s="134" t="s">
        <v>329</v>
      </c>
      <c r="S9" s="135"/>
      <c r="T9" s="134" t="s">
        <v>330</v>
      </c>
      <c r="U9" s="135"/>
    </row>
    <row r="10" spans="1:21" s="10" customFormat="1" ht="39" x14ac:dyDescent="0.2">
      <c r="A10" s="34" t="s">
        <v>8</v>
      </c>
      <c r="B10" s="37"/>
      <c r="C10" s="37"/>
      <c r="D10" s="19"/>
      <c r="E10" s="36"/>
      <c r="F10" s="36"/>
      <c r="G10" s="38"/>
      <c r="H10" s="39"/>
      <c r="I10" s="36"/>
      <c r="J10" s="36"/>
      <c r="K10" s="40"/>
      <c r="L10" s="40"/>
      <c r="M10" s="40"/>
      <c r="N10" s="31" t="s">
        <v>327</v>
      </c>
      <c r="O10" s="31" t="s">
        <v>328</v>
      </c>
      <c r="P10" s="31" t="s">
        <v>327</v>
      </c>
      <c r="Q10" s="31" t="s">
        <v>328</v>
      </c>
      <c r="R10" s="36"/>
      <c r="S10" s="36"/>
      <c r="T10" s="39"/>
      <c r="U10" s="72"/>
    </row>
    <row r="11" spans="1:21" s="10" customFormat="1" x14ac:dyDescent="0.2">
      <c r="A11" s="8">
        <v>10</v>
      </c>
      <c r="B11" s="34" t="s">
        <v>0</v>
      </c>
      <c r="C11" s="35"/>
      <c r="D11" s="30" t="s">
        <v>133</v>
      </c>
      <c r="E11" s="33" t="s">
        <v>7</v>
      </c>
      <c r="F11" s="41"/>
      <c r="G11" s="30" t="s">
        <v>101</v>
      </c>
      <c r="H11" s="42" t="s">
        <v>286</v>
      </c>
      <c r="I11" s="43"/>
      <c r="J11" s="38"/>
      <c r="K11" s="38"/>
      <c r="L11" s="38"/>
      <c r="M11" s="38"/>
      <c r="N11" s="33"/>
      <c r="O11" s="33"/>
      <c r="P11" s="33"/>
      <c r="Q11" s="33"/>
      <c r="R11" s="43"/>
      <c r="S11" s="41"/>
      <c r="T11" s="132"/>
      <c r="U11" s="133"/>
    </row>
    <row r="12" spans="1:21" s="10" customFormat="1" x14ac:dyDescent="0.2">
      <c r="A12" s="8">
        <v>10</v>
      </c>
      <c r="B12" s="8"/>
      <c r="C12" s="8"/>
      <c r="D12" s="8" t="s">
        <v>98</v>
      </c>
      <c r="E12" s="32" t="s">
        <v>99</v>
      </c>
      <c r="F12" s="32"/>
      <c r="G12" s="75" t="s">
        <v>383</v>
      </c>
      <c r="H12" s="75" t="s">
        <v>254</v>
      </c>
      <c r="I12" s="8" t="s">
        <v>182</v>
      </c>
      <c r="J12" s="8" t="s">
        <v>182</v>
      </c>
      <c r="K12" s="8"/>
      <c r="L12" s="8"/>
      <c r="M12" s="8"/>
      <c r="N12" s="8"/>
      <c r="O12" s="8"/>
      <c r="P12" s="8"/>
      <c r="Q12" s="8"/>
      <c r="R12" s="73"/>
      <c r="S12" s="74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28</v>
      </c>
      <c r="E13" s="32" t="s">
        <v>30</v>
      </c>
      <c r="F13" s="32"/>
      <c r="G13" s="75" t="s">
        <v>342</v>
      </c>
      <c r="H13" s="75" t="s">
        <v>225</v>
      </c>
      <c r="I13" s="8" t="s">
        <v>182</v>
      </c>
      <c r="J13" s="8" t="s">
        <v>184</v>
      </c>
      <c r="K13" s="8"/>
      <c r="L13" s="8"/>
      <c r="M13" s="8"/>
      <c r="N13" s="8"/>
      <c r="O13" s="8"/>
      <c r="P13" s="8"/>
      <c r="Q13" s="8"/>
      <c r="R13" s="134"/>
      <c r="S13" s="135"/>
      <c r="T13" s="132"/>
      <c r="U13" s="133"/>
    </row>
    <row r="14" spans="1:21" s="10" customFormat="1" x14ac:dyDescent="0.2">
      <c r="A14" s="8">
        <v>10</v>
      </c>
      <c r="B14" s="8"/>
      <c r="C14" s="8"/>
      <c r="D14" s="8" t="s">
        <v>35</v>
      </c>
      <c r="E14" s="32" t="s">
        <v>39</v>
      </c>
      <c r="F14" s="32"/>
      <c r="G14" s="75" t="s">
        <v>331</v>
      </c>
      <c r="H14" s="75" t="s">
        <v>226</v>
      </c>
      <c r="I14" s="8" t="s">
        <v>182</v>
      </c>
      <c r="J14" s="8" t="s">
        <v>184</v>
      </c>
      <c r="K14" s="8"/>
      <c r="L14" s="8"/>
      <c r="M14" s="8"/>
      <c r="N14" s="8"/>
      <c r="O14" s="8"/>
      <c r="P14" s="8"/>
      <c r="Q14" s="8"/>
      <c r="R14" s="134"/>
      <c r="S14" s="135"/>
      <c r="T14" s="132"/>
      <c r="U14" s="133"/>
    </row>
    <row r="15" spans="1:21" s="10" customFormat="1" x14ac:dyDescent="0.2">
      <c r="A15" s="8">
        <v>10</v>
      </c>
      <c r="B15" s="8"/>
      <c r="C15" s="8"/>
      <c r="D15" s="8" t="s">
        <v>36</v>
      </c>
      <c r="E15" s="32" t="s">
        <v>40</v>
      </c>
      <c r="F15" s="32"/>
      <c r="G15" s="75" t="s">
        <v>332</v>
      </c>
      <c r="H15" s="75" t="s">
        <v>227</v>
      </c>
      <c r="I15" s="8" t="s">
        <v>182</v>
      </c>
      <c r="J15" s="8" t="s">
        <v>184</v>
      </c>
      <c r="K15" s="8"/>
      <c r="L15" s="8"/>
      <c r="M15" s="8"/>
      <c r="N15" s="8"/>
      <c r="O15" s="8"/>
      <c r="P15" s="8"/>
      <c r="Q15" s="8"/>
      <c r="R15" s="134"/>
      <c r="S15" s="135"/>
      <c r="T15" s="132"/>
      <c r="U15" s="133"/>
    </row>
    <row r="16" spans="1:21" s="10" customFormat="1" x14ac:dyDescent="0.2">
      <c r="A16" s="8">
        <v>10</v>
      </c>
      <c r="B16" s="8"/>
      <c r="C16" s="8"/>
      <c r="D16" s="8" t="s">
        <v>37</v>
      </c>
      <c r="E16" s="32" t="s">
        <v>41</v>
      </c>
      <c r="F16" s="32"/>
      <c r="G16" s="75" t="s">
        <v>333</v>
      </c>
      <c r="H16" s="75" t="s">
        <v>228</v>
      </c>
      <c r="I16" s="8" t="s">
        <v>182</v>
      </c>
      <c r="J16" s="8" t="s">
        <v>184</v>
      </c>
      <c r="K16" s="8"/>
      <c r="L16" s="8"/>
      <c r="M16" s="8"/>
      <c r="N16" s="8"/>
      <c r="O16" s="8"/>
      <c r="P16" s="8"/>
      <c r="Q16" s="8"/>
      <c r="R16" s="134"/>
      <c r="S16" s="135"/>
      <c r="T16" s="132"/>
      <c r="U16" s="133"/>
    </row>
    <row r="17" spans="1:21" s="10" customFormat="1" x14ac:dyDescent="0.2">
      <c r="A17" s="8">
        <v>10</v>
      </c>
      <c r="B17" s="8"/>
      <c r="C17" s="8"/>
      <c r="D17" s="8" t="s">
        <v>38</v>
      </c>
      <c r="E17" s="32" t="s">
        <v>42</v>
      </c>
      <c r="F17" s="32"/>
      <c r="G17" s="75" t="s">
        <v>334</v>
      </c>
      <c r="H17" s="75" t="s">
        <v>229</v>
      </c>
      <c r="I17" s="8" t="s">
        <v>182</v>
      </c>
      <c r="J17" s="8" t="s">
        <v>184</v>
      </c>
      <c r="K17" s="8"/>
      <c r="L17" s="8"/>
      <c r="M17" s="8"/>
      <c r="N17" s="8"/>
      <c r="O17" s="8"/>
      <c r="P17" s="8"/>
      <c r="Q17" s="8"/>
      <c r="R17" s="134"/>
      <c r="S17" s="135"/>
      <c r="T17" s="132"/>
      <c r="U17" s="133"/>
    </row>
    <row r="18" spans="1:21" s="10" customFormat="1" x14ac:dyDescent="0.2">
      <c r="A18" s="8">
        <v>10</v>
      </c>
      <c r="B18" s="8"/>
      <c r="C18" s="8"/>
      <c r="D18" s="8" t="s">
        <v>170</v>
      </c>
      <c r="E18" s="32" t="s">
        <v>171</v>
      </c>
      <c r="F18" s="32"/>
      <c r="G18" s="75" t="s">
        <v>384</v>
      </c>
      <c r="H18" s="75" t="s">
        <v>199</v>
      </c>
      <c r="I18" s="8" t="s">
        <v>182</v>
      </c>
      <c r="J18" s="8" t="s">
        <v>184</v>
      </c>
      <c r="K18" s="8"/>
      <c r="L18" s="8"/>
      <c r="M18" s="8"/>
      <c r="N18" s="8"/>
      <c r="O18" s="8"/>
      <c r="P18" s="8"/>
      <c r="Q18" s="8"/>
      <c r="R18" s="73"/>
      <c r="S18" s="74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173</v>
      </c>
      <c r="E19" s="32" t="s">
        <v>174</v>
      </c>
      <c r="F19" s="32"/>
      <c r="G19" s="75" t="s">
        <v>385</v>
      </c>
      <c r="H19" s="75" t="s">
        <v>200</v>
      </c>
      <c r="I19" s="8" t="s">
        <v>184</v>
      </c>
      <c r="J19" s="8" t="s">
        <v>184</v>
      </c>
      <c r="K19" s="8"/>
      <c r="L19" s="8"/>
      <c r="M19" s="8"/>
      <c r="N19" s="8"/>
      <c r="O19" s="8"/>
      <c r="P19" s="8"/>
      <c r="Q19" s="8"/>
      <c r="R19" s="73"/>
      <c r="S19" s="74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175</v>
      </c>
      <c r="E20" s="32" t="s">
        <v>174</v>
      </c>
      <c r="F20" s="32"/>
      <c r="G20" s="75" t="s">
        <v>386</v>
      </c>
      <c r="H20" s="75" t="s">
        <v>257</v>
      </c>
      <c r="I20" s="8" t="s">
        <v>184</v>
      </c>
      <c r="J20" s="8" t="s">
        <v>184</v>
      </c>
      <c r="K20" s="8"/>
      <c r="L20" s="8"/>
      <c r="M20" s="8"/>
      <c r="N20" s="8"/>
      <c r="O20" s="8"/>
      <c r="P20" s="8"/>
      <c r="Q20" s="8"/>
      <c r="R20" s="73"/>
      <c r="S20" s="74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176</v>
      </c>
      <c r="E21" s="32" t="s">
        <v>174</v>
      </c>
      <c r="F21" s="32"/>
      <c r="G21" s="75" t="s">
        <v>387</v>
      </c>
      <c r="H21" s="75" t="s">
        <v>258</v>
      </c>
      <c r="I21" s="8" t="s">
        <v>184</v>
      </c>
      <c r="J21" s="8" t="s">
        <v>184</v>
      </c>
      <c r="K21" s="8"/>
      <c r="L21" s="8"/>
      <c r="M21" s="8"/>
      <c r="N21" s="8"/>
      <c r="O21" s="8"/>
      <c r="P21" s="8"/>
      <c r="Q21" s="8"/>
      <c r="R21" s="73"/>
      <c r="S21" s="74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177</v>
      </c>
      <c r="E22" s="32" t="s">
        <v>174</v>
      </c>
      <c r="F22" s="32"/>
      <c r="G22" s="75" t="s">
        <v>388</v>
      </c>
      <c r="H22" s="75" t="s">
        <v>201</v>
      </c>
      <c r="I22" s="8" t="s">
        <v>184</v>
      </c>
      <c r="J22" s="8" t="s">
        <v>184</v>
      </c>
      <c r="K22" s="8"/>
      <c r="L22" s="8"/>
      <c r="M22" s="8"/>
      <c r="N22" s="8"/>
      <c r="O22" s="8"/>
      <c r="P22" s="8"/>
      <c r="Q22" s="8"/>
      <c r="R22" s="73"/>
      <c r="S22" s="74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126</v>
      </c>
      <c r="E23" s="32" t="s">
        <v>127</v>
      </c>
      <c r="F23" s="32"/>
      <c r="G23" s="75" t="s">
        <v>389</v>
      </c>
      <c r="H23" s="75" t="s">
        <v>259</v>
      </c>
      <c r="I23" s="8" t="s">
        <v>182</v>
      </c>
      <c r="J23" s="8" t="s">
        <v>184</v>
      </c>
      <c r="K23" s="8"/>
      <c r="L23" s="8"/>
      <c r="M23" s="8"/>
      <c r="N23" s="8"/>
      <c r="O23" s="8"/>
      <c r="P23" s="8"/>
      <c r="Q23" s="8"/>
      <c r="R23" s="73"/>
      <c r="S23" s="74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169</v>
      </c>
      <c r="E24" s="32" t="s">
        <v>43</v>
      </c>
      <c r="F24" s="32"/>
      <c r="G24" s="75" t="s">
        <v>390</v>
      </c>
      <c r="H24" s="75" t="s">
        <v>260</v>
      </c>
      <c r="I24" s="8" t="s">
        <v>182</v>
      </c>
      <c r="J24" s="8" t="s">
        <v>184</v>
      </c>
      <c r="K24" s="8"/>
      <c r="L24" s="8"/>
      <c r="M24" s="8"/>
      <c r="N24" s="8"/>
      <c r="O24" s="8"/>
      <c r="P24" s="8"/>
      <c r="Q24" s="8"/>
      <c r="R24" s="73"/>
      <c r="S24" s="74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47</v>
      </c>
      <c r="E25" s="32" t="s">
        <v>48</v>
      </c>
      <c r="F25" s="32"/>
      <c r="G25" s="75" t="s">
        <v>362</v>
      </c>
      <c r="H25" s="75" t="s">
        <v>246</v>
      </c>
      <c r="I25" s="8" t="s">
        <v>182</v>
      </c>
      <c r="J25" s="8" t="s">
        <v>184</v>
      </c>
      <c r="K25" s="8"/>
      <c r="L25" s="8"/>
      <c r="M25" s="8"/>
      <c r="N25" s="8"/>
      <c r="O25" s="8"/>
      <c r="P25" s="8"/>
      <c r="Q25" s="8"/>
      <c r="R25" s="134"/>
      <c r="S25" s="135"/>
      <c r="T25" s="132"/>
      <c r="U25" s="133"/>
    </row>
    <row r="26" spans="1:21" s="10" customFormat="1" x14ac:dyDescent="0.2">
      <c r="A26" s="8">
        <v>10</v>
      </c>
      <c r="B26" s="8"/>
      <c r="C26" s="8"/>
      <c r="D26" s="8" t="s">
        <v>29</v>
      </c>
      <c r="E26" s="32" t="s">
        <v>33</v>
      </c>
      <c r="F26" s="32"/>
      <c r="G26" s="75" t="s">
        <v>335</v>
      </c>
      <c r="H26" s="75" t="s">
        <v>186</v>
      </c>
      <c r="I26" s="8" t="s">
        <v>182</v>
      </c>
      <c r="J26" s="8" t="s">
        <v>184</v>
      </c>
      <c r="K26" s="8"/>
      <c r="L26" s="8"/>
      <c r="M26" s="8"/>
      <c r="N26" s="8"/>
      <c r="O26" s="8"/>
      <c r="P26" s="8"/>
      <c r="Q26" s="8"/>
      <c r="R26" s="134"/>
      <c r="S26" s="135"/>
      <c r="T26" s="132"/>
      <c r="U26" s="133"/>
    </row>
    <row r="27" spans="1:21" s="10" customFormat="1" x14ac:dyDescent="0.2">
      <c r="A27" s="8">
        <v>10</v>
      </c>
      <c r="B27" s="8"/>
      <c r="C27" s="8"/>
      <c r="D27" s="8" t="s">
        <v>128</v>
      </c>
      <c r="E27" s="32" t="s">
        <v>31</v>
      </c>
      <c r="F27" s="32"/>
      <c r="G27" s="75" t="s">
        <v>353</v>
      </c>
      <c r="H27" s="75" t="s">
        <v>262</v>
      </c>
      <c r="I27" s="8" t="s">
        <v>182</v>
      </c>
      <c r="J27" s="8" t="s">
        <v>184</v>
      </c>
      <c r="K27" s="8"/>
      <c r="L27" s="8"/>
      <c r="M27" s="8"/>
      <c r="N27" s="8"/>
      <c r="O27" s="8"/>
      <c r="P27" s="8"/>
      <c r="Q27" s="8"/>
      <c r="R27" s="73"/>
      <c r="S27" s="74"/>
      <c r="T27" s="70"/>
      <c r="U27" s="71"/>
    </row>
    <row r="28" spans="1:21" s="10" customFormat="1" ht="26" x14ac:dyDescent="0.2">
      <c r="A28" s="8">
        <v>10</v>
      </c>
      <c r="B28" s="8"/>
      <c r="C28" s="8"/>
      <c r="D28" s="8" t="s">
        <v>129</v>
      </c>
      <c r="E28" s="32" t="s">
        <v>130</v>
      </c>
      <c r="F28" s="32"/>
      <c r="G28" s="75" t="s">
        <v>391</v>
      </c>
      <c r="H28" s="75" t="s">
        <v>263</v>
      </c>
      <c r="I28" s="8" t="s">
        <v>182</v>
      </c>
      <c r="J28" s="8" t="s">
        <v>184</v>
      </c>
      <c r="K28" s="8"/>
      <c r="L28" s="8"/>
      <c r="M28" s="8"/>
      <c r="N28" s="8"/>
      <c r="O28" s="8"/>
      <c r="P28" s="8"/>
      <c r="Q28" s="8"/>
      <c r="R28" s="73"/>
      <c r="S28" s="74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121</v>
      </c>
      <c r="E29" s="32" t="s">
        <v>122</v>
      </c>
      <c r="F29" s="32"/>
      <c r="G29" s="75" t="s">
        <v>357</v>
      </c>
      <c r="H29" s="75" t="s">
        <v>241</v>
      </c>
      <c r="I29" s="8" t="s">
        <v>182</v>
      </c>
      <c r="J29" s="8" t="s">
        <v>184</v>
      </c>
      <c r="K29" s="8"/>
      <c r="L29" s="8"/>
      <c r="M29" s="8"/>
      <c r="N29" s="8"/>
      <c r="O29" s="8"/>
      <c r="P29" s="8"/>
      <c r="Q29" s="8"/>
      <c r="R29" s="134"/>
      <c r="S29" s="135"/>
      <c r="T29" s="132"/>
      <c r="U29" s="133"/>
    </row>
    <row r="30" spans="1:21" s="10" customFormat="1" x14ac:dyDescent="0.2">
      <c r="A30" s="8">
        <v>10</v>
      </c>
      <c r="B30" s="8"/>
      <c r="C30" s="8"/>
      <c r="D30" s="8" t="s">
        <v>46</v>
      </c>
      <c r="E30" s="32" t="s">
        <v>33</v>
      </c>
      <c r="F30" s="32"/>
      <c r="G30" s="75" t="s">
        <v>358</v>
      </c>
      <c r="H30" s="75" t="s">
        <v>264</v>
      </c>
      <c r="I30" s="8" t="s">
        <v>182</v>
      </c>
      <c r="J30" s="8" t="s">
        <v>184</v>
      </c>
      <c r="K30" s="8"/>
      <c r="L30" s="8"/>
      <c r="M30" s="8"/>
      <c r="N30" s="8"/>
      <c r="O30" s="8"/>
      <c r="P30" s="8"/>
      <c r="Q30" s="8"/>
      <c r="R30" s="134"/>
      <c r="S30" s="135"/>
      <c r="T30" s="132"/>
      <c r="U30" s="133"/>
    </row>
    <row r="31" spans="1:21" s="10" customFormat="1" x14ac:dyDescent="0.2">
      <c r="A31" s="8">
        <v>10</v>
      </c>
      <c r="B31" s="8"/>
      <c r="C31" s="8"/>
      <c r="D31" s="8" t="s">
        <v>49</v>
      </c>
      <c r="E31" s="32" t="s">
        <v>51</v>
      </c>
      <c r="F31" s="32"/>
      <c r="G31" s="75" t="s">
        <v>363</v>
      </c>
      <c r="H31" s="75" t="s">
        <v>193</v>
      </c>
      <c r="I31" s="8" t="s">
        <v>182</v>
      </c>
      <c r="J31" s="8" t="s">
        <v>184</v>
      </c>
      <c r="K31" s="8"/>
      <c r="L31" s="8"/>
      <c r="M31" s="8"/>
      <c r="N31" s="8"/>
      <c r="O31" s="8"/>
      <c r="P31" s="8"/>
      <c r="Q31" s="8"/>
      <c r="R31" s="134"/>
      <c r="S31" s="135"/>
      <c r="T31" s="132"/>
      <c r="U31" s="133"/>
    </row>
    <row r="32" spans="1:21" s="10" customFormat="1" x14ac:dyDescent="0.2">
      <c r="A32" s="8">
        <v>10</v>
      </c>
      <c r="B32" s="8"/>
      <c r="C32" s="8"/>
      <c r="D32" s="8" t="s">
        <v>53</v>
      </c>
      <c r="E32" s="32" t="s">
        <v>51</v>
      </c>
      <c r="F32" s="32"/>
      <c r="G32" s="75" t="s">
        <v>365</v>
      </c>
      <c r="H32" s="75" t="s">
        <v>247</v>
      </c>
      <c r="I32" s="8" t="s">
        <v>182</v>
      </c>
      <c r="J32" s="8" t="s">
        <v>184</v>
      </c>
      <c r="K32" s="8"/>
      <c r="L32" s="8"/>
      <c r="M32" s="8"/>
      <c r="N32" s="8"/>
      <c r="O32" s="8"/>
      <c r="P32" s="8"/>
      <c r="Q32" s="8"/>
      <c r="R32" s="134"/>
      <c r="S32" s="135"/>
      <c r="T32" s="132"/>
      <c r="U32" s="133"/>
    </row>
    <row r="33" spans="1:21" s="10" customFormat="1" x14ac:dyDescent="0.2">
      <c r="A33" s="8">
        <v>10</v>
      </c>
      <c r="B33" s="8"/>
      <c r="C33" s="8"/>
      <c r="D33" s="8" t="s">
        <v>146</v>
      </c>
      <c r="E33" s="32" t="s">
        <v>57</v>
      </c>
      <c r="F33" s="32"/>
      <c r="G33" s="75" t="s">
        <v>367</v>
      </c>
      <c r="H33" s="75" t="s">
        <v>249</v>
      </c>
      <c r="I33" s="8" t="s">
        <v>182</v>
      </c>
      <c r="J33" s="8" t="s">
        <v>184</v>
      </c>
      <c r="K33" s="8"/>
      <c r="L33" s="8"/>
      <c r="M33" s="8"/>
      <c r="N33" s="8"/>
      <c r="O33" s="8"/>
      <c r="P33" s="8"/>
      <c r="Q33" s="8"/>
      <c r="R33" s="134"/>
      <c r="S33" s="135"/>
      <c r="T33" s="132"/>
      <c r="U33" s="133"/>
    </row>
    <row r="34" spans="1:21" s="10" customFormat="1" x14ac:dyDescent="0.2">
      <c r="A34" s="8">
        <v>10</v>
      </c>
      <c r="B34" s="8"/>
      <c r="C34" s="8"/>
      <c r="D34" s="8" t="s">
        <v>308</v>
      </c>
      <c r="E34" s="32" t="s">
        <v>309</v>
      </c>
      <c r="F34" s="32"/>
      <c r="G34" s="75" t="s">
        <v>370</v>
      </c>
      <c r="H34" s="75" t="s">
        <v>310</v>
      </c>
      <c r="I34" s="8" t="s">
        <v>182</v>
      </c>
      <c r="J34" s="8" t="s">
        <v>184</v>
      </c>
      <c r="K34" s="8"/>
      <c r="L34" s="8"/>
      <c r="M34" s="8"/>
      <c r="N34" s="8"/>
      <c r="O34" s="8"/>
      <c r="P34" s="8"/>
      <c r="Q34" s="8"/>
      <c r="R34" s="134"/>
      <c r="S34" s="135"/>
      <c r="T34" s="132"/>
      <c r="U34" s="133"/>
    </row>
    <row r="35" spans="1:21" s="10" customFormat="1" x14ac:dyDescent="0.2">
      <c r="A35" s="8">
        <v>10</v>
      </c>
      <c r="B35" s="8"/>
      <c r="C35" s="8"/>
      <c r="D35" s="8" t="s">
        <v>147</v>
      </c>
      <c r="E35" s="32" t="s">
        <v>31</v>
      </c>
      <c r="F35" s="32"/>
      <c r="G35" s="75" t="s">
        <v>372</v>
      </c>
      <c r="H35" s="75" t="s">
        <v>272</v>
      </c>
      <c r="I35" s="8" t="s">
        <v>182</v>
      </c>
      <c r="J35" s="8" t="s">
        <v>184</v>
      </c>
      <c r="K35" s="8"/>
      <c r="L35" s="8"/>
      <c r="M35" s="8"/>
      <c r="N35" s="8"/>
      <c r="O35" s="8"/>
      <c r="P35" s="8"/>
      <c r="Q35" s="8"/>
      <c r="R35" s="73"/>
      <c r="S35" s="74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59</v>
      </c>
      <c r="E36" s="32" t="s">
        <v>61</v>
      </c>
      <c r="F36" s="32"/>
      <c r="G36" s="75" t="s">
        <v>343</v>
      </c>
      <c r="H36" s="75" t="s">
        <v>204</v>
      </c>
      <c r="I36" s="8" t="s">
        <v>182</v>
      </c>
      <c r="J36" s="8" t="s">
        <v>184</v>
      </c>
      <c r="K36" s="8"/>
      <c r="L36" s="8"/>
      <c r="M36" s="8"/>
      <c r="N36" s="8"/>
      <c r="O36" s="8"/>
      <c r="P36" s="8"/>
      <c r="Q36" s="8"/>
      <c r="R36" s="134"/>
      <c r="S36" s="135"/>
      <c r="T36" s="132"/>
      <c r="U36" s="133"/>
    </row>
    <row r="37" spans="1:21" s="10" customFormat="1" x14ac:dyDescent="0.2">
      <c r="A37" s="8">
        <v>10</v>
      </c>
      <c r="B37" s="8"/>
      <c r="C37" s="8"/>
      <c r="D37" s="8" t="s">
        <v>76</v>
      </c>
      <c r="E37" s="32" t="s">
        <v>30</v>
      </c>
      <c r="F37" s="32"/>
      <c r="G37" s="75" t="s">
        <v>392</v>
      </c>
      <c r="H37" s="75" t="s">
        <v>205</v>
      </c>
      <c r="I37" s="8" t="s">
        <v>182</v>
      </c>
      <c r="J37" s="8" t="s">
        <v>184</v>
      </c>
      <c r="K37" s="8"/>
      <c r="L37" s="8"/>
      <c r="M37" s="8"/>
      <c r="N37" s="8"/>
      <c r="O37" s="8"/>
      <c r="P37" s="8"/>
      <c r="Q37" s="8"/>
      <c r="R37" s="134"/>
      <c r="S37" s="135"/>
      <c r="T37" s="132"/>
      <c r="U37" s="133"/>
    </row>
    <row r="38" spans="1:21" s="10" customFormat="1" x14ac:dyDescent="0.2">
      <c r="A38" s="8">
        <v>10</v>
      </c>
      <c r="B38" s="8"/>
      <c r="C38" s="8"/>
      <c r="D38" s="8" t="s">
        <v>77</v>
      </c>
      <c r="E38" s="32" t="s">
        <v>30</v>
      </c>
      <c r="F38" s="32"/>
      <c r="G38" s="75" t="s">
        <v>393</v>
      </c>
      <c r="H38" s="75" t="s">
        <v>276</v>
      </c>
      <c r="I38" s="8" t="s">
        <v>182</v>
      </c>
      <c r="J38" s="8" t="s">
        <v>184</v>
      </c>
      <c r="K38" s="8"/>
      <c r="L38" s="8"/>
      <c r="M38" s="8"/>
      <c r="N38" s="8"/>
      <c r="O38" s="8"/>
      <c r="P38" s="8"/>
      <c r="Q38" s="8"/>
      <c r="R38" s="134"/>
      <c r="S38" s="135"/>
      <c r="T38" s="132"/>
      <c r="U38" s="133"/>
    </row>
    <row r="39" spans="1:21" s="10" customFormat="1" x14ac:dyDescent="0.2">
      <c r="A39" s="8">
        <v>10</v>
      </c>
      <c r="B39" s="8"/>
      <c r="C39" s="8"/>
      <c r="D39" s="8" t="s">
        <v>111</v>
      </c>
      <c r="E39" s="32" t="s">
        <v>112</v>
      </c>
      <c r="F39" s="32"/>
      <c r="G39" s="75" t="s">
        <v>394</v>
      </c>
      <c r="H39" s="75" t="s">
        <v>278</v>
      </c>
      <c r="I39" s="8" t="s">
        <v>182</v>
      </c>
      <c r="J39" s="8" t="s">
        <v>184</v>
      </c>
      <c r="K39" s="8"/>
      <c r="L39" s="8"/>
      <c r="M39" s="8"/>
      <c r="N39" s="8"/>
      <c r="O39" s="8"/>
      <c r="P39" s="8"/>
      <c r="Q39" s="8"/>
      <c r="R39" s="73"/>
      <c r="S39" s="74"/>
      <c r="T39" s="70"/>
      <c r="U39" s="71"/>
    </row>
    <row r="40" spans="1:21" s="10" customFormat="1" x14ac:dyDescent="0.2">
      <c r="A40" s="8">
        <v>10</v>
      </c>
      <c r="B40" s="8"/>
      <c r="C40" s="8"/>
      <c r="D40" s="8" t="s">
        <v>66</v>
      </c>
      <c r="E40" s="32" t="s">
        <v>67</v>
      </c>
      <c r="F40" s="32"/>
      <c r="G40" s="75" t="s">
        <v>395</v>
      </c>
      <c r="H40" s="75" t="s">
        <v>206</v>
      </c>
      <c r="I40" s="8" t="s">
        <v>182</v>
      </c>
      <c r="J40" s="8" t="s">
        <v>184</v>
      </c>
      <c r="K40" s="8"/>
      <c r="L40" s="8"/>
      <c r="M40" s="8"/>
      <c r="N40" s="8"/>
      <c r="O40" s="8"/>
      <c r="P40" s="8"/>
      <c r="Q40" s="8"/>
      <c r="R40" s="73"/>
      <c r="S40" s="74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68</v>
      </c>
      <c r="E41" s="32" t="s">
        <v>69</v>
      </c>
      <c r="F41" s="32"/>
      <c r="G41" s="75" t="s">
        <v>396</v>
      </c>
      <c r="H41" s="75" t="s">
        <v>207</v>
      </c>
      <c r="I41" s="8" t="s">
        <v>182</v>
      </c>
      <c r="J41" s="8" t="s">
        <v>184</v>
      </c>
      <c r="K41" s="8"/>
      <c r="L41" s="8"/>
      <c r="M41" s="8"/>
      <c r="N41" s="8"/>
      <c r="O41" s="8"/>
      <c r="P41" s="8"/>
      <c r="Q41" s="8"/>
      <c r="R41" s="73"/>
      <c r="S41" s="74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70</v>
      </c>
      <c r="E42" s="32" t="s">
        <v>71</v>
      </c>
      <c r="F42" s="32"/>
      <c r="G42" s="75" t="s">
        <v>397</v>
      </c>
      <c r="H42" s="75" t="s">
        <v>282</v>
      </c>
      <c r="I42" s="8" t="s">
        <v>182</v>
      </c>
      <c r="J42" s="8" t="s">
        <v>184</v>
      </c>
      <c r="K42" s="8"/>
      <c r="L42" s="8"/>
      <c r="M42" s="8"/>
      <c r="N42" s="8"/>
      <c r="O42" s="8"/>
      <c r="P42" s="8"/>
      <c r="Q42" s="8"/>
      <c r="R42" s="73"/>
      <c r="S42" s="74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72</v>
      </c>
      <c r="E43" s="32" t="s">
        <v>73</v>
      </c>
      <c r="F43" s="32"/>
      <c r="G43" s="75" t="s">
        <v>398</v>
      </c>
      <c r="H43" s="75" t="s">
        <v>283</v>
      </c>
      <c r="I43" s="8" t="s">
        <v>182</v>
      </c>
      <c r="J43" s="8" t="s">
        <v>184</v>
      </c>
      <c r="K43" s="8"/>
      <c r="L43" s="8"/>
      <c r="M43" s="8"/>
      <c r="N43" s="8"/>
      <c r="O43" s="8"/>
      <c r="P43" s="8"/>
      <c r="Q43" s="8"/>
      <c r="R43" s="73"/>
      <c r="S43" s="74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172</v>
      </c>
      <c r="E44" s="32" t="s">
        <v>64</v>
      </c>
      <c r="F44" s="32"/>
      <c r="G44" s="75" t="s">
        <v>399</v>
      </c>
      <c r="H44" s="75" t="s">
        <v>284</v>
      </c>
      <c r="I44" s="8" t="s">
        <v>182</v>
      </c>
      <c r="J44" s="8" t="s">
        <v>184</v>
      </c>
      <c r="K44" s="8"/>
      <c r="L44" s="8"/>
      <c r="M44" s="8"/>
      <c r="N44" s="8"/>
      <c r="O44" s="8"/>
      <c r="P44" s="8"/>
      <c r="Q44" s="8"/>
      <c r="R44" s="134"/>
      <c r="S44" s="135"/>
      <c r="T44" s="132"/>
      <c r="U44" s="133"/>
    </row>
    <row r="45" spans="1:21" s="10" customFormat="1" x14ac:dyDescent="0.2">
      <c r="A45" s="8">
        <v>10</v>
      </c>
      <c r="B45" s="8"/>
      <c r="C45" s="8"/>
      <c r="D45" s="8" t="s">
        <v>74</v>
      </c>
      <c r="E45" s="32" t="s">
        <v>75</v>
      </c>
      <c r="F45" s="32"/>
      <c r="G45" s="75" t="s">
        <v>400</v>
      </c>
      <c r="H45" s="75" t="s">
        <v>287</v>
      </c>
      <c r="I45" s="8" t="s">
        <v>182</v>
      </c>
      <c r="J45" s="8" t="s">
        <v>184</v>
      </c>
      <c r="K45" s="8"/>
      <c r="L45" s="8"/>
      <c r="M45" s="8"/>
      <c r="N45" s="8"/>
      <c r="O45" s="8"/>
      <c r="P45" s="8"/>
      <c r="Q45" s="8"/>
      <c r="R45" s="134"/>
      <c r="S45" s="135"/>
      <c r="T45" s="132"/>
      <c r="U45" s="133"/>
    </row>
    <row r="46" spans="1:21" s="10" customFormat="1" x14ac:dyDescent="0.2">
      <c r="A46" s="8">
        <v>10</v>
      </c>
      <c r="B46" s="8"/>
      <c r="C46" s="8"/>
      <c r="D46" s="8" t="s">
        <v>100</v>
      </c>
      <c r="E46" s="32" t="s">
        <v>64</v>
      </c>
      <c r="F46" s="32"/>
      <c r="G46" s="75" t="s">
        <v>401</v>
      </c>
      <c r="H46" s="75" t="s">
        <v>208</v>
      </c>
      <c r="I46" s="8" t="s">
        <v>184</v>
      </c>
      <c r="J46" s="8" t="s">
        <v>182</v>
      </c>
      <c r="K46" s="8"/>
      <c r="L46" s="8"/>
      <c r="M46" s="8"/>
      <c r="N46" s="8"/>
      <c r="O46" s="8"/>
      <c r="P46" s="8"/>
      <c r="Q46" s="8"/>
      <c r="R46" s="134"/>
      <c r="S46" s="135"/>
      <c r="T46" s="132"/>
      <c r="U46" s="133"/>
    </row>
    <row r="47" spans="1:21" s="10" customFormat="1" x14ac:dyDescent="0.2">
      <c r="A47" s="28"/>
      <c r="B47" s="29"/>
      <c r="C47" s="29"/>
      <c r="D47" s="48" t="s">
        <v>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22"/>
    </row>
    <row r="48" spans="1:21" s="10" customFormat="1" x14ac:dyDescent="0.2">
      <c r="A48" s="62"/>
      <c r="U48" s="44"/>
    </row>
    <row r="49" spans="1:21" s="10" customFormat="1" x14ac:dyDescent="0.2">
      <c r="A49" s="62"/>
      <c r="U49" s="44"/>
    </row>
    <row r="50" spans="1:21" s="10" customFormat="1" x14ac:dyDescent="0.2">
      <c r="A50" s="62"/>
      <c r="U50" s="44"/>
    </row>
    <row r="51" spans="1:21" s="10" customFormat="1" x14ac:dyDescent="0.2">
      <c r="A51" s="62"/>
      <c r="U51" s="44"/>
    </row>
    <row r="52" spans="1:21" s="10" customFormat="1" x14ac:dyDescent="0.2">
      <c r="A52" s="62"/>
      <c r="U52" s="44"/>
    </row>
    <row r="53" spans="1:21" s="10" customFormat="1" x14ac:dyDescent="0.2">
      <c r="A53" s="62"/>
      <c r="U53" s="44"/>
    </row>
    <row r="54" spans="1:21" s="10" customFormat="1" x14ac:dyDescent="0.2">
      <c r="A54" s="62"/>
      <c r="U54" s="44"/>
    </row>
    <row r="55" spans="1:21" s="10" customFormat="1" x14ac:dyDescent="0.2">
      <c r="A55" s="62"/>
      <c r="U55" s="44"/>
    </row>
    <row r="56" spans="1:21" s="10" customFormat="1" x14ac:dyDescent="0.2">
      <c r="A56" s="62"/>
      <c r="U56" s="44"/>
    </row>
    <row r="57" spans="1:21" s="10" customFormat="1" x14ac:dyDescent="0.2">
      <c r="A57" s="62"/>
      <c r="U57" s="44"/>
    </row>
    <row r="58" spans="1:21" s="10" customFormat="1" x14ac:dyDescent="0.2">
      <c r="A58" s="62"/>
      <c r="U58" s="44"/>
    </row>
    <row r="59" spans="1:21" s="10" customFormat="1" x14ac:dyDescent="0.2">
      <c r="A59" s="62"/>
      <c r="U59" s="44"/>
    </row>
    <row r="60" spans="1:21" s="10" customFormat="1" x14ac:dyDescent="0.2">
      <c r="A60" s="67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50"/>
    </row>
  </sheetData>
  <mergeCells count="42">
    <mergeCell ref="R34:S34"/>
    <mergeCell ref="T34:U34"/>
    <mergeCell ref="R32:S32"/>
    <mergeCell ref="T32:U32"/>
    <mergeCell ref="R33:S33"/>
    <mergeCell ref="T33:U33"/>
    <mergeCell ref="R29:S29"/>
    <mergeCell ref="T29:U29"/>
    <mergeCell ref="R30:S30"/>
    <mergeCell ref="T30:U30"/>
    <mergeCell ref="R31:S31"/>
    <mergeCell ref="T31:U31"/>
    <mergeCell ref="R45:S45"/>
    <mergeCell ref="T45:U45"/>
    <mergeCell ref="R46:S46"/>
    <mergeCell ref="T46:U46"/>
    <mergeCell ref="R36:S36"/>
    <mergeCell ref="T36:U36"/>
    <mergeCell ref="R37:S37"/>
    <mergeCell ref="T37:U37"/>
    <mergeCell ref="R38:S38"/>
    <mergeCell ref="T38:U38"/>
    <mergeCell ref="R44:S44"/>
    <mergeCell ref="T44:U44"/>
    <mergeCell ref="R17:S17"/>
    <mergeCell ref="T17:U17"/>
    <mergeCell ref="R25:S25"/>
    <mergeCell ref="T25:U25"/>
    <mergeCell ref="R26:S26"/>
    <mergeCell ref="T26:U26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R13:S13"/>
    <mergeCell ref="T13:U13"/>
    <mergeCell ref="T11:U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0CFC-CA01-45E6-9FCF-DCD8BDA835B6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76" customWidth="1"/>
    <col min="43" max="44" width="2.08984375" style="78" customWidth="1"/>
    <col min="45" max="71" width="2.08984375" style="76" customWidth="1"/>
    <col min="72" max="256" width="8.81640625" style="76"/>
    <col min="257" max="327" width="2.08984375" style="76" customWidth="1"/>
    <col min="328" max="512" width="8.81640625" style="76"/>
    <col min="513" max="583" width="2.08984375" style="76" customWidth="1"/>
    <col min="584" max="768" width="8.81640625" style="76"/>
    <col min="769" max="839" width="2.08984375" style="76" customWidth="1"/>
    <col min="840" max="1024" width="8.81640625" style="76"/>
    <col min="1025" max="1095" width="2.08984375" style="76" customWidth="1"/>
    <col min="1096" max="1280" width="8.81640625" style="76"/>
    <col min="1281" max="1351" width="2.08984375" style="76" customWidth="1"/>
    <col min="1352" max="1536" width="8.81640625" style="76"/>
    <col min="1537" max="1607" width="2.08984375" style="76" customWidth="1"/>
    <col min="1608" max="1792" width="8.81640625" style="76"/>
    <col min="1793" max="1863" width="2.08984375" style="76" customWidth="1"/>
    <col min="1864" max="2048" width="8.81640625" style="76"/>
    <col min="2049" max="2119" width="2.08984375" style="76" customWidth="1"/>
    <col min="2120" max="2304" width="8.81640625" style="76"/>
    <col min="2305" max="2375" width="2.08984375" style="76" customWidth="1"/>
    <col min="2376" max="2560" width="8.81640625" style="76"/>
    <col min="2561" max="2631" width="2.08984375" style="76" customWidth="1"/>
    <col min="2632" max="2816" width="8.81640625" style="76"/>
    <col min="2817" max="2887" width="2.08984375" style="76" customWidth="1"/>
    <col min="2888" max="3072" width="8.81640625" style="76"/>
    <col min="3073" max="3143" width="2.08984375" style="76" customWidth="1"/>
    <col min="3144" max="3328" width="8.81640625" style="76"/>
    <col min="3329" max="3399" width="2.08984375" style="76" customWidth="1"/>
    <col min="3400" max="3584" width="8.81640625" style="76"/>
    <col min="3585" max="3655" width="2.08984375" style="76" customWidth="1"/>
    <col min="3656" max="3840" width="8.81640625" style="76"/>
    <col min="3841" max="3911" width="2.08984375" style="76" customWidth="1"/>
    <col min="3912" max="4096" width="8.81640625" style="76"/>
    <col min="4097" max="4167" width="2.08984375" style="76" customWidth="1"/>
    <col min="4168" max="4352" width="8.81640625" style="76"/>
    <col min="4353" max="4423" width="2.08984375" style="76" customWidth="1"/>
    <col min="4424" max="4608" width="8.81640625" style="76"/>
    <col min="4609" max="4679" width="2.08984375" style="76" customWidth="1"/>
    <col min="4680" max="4864" width="8.81640625" style="76"/>
    <col min="4865" max="4935" width="2.08984375" style="76" customWidth="1"/>
    <col min="4936" max="5120" width="8.81640625" style="76"/>
    <col min="5121" max="5191" width="2.08984375" style="76" customWidth="1"/>
    <col min="5192" max="5376" width="8.81640625" style="76"/>
    <col min="5377" max="5447" width="2.08984375" style="76" customWidth="1"/>
    <col min="5448" max="5632" width="8.81640625" style="76"/>
    <col min="5633" max="5703" width="2.08984375" style="76" customWidth="1"/>
    <col min="5704" max="5888" width="8.81640625" style="76"/>
    <col min="5889" max="5959" width="2.08984375" style="76" customWidth="1"/>
    <col min="5960" max="6144" width="8.81640625" style="76"/>
    <col min="6145" max="6215" width="2.08984375" style="76" customWidth="1"/>
    <col min="6216" max="6400" width="8.81640625" style="76"/>
    <col min="6401" max="6471" width="2.08984375" style="76" customWidth="1"/>
    <col min="6472" max="6656" width="8.81640625" style="76"/>
    <col min="6657" max="6727" width="2.08984375" style="76" customWidth="1"/>
    <col min="6728" max="6912" width="8.81640625" style="76"/>
    <col min="6913" max="6983" width="2.08984375" style="76" customWidth="1"/>
    <col min="6984" max="7168" width="8.81640625" style="76"/>
    <col min="7169" max="7239" width="2.08984375" style="76" customWidth="1"/>
    <col min="7240" max="7424" width="8.81640625" style="76"/>
    <col min="7425" max="7495" width="2.08984375" style="76" customWidth="1"/>
    <col min="7496" max="7680" width="8.81640625" style="76"/>
    <col min="7681" max="7751" width="2.08984375" style="76" customWidth="1"/>
    <col min="7752" max="7936" width="8.81640625" style="76"/>
    <col min="7937" max="8007" width="2.08984375" style="76" customWidth="1"/>
    <col min="8008" max="8192" width="8.81640625" style="76"/>
    <col min="8193" max="8263" width="2.08984375" style="76" customWidth="1"/>
    <col min="8264" max="8448" width="8.81640625" style="76"/>
    <col min="8449" max="8519" width="2.08984375" style="76" customWidth="1"/>
    <col min="8520" max="8704" width="8.81640625" style="76"/>
    <col min="8705" max="8775" width="2.08984375" style="76" customWidth="1"/>
    <col min="8776" max="8960" width="8.81640625" style="76"/>
    <col min="8961" max="9031" width="2.08984375" style="76" customWidth="1"/>
    <col min="9032" max="9216" width="8.81640625" style="76"/>
    <col min="9217" max="9287" width="2.08984375" style="76" customWidth="1"/>
    <col min="9288" max="9472" width="8.81640625" style="76"/>
    <col min="9473" max="9543" width="2.08984375" style="76" customWidth="1"/>
    <col min="9544" max="9728" width="8.81640625" style="76"/>
    <col min="9729" max="9799" width="2.08984375" style="76" customWidth="1"/>
    <col min="9800" max="9984" width="8.81640625" style="76"/>
    <col min="9985" max="10055" width="2.08984375" style="76" customWidth="1"/>
    <col min="10056" max="10240" width="8.81640625" style="76"/>
    <col min="10241" max="10311" width="2.08984375" style="76" customWidth="1"/>
    <col min="10312" max="10496" width="8.81640625" style="76"/>
    <col min="10497" max="10567" width="2.08984375" style="76" customWidth="1"/>
    <col min="10568" max="10752" width="8.81640625" style="76"/>
    <col min="10753" max="10823" width="2.08984375" style="76" customWidth="1"/>
    <col min="10824" max="11008" width="8.81640625" style="76"/>
    <col min="11009" max="11079" width="2.08984375" style="76" customWidth="1"/>
    <col min="11080" max="11264" width="8.81640625" style="76"/>
    <col min="11265" max="11335" width="2.08984375" style="76" customWidth="1"/>
    <col min="11336" max="11520" width="8.81640625" style="76"/>
    <col min="11521" max="11591" width="2.08984375" style="76" customWidth="1"/>
    <col min="11592" max="11776" width="8.81640625" style="76"/>
    <col min="11777" max="11847" width="2.08984375" style="76" customWidth="1"/>
    <col min="11848" max="12032" width="8.81640625" style="76"/>
    <col min="12033" max="12103" width="2.08984375" style="76" customWidth="1"/>
    <col min="12104" max="12288" width="8.81640625" style="76"/>
    <col min="12289" max="12359" width="2.08984375" style="76" customWidth="1"/>
    <col min="12360" max="12544" width="8.81640625" style="76"/>
    <col min="12545" max="12615" width="2.08984375" style="76" customWidth="1"/>
    <col min="12616" max="12800" width="8.81640625" style="76"/>
    <col min="12801" max="12871" width="2.08984375" style="76" customWidth="1"/>
    <col min="12872" max="13056" width="8.81640625" style="76"/>
    <col min="13057" max="13127" width="2.08984375" style="76" customWidth="1"/>
    <col min="13128" max="13312" width="8.81640625" style="76"/>
    <col min="13313" max="13383" width="2.08984375" style="76" customWidth="1"/>
    <col min="13384" max="13568" width="8.81640625" style="76"/>
    <col min="13569" max="13639" width="2.08984375" style="76" customWidth="1"/>
    <col min="13640" max="13824" width="8.81640625" style="76"/>
    <col min="13825" max="13895" width="2.08984375" style="76" customWidth="1"/>
    <col min="13896" max="14080" width="8.81640625" style="76"/>
    <col min="14081" max="14151" width="2.08984375" style="76" customWidth="1"/>
    <col min="14152" max="14336" width="8.81640625" style="76"/>
    <col min="14337" max="14407" width="2.08984375" style="76" customWidth="1"/>
    <col min="14408" max="14592" width="8.81640625" style="76"/>
    <col min="14593" max="14663" width="2.08984375" style="76" customWidth="1"/>
    <col min="14664" max="14848" width="8.81640625" style="76"/>
    <col min="14849" max="14919" width="2.08984375" style="76" customWidth="1"/>
    <col min="14920" max="15104" width="8.81640625" style="76"/>
    <col min="15105" max="15175" width="2.08984375" style="76" customWidth="1"/>
    <col min="15176" max="15360" width="8.81640625" style="76"/>
    <col min="15361" max="15431" width="2.08984375" style="76" customWidth="1"/>
    <col min="15432" max="15616" width="8.81640625" style="76"/>
    <col min="15617" max="15687" width="2.08984375" style="76" customWidth="1"/>
    <col min="15688" max="15872" width="8.81640625" style="76"/>
    <col min="15873" max="15943" width="2.08984375" style="76" customWidth="1"/>
    <col min="15944" max="16128" width="8.81640625" style="76"/>
    <col min="16129" max="16199" width="2.08984375" style="76" customWidth="1"/>
    <col min="16200" max="16384" width="8.81640625" style="76"/>
  </cols>
  <sheetData>
    <row r="1" spans="1:57" ht="38.25" customHeight="1" thickBot="1" x14ac:dyDescent="0.25">
      <c r="A1" s="82" t="s">
        <v>16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</row>
    <row r="3" spans="1:57" ht="15" customHeight="1" thickBot="1" x14ac:dyDescent="0.25">
      <c r="A3" s="85" t="s">
        <v>17</v>
      </c>
      <c r="B3" s="86"/>
      <c r="C3" s="86"/>
      <c r="D3" s="86"/>
      <c r="E3" s="86"/>
      <c r="F3" s="86"/>
      <c r="G3" s="87"/>
      <c r="H3" s="88" t="s">
        <v>18</v>
      </c>
      <c r="I3" s="86"/>
      <c r="J3" s="86"/>
      <c r="K3" s="86"/>
      <c r="L3" s="86"/>
      <c r="M3" s="86"/>
      <c r="N3" s="87"/>
      <c r="O3" s="88" t="s">
        <v>19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20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9" t="s">
        <v>21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104">
        <v>1.1000000000000001</v>
      </c>
      <c r="B5" s="105"/>
      <c r="C5" s="105"/>
      <c r="D5" s="105"/>
      <c r="E5" s="105"/>
      <c r="F5" s="105"/>
      <c r="G5" s="106"/>
      <c r="H5" s="107"/>
      <c r="I5" s="108"/>
      <c r="J5" s="108"/>
      <c r="K5" s="108"/>
      <c r="L5" s="108"/>
      <c r="M5" s="108"/>
      <c r="N5" s="109"/>
      <c r="O5" s="115" t="s">
        <v>402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403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4"/>
      <c r="B6" s="105"/>
      <c r="C6" s="105"/>
      <c r="D6" s="105"/>
      <c r="E6" s="105"/>
      <c r="F6" s="105"/>
      <c r="G6" s="106"/>
      <c r="H6" s="107"/>
      <c r="I6" s="108"/>
      <c r="J6" s="108"/>
      <c r="K6" s="108"/>
      <c r="L6" s="108"/>
      <c r="M6" s="108"/>
      <c r="N6" s="109"/>
      <c r="O6" s="110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4"/>
      <c r="B7" s="105"/>
      <c r="C7" s="105"/>
      <c r="D7" s="105"/>
      <c r="E7" s="105"/>
      <c r="F7" s="105"/>
      <c r="G7" s="106"/>
      <c r="H7" s="107"/>
      <c r="I7" s="108"/>
      <c r="J7" s="108"/>
      <c r="K7" s="108"/>
      <c r="L7" s="108"/>
      <c r="M7" s="108"/>
      <c r="N7" s="109"/>
      <c r="O7" s="110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4"/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10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10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10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10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10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10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10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10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10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10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10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10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10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10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10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10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10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10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10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10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10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10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10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10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10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10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10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7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OPRqst_Srch01</vt:lpstr>
      <vt:lpstr>OPRqst_Srch02</vt:lpstr>
      <vt:lpstr>OPRqst_Chk01</vt:lpstr>
      <vt:lpstr>OPRqst_Ins01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2026-03-27T05:58:43Z</dcterms:modified>
  <cp:category/>
</cp:coreProperties>
</file>