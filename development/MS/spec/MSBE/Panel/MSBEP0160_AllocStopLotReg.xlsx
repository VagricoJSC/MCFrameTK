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6040F256-EF1E-48EA-A479-2A3441897D42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EP01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3" l="1"/>
  <c r="D25" i="3"/>
  <c r="G26" i="3"/>
  <c r="G24" i="3"/>
  <c r="I3" i="3"/>
  <c r="F3" i="3" l="1"/>
</calcChain>
</file>

<file path=xl/sharedStrings.xml><?xml version="1.0" encoding="utf-8"?>
<sst xmlns="http://schemas.openxmlformats.org/spreadsheetml/2006/main" count="1054" uniqueCount="521">
  <si>
    <t>*</t>
  </si>
  <si>
    <t>*</t>
    <phoneticPr fontId="1"/>
  </si>
  <si>
    <t>M</t>
    <phoneticPr fontId="1"/>
  </si>
  <si>
    <t>#</t>
    <phoneticPr fontId="1"/>
  </si>
  <si>
    <t>o</t>
    <phoneticPr fontId="1"/>
  </si>
  <si>
    <t>Key</t>
    <phoneticPr fontId="1"/>
  </si>
  <si>
    <t>SuperClassPj.ID :</t>
    <phoneticPr fontId="1"/>
  </si>
  <si>
    <t xml:space="preserve">Size(w,h) : 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</si>
  <si>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</si>
  <si>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</si>
  <si>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</si>
  <si>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</si>
  <si>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</si>
  <si>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</si>
  <si>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</si>
  <si>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5"/>
  </si>
  <si>
    <t>@</t>
    <phoneticPr fontId="5"/>
  </si>
  <si>
    <t>srch</t>
    <phoneticPr fontId="5"/>
  </si>
  <si>
    <t>Btn</t>
    <phoneticPr fontId="5"/>
  </si>
  <si>
    <t>ScreenOpe</t>
  </si>
  <si>
    <t>操作種別</t>
    <rPh sb="0" eb="2">
      <t>ソウサ</t>
    </rPh>
    <rPh sb="2" eb="4">
      <t>シュベツ</t>
    </rPh>
    <phoneticPr fontId="1"/>
  </si>
  <si>
    <t>CndTab</t>
  </si>
  <si>
    <t>tab1</t>
  </si>
  <si>
    <t>検索</t>
    <rPh sb="0" eb="2">
      <t>ケンサク</t>
    </rPh>
    <phoneticPr fontId="1"/>
  </si>
  <si>
    <t>@</t>
  </si>
  <si>
    <t>Tab1</t>
  </si>
  <si>
    <t>tab2</t>
  </si>
  <si>
    <t>cnd1</t>
  </si>
  <si>
    <t>Cnd</t>
  </si>
  <si>
    <t>Cnd2</t>
  </si>
  <si>
    <t>ope@ScreenOpe</t>
  </si>
  <si>
    <t>SrchBtn1</t>
  </si>
  <si>
    <t>SrchBtn2</t>
  </si>
  <si>
    <t>check</t>
  </si>
  <si>
    <t>選択</t>
    <rPh sb="0" eb="2">
      <t>センタク</t>
    </rPh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</si>
  <si>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</si>
  <si>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</si>
  <si>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</si>
  <si>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</si>
  <si>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</si>
  <si>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</si>
  <si>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</si>
  <si>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</si>
  <si>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</si>
  <si>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</si>
  <si>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</si>
  <si>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</si>
  <si>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</si>
  <si>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</si>
  <si>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</si>
  <si>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</si>
  <si>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del@EastBtn</t>
  </si>
  <si>
    <t>削除する</t>
  </si>
  <si>
    <t>$image.DELETE$削除する</t>
  </si>
  <si>
    <t>EastBtn</t>
  </si>
  <si>
    <t>検索する</t>
    <phoneticPr fontId="1"/>
  </si>
  <si>
    <t>$image.SEARCH$検索する</t>
    <phoneticPr fontId="1"/>
  </si>
  <si>
    <t>枝番１</t>
  </si>
  <si>
    <t>枝番２</t>
  </si>
  <si>
    <t>枝番３</t>
  </si>
  <si>
    <t>品名</t>
  </si>
  <si>
    <t>ロットＮＯ</t>
  </si>
  <si>
    <t>サブロットＮＯ</t>
  </si>
  <si>
    <t>～</t>
  </si>
  <si>
    <t>～</t>
    <phoneticPr fontId="1"/>
  </si>
  <si>
    <t>登録ユーザ名</t>
    <rPh sb="0" eb="2">
      <t>トウロク</t>
    </rPh>
    <rPh sb="5" eb="6">
      <t>メイ</t>
    </rPh>
    <phoneticPr fontId="3"/>
  </si>
  <si>
    <t>登録機能名</t>
    <rPh sb="0" eb="2">
      <t>トウロク</t>
    </rPh>
    <rPh sb="2" eb="4">
      <t>キノウ</t>
    </rPh>
    <rPh sb="4" eb="5">
      <t>メイ</t>
    </rPh>
    <phoneticPr fontId="3"/>
  </si>
  <si>
    <t>登録日時</t>
    <rPh sb="0" eb="2">
      <t>トウロク</t>
    </rPh>
    <rPh sb="2" eb="4">
      <t>ニチジ</t>
    </rPh>
    <phoneticPr fontId="3"/>
  </si>
  <si>
    <t>更新ユーザ名</t>
    <rPh sb="5" eb="6">
      <t>メイ</t>
    </rPh>
    <phoneticPr fontId="3"/>
  </si>
  <si>
    <t>更新機能名</t>
    <rPh sb="2" eb="4">
      <t>キノウ</t>
    </rPh>
    <rPh sb="4" eb="5">
      <t>メイ</t>
    </rPh>
    <phoneticPr fontId="3"/>
  </si>
  <si>
    <t>更新日時</t>
    <rPh sb="2" eb="4">
      <t>ニチジ</t>
    </rPh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</si>
  <si>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</si>
  <si>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</si>
  <si>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</si>
  <si>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</si>
  <si>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</si>
  <si>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</si>
  <si>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</si>
  <si>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</si>
  <si>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</si>
  <si>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</si>
  <si>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</si>
  <si>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</si>
  <si>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upd_cntr</t>
  </si>
  <si>
    <t>更新カウンタ</t>
  </si>
  <si>
    <t>更新する</t>
    <rPh sb="0" eb="2">
      <t>コウシン</t>
    </rPh>
    <phoneticPr fontId="1"/>
  </si>
  <si>
    <t>itm_p</t>
  </si>
  <si>
    <t>itm_p.itm_cd#</t>
  </si>
  <si>
    <t>品目ＣＤ</t>
  </si>
  <si>
    <t>itm_p.itm_sub1#</t>
  </si>
  <si>
    <t>itm_p.itm_sub2#</t>
  </si>
  <si>
    <t>itm_p.itm_nm#</t>
  </si>
  <si>
    <t>MSBEP0160</t>
    <phoneticPr fontId="5"/>
  </si>
  <si>
    <t>引当禁止ロット情報登録</t>
    <rPh sb="0" eb="2">
      <t>ヒキアテ</t>
    </rPh>
    <rPh sb="2" eb="4">
      <t>キンシ</t>
    </rPh>
    <rPh sb="7" eb="9">
      <t>ジョウホウ</t>
    </rPh>
    <rPh sb="9" eb="11">
      <t>トウロク</t>
    </rPh>
    <phoneticPr fontId="5"/>
  </si>
  <si>
    <t>stop_dt_fr</t>
  </si>
  <si>
    <t>rel_dt_fr</t>
  </si>
  <si>
    <t>禁止日ＦＲＯＭ</t>
    <rPh sb="0" eb="2">
      <t>キンシ</t>
    </rPh>
    <rPh sb="2" eb="3">
      <t>ビ</t>
    </rPh>
    <phoneticPr fontId="4"/>
  </si>
  <si>
    <t>禁止日ＴＯ</t>
    <rPh sb="0" eb="2">
      <t>キンシ</t>
    </rPh>
    <rPh sb="2" eb="3">
      <t>ビ</t>
    </rPh>
    <phoneticPr fontId="4"/>
  </si>
  <si>
    <t>解除日ＦＲＯＭ</t>
    <rPh sb="0" eb="2">
      <t>カイジョ</t>
    </rPh>
    <rPh sb="2" eb="3">
      <t>ビ</t>
    </rPh>
    <phoneticPr fontId="4"/>
  </si>
  <si>
    <t>解除日ＴＯ</t>
    <rPh sb="0" eb="2">
      <t>カイジョ</t>
    </rPh>
    <rPh sb="2" eb="3">
      <t>ビ</t>
    </rPh>
    <phoneticPr fontId="4"/>
  </si>
  <si>
    <t>stop_rmrks</t>
  </si>
  <si>
    <t>rel_rmrks</t>
  </si>
  <si>
    <t>sub_char1</t>
  </si>
  <si>
    <t>sub_char2</t>
  </si>
  <si>
    <t>sub_char3</t>
  </si>
  <si>
    <t>禁止備考</t>
    <rPh sb="0" eb="2">
      <t>キンシ</t>
    </rPh>
    <rPh sb="2" eb="4">
      <t>ビコウ</t>
    </rPh>
    <phoneticPr fontId="4"/>
  </si>
  <si>
    <t>解除備考</t>
    <rPh sb="0" eb="2">
      <t>カイジョ</t>
    </rPh>
    <rPh sb="2" eb="4">
      <t>ビコウ</t>
    </rPh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</si>
  <si>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</si>
  <si>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</si>
  <si>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</si>
  <si>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$image.REGISTER$更新する</t>
    <rPh sb="16" eb="18">
      <t>コウシン</t>
    </rPh>
    <phoneticPr fontId="1"/>
  </si>
  <si>
    <t>品目分類ＣＤ１</t>
  </si>
  <si>
    <t>品目分類名１</t>
  </si>
  <si>
    <t>品目分類ＦＬＧ２</t>
  </si>
  <si>
    <t>品目分類ＣＤ２</t>
  </si>
  <si>
    <t>品目分類名２</t>
  </si>
  <si>
    <t>品目分類ＦＬＧ３</t>
  </si>
  <si>
    <t>品目分類ＣＤ３</t>
  </si>
  <si>
    <t>品目分類名３</t>
  </si>
  <si>
    <t>品目分類ＦＬＧ４</t>
  </si>
  <si>
    <t>品目分類ＣＤ４</t>
  </si>
  <si>
    <t>品目分類名４</t>
  </si>
  <si>
    <t>品目分類ＦＬＧ５</t>
  </si>
  <si>
    <t>品目分類ＣＤ５</t>
  </si>
  <si>
    <t>品目分類名５</t>
  </si>
  <si>
    <t>品目分類ＦＬＧ６</t>
  </si>
  <si>
    <t>品目分類ＣＤ６</t>
  </si>
  <si>
    <t>品目分類名６</t>
  </si>
  <si>
    <t>品目分類ＦＬＧ７</t>
  </si>
  <si>
    <t>品目分類ＣＤ７</t>
  </si>
  <si>
    <t>品目分類名７</t>
  </si>
  <si>
    <t>品目分類ＦＬＧ８</t>
  </si>
  <si>
    <t>品目分類ＣＤ８</t>
  </si>
  <si>
    <t>品目分類名８</t>
  </si>
  <si>
    <t>品目分類ＦＬＧ９</t>
  </si>
  <si>
    <t>品目分類ＣＤ９</t>
  </si>
  <si>
    <t>品目分類名９</t>
  </si>
  <si>
    <t>品目分類ＦＬＧ１０</t>
  </si>
  <si>
    <t>品目分類ＣＤ１０</t>
  </si>
  <si>
    <t>品目分類名１０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</si>
  <si>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</si>
  <si>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</si>
  <si>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</si>
  <si>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</si>
  <si>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</si>
  <si>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</si>
  <si>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</si>
  <si>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</si>
  <si>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</si>
  <si>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</si>
  <si>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</si>
  <si>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</si>
  <si>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</si>
  <si>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</si>
  <si>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</si>
  <si>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</si>
  <si>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</si>
  <si>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</si>
  <si>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</si>
  <si>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</si>
  <si>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</si>
  <si>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</si>
  <si>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</si>
  <si>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</si>
  <si>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</si>
  <si>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</si>
  <si>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</si>
  <si>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</si>
  <si>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</si>
  <si>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stop_dt</t>
  </si>
  <si>
    <t>rel_dt</t>
  </si>
  <si>
    <t>禁止日</t>
    <rPh sb="0" eb="2">
      <t>キンシ</t>
    </rPh>
    <rPh sb="2" eb="3">
      <t>ビ</t>
    </rPh>
    <phoneticPr fontId="4"/>
  </si>
  <si>
    <t>解除日</t>
    <rPh sb="0" eb="2">
      <t>カイジョ</t>
    </rPh>
    <rPh sb="2" eb="3">
      <t>ビ</t>
    </rPh>
    <phoneticPr fontId="4"/>
  </si>
  <si>
    <t>stop_usr_nm</t>
  </si>
  <si>
    <t>rel_usr_nm</t>
  </si>
  <si>
    <t>禁止登録者名</t>
    <rPh sb="0" eb="2">
      <t>キンシ</t>
    </rPh>
    <rPh sb="2" eb="5">
      <t>トウロクシャ</t>
    </rPh>
    <rPh sb="5" eb="6">
      <t>メイ</t>
    </rPh>
    <phoneticPr fontId="4"/>
  </si>
  <si>
    <t>解除登録者名</t>
    <rPh sb="0" eb="2">
      <t>カイジョ</t>
    </rPh>
    <rPh sb="2" eb="4">
      <t>トウロク</t>
    </rPh>
    <rPh sb="4" eb="5">
      <t>シャ</t>
    </rPh>
    <rPh sb="5" eb="6">
      <t>メイ</t>
    </rPh>
    <phoneticPr fontId="4"/>
  </si>
  <si>
    <t>受注の出荷予定に対して、引当を禁止するロットを登録する。</t>
    <phoneticPr fontId="1"/>
  </si>
  <si>
    <t>MS.MSBEL0160.Srch01</t>
    <phoneticPr fontId="1"/>
  </si>
  <si>
    <t>MS.MSBEL0160.Upd01</t>
    <phoneticPr fontId="1"/>
  </si>
  <si>
    <t>MS.MSBEL0160.Del01</t>
    <phoneticPr fontId="1"/>
  </si>
  <si>
    <t>itm_grp_p.itm_grp_flg1#</t>
    <phoneticPr fontId="1"/>
  </si>
  <si>
    <t>品目分類ＦＬＧ１</t>
    <phoneticPr fontId="1"/>
  </si>
  <si>
    <t>mcframe.clientMAUD.MAUDP0030.MAUDP_RLSearcher</t>
    <phoneticPr fontId="5"/>
  </si>
  <si>
    <t>mcframe.clientMAUD.MAUDP0030.MAUDP_RLUpdater</t>
    <phoneticPr fontId="5"/>
  </si>
  <si>
    <t>mcframe.clientMAUD.MAUDP0030.MAUDP_RLDeleter</t>
    <phoneticPr fontId="5"/>
  </si>
  <si>
    <t>Dtl</t>
    <phoneticPr fontId="1"/>
  </si>
  <si>
    <t>LIST_OUT_BASE</t>
  </si>
  <si>
    <t>itm_typ_p</t>
  </si>
  <si>
    <t>itm_typ_p.itm_typ#</t>
  </si>
  <si>
    <t>itm_typ_p.itm_typ_d_cd#</t>
  </si>
  <si>
    <t>lot_no_p</t>
  </si>
  <si>
    <t>lot_no_p.crt_lot_flg#</t>
  </si>
  <si>
    <t>lot_no_p.lot_no#</t>
  </si>
  <si>
    <t>lot_no_p.sublot_no#</t>
  </si>
  <si>
    <t>lot_mng_typ</t>
  </si>
  <si>
    <t>ロット管理区分</t>
  </si>
  <si>
    <t>sublot_mng_typ</t>
  </si>
  <si>
    <t>サブロット管理区分</t>
  </si>
  <si>
    <t>LIST_IN</t>
  </si>
  <si>
    <t>LIST_IN_BASE</t>
  </si>
  <si>
    <t>itm_typ_p.itm_typ_d_nm#</t>
    <phoneticPr fontId="1"/>
  </si>
  <si>
    <t>品目分類</t>
    <rPh sb="0" eb="2">
      <t>ヒンモク</t>
    </rPh>
    <rPh sb="2" eb="4">
      <t>ブンルイ</t>
    </rPh>
    <phoneticPr fontId="1"/>
  </si>
  <si>
    <t>ItmGrp</t>
    <phoneticPr fontId="1"/>
  </si>
  <si>
    <t>itm_grp_p@ItmGrp</t>
    <phoneticPr fontId="1"/>
  </si>
  <si>
    <t>0,登録・訂正する;1,削除する</t>
    <rPh sb="5" eb="7">
      <t>テイセイ</t>
    </rPh>
    <phoneticPr fontId="1"/>
  </si>
  <si>
    <t>stop_usr_cd</t>
    <phoneticPr fontId="1"/>
  </si>
  <si>
    <t>rel_usr_cd</t>
    <phoneticPr fontId="1"/>
  </si>
  <si>
    <t>禁止登録者</t>
    <rPh sb="0" eb="2">
      <t>キンシ</t>
    </rPh>
    <rPh sb="2" eb="5">
      <t>トウロクシャ</t>
    </rPh>
    <phoneticPr fontId="4"/>
  </si>
  <si>
    <t>解除登録者</t>
    <rPh sb="0" eb="2">
      <t>カイジョ</t>
    </rPh>
    <rPh sb="2" eb="4">
      <t>トウロク</t>
    </rPh>
    <rPh sb="4" eb="5">
      <t>シャ</t>
    </rPh>
    <phoneticPr fontId="4"/>
  </si>
  <si>
    <t>更新リクエストＮＯ</t>
    <rPh sb="0" eb="2">
      <t>コウシン</t>
    </rPh>
    <phoneticPr fontId="1"/>
  </si>
  <si>
    <t>MAC_ITM_IS_SRCH_TYP.LOT;itm_cd;itm_sub1;itm_sub2</t>
    <phoneticPr fontId="1"/>
  </si>
  <si>
    <t>itm_sub3;itm_nm;lot_mng_typ;sublot_mng_typ</t>
    <phoneticPr fontId="1"/>
  </si>
  <si>
    <t>itm_nm;lot_mng_typ;sublot_mng_typ</t>
    <phoneticPr fontId="1"/>
  </si>
  <si>
    <t>SF</t>
    <phoneticPr fontId="1"/>
  </si>
  <si>
    <t>lot_no</t>
    <phoneticPr fontId="1"/>
  </si>
  <si>
    <t>sublot_no</t>
    <phoneticPr fontId="1"/>
  </si>
  <si>
    <t>#MA.LOT_NO</t>
    <phoneticPr fontId="1"/>
  </si>
  <si>
    <t>@</t>
    <phoneticPr fontId="1"/>
  </si>
  <si>
    <t>FFA</t>
    <phoneticPr fontId="1"/>
  </si>
  <si>
    <t>C2A</t>
    <phoneticPr fontId="1"/>
  </si>
  <si>
    <t>MS.MSUAP0070.LotNo</t>
    <phoneticPr fontId="1"/>
  </si>
  <si>
    <t>MS.MSUAP0070.SublotNo</t>
    <phoneticPr fontId="1"/>
  </si>
  <si>
    <t>itm_cd;itm_sub1;itm_sub2;itm_sub3</t>
    <phoneticPr fontId="1"/>
  </si>
  <si>
    <t>itm_cd;itm_sub1;itm_sub2;itm_sub3;lot_no</t>
    <phoneticPr fontId="1"/>
  </si>
  <si>
    <t>禁止登録者ＣＤ</t>
    <rPh sb="0" eb="2">
      <t>キンシ</t>
    </rPh>
    <rPh sb="2" eb="5">
      <t>トウロクシャ</t>
    </rPh>
    <phoneticPr fontId="4"/>
  </si>
  <si>
    <t>解除登録者ＣＤ</t>
    <rPh sb="0" eb="2">
      <t>カイジョ</t>
    </rPh>
    <rPh sb="2" eb="4">
      <t>トウロク</t>
    </rPh>
    <rPh sb="4" eb="5">
      <t>シャ</t>
    </rPh>
    <phoneticPr fontId="4"/>
  </si>
  <si>
    <t>登録ユーザＩＤ</t>
    <rPh sb="0" eb="2">
      <t>トウロク</t>
    </rPh>
    <phoneticPr fontId="3"/>
  </si>
  <si>
    <t>登録機能ＩＤ</t>
    <rPh sb="0" eb="2">
      <t>トウロク</t>
    </rPh>
    <rPh sb="2" eb="4">
      <t>キノウ</t>
    </rPh>
    <phoneticPr fontId="3"/>
  </si>
  <si>
    <t>更新ユーザＩＤ</t>
    <phoneticPr fontId="1"/>
  </si>
  <si>
    <t>更新機能ＩＤ</t>
    <rPh sb="2" eb="4">
      <t>キノウ</t>
    </rPh>
    <phoneticPr fontId="3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</si>
  <si>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</si>
  <si>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</si>
  <si>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</si>
  <si>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</si>
  <si>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</si>
  <si>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SubModuleID :</t>
    <phoneticPr fontId="1"/>
  </si>
  <si>
    <t>ScreenClass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</si>
  <si>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</si>
  <si>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</si>
  <si>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</si>
  <si>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</si>
  <si>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MA.MAUDP0030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</si>
  <si>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</si>
  <si>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</si>
  <si>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</si>
  <si>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5"/>
  </si>
  <si>
    <t>UPD*</t>
    <phoneticPr fontId="1"/>
  </si>
  <si>
    <t>FIX</t>
    <phoneticPr fontId="1"/>
  </si>
  <si>
    <t>DEL</t>
    <phoneticPr fontId="1"/>
  </si>
  <si>
    <t>R</t>
    <phoneticPr fontId="1"/>
  </si>
  <si>
    <t>N</t>
    <phoneticPr fontId="1"/>
  </si>
  <si>
    <t>S</t>
    <phoneticPr fontId="1"/>
  </si>
  <si>
    <t>NNW</t>
    <phoneticPr fontId="1"/>
  </si>
  <si>
    <t>L</t>
    <phoneticPr fontId="1"/>
  </si>
  <si>
    <t>TAB</t>
    <phoneticPr fontId="1"/>
  </si>
  <si>
    <t>NS</t>
    <phoneticPr fontId="1"/>
  </si>
  <si>
    <t>LP</t>
    <phoneticPr fontId="1"/>
  </si>
  <si>
    <t>Tab1</t>
    <phoneticPr fontId="1"/>
  </si>
  <si>
    <t>+</t>
    <phoneticPr fontId="1"/>
  </si>
  <si>
    <t>Cnd</t>
    <phoneticPr fontId="1"/>
  </si>
  <si>
    <t>Srch01_Cnd</t>
    <phoneticPr fontId="5"/>
  </si>
  <si>
    <t>C</t>
    <phoneticPr fontId="1"/>
  </si>
  <si>
    <t>#MA.DT</t>
    <phoneticPr fontId="1"/>
  </si>
  <si>
    <t>F</t>
    <phoneticPr fontId="1"/>
  </si>
  <si>
    <t>E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</si>
  <si>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</si>
  <si>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</si>
  <si>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</si>
  <si>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</si>
  <si>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</si>
  <si>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5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</si>
  <si>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</si>
  <si>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</si>
  <si>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</si>
  <si>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</si>
  <si>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MA.MAUAP0010.Itm</t>
    <phoneticPr fontId="1"/>
  </si>
  <si>
    <t>itm_nm;itm_sub1;itm_sub2;itm_sub3</t>
    <phoneticPr fontId="1"/>
  </si>
  <si>
    <t>MAC_ITM_IS_SRCH_TYP.LOT</t>
    <phoneticPr fontId="1"/>
  </si>
  <si>
    <t>itm_is_srch_typ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</si>
  <si>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</si>
  <si>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</si>
  <si>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</si>
  <si>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</si>
  <si>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</si>
  <si>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#MA.SUBLOT_NO</t>
    <phoneticPr fontId="1"/>
  </si>
  <si>
    <t>#MS.ALLOC_STOP_LOT_RMRKS</t>
    <phoneticPr fontId="1"/>
  </si>
  <si>
    <t>#MS.ALLOC_STOP_LOT_REL_RMRKS</t>
    <phoneticPr fontId="1"/>
  </si>
  <si>
    <t>#MS.ALLOC_STOP_LOT_SUB_CHAR1</t>
    <phoneticPr fontId="1"/>
  </si>
  <si>
    <t>#MS.ALLOC_STOP_LOT_SUB_CHAR2</t>
    <phoneticPr fontId="1"/>
  </si>
  <si>
    <t>#MS.ALLOC_STOP_LOT_SUB_CHAR3</t>
    <phoneticPr fontId="1"/>
  </si>
  <si>
    <t>MA.MAUBP0250.ItmGrp</t>
    <phoneticPr fontId="1"/>
  </si>
  <si>
    <t>itm_grp_cd1</t>
    <phoneticPr fontId="1"/>
  </si>
  <si>
    <t>itm_grp_nm1</t>
    <phoneticPr fontId="1"/>
  </si>
  <si>
    <t>itm_grp_cd2</t>
    <phoneticPr fontId="1"/>
  </si>
  <si>
    <t>itm_grp_nm2</t>
    <phoneticPr fontId="1"/>
  </si>
  <si>
    <t>itm_grp_cd3</t>
    <phoneticPr fontId="1"/>
  </si>
  <si>
    <t>itm_grp_nm3</t>
    <phoneticPr fontId="1"/>
  </si>
  <si>
    <t>itm_grp_cd4</t>
    <phoneticPr fontId="1"/>
  </si>
  <si>
    <t>itm_grp_nm4</t>
    <phoneticPr fontId="1"/>
  </si>
  <si>
    <t>itm_grp_cd5</t>
    <phoneticPr fontId="1"/>
  </si>
  <si>
    <t>itm_grp_nm5</t>
    <phoneticPr fontId="1"/>
  </si>
  <si>
    <t>itm_grp_cd6</t>
    <phoneticPr fontId="1"/>
  </si>
  <si>
    <t>itm_grp_nm6</t>
    <phoneticPr fontId="1"/>
  </si>
  <si>
    <t>itm_grp_cd7</t>
    <phoneticPr fontId="1"/>
  </si>
  <si>
    <t>itm_grp_nm7</t>
    <phoneticPr fontId="1"/>
  </si>
  <si>
    <t>itm_grp_cd8</t>
    <phoneticPr fontId="1"/>
  </si>
  <si>
    <t>itm_grp_nm8</t>
    <phoneticPr fontId="1"/>
  </si>
  <si>
    <t>itm_grp_cd9</t>
    <phoneticPr fontId="1"/>
  </si>
  <si>
    <t>itm_grp_nm9</t>
    <phoneticPr fontId="1"/>
  </si>
  <si>
    <t>itm_grp_cd10</t>
    <phoneticPr fontId="1"/>
  </si>
  <si>
    <t>itm_grp_nm10</t>
    <phoneticPr fontId="1"/>
  </si>
  <si>
    <t>NSW</t>
    <phoneticPr fontId="1"/>
  </si>
  <si>
    <t>NSE</t>
    <phoneticPr fontId="1"/>
  </si>
  <si>
    <t>$fit$</t>
    <phoneticPr fontId="1"/>
  </si>
  <si>
    <t>srch</t>
    <phoneticPr fontId="1"/>
  </si>
  <si>
    <t>AB</t>
    <phoneticPr fontId="1"/>
  </si>
  <si>
    <t>F1</t>
    <phoneticPr fontId="5"/>
  </si>
  <si>
    <t>E</t>
    <phoneticPr fontId="5"/>
  </si>
  <si>
    <t>TBL</t>
    <phoneticPr fontId="1"/>
  </si>
  <si>
    <t>Srch01_Rslt</t>
    <phoneticPr fontId="5"/>
  </si>
  <si>
    <t>Upd01_Dtl</t>
    <phoneticPr fontId="1"/>
  </si>
  <si>
    <t>Del01_Dtl</t>
    <phoneticPr fontId="1"/>
  </si>
  <si>
    <t>#MA.FLG</t>
    <phoneticPr fontId="1"/>
  </si>
  <si>
    <t>K</t>
    <phoneticPr fontId="1"/>
  </si>
  <si>
    <t>RO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</si>
  <si>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</si>
  <si>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</si>
  <si>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</si>
  <si>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</si>
  <si>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itm_sub1;itm_sub2;itm_sub3;itm_nm;lot_mng_typ;sublot_mng_typ</t>
    <phoneticPr fontId="1"/>
  </si>
  <si>
    <t>MA.MAUAP0010.ItmSub1</t>
    <phoneticPr fontId="1"/>
  </si>
  <si>
    <t>itm_sub2;itm_sub3;itm_nm;lot_mng_typ;sublot_mng_typ</t>
    <phoneticPr fontId="1"/>
  </si>
  <si>
    <t>MAC_ITM_IS_SRCH_TYP.LOT;itm_cd</t>
    <phoneticPr fontId="1"/>
  </si>
  <si>
    <t>itm_is_srch_typ;itm_cd</t>
    <phoneticPr fontId="1"/>
  </si>
  <si>
    <t>MA.MAUAP0010.ItmSub2</t>
    <phoneticPr fontId="1"/>
  </si>
  <si>
    <t>MAC_ITM_IS_SRCH_TYP.LOT;itm_cd;itm_sub1</t>
    <phoneticPr fontId="1"/>
  </si>
  <si>
    <t>itm_is_srch_typ;itm_cd;itm_sub1</t>
    <phoneticPr fontId="1"/>
  </si>
  <si>
    <t>MA.MAUAP0010.ItmSub3</t>
    <phoneticPr fontId="1"/>
  </si>
  <si>
    <t>itm_is_srch_typ;itm_cd;itm_sub1;itm_sub2</t>
    <phoneticPr fontId="1"/>
  </si>
  <si>
    <t>#MA.LOT_MNG_TYP</t>
    <phoneticPr fontId="1"/>
  </si>
  <si>
    <t>I</t>
    <phoneticPr fontId="1"/>
  </si>
  <si>
    <t>#MA.SUBLOT_MNG_TYP</t>
    <phoneticPr fontId="1"/>
  </si>
  <si>
    <t>MS.MSUBP5030.LotNo</t>
    <phoneticPr fontId="1"/>
  </si>
  <si>
    <t>#MA.USR_ID</t>
    <phoneticPr fontId="1"/>
  </si>
  <si>
    <t>MA.MAUAP0010.Usr</t>
    <phoneticPr fontId="1"/>
  </si>
  <si>
    <t>usr_nm</t>
    <phoneticPr fontId="1"/>
  </si>
  <si>
    <t>#MA.USR_NM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</si>
  <si>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</si>
  <si>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</si>
  <si>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</si>
  <si>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</si>
  <si>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</si>
  <si>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</si>
  <si>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</si>
  <si>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</si>
  <si>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</si>
  <si>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</si>
  <si>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</si>
  <si>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</si>
  <si>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</si>
  <si>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</si>
  <si>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</si>
  <si>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</si>
  <si>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</si>
  <si>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</si>
  <si>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</si>
  <si>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</si>
  <si>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</si>
  <si>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</si>
  <si>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</si>
  <si>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</si>
  <si>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MS</t>
    <phoneticPr fontId="5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</si>
  <si>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</si>
  <si>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</si>
  <si>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</si>
  <si>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</si>
  <si>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</si>
  <si>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</si>
  <si>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</si>
  <si>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</si>
  <si>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</si>
  <si>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</si>
  <si>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</si>
  <si>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000000</t>
    <phoneticPr fontId="1"/>
  </si>
  <si>
    <t>itm_p.itm_sub3#</t>
  </si>
  <si>
    <t>詳細 :</t>
    <rPh sb="0" eb="2">
      <t>ショウサイ</t>
    </rPh>
    <phoneticPr fontId="1"/>
  </si>
  <si>
    <t>stop_dt_fr</t>
    <phoneticPr fontId="1"/>
  </si>
  <si>
    <t>stop_dt_to</t>
    <phoneticPr fontId="1"/>
  </si>
  <si>
    <t>rel_dt_fr</t>
    <phoneticPr fontId="1"/>
  </si>
  <si>
    <t>rel_dt_to</t>
    <phoneticPr fontId="1"/>
  </si>
  <si>
    <t>stop_rmrks</t>
    <phoneticPr fontId="1"/>
  </si>
  <si>
    <t>rel_rmrks</t>
    <phoneticPr fontId="1"/>
  </si>
  <si>
    <t>sub_char1</t>
    <phoneticPr fontId="1"/>
  </si>
  <si>
    <t>sub_char2</t>
    <phoneticPr fontId="1"/>
  </si>
  <si>
    <t>sub_char3</t>
    <phoneticPr fontId="1"/>
  </si>
  <si>
    <t>stop_dt</t>
    <phoneticPr fontId="1"/>
  </si>
  <si>
    <t>stop_usr_nm</t>
    <phoneticPr fontId="1"/>
  </si>
  <si>
    <t>rel_dt</t>
    <phoneticPr fontId="1"/>
  </si>
  <si>
    <t>rel_usr_nm</t>
    <phoneticPr fontId="1"/>
  </si>
  <si>
    <t>ins_usr_id</t>
    <phoneticPr fontId="1"/>
  </si>
  <si>
    <t>ins_usr_nm</t>
    <phoneticPr fontId="1"/>
  </si>
  <si>
    <t>ins_func_id</t>
    <phoneticPr fontId="1"/>
  </si>
  <si>
    <t>ins_func_nm</t>
    <phoneticPr fontId="1"/>
  </si>
  <si>
    <t>ins_ts</t>
    <phoneticPr fontId="1"/>
  </si>
  <si>
    <t>upd_cntr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</si>
  <si>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</si>
  <si>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</si>
  <si>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</si>
  <si>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</si>
  <si>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upd_ts</t>
    <phoneticPr fontId="1"/>
  </si>
  <si>
    <t>upd_srv_req_no</t>
    <phoneticPr fontId="1"/>
  </si>
  <si>
    <t>Cndブロックのopeのモードをすべて「R」に修正。</t>
    <phoneticPr fontId="5"/>
  </si>
  <si>
    <t>MSBEP0160シート</t>
    <phoneticPr fontId="5"/>
  </si>
  <si>
    <t>R</t>
    <phoneticPr fontId="1"/>
  </si>
  <si>
    <t>MS7031#083</t>
    <phoneticPr fontId="5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</si>
  <si>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</si>
  <si>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</si>
  <si>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</si>
  <si>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</si>
  <si>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</si>
  <si>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</si>
  <si>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</si>
  <si>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</si>
  <si>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</si>
  <si>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</si>
  <si>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</si>
  <si>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</si>
  <si>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</si>
  <si>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</si>
  <si>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</si>
  <si>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</si>
  <si>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</si>
  <si>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</si>
  <si>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</si>
  <si>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</si>
  <si>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</si>
  <si>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</si>
  <si>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</si>
  <si>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</si>
  <si>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</si>
  <si>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</si>
  <si>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0,Create/Modify;1,Delete</t>
  </si>
  <si>
    <t>Prohibit date FROM</t>
  </si>
  <si>
    <t>Prohibit date TO</t>
  </si>
  <si>
    <t>Release date FROM</t>
  </si>
  <si>
    <t>Release date TO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</si>
  <si>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</si>
  <si>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</si>
  <si>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</si>
  <si>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</si>
  <si>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</si>
  <si>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</si>
  <si>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</si>
  <si>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Prohibit remark</t>
  </si>
  <si>
    <t>Release remarks</t>
  </si>
  <si>
    <t>Spare 1</t>
  </si>
  <si>
    <t>Spare 2</t>
  </si>
  <si>
    <t>Spare 3</t>
  </si>
  <si>
    <t>Item classification flg. 1</t>
  </si>
  <si>
    <t>Item classification cd. 1</t>
  </si>
  <si>
    <t>Item classification name 1</t>
  </si>
  <si>
    <t>Item classification flg. 2</t>
  </si>
  <si>
    <t>Item classification cd. 2</t>
  </si>
  <si>
    <t>Item classification name 2</t>
  </si>
  <si>
    <t>Item classification flg. 3</t>
  </si>
  <si>
    <t>Item classification cd. 3</t>
  </si>
  <si>
    <t>Item classification name 3</t>
  </si>
  <si>
    <t>Item classification flg. 4</t>
  </si>
  <si>
    <t>Item classification cd. 4</t>
  </si>
  <si>
    <t>Item classification name 4</t>
  </si>
  <si>
    <t>Item classification flg. 5</t>
  </si>
  <si>
    <t>Item classification cd. 5</t>
  </si>
  <si>
    <t>Item classification name 5</t>
  </si>
  <si>
    <t>Item classification flg. 6</t>
  </si>
  <si>
    <t>Item classification cd. 6</t>
  </si>
  <si>
    <t>Item classification name 6</t>
  </si>
  <si>
    <t>Item classification flg. 7</t>
  </si>
  <si>
    <t>Item classification cd. 7</t>
  </si>
  <si>
    <t>Item classification name 7</t>
  </si>
  <si>
    <t>Item classification flg. 8</t>
  </si>
  <si>
    <t>Item classification cd. 8</t>
  </si>
  <si>
    <t>Item classification name 8</t>
  </si>
  <si>
    <t>Item classification flg. 9</t>
  </si>
  <si>
    <t>Item classification cd. 9</t>
  </si>
  <si>
    <t>Item classification name 9</t>
  </si>
  <si>
    <t>Item classification flg. 10</t>
  </si>
  <si>
    <t>Item classification cd. 10</t>
  </si>
  <si>
    <t>Item classification name 10</t>
  </si>
  <si>
    <t>Select</t>
  </si>
  <si>
    <t>Lot management type</t>
  </si>
  <si>
    <t>Sublot management type</t>
  </si>
  <si>
    <t>Prohibit date</t>
  </si>
  <si>
    <t>Prohibit entry PIC cd.</t>
  </si>
  <si>
    <t>Prohibit entry PIC name</t>
  </si>
  <si>
    <t>Release date</t>
  </si>
  <si>
    <t>Release entry PIC cd.</t>
  </si>
  <si>
    <t>Release/entry PIC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</si>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</sst>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33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5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3" borderId="37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40" xfId="0" applyFont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3" xfId="0" applyFont="1" applyFill="1" applyBorder="1">
      <alignment vertical="top" wrapText="1"/>
    </xf>
    <xf numFmtId="0" fontId="11" fillId="5" borderId="33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re_itm_p@Tab1" TargetMode="External"/><Relationship Id="rId1" Type="http://schemas.openxmlformats.org/officeDocument/2006/relationships/hyperlink" Target="mailto:core_itm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76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22.906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6.6328125" style="1" bestFit="1" customWidth="1"/>
    <col min="22" max="22" width="9.453125" style="1" bestFit="1" customWidth="1"/>
    <col min="23" max="23" width="15.453125" style="1" bestFit="1" customWidth="1"/>
    <col min="24" max="24" width="5.81640625" style="1" customWidth="1"/>
    <col min="25" max="30" width="10" style="1" customWidth="1"/>
    <col min="31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 x14ac:dyDescent="0.2">
      <c r="A1" s="27" t="s">
        <v>1</v>
      </c>
      <c r="B1" s="27" t="s">
        <v>1</v>
      </c>
      <c r="C1" s="27"/>
      <c r="D1" s="14" t="s">
        <v>232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40" customHeight="1" x14ac:dyDescent="0.2">
      <c r="A2" s="2" t="s">
        <v>1</v>
      </c>
      <c r="B2" s="3"/>
      <c r="C2" s="3"/>
      <c r="D2" s="8" t="s">
        <v>416</v>
      </c>
      <c r="E2" s="28" t="s">
        <v>233</v>
      </c>
      <c r="F2" s="9" t="s">
        <v>372</v>
      </c>
      <c r="G2" s="38" t="s">
        <v>234</v>
      </c>
      <c r="H2" s="46"/>
      <c r="I2" s="41" t="s">
        <v>92</v>
      </c>
      <c r="J2" s="42"/>
      <c r="K2" s="44" t="s">
        <v>235</v>
      </c>
      <c r="L2" s="44"/>
      <c r="M2" s="44"/>
      <c r="N2" s="44"/>
      <c r="O2" s="38"/>
      <c r="P2" s="29"/>
      <c r="Q2" s="9" t="s">
        <v>373</v>
      </c>
      <c r="R2" s="28" t="s">
        <v>7</v>
      </c>
      <c r="S2" s="9"/>
      <c r="T2" s="30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3.5" customHeight="1" x14ac:dyDescent="0.2">
      <c r="A3" s="5" t="s">
        <v>1</v>
      </c>
      <c r="B3" s="6"/>
      <c r="C3" s="6"/>
      <c r="E3" s="28" t="s">
        <v>236</v>
      </c>
      <c r="F3" s="9" t="str">
        <f>LEFT(I2,4)</f>
        <v>MSBE</v>
      </c>
      <c r="G3" s="38" t="s">
        <v>237</v>
      </c>
      <c r="H3" s="46"/>
      <c r="I3" s="41" t="str">
        <f>LEFT(I2,5)&amp;"_AllocStopLotReg"</f>
        <v>MSBEP_AllocStopLotReg</v>
      </c>
      <c r="J3" s="42"/>
      <c r="K3" s="44" t="s">
        <v>6</v>
      </c>
      <c r="L3" s="44"/>
      <c r="M3" s="44"/>
      <c r="N3" s="44"/>
      <c r="O3" s="38"/>
      <c r="P3" s="29"/>
      <c r="Q3" s="9"/>
      <c r="R3" s="28" t="s">
        <v>238</v>
      </c>
      <c r="S3" s="9" t="s">
        <v>8</v>
      </c>
      <c r="T3" s="9"/>
    </row>
    <row r="4" spans="1:38" ht="13.5" customHeight="1" x14ac:dyDescent="0.2">
      <c r="A4" s="5" t="s">
        <v>1</v>
      </c>
      <c r="B4" s="6"/>
      <c r="C4" s="6"/>
      <c r="D4" s="13"/>
      <c r="E4" s="28" t="s">
        <v>239</v>
      </c>
      <c r="F4" s="9" t="s">
        <v>15</v>
      </c>
      <c r="G4" s="38" t="s">
        <v>240</v>
      </c>
      <c r="H4" s="46"/>
      <c r="I4" s="41" t="s">
        <v>93</v>
      </c>
      <c r="J4" s="42"/>
      <c r="K4" s="44" t="s">
        <v>241</v>
      </c>
      <c r="L4" s="44"/>
      <c r="M4" s="44"/>
      <c r="N4" s="44"/>
      <c r="O4" s="38"/>
      <c r="P4" s="29"/>
      <c r="Q4" s="9" t="s">
        <v>242</v>
      </c>
      <c r="R4" s="28"/>
      <c r="S4" s="28"/>
      <c r="T4" s="31"/>
    </row>
    <row r="5" spans="1:38" x14ac:dyDescent="0.2">
      <c r="A5" s="32" t="s">
        <v>1</v>
      </c>
      <c r="B5" s="27"/>
      <c r="C5" s="27"/>
      <c r="D5" s="7"/>
      <c r="E5" s="28" t="s">
        <v>243</v>
      </c>
      <c r="F5" s="9" t="s">
        <v>16</v>
      </c>
      <c r="G5" s="38" t="s">
        <v>244</v>
      </c>
      <c r="H5" s="46"/>
      <c r="I5" s="43"/>
      <c r="J5" s="43"/>
      <c r="K5" s="11"/>
      <c r="L5" s="11"/>
      <c r="M5" s="11"/>
      <c r="N5" s="11"/>
      <c r="O5" s="11"/>
      <c r="P5" s="11"/>
      <c r="Q5" s="11"/>
      <c r="R5" s="11"/>
      <c r="S5" s="11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1:38" ht="13.5" customHeight="1" x14ac:dyDescent="0.2">
      <c r="A6" s="5" t="s">
        <v>1</v>
      </c>
      <c r="B6" s="6"/>
      <c r="C6" s="6"/>
      <c r="D6" s="1" t="s">
        <v>245</v>
      </c>
      <c r="E6" s="45" t="s">
        <v>177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3"/>
      <c r="Q6" s="4"/>
      <c r="R6" s="4"/>
      <c r="S6" s="4"/>
      <c r="AC6" s="14"/>
      <c r="AD6" s="14"/>
      <c r="AE6" s="14"/>
      <c r="AF6" s="14"/>
      <c r="AG6" s="14"/>
      <c r="AH6" s="14"/>
      <c r="AI6" s="14"/>
      <c r="AJ6" s="14"/>
      <c r="AL6" s="8"/>
    </row>
    <row r="7" spans="1:38" ht="39" x14ac:dyDescent="0.2">
      <c r="A7" s="5" t="s">
        <v>3</v>
      </c>
      <c r="B7" s="6"/>
      <c r="C7" s="6"/>
      <c r="U7" s="9" t="s">
        <v>246</v>
      </c>
      <c r="V7" s="9" t="s">
        <v>246</v>
      </c>
      <c r="W7" s="9" t="s">
        <v>246</v>
      </c>
      <c r="X7" s="19"/>
      <c r="Y7" s="9" t="s">
        <v>2</v>
      </c>
      <c r="Z7" s="9" t="s">
        <v>2</v>
      </c>
      <c r="AA7" s="9" t="s">
        <v>2</v>
      </c>
      <c r="AB7" s="19"/>
      <c r="AC7" s="19"/>
      <c r="AD7" s="20"/>
      <c r="AE7" s="28" t="s">
        <v>4</v>
      </c>
      <c r="AF7" s="9" t="s">
        <v>183</v>
      </c>
      <c r="AG7" s="28" t="s">
        <v>4</v>
      </c>
      <c r="AH7" s="9" t="s">
        <v>184</v>
      </c>
      <c r="AI7" s="28" t="s">
        <v>4</v>
      </c>
      <c r="AJ7" s="9" t="s">
        <v>185</v>
      </c>
      <c r="AL7" s="7"/>
    </row>
    <row r="8" spans="1:38" ht="60" customHeight="1" x14ac:dyDescent="0.2">
      <c r="A8" s="9" t="s">
        <v>3</v>
      </c>
      <c r="B8" s="9"/>
      <c r="C8" s="9"/>
      <c r="D8" s="28" t="s">
        <v>417</v>
      </c>
      <c r="E8" s="28" t="s">
        <v>374</v>
      </c>
      <c r="F8" s="28" t="s">
        <v>418</v>
      </c>
      <c r="G8" s="11" t="s">
        <v>419</v>
      </c>
      <c r="H8" s="28"/>
      <c r="I8" s="28" t="s">
        <v>420</v>
      </c>
      <c r="J8" s="28" t="s">
        <v>421</v>
      </c>
      <c r="K8" s="28" t="s">
        <v>422</v>
      </c>
      <c r="L8" s="28" t="s">
        <v>423</v>
      </c>
      <c r="M8" s="28" t="s">
        <v>375</v>
      </c>
      <c r="N8" s="28" t="s">
        <v>376</v>
      </c>
      <c r="O8" s="28" t="s">
        <v>377</v>
      </c>
      <c r="P8" s="28" t="s">
        <v>378</v>
      </c>
      <c r="Q8" s="38" t="s">
        <v>424</v>
      </c>
      <c r="R8" s="39"/>
      <c r="S8" s="40"/>
      <c r="T8" s="30" t="s">
        <v>425</v>
      </c>
      <c r="U8" s="9" t="s">
        <v>187</v>
      </c>
      <c r="V8" s="9" t="s">
        <v>199</v>
      </c>
      <c r="W8" s="9" t="s">
        <v>200</v>
      </c>
      <c r="X8" s="19"/>
      <c r="Y8" s="9" t="s">
        <v>247</v>
      </c>
      <c r="Z8" s="9" t="s">
        <v>248</v>
      </c>
      <c r="AA8" s="9" t="s">
        <v>249</v>
      </c>
      <c r="AB8" s="19"/>
      <c r="AC8" s="19"/>
      <c r="AD8" s="20"/>
      <c r="AE8" s="28" t="s">
        <v>379</v>
      </c>
      <c r="AF8" s="9" t="s">
        <v>178</v>
      </c>
      <c r="AG8" s="28" t="s">
        <v>379</v>
      </c>
      <c r="AH8" s="9" t="s">
        <v>179</v>
      </c>
      <c r="AI8" s="28" t="s">
        <v>379</v>
      </c>
      <c r="AJ8" s="9" t="s">
        <v>180</v>
      </c>
      <c r="AK8" s="7"/>
      <c r="AL8" s="19" t="s">
        <v>437</v>
      </c>
    </row>
    <row r="9" spans="1:38" ht="60" customHeight="1" x14ac:dyDescent="0.2">
      <c r="A9" s="9" t="s">
        <v>3</v>
      </c>
      <c r="B9" s="9"/>
      <c r="C9" s="9"/>
      <c r="D9" s="28" t="s">
        <v>426</v>
      </c>
      <c r="E9" s="11" t="s">
        <v>427</v>
      </c>
      <c r="F9" s="20" t="s">
        <v>428</v>
      </c>
      <c r="G9" s="20" t="s">
        <v>429</v>
      </c>
      <c r="H9" s="20" t="s">
        <v>430</v>
      </c>
      <c r="I9" s="28" t="s">
        <v>431</v>
      </c>
      <c r="J9" s="20" t="s">
        <v>380</v>
      </c>
      <c r="K9" s="20" t="s">
        <v>432</v>
      </c>
      <c r="L9" s="28" t="s">
        <v>433</v>
      </c>
      <c r="M9" s="28" t="s">
        <v>434</v>
      </c>
      <c r="N9" s="28" t="s">
        <v>435</v>
      </c>
      <c r="O9" s="28" t="s">
        <v>5</v>
      </c>
      <c r="P9" s="28" t="s">
        <v>378</v>
      </c>
      <c r="Q9" s="28" t="s">
        <v>381</v>
      </c>
      <c r="R9" s="28" t="s">
        <v>231</v>
      </c>
      <c r="S9" s="28" t="s">
        <v>382</v>
      </c>
      <c r="T9" s="34"/>
      <c r="Y9" s="4"/>
      <c r="Z9" s="4"/>
      <c r="AA9" s="4"/>
      <c r="AB9" s="4"/>
      <c r="AC9" s="4"/>
      <c r="AD9" s="8"/>
      <c r="AE9" s="28" t="s">
        <v>383</v>
      </c>
      <c r="AF9" s="9" t="s">
        <v>384</v>
      </c>
      <c r="AG9" s="28" t="s">
        <v>383</v>
      </c>
      <c r="AH9" s="9" t="s">
        <v>384</v>
      </c>
      <c r="AI9" s="28" t="s">
        <v>383</v>
      </c>
      <c r="AJ9" s="9" t="s">
        <v>384</v>
      </c>
      <c r="AK9" s="37" t="s">
        <v>436</v>
      </c>
      <c r="AL9" s="19" t="s">
        <v>438</v>
      </c>
    </row>
    <row r="10" spans="1:38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8" t="s">
        <v>517</v>
      </c>
      <c r="AF10" s="28" t="s">
        <v>518</v>
      </c>
      <c r="AG10" s="28" t="s">
        <v>517</v>
      </c>
      <c r="AH10" s="28" t="s">
        <v>518</v>
      </c>
      <c r="AI10" s="28" t="s">
        <v>517</v>
      </c>
      <c r="AJ10" s="28" t="s">
        <v>518</v>
      </c>
      <c r="AK10" s="4"/>
      <c r="AL10" s="8"/>
    </row>
    <row r="11" spans="1:38" ht="26" x14ac:dyDescent="0.2">
      <c r="A11" s="21">
        <v>10</v>
      </c>
      <c r="B11" s="21" t="s">
        <v>0</v>
      </c>
      <c r="C11" s="21"/>
      <c r="D11" s="21" t="s">
        <v>19</v>
      </c>
      <c r="E11" s="22"/>
      <c r="F11" s="21"/>
      <c r="G11" s="21" t="s">
        <v>20</v>
      </c>
      <c r="H11" s="21"/>
      <c r="I11" s="21" t="s">
        <v>250</v>
      </c>
      <c r="J11" s="21" t="s">
        <v>439</v>
      </c>
      <c r="K11" s="21" t="s">
        <v>251</v>
      </c>
      <c r="L11" s="21" t="s">
        <v>252</v>
      </c>
      <c r="M11" s="21" t="s">
        <v>253</v>
      </c>
      <c r="N11" s="21">
        <v>300</v>
      </c>
      <c r="O11" s="21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1"/>
      <c r="AF11" s="21"/>
      <c r="AG11" s="21"/>
      <c r="AH11" s="21"/>
      <c r="AI11" s="21"/>
      <c r="AJ11" s="21"/>
      <c r="AK11" s="23"/>
      <c r="AL11" s="24"/>
    </row>
    <row r="12" spans="1:38" x14ac:dyDescent="0.2">
      <c r="A12" s="5"/>
      <c r="AE12" s="28"/>
      <c r="AF12" s="28"/>
      <c r="AG12" s="28"/>
      <c r="AH12" s="28"/>
      <c r="AI12" s="28"/>
      <c r="AJ12" s="28"/>
      <c r="AL12" s="13"/>
    </row>
    <row r="13" spans="1:38" x14ac:dyDescent="0.2">
      <c r="A13" s="9">
        <v>20</v>
      </c>
      <c r="B13" s="9" t="s">
        <v>0</v>
      </c>
      <c r="C13" s="9"/>
      <c r="D13" s="9" t="s">
        <v>21</v>
      </c>
      <c r="E13" s="10"/>
      <c r="F13" s="9"/>
      <c r="G13" s="9"/>
      <c r="H13" s="9"/>
      <c r="I13" s="9" t="s">
        <v>254</v>
      </c>
      <c r="J13" s="9"/>
      <c r="K13" s="9" t="s">
        <v>255</v>
      </c>
      <c r="L13" s="9" t="s">
        <v>252</v>
      </c>
      <c r="M13" s="9" t="s">
        <v>256</v>
      </c>
      <c r="N13" s="9"/>
      <c r="O13" s="9"/>
      <c r="P13" s="9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9"/>
      <c r="AF13" s="9"/>
      <c r="AG13" s="9"/>
      <c r="AH13" s="9"/>
      <c r="AI13" s="9"/>
      <c r="AJ13" s="9"/>
      <c r="AK13" s="14"/>
      <c r="AL13" s="12"/>
    </row>
    <row r="14" spans="1:38" x14ac:dyDescent="0.2">
      <c r="A14" s="9">
        <v>20</v>
      </c>
      <c r="B14" s="9"/>
      <c r="C14" s="9"/>
      <c r="D14" s="9" t="s">
        <v>22</v>
      </c>
      <c r="E14" s="12" t="s">
        <v>440</v>
      </c>
      <c r="F14" s="9" t="s">
        <v>23</v>
      </c>
      <c r="G14" s="9" t="s">
        <v>24</v>
      </c>
      <c r="H14" s="9"/>
      <c r="I14" s="9"/>
      <c r="J14" s="9"/>
      <c r="K14" s="9" t="s">
        <v>257</v>
      </c>
      <c r="L14" s="9"/>
      <c r="M14" s="9"/>
      <c r="N14" s="9"/>
      <c r="O14" s="9" t="s">
        <v>258</v>
      </c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E14" s="9"/>
      <c r="AF14" s="9"/>
      <c r="AG14" s="9"/>
      <c r="AH14" s="9"/>
      <c r="AI14" s="9"/>
      <c r="AJ14" s="9"/>
      <c r="AL14" s="12"/>
    </row>
    <row r="15" spans="1:38" x14ac:dyDescent="0.2">
      <c r="A15" s="9">
        <v>20</v>
      </c>
      <c r="B15" s="9"/>
      <c r="C15" s="9"/>
      <c r="D15" s="9" t="s">
        <v>26</v>
      </c>
      <c r="E15" s="12" t="s">
        <v>441</v>
      </c>
      <c r="F15" s="9" t="s">
        <v>202</v>
      </c>
      <c r="G15" s="9" t="s">
        <v>24</v>
      </c>
      <c r="H15" s="9"/>
      <c r="I15" s="9"/>
      <c r="J15" s="9"/>
      <c r="K15" s="9" t="s">
        <v>257</v>
      </c>
      <c r="L15" s="9"/>
      <c r="M15" s="9"/>
      <c r="N15" s="9"/>
      <c r="O15" s="9" t="s">
        <v>203</v>
      </c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E15" s="9"/>
      <c r="AF15" s="9"/>
      <c r="AG15" s="9"/>
      <c r="AH15" s="9"/>
      <c r="AI15" s="9"/>
      <c r="AJ15" s="9"/>
      <c r="AL15" s="12"/>
    </row>
    <row r="16" spans="1:38" x14ac:dyDescent="0.2">
      <c r="A16" s="5"/>
      <c r="AE16" s="28"/>
      <c r="AF16" s="28"/>
      <c r="AG16" s="28"/>
      <c r="AH16" s="28"/>
      <c r="AI16" s="28"/>
      <c r="AJ16" s="28"/>
      <c r="AL16" s="13"/>
    </row>
    <row r="17" spans="1:38" x14ac:dyDescent="0.2">
      <c r="A17" s="9">
        <v>30</v>
      </c>
      <c r="B17" s="9" t="s">
        <v>0</v>
      </c>
      <c r="C17" s="9"/>
      <c r="D17" s="9" t="s">
        <v>25</v>
      </c>
      <c r="E17" s="10"/>
      <c r="F17" s="9"/>
      <c r="G17" s="9"/>
      <c r="H17" s="9"/>
      <c r="I17" s="9" t="s">
        <v>250</v>
      </c>
      <c r="J17" s="9"/>
      <c r="K17" s="9" t="s">
        <v>251</v>
      </c>
      <c r="L17" s="9" t="s">
        <v>252</v>
      </c>
      <c r="M17" s="9" t="s">
        <v>259</v>
      </c>
      <c r="N17" s="9"/>
      <c r="O17" s="9"/>
      <c r="P17" s="9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9"/>
      <c r="AF17" s="9"/>
      <c r="AG17" s="9"/>
      <c r="AH17" s="9"/>
      <c r="AI17" s="9"/>
      <c r="AJ17" s="9"/>
      <c r="AK17" s="14"/>
      <c r="AL17" s="12"/>
    </row>
    <row r="18" spans="1:38" x14ac:dyDescent="0.2">
      <c r="A18" s="9">
        <v>30</v>
      </c>
      <c r="B18" s="9"/>
      <c r="C18" s="9"/>
      <c r="D18" s="9" t="s">
        <v>27</v>
      </c>
      <c r="E18" s="12"/>
      <c r="F18" s="9"/>
      <c r="G18" s="9"/>
      <c r="H18" s="9"/>
      <c r="I18" s="9"/>
      <c r="J18" s="9"/>
      <c r="K18" s="9" t="s">
        <v>257</v>
      </c>
      <c r="L18" s="9"/>
      <c r="M18" s="9"/>
      <c r="N18" s="9"/>
      <c r="O18" s="9" t="s">
        <v>260</v>
      </c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E18" s="9"/>
      <c r="AF18" s="9"/>
      <c r="AG18" s="9"/>
      <c r="AH18" s="9"/>
      <c r="AI18" s="9"/>
      <c r="AJ18" s="9"/>
      <c r="AL18" s="12"/>
    </row>
    <row r="19" spans="1:38" x14ac:dyDescent="0.2">
      <c r="A19" s="5"/>
      <c r="AE19" s="28"/>
      <c r="AF19" s="28"/>
      <c r="AG19" s="28"/>
      <c r="AH19" s="28"/>
      <c r="AI19" s="28"/>
      <c r="AJ19" s="28"/>
      <c r="AL19" s="13"/>
    </row>
    <row r="20" spans="1:38" x14ac:dyDescent="0.2">
      <c r="A20" s="21">
        <v>40</v>
      </c>
      <c r="B20" s="21" t="s">
        <v>0</v>
      </c>
      <c r="C20" s="21"/>
      <c r="D20" s="21" t="s">
        <v>203</v>
      </c>
      <c r="E20" s="22"/>
      <c r="F20" s="21"/>
      <c r="G20" s="21"/>
      <c r="H20" s="21"/>
      <c r="I20" s="21" t="s">
        <v>250</v>
      </c>
      <c r="J20" s="21"/>
      <c r="K20" s="21" t="s">
        <v>251</v>
      </c>
      <c r="L20" s="21" t="s">
        <v>252</v>
      </c>
      <c r="M20" s="21"/>
      <c r="N20" s="21"/>
      <c r="O20" s="21"/>
      <c r="P20" s="21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1"/>
      <c r="AF20" s="21"/>
      <c r="AG20" s="21"/>
      <c r="AH20" s="21"/>
      <c r="AI20" s="21"/>
      <c r="AJ20" s="21"/>
      <c r="AK20" s="25"/>
      <c r="AL20" s="24"/>
    </row>
    <row r="21" spans="1:38" x14ac:dyDescent="0.2">
      <c r="A21" s="5"/>
      <c r="AE21" s="28"/>
      <c r="AF21" s="28"/>
      <c r="AG21" s="28"/>
      <c r="AH21" s="28"/>
      <c r="AI21" s="28"/>
      <c r="AJ21" s="28"/>
      <c r="AL21" s="13"/>
    </row>
    <row r="22" spans="1:38" x14ac:dyDescent="0.2">
      <c r="A22" s="9">
        <v>50</v>
      </c>
      <c r="B22" s="9" t="s">
        <v>0</v>
      </c>
      <c r="C22" s="9"/>
      <c r="D22" s="9" t="s">
        <v>28</v>
      </c>
      <c r="E22" s="10"/>
      <c r="F22" s="9"/>
      <c r="G22" s="9"/>
      <c r="H22" s="9"/>
      <c r="I22" s="9" t="s">
        <v>250</v>
      </c>
      <c r="J22" s="9"/>
      <c r="K22" s="9" t="s">
        <v>251</v>
      </c>
      <c r="L22" s="9" t="s">
        <v>252</v>
      </c>
      <c r="M22" s="9"/>
      <c r="N22" s="9"/>
      <c r="O22" s="9"/>
      <c r="P22" s="9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9" t="s">
        <v>261</v>
      </c>
      <c r="AF22" s="9"/>
      <c r="AG22" s="9"/>
      <c r="AH22" s="9"/>
      <c r="AI22" s="9"/>
      <c r="AJ22" s="9"/>
      <c r="AK22" s="14"/>
      <c r="AL22" s="12"/>
    </row>
    <row r="23" spans="1:38" ht="26" x14ac:dyDescent="0.2">
      <c r="A23" s="9">
        <v>50</v>
      </c>
      <c r="B23" s="9"/>
      <c r="C23" s="9"/>
      <c r="D23" s="9" t="s">
        <v>30</v>
      </c>
      <c r="E23" s="12" t="s">
        <v>442</v>
      </c>
      <c r="F23" s="9" t="s">
        <v>205</v>
      </c>
      <c r="G23" s="9" t="s">
        <v>24</v>
      </c>
      <c r="H23" s="9"/>
      <c r="I23" s="9" t="s">
        <v>262</v>
      </c>
      <c r="J23" s="9"/>
      <c r="K23" s="9" t="s">
        <v>250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Y23" s="36" t="s">
        <v>414</v>
      </c>
      <c r="Z23" s="36" t="s">
        <v>414</v>
      </c>
      <c r="AA23" s="36" t="s">
        <v>414</v>
      </c>
      <c r="AE23" s="9"/>
      <c r="AF23" s="9"/>
      <c r="AG23" s="9"/>
      <c r="AH23" s="9"/>
      <c r="AI23" s="9"/>
      <c r="AJ23" s="9"/>
      <c r="AL23" s="12"/>
    </row>
    <row r="24" spans="1:38" x14ac:dyDescent="0.2">
      <c r="A24" s="9">
        <v>50</v>
      </c>
      <c r="B24" s="9"/>
      <c r="C24" s="9"/>
      <c r="D24" s="9" t="s">
        <v>94</v>
      </c>
      <c r="E24" s="12" t="s">
        <v>443</v>
      </c>
      <c r="F24" s="9" t="s">
        <v>96</v>
      </c>
      <c r="G24" s="9" t="str">
        <f>SUBSTITUTE(F24,"ＦＲＯＭ","")</f>
        <v>禁止日</v>
      </c>
      <c r="H24" s="9"/>
      <c r="I24" s="9" t="s">
        <v>263</v>
      </c>
      <c r="J24" s="9"/>
      <c r="K24" s="9" t="s">
        <v>264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Y24" s="9" t="s">
        <v>265</v>
      </c>
      <c r="Z24" s="9" t="s">
        <v>265</v>
      </c>
      <c r="AA24" s="9" t="s">
        <v>265</v>
      </c>
      <c r="AE24" s="9" t="s">
        <v>387</v>
      </c>
      <c r="AF24" s="9"/>
      <c r="AG24" s="9"/>
      <c r="AH24" s="9"/>
      <c r="AI24" s="9"/>
      <c r="AJ24" s="9"/>
      <c r="AL24" s="12"/>
    </row>
    <row r="25" spans="1:38" x14ac:dyDescent="0.2">
      <c r="A25" s="9">
        <v>50</v>
      </c>
      <c r="B25" s="9"/>
      <c r="C25" s="9"/>
      <c r="D25" s="9" t="str">
        <f>SUBSTITUTE(D24,"_fr","_to")</f>
        <v>stop_dt_to</v>
      </c>
      <c r="E25" s="12" t="s">
        <v>444</v>
      </c>
      <c r="F25" s="9" t="s">
        <v>97</v>
      </c>
      <c r="G25" s="9" t="s">
        <v>64</v>
      </c>
      <c r="H25" s="9"/>
      <c r="I25" s="9" t="s">
        <v>263</v>
      </c>
      <c r="J25" s="9"/>
      <c r="K25" s="9" t="s">
        <v>264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Y25" s="9" t="s">
        <v>265</v>
      </c>
      <c r="Z25" s="9" t="s">
        <v>265</v>
      </c>
      <c r="AA25" s="9" t="s">
        <v>265</v>
      </c>
      <c r="AE25" s="9" t="s">
        <v>388</v>
      </c>
      <c r="AF25" s="9"/>
      <c r="AG25" s="9"/>
      <c r="AH25" s="9"/>
      <c r="AI25" s="9"/>
      <c r="AJ25" s="9"/>
      <c r="AL25" s="12"/>
    </row>
    <row r="26" spans="1:38" x14ac:dyDescent="0.2">
      <c r="A26" s="9">
        <v>50</v>
      </c>
      <c r="B26" s="9"/>
      <c r="C26" s="9"/>
      <c r="D26" s="9" t="s">
        <v>95</v>
      </c>
      <c r="E26" s="12" t="s">
        <v>445</v>
      </c>
      <c r="F26" s="9" t="s">
        <v>98</v>
      </c>
      <c r="G26" s="9" t="str">
        <f>SUBSTITUTE(F26,"ＦＲＯＭ","")</f>
        <v>解除日</v>
      </c>
      <c r="H26" s="9"/>
      <c r="I26" s="9" t="s">
        <v>263</v>
      </c>
      <c r="J26" s="9"/>
      <c r="K26" s="9" t="s">
        <v>264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Y26" s="9" t="s">
        <v>265</v>
      </c>
      <c r="Z26" s="9" t="s">
        <v>265</v>
      </c>
      <c r="AA26" s="9" t="s">
        <v>265</v>
      </c>
      <c r="AE26" s="9" t="s">
        <v>389</v>
      </c>
      <c r="AF26" s="9"/>
      <c r="AG26" s="9"/>
      <c r="AH26" s="9"/>
      <c r="AI26" s="9"/>
      <c r="AJ26" s="9"/>
      <c r="AL26" s="12"/>
    </row>
    <row r="27" spans="1:38" x14ac:dyDescent="0.2">
      <c r="A27" s="9">
        <v>50</v>
      </c>
      <c r="B27" s="9"/>
      <c r="C27" s="9"/>
      <c r="D27" s="9" t="str">
        <f>SUBSTITUTE(D26,"_fr","_to")</f>
        <v>rel_dt_to</v>
      </c>
      <c r="E27" s="12" t="s">
        <v>446</v>
      </c>
      <c r="F27" s="9" t="s">
        <v>99</v>
      </c>
      <c r="G27" s="9" t="s">
        <v>63</v>
      </c>
      <c r="H27" s="9"/>
      <c r="I27" s="9" t="s">
        <v>263</v>
      </c>
      <c r="J27" s="9"/>
      <c r="K27" s="9" t="s">
        <v>264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Y27" s="9" t="s">
        <v>265</v>
      </c>
      <c r="Z27" s="9" t="s">
        <v>265</v>
      </c>
      <c r="AA27" s="9" t="s">
        <v>265</v>
      </c>
      <c r="AE27" s="9" t="s">
        <v>390</v>
      </c>
      <c r="AF27" s="9"/>
      <c r="AG27" s="9"/>
      <c r="AH27" s="9"/>
      <c r="AI27" s="9"/>
      <c r="AJ27" s="9"/>
      <c r="AL27" s="12"/>
    </row>
    <row r="28" spans="1:38" ht="52" x14ac:dyDescent="0.2">
      <c r="A28" s="35">
        <v>50</v>
      </c>
      <c r="B28" s="35"/>
      <c r="C28" s="35"/>
      <c r="D28" s="35" t="s">
        <v>188</v>
      </c>
      <c r="E28" s="35"/>
      <c r="F28" s="35"/>
      <c r="G28" s="35"/>
      <c r="H28" s="35"/>
      <c r="I28" s="35" t="s">
        <v>250</v>
      </c>
      <c r="J28" s="35"/>
      <c r="K28" s="35" t="s">
        <v>266</v>
      </c>
      <c r="L28" s="35" t="s">
        <v>267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 t="s">
        <v>268</v>
      </c>
      <c r="Z28" s="35" t="s">
        <v>268</v>
      </c>
      <c r="AA28" s="35" t="s">
        <v>268</v>
      </c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pans="1:38" x14ac:dyDescent="0.2">
      <c r="A29" s="35">
        <v>50</v>
      </c>
      <c r="B29" s="9"/>
      <c r="C29" s="9"/>
      <c r="D29" s="9" t="s">
        <v>189</v>
      </c>
      <c r="E29" s="12"/>
      <c r="F29" s="9"/>
      <c r="G29" s="9"/>
      <c r="H29" s="9"/>
      <c r="I29" s="9" t="s">
        <v>269</v>
      </c>
      <c r="J29" s="9"/>
      <c r="K29" s="9" t="s">
        <v>270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Y29" s="9" t="s">
        <v>265</v>
      </c>
      <c r="Z29" s="9" t="s">
        <v>265</v>
      </c>
      <c r="AA29" s="9" t="s">
        <v>265</v>
      </c>
      <c r="AE29" s="9" t="s">
        <v>271</v>
      </c>
      <c r="AF29" s="9"/>
      <c r="AG29" s="9"/>
      <c r="AH29" s="9"/>
      <c r="AI29" s="9"/>
      <c r="AJ29" s="9"/>
      <c r="AL29" s="12"/>
    </row>
    <row r="30" spans="1:38" ht="26" x14ac:dyDescent="0.2">
      <c r="A30" s="35">
        <v>50</v>
      </c>
      <c r="B30" s="9"/>
      <c r="C30" s="9"/>
      <c r="D30" s="9" t="s">
        <v>190</v>
      </c>
      <c r="E30" s="12"/>
      <c r="F30" s="9"/>
      <c r="G30" s="9"/>
      <c r="H30" s="9"/>
      <c r="I30" s="9" t="s">
        <v>269</v>
      </c>
      <c r="J30" s="9"/>
      <c r="K30" s="9" t="s">
        <v>270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Y30" s="9" t="s">
        <v>265</v>
      </c>
      <c r="Z30" s="9" t="s">
        <v>265</v>
      </c>
      <c r="AA30" s="9" t="s">
        <v>265</v>
      </c>
      <c r="AE30" s="9" t="s">
        <v>272</v>
      </c>
      <c r="AF30" s="9"/>
      <c r="AG30" s="9"/>
      <c r="AH30" s="9"/>
      <c r="AI30" s="9"/>
      <c r="AJ30" s="9"/>
      <c r="AL30" s="12"/>
    </row>
    <row r="31" spans="1:38" ht="26" x14ac:dyDescent="0.2">
      <c r="A31" s="35">
        <v>50</v>
      </c>
      <c r="B31" s="9"/>
      <c r="C31" s="9"/>
      <c r="D31" s="9" t="s">
        <v>201</v>
      </c>
      <c r="E31" s="12"/>
      <c r="F31" s="9"/>
      <c r="G31" s="9"/>
      <c r="H31" s="9"/>
      <c r="I31" s="9" t="s">
        <v>269</v>
      </c>
      <c r="J31" s="9"/>
      <c r="K31" s="9" t="s">
        <v>270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Y31" s="9" t="s">
        <v>265</v>
      </c>
      <c r="Z31" s="9" t="s">
        <v>265</v>
      </c>
      <c r="AA31" s="9" t="s">
        <v>265</v>
      </c>
      <c r="AE31" s="9" t="s">
        <v>273</v>
      </c>
      <c r="AF31" s="9"/>
      <c r="AG31" s="9"/>
      <c r="AH31" s="9"/>
      <c r="AI31" s="9"/>
      <c r="AJ31" s="9"/>
      <c r="AL31" s="12"/>
    </row>
    <row r="32" spans="1:38" ht="39" x14ac:dyDescent="0.2">
      <c r="A32" s="35">
        <v>50</v>
      </c>
      <c r="B32" s="35"/>
      <c r="C32" s="35"/>
      <c r="D32" s="35" t="s">
        <v>86</v>
      </c>
      <c r="E32" s="35"/>
      <c r="F32" s="35"/>
      <c r="G32" s="35"/>
      <c r="H32" s="35"/>
      <c r="I32" s="35" t="s">
        <v>250</v>
      </c>
      <c r="J32" s="35"/>
      <c r="K32" s="35" t="s">
        <v>266</v>
      </c>
      <c r="L32" s="35" t="s">
        <v>274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 t="s">
        <v>275</v>
      </c>
      <c r="Z32" s="35" t="s">
        <v>275</v>
      </c>
      <c r="AA32" s="35" t="s">
        <v>275</v>
      </c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1:38" ht="39" x14ac:dyDescent="0.2">
      <c r="A33" s="35">
        <v>50</v>
      </c>
      <c r="B33" s="9"/>
      <c r="C33" s="9"/>
      <c r="D33" s="9" t="s">
        <v>87</v>
      </c>
      <c r="E33" s="12" t="s">
        <v>447</v>
      </c>
      <c r="F33" s="9" t="s">
        <v>88</v>
      </c>
      <c r="G33" s="9"/>
      <c r="H33" s="9"/>
      <c r="I33" s="9" t="s">
        <v>269</v>
      </c>
      <c r="J33" s="9"/>
      <c r="K33" s="9" t="s">
        <v>270</v>
      </c>
      <c r="L33" s="9"/>
      <c r="M33" s="9"/>
      <c r="N33" s="9"/>
      <c r="O33" s="9"/>
      <c r="P33" s="9"/>
      <c r="Q33" s="9" t="s">
        <v>276</v>
      </c>
      <c r="R33" s="9"/>
      <c r="S33" s="9" t="s">
        <v>277</v>
      </c>
      <c r="T33" s="9"/>
      <c r="U33" s="9"/>
      <c r="V33" s="9" t="s">
        <v>278</v>
      </c>
      <c r="W33" s="9" t="s">
        <v>279</v>
      </c>
      <c r="Y33" s="9"/>
      <c r="Z33" s="9"/>
      <c r="AA33" s="9"/>
      <c r="AE33" s="9" t="s">
        <v>280</v>
      </c>
      <c r="AF33" s="9"/>
      <c r="AG33" s="9"/>
      <c r="AH33" s="9"/>
      <c r="AI33" s="9"/>
      <c r="AJ33" s="9"/>
      <c r="AL33" s="12"/>
    </row>
    <row r="34" spans="1:38" x14ac:dyDescent="0.2">
      <c r="A34" s="35">
        <v>50</v>
      </c>
      <c r="B34" s="9"/>
      <c r="C34" s="9"/>
      <c r="D34" s="9" t="s">
        <v>89</v>
      </c>
      <c r="E34" s="12" t="s">
        <v>448</v>
      </c>
      <c r="F34" s="9" t="s">
        <v>57</v>
      </c>
      <c r="G34" s="9"/>
      <c r="H34" s="9"/>
      <c r="I34" s="9" t="s">
        <v>269</v>
      </c>
      <c r="J34" s="9"/>
      <c r="K34" s="9" t="s">
        <v>270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Y34" s="9"/>
      <c r="Z34" s="9"/>
      <c r="AA34" s="9"/>
      <c r="AE34" s="9" t="s">
        <v>281</v>
      </c>
      <c r="AF34" s="9"/>
      <c r="AG34" s="9"/>
      <c r="AH34" s="9"/>
      <c r="AI34" s="9"/>
      <c r="AJ34" s="9"/>
      <c r="AL34" s="12"/>
    </row>
    <row r="35" spans="1:38" x14ac:dyDescent="0.2">
      <c r="A35" s="35">
        <v>50</v>
      </c>
      <c r="B35" s="9"/>
      <c r="C35" s="9"/>
      <c r="D35" s="9" t="s">
        <v>90</v>
      </c>
      <c r="E35" s="12" t="s">
        <v>449</v>
      </c>
      <c r="F35" s="9" t="s">
        <v>58</v>
      </c>
      <c r="G35" s="9"/>
      <c r="H35" s="9"/>
      <c r="I35" s="9" t="s">
        <v>269</v>
      </c>
      <c r="J35" s="9"/>
      <c r="K35" s="9" t="s">
        <v>270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/>
      <c r="Z35" s="9"/>
      <c r="AA35" s="9"/>
      <c r="AE35" s="9" t="s">
        <v>282</v>
      </c>
      <c r="AF35" s="9"/>
      <c r="AG35" s="9"/>
      <c r="AH35" s="9"/>
      <c r="AI35" s="9"/>
      <c r="AJ35" s="9"/>
      <c r="AL35" s="12"/>
    </row>
    <row r="36" spans="1:38" x14ac:dyDescent="0.2">
      <c r="A36" s="35">
        <v>50</v>
      </c>
      <c r="B36" s="9"/>
      <c r="C36" s="9"/>
      <c r="D36" s="9" t="s">
        <v>385</v>
      </c>
      <c r="E36" s="12" t="s">
        <v>450</v>
      </c>
      <c r="F36" s="9" t="s">
        <v>59</v>
      </c>
      <c r="G36" s="9"/>
      <c r="H36" s="9"/>
      <c r="I36" s="9" t="s">
        <v>269</v>
      </c>
      <c r="J36" s="9"/>
      <c r="K36" s="9" t="s">
        <v>270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Y36" s="9"/>
      <c r="Z36" s="9"/>
      <c r="AA36" s="9"/>
      <c r="AE36" s="9" t="s">
        <v>283</v>
      </c>
      <c r="AF36" s="9"/>
      <c r="AG36" s="9"/>
      <c r="AH36" s="9"/>
      <c r="AI36" s="9"/>
      <c r="AJ36" s="9"/>
      <c r="AL36" s="12"/>
    </row>
    <row r="37" spans="1:38" x14ac:dyDescent="0.2">
      <c r="A37" s="35">
        <v>50</v>
      </c>
      <c r="B37" s="9"/>
      <c r="C37" s="9"/>
      <c r="D37" s="9" t="s">
        <v>91</v>
      </c>
      <c r="E37" s="12" t="s">
        <v>451</v>
      </c>
      <c r="F37" s="9" t="s">
        <v>60</v>
      </c>
      <c r="G37" s="9"/>
      <c r="H37" s="9"/>
      <c r="I37" s="9" t="s">
        <v>269</v>
      </c>
      <c r="J37" s="9"/>
      <c r="K37" s="9" t="s">
        <v>270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Y37" s="9" t="s">
        <v>265</v>
      </c>
      <c r="Z37" s="9" t="s">
        <v>265</v>
      </c>
      <c r="AA37" s="9" t="s">
        <v>265</v>
      </c>
      <c r="AE37" s="9" t="s">
        <v>284</v>
      </c>
      <c r="AF37" s="9"/>
      <c r="AG37" s="9"/>
      <c r="AH37" s="9"/>
      <c r="AI37" s="9"/>
      <c r="AJ37" s="9"/>
      <c r="AL37" s="12"/>
    </row>
    <row r="38" spans="1:38" ht="65" x14ac:dyDescent="0.2">
      <c r="A38" s="9">
        <v>50</v>
      </c>
      <c r="B38" s="9"/>
      <c r="C38" s="9"/>
      <c r="D38" s="9" t="s">
        <v>215</v>
      </c>
      <c r="E38" s="12" t="s">
        <v>452</v>
      </c>
      <c r="F38" s="9" t="s">
        <v>61</v>
      </c>
      <c r="G38" s="9" t="s">
        <v>218</v>
      </c>
      <c r="H38" s="9"/>
      <c r="I38" s="9" t="s">
        <v>217</v>
      </c>
      <c r="J38" s="9"/>
      <c r="K38" s="9" t="s">
        <v>219</v>
      </c>
      <c r="L38" s="9"/>
      <c r="M38" s="9"/>
      <c r="N38" s="9"/>
      <c r="O38" s="9"/>
      <c r="P38" s="9"/>
      <c r="Q38" s="9" t="s">
        <v>221</v>
      </c>
      <c r="R38" s="9"/>
      <c r="S38" s="9"/>
      <c r="T38" s="9"/>
      <c r="U38" s="9"/>
      <c r="V38" s="9" t="s">
        <v>223</v>
      </c>
      <c r="W38" s="9" t="s">
        <v>223</v>
      </c>
      <c r="Y38" s="9" t="s">
        <v>265</v>
      </c>
      <c r="Z38" s="9" t="s">
        <v>265</v>
      </c>
      <c r="AA38" s="9" t="s">
        <v>265</v>
      </c>
      <c r="AE38" s="9" t="s">
        <v>215</v>
      </c>
      <c r="AF38" s="9"/>
      <c r="AG38" s="9"/>
      <c r="AH38" s="9"/>
      <c r="AI38" s="9"/>
      <c r="AJ38" s="9"/>
      <c r="AL38" s="12"/>
    </row>
    <row r="39" spans="1:38" ht="65" x14ac:dyDescent="0.2">
      <c r="A39" s="9">
        <v>50</v>
      </c>
      <c r="B39" s="9"/>
      <c r="C39" s="9"/>
      <c r="D39" s="9" t="s">
        <v>216</v>
      </c>
      <c r="E39" s="12" t="s">
        <v>453</v>
      </c>
      <c r="F39" s="9" t="s">
        <v>62</v>
      </c>
      <c r="G39" s="9"/>
      <c r="H39" s="9"/>
      <c r="I39" s="9" t="s">
        <v>285</v>
      </c>
      <c r="J39" s="9"/>
      <c r="K39" s="9" t="s">
        <v>220</v>
      </c>
      <c r="L39" s="9"/>
      <c r="M39" s="9"/>
      <c r="N39" s="9"/>
      <c r="O39" s="9"/>
      <c r="P39" s="9"/>
      <c r="Q39" s="9" t="s">
        <v>222</v>
      </c>
      <c r="R39" s="9"/>
      <c r="S39" s="9"/>
      <c r="T39" s="9"/>
      <c r="U39" s="9"/>
      <c r="V39" s="9" t="s">
        <v>224</v>
      </c>
      <c r="W39" s="9" t="s">
        <v>224</v>
      </c>
      <c r="Y39" s="9" t="s">
        <v>265</v>
      </c>
      <c r="Z39" s="9" t="s">
        <v>265</v>
      </c>
      <c r="AA39" s="9" t="s">
        <v>265</v>
      </c>
      <c r="AE39" s="9" t="s">
        <v>216</v>
      </c>
      <c r="AF39" s="9"/>
      <c r="AG39" s="9"/>
      <c r="AH39" s="9"/>
      <c r="AI39" s="9"/>
      <c r="AJ39" s="9"/>
      <c r="AL39" s="12"/>
    </row>
    <row r="40" spans="1:38" ht="26" x14ac:dyDescent="0.2">
      <c r="A40" s="9">
        <v>50</v>
      </c>
      <c r="B40" s="9"/>
      <c r="C40" s="9"/>
      <c r="D40" s="9" t="s">
        <v>100</v>
      </c>
      <c r="E40" s="12" t="s">
        <v>454</v>
      </c>
      <c r="F40" s="9" t="s">
        <v>105</v>
      </c>
      <c r="G40" s="9" t="s">
        <v>24</v>
      </c>
      <c r="H40" s="9"/>
      <c r="I40" s="9" t="s">
        <v>286</v>
      </c>
      <c r="J40" s="9"/>
      <c r="K40" s="9" t="s">
        <v>264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Y40" s="9" t="s">
        <v>265</v>
      </c>
      <c r="Z40" s="9" t="s">
        <v>265</v>
      </c>
      <c r="AA40" s="9" t="s">
        <v>265</v>
      </c>
      <c r="AE40" s="9" t="s">
        <v>391</v>
      </c>
      <c r="AF40" s="9"/>
      <c r="AG40" s="9"/>
      <c r="AH40" s="9"/>
      <c r="AI40" s="9"/>
      <c r="AJ40" s="9"/>
      <c r="AL40" s="12"/>
    </row>
    <row r="41" spans="1:38" ht="26" x14ac:dyDescent="0.2">
      <c r="A41" s="9">
        <v>50</v>
      </c>
      <c r="B41" s="9"/>
      <c r="C41" s="9"/>
      <c r="D41" s="9" t="s">
        <v>101</v>
      </c>
      <c r="E41" s="12" t="s">
        <v>455</v>
      </c>
      <c r="F41" s="9" t="s">
        <v>106</v>
      </c>
      <c r="G41" s="9" t="s">
        <v>24</v>
      </c>
      <c r="H41" s="9"/>
      <c r="I41" s="9" t="s">
        <v>287</v>
      </c>
      <c r="J41" s="9"/>
      <c r="K41" s="9" t="s">
        <v>264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Y41" s="9" t="s">
        <v>265</v>
      </c>
      <c r="Z41" s="9" t="s">
        <v>265</v>
      </c>
      <c r="AA41" s="9" t="s">
        <v>265</v>
      </c>
      <c r="AE41" s="9" t="s">
        <v>392</v>
      </c>
      <c r="AF41" s="9"/>
      <c r="AG41" s="9"/>
      <c r="AH41" s="9"/>
      <c r="AI41" s="9"/>
      <c r="AJ41" s="9"/>
      <c r="AL41" s="12"/>
    </row>
    <row r="42" spans="1:38" ht="26" x14ac:dyDescent="0.2">
      <c r="A42" s="9">
        <v>50</v>
      </c>
      <c r="B42" s="9"/>
      <c r="C42" s="9"/>
      <c r="D42" s="9" t="s">
        <v>102</v>
      </c>
      <c r="E42" s="12" t="s">
        <v>456</v>
      </c>
      <c r="F42" s="9" t="s">
        <v>107</v>
      </c>
      <c r="G42" s="9" t="s">
        <v>24</v>
      </c>
      <c r="H42" s="9"/>
      <c r="I42" s="9" t="s">
        <v>288</v>
      </c>
      <c r="J42" s="9"/>
      <c r="K42" s="9" t="s">
        <v>264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Y42" s="9" t="s">
        <v>265</v>
      </c>
      <c r="Z42" s="9" t="s">
        <v>265</v>
      </c>
      <c r="AA42" s="9" t="s">
        <v>265</v>
      </c>
      <c r="AE42" s="9" t="s">
        <v>393</v>
      </c>
      <c r="AF42" s="9"/>
      <c r="AG42" s="9"/>
      <c r="AH42" s="9"/>
      <c r="AI42" s="9"/>
      <c r="AJ42" s="9"/>
      <c r="AL42" s="12"/>
    </row>
    <row r="43" spans="1:38" ht="26" x14ac:dyDescent="0.2">
      <c r="A43" s="9">
        <v>50</v>
      </c>
      <c r="B43" s="9"/>
      <c r="C43" s="9"/>
      <c r="D43" s="9" t="s">
        <v>103</v>
      </c>
      <c r="E43" s="12" t="s">
        <v>457</v>
      </c>
      <c r="F43" s="9" t="s">
        <v>108</v>
      </c>
      <c r="G43" s="9" t="s">
        <v>24</v>
      </c>
      <c r="H43" s="9"/>
      <c r="I43" s="9" t="s">
        <v>289</v>
      </c>
      <c r="J43" s="9"/>
      <c r="K43" s="9" t="s">
        <v>264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Y43" s="9" t="s">
        <v>265</v>
      </c>
      <c r="Z43" s="9" t="s">
        <v>265</v>
      </c>
      <c r="AA43" s="9" t="s">
        <v>265</v>
      </c>
      <c r="AE43" s="9" t="s">
        <v>394</v>
      </c>
      <c r="AF43" s="9"/>
      <c r="AG43" s="9"/>
      <c r="AH43" s="9"/>
      <c r="AI43" s="9"/>
      <c r="AJ43" s="9"/>
      <c r="AL43" s="12"/>
    </row>
    <row r="44" spans="1:38" ht="26" x14ac:dyDescent="0.2">
      <c r="A44" s="9">
        <v>50</v>
      </c>
      <c r="B44" s="9"/>
      <c r="C44" s="9"/>
      <c r="D44" s="9" t="s">
        <v>104</v>
      </c>
      <c r="E44" s="12" t="s">
        <v>458</v>
      </c>
      <c r="F44" s="9" t="s">
        <v>109</v>
      </c>
      <c r="G44" s="9" t="s">
        <v>24</v>
      </c>
      <c r="H44" s="9"/>
      <c r="I44" s="9" t="s">
        <v>290</v>
      </c>
      <c r="J44" s="9"/>
      <c r="K44" s="9" t="s">
        <v>264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Y44" s="9" t="s">
        <v>265</v>
      </c>
      <c r="Z44" s="9" t="s">
        <v>265</v>
      </c>
      <c r="AA44" s="9" t="s">
        <v>265</v>
      </c>
      <c r="AE44" s="9" t="s">
        <v>395</v>
      </c>
      <c r="AF44" s="9"/>
      <c r="AG44" s="9"/>
      <c r="AH44" s="9"/>
      <c r="AI44" s="9"/>
      <c r="AJ44" s="9"/>
      <c r="AL44" s="12"/>
    </row>
    <row r="45" spans="1:38" ht="52" x14ac:dyDescent="0.2">
      <c r="A45" s="35">
        <v>50</v>
      </c>
      <c r="B45" s="35"/>
      <c r="C45" s="35"/>
      <c r="D45" s="35" t="s">
        <v>204</v>
      </c>
      <c r="E45" s="35"/>
      <c r="F45" s="35"/>
      <c r="G45" s="35"/>
      <c r="H45" s="35"/>
      <c r="I45" s="35" t="s">
        <v>250</v>
      </c>
      <c r="J45" s="35"/>
      <c r="K45" s="35" t="s">
        <v>266</v>
      </c>
      <c r="L45" s="35" t="s">
        <v>291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 t="s">
        <v>268</v>
      </c>
      <c r="Z45" s="35" t="s">
        <v>268</v>
      </c>
      <c r="AA45" s="35" t="s">
        <v>268</v>
      </c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26" x14ac:dyDescent="0.2">
      <c r="A46" s="35">
        <v>50</v>
      </c>
      <c r="B46" s="9"/>
      <c r="C46" s="9"/>
      <c r="D46" s="9" t="s">
        <v>181</v>
      </c>
      <c r="E46" s="12" t="s">
        <v>459</v>
      </c>
      <c r="F46" s="9" t="s">
        <v>182</v>
      </c>
      <c r="G46" s="9"/>
      <c r="H46" s="9"/>
      <c r="I46" s="9" t="s">
        <v>269</v>
      </c>
      <c r="J46" s="9"/>
      <c r="K46" s="9" t="s">
        <v>270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Y46" s="9"/>
      <c r="Z46" s="9"/>
      <c r="AA46" s="9"/>
      <c r="AE46" s="9"/>
      <c r="AF46" s="9"/>
      <c r="AG46" s="9"/>
      <c r="AH46" s="9"/>
      <c r="AI46" s="9"/>
      <c r="AJ46" s="9"/>
      <c r="AL46" s="12"/>
    </row>
    <row r="47" spans="1:38" x14ac:dyDescent="0.2">
      <c r="A47" s="35">
        <v>50</v>
      </c>
      <c r="B47" s="9"/>
      <c r="C47" s="9"/>
      <c r="D47" s="9" t="s">
        <v>140</v>
      </c>
      <c r="E47" s="12" t="s">
        <v>460</v>
      </c>
      <c r="F47" s="9" t="s">
        <v>111</v>
      </c>
      <c r="G47" s="9"/>
      <c r="H47" s="9"/>
      <c r="I47" s="9" t="s">
        <v>269</v>
      </c>
      <c r="J47" s="9"/>
      <c r="K47" s="9" t="s">
        <v>270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Y47" s="9"/>
      <c r="Z47" s="9"/>
      <c r="AA47" s="9"/>
      <c r="AE47" s="9" t="s">
        <v>292</v>
      </c>
      <c r="AF47" s="9"/>
      <c r="AG47" s="9"/>
      <c r="AH47" s="9"/>
      <c r="AI47" s="9"/>
      <c r="AJ47" s="9"/>
      <c r="AL47" s="12"/>
    </row>
    <row r="48" spans="1:38" x14ac:dyDescent="0.2">
      <c r="A48" s="35">
        <v>50</v>
      </c>
      <c r="B48" s="9"/>
      <c r="C48" s="9"/>
      <c r="D48" s="9" t="s">
        <v>141</v>
      </c>
      <c r="E48" s="12" t="s">
        <v>461</v>
      </c>
      <c r="F48" s="9" t="s">
        <v>112</v>
      </c>
      <c r="G48" s="9"/>
      <c r="H48" s="9"/>
      <c r="I48" s="9" t="s">
        <v>269</v>
      </c>
      <c r="J48" s="9"/>
      <c r="K48" s="9" t="s">
        <v>270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Y48" s="9"/>
      <c r="Z48" s="9"/>
      <c r="AA48" s="9"/>
      <c r="AE48" s="9" t="s">
        <v>293</v>
      </c>
      <c r="AF48" s="9"/>
      <c r="AG48" s="9"/>
      <c r="AH48" s="9"/>
      <c r="AI48" s="9"/>
      <c r="AJ48" s="9"/>
      <c r="AL48" s="12"/>
    </row>
    <row r="49" spans="1:38" ht="26" x14ac:dyDescent="0.2">
      <c r="A49" s="35">
        <v>50</v>
      </c>
      <c r="B49" s="9"/>
      <c r="C49" s="9"/>
      <c r="D49" s="9" t="s">
        <v>142</v>
      </c>
      <c r="E49" s="12" t="s">
        <v>462</v>
      </c>
      <c r="F49" s="9" t="s">
        <v>113</v>
      </c>
      <c r="G49" s="9"/>
      <c r="H49" s="9"/>
      <c r="I49" s="9" t="s">
        <v>269</v>
      </c>
      <c r="J49" s="9"/>
      <c r="K49" s="9" t="s">
        <v>270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Y49" s="9"/>
      <c r="Z49" s="9"/>
      <c r="AA49" s="9"/>
      <c r="AE49" s="9"/>
      <c r="AF49" s="9"/>
      <c r="AG49" s="9"/>
      <c r="AH49" s="9"/>
      <c r="AI49" s="9"/>
      <c r="AJ49" s="9"/>
      <c r="AL49" s="12"/>
    </row>
    <row r="50" spans="1:38" x14ac:dyDescent="0.2">
      <c r="A50" s="35">
        <v>50</v>
      </c>
      <c r="B50" s="9"/>
      <c r="C50" s="9"/>
      <c r="D50" s="9" t="s">
        <v>143</v>
      </c>
      <c r="E50" s="12" t="s">
        <v>463</v>
      </c>
      <c r="F50" s="9" t="s">
        <v>114</v>
      </c>
      <c r="G50" s="9"/>
      <c r="H50" s="9"/>
      <c r="I50" s="9" t="s">
        <v>269</v>
      </c>
      <c r="J50" s="9"/>
      <c r="K50" s="9" t="s">
        <v>270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Y50" s="9"/>
      <c r="Z50" s="9"/>
      <c r="AA50" s="9"/>
      <c r="AE50" s="9" t="s">
        <v>294</v>
      </c>
      <c r="AF50" s="9"/>
      <c r="AG50" s="9"/>
      <c r="AH50" s="9"/>
      <c r="AI50" s="9"/>
      <c r="AJ50" s="9"/>
      <c r="AL50" s="12"/>
    </row>
    <row r="51" spans="1:38" x14ac:dyDescent="0.2">
      <c r="A51" s="35">
        <v>50</v>
      </c>
      <c r="B51" s="9"/>
      <c r="C51" s="9"/>
      <c r="D51" s="9" t="s">
        <v>144</v>
      </c>
      <c r="E51" s="12" t="s">
        <v>464</v>
      </c>
      <c r="F51" s="9" t="s">
        <v>115</v>
      </c>
      <c r="G51" s="9"/>
      <c r="H51" s="9"/>
      <c r="I51" s="9" t="s">
        <v>269</v>
      </c>
      <c r="J51" s="9"/>
      <c r="K51" s="9" t="s">
        <v>270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Y51" s="9"/>
      <c r="Z51" s="9"/>
      <c r="AA51" s="9"/>
      <c r="AE51" s="9" t="s">
        <v>295</v>
      </c>
      <c r="AF51" s="9"/>
      <c r="AG51" s="9"/>
      <c r="AH51" s="9"/>
      <c r="AI51" s="9"/>
      <c r="AJ51" s="9"/>
      <c r="AL51" s="12"/>
    </row>
    <row r="52" spans="1:38" ht="26" x14ac:dyDescent="0.2">
      <c r="A52" s="35">
        <v>50</v>
      </c>
      <c r="B52" s="9"/>
      <c r="C52" s="9"/>
      <c r="D52" s="9" t="s">
        <v>145</v>
      </c>
      <c r="E52" s="12" t="s">
        <v>465</v>
      </c>
      <c r="F52" s="9" t="s">
        <v>116</v>
      </c>
      <c r="G52" s="9"/>
      <c r="H52" s="9"/>
      <c r="I52" s="9" t="s">
        <v>269</v>
      </c>
      <c r="J52" s="9"/>
      <c r="K52" s="9" t="s">
        <v>270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Y52" s="9"/>
      <c r="Z52" s="9"/>
      <c r="AA52" s="9"/>
      <c r="AE52" s="9"/>
      <c r="AF52" s="9"/>
      <c r="AG52" s="9"/>
      <c r="AH52" s="9"/>
      <c r="AI52" s="9"/>
      <c r="AJ52" s="9"/>
      <c r="AL52" s="12"/>
    </row>
    <row r="53" spans="1:38" x14ac:dyDescent="0.2">
      <c r="A53" s="35">
        <v>50</v>
      </c>
      <c r="B53" s="9"/>
      <c r="C53" s="9"/>
      <c r="D53" s="9" t="s">
        <v>146</v>
      </c>
      <c r="E53" s="12" t="s">
        <v>466</v>
      </c>
      <c r="F53" s="9" t="s">
        <v>117</v>
      </c>
      <c r="G53" s="9"/>
      <c r="H53" s="9"/>
      <c r="I53" s="9" t="s">
        <v>269</v>
      </c>
      <c r="J53" s="9"/>
      <c r="K53" s="9" t="s">
        <v>270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Y53" s="9"/>
      <c r="Z53" s="9"/>
      <c r="AA53" s="9"/>
      <c r="AE53" s="9" t="s">
        <v>296</v>
      </c>
      <c r="AF53" s="9"/>
      <c r="AG53" s="9"/>
      <c r="AH53" s="9"/>
      <c r="AI53" s="9"/>
      <c r="AJ53" s="9"/>
      <c r="AL53" s="12"/>
    </row>
    <row r="54" spans="1:38" x14ac:dyDescent="0.2">
      <c r="A54" s="35">
        <v>50</v>
      </c>
      <c r="B54" s="9"/>
      <c r="C54" s="9"/>
      <c r="D54" s="9" t="s">
        <v>147</v>
      </c>
      <c r="E54" s="12" t="s">
        <v>467</v>
      </c>
      <c r="F54" s="9" t="s">
        <v>118</v>
      </c>
      <c r="G54" s="9"/>
      <c r="H54" s="9"/>
      <c r="I54" s="9" t="s">
        <v>269</v>
      </c>
      <c r="J54" s="9"/>
      <c r="K54" s="9" t="s">
        <v>270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Y54" s="9"/>
      <c r="Z54" s="9"/>
      <c r="AA54" s="9"/>
      <c r="AE54" s="9" t="s">
        <v>297</v>
      </c>
      <c r="AF54" s="9"/>
      <c r="AG54" s="9"/>
      <c r="AH54" s="9"/>
      <c r="AI54" s="9"/>
      <c r="AJ54" s="9"/>
      <c r="AL54" s="12"/>
    </row>
    <row r="55" spans="1:38" ht="26" x14ac:dyDescent="0.2">
      <c r="A55" s="35">
        <v>50</v>
      </c>
      <c r="B55" s="9"/>
      <c r="C55" s="9"/>
      <c r="D55" s="9" t="s">
        <v>148</v>
      </c>
      <c r="E55" s="12" t="s">
        <v>468</v>
      </c>
      <c r="F55" s="9" t="s">
        <v>119</v>
      </c>
      <c r="G55" s="9"/>
      <c r="H55" s="9"/>
      <c r="I55" s="9" t="s">
        <v>269</v>
      </c>
      <c r="J55" s="9"/>
      <c r="K55" s="9" t="s">
        <v>270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Y55" s="9"/>
      <c r="Z55" s="9"/>
      <c r="AA55" s="9"/>
      <c r="AE55" s="9"/>
      <c r="AF55" s="9"/>
      <c r="AG55" s="9"/>
      <c r="AH55" s="9"/>
      <c r="AI55" s="9"/>
      <c r="AJ55" s="9"/>
      <c r="AL55" s="12"/>
    </row>
    <row r="56" spans="1:38" x14ac:dyDescent="0.2">
      <c r="A56" s="35">
        <v>50</v>
      </c>
      <c r="B56" s="9"/>
      <c r="C56" s="9"/>
      <c r="D56" s="9" t="s">
        <v>149</v>
      </c>
      <c r="E56" s="12" t="s">
        <v>469</v>
      </c>
      <c r="F56" s="9" t="s">
        <v>120</v>
      </c>
      <c r="G56" s="9"/>
      <c r="H56" s="9"/>
      <c r="I56" s="9" t="s">
        <v>269</v>
      </c>
      <c r="J56" s="9"/>
      <c r="K56" s="9" t="s">
        <v>270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Y56" s="9"/>
      <c r="Z56" s="9"/>
      <c r="AA56" s="9"/>
      <c r="AE56" s="9" t="s">
        <v>298</v>
      </c>
      <c r="AF56" s="9"/>
      <c r="AG56" s="9"/>
      <c r="AH56" s="9"/>
      <c r="AI56" s="9"/>
      <c r="AJ56" s="9"/>
      <c r="AL56" s="12"/>
    </row>
    <row r="57" spans="1:38" x14ac:dyDescent="0.2">
      <c r="A57" s="35">
        <v>50</v>
      </c>
      <c r="B57" s="9"/>
      <c r="C57" s="9"/>
      <c r="D57" s="9" t="s">
        <v>150</v>
      </c>
      <c r="E57" s="12" t="s">
        <v>470</v>
      </c>
      <c r="F57" s="9" t="s">
        <v>121</v>
      </c>
      <c r="G57" s="9"/>
      <c r="H57" s="9"/>
      <c r="I57" s="9" t="s">
        <v>269</v>
      </c>
      <c r="J57" s="9"/>
      <c r="K57" s="9" t="s">
        <v>270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Y57" s="9"/>
      <c r="Z57" s="9"/>
      <c r="AA57" s="9"/>
      <c r="AE57" s="9" t="s">
        <v>299</v>
      </c>
      <c r="AF57" s="9"/>
      <c r="AG57" s="9"/>
      <c r="AH57" s="9"/>
      <c r="AI57" s="9"/>
      <c r="AJ57" s="9"/>
      <c r="AL57" s="12"/>
    </row>
    <row r="58" spans="1:38" ht="26" x14ac:dyDescent="0.2">
      <c r="A58" s="35">
        <v>50</v>
      </c>
      <c r="B58" s="9"/>
      <c r="C58" s="9"/>
      <c r="D58" s="9" t="s">
        <v>151</v>
      </c>
      <c r="E58" s="12" t="s">
        <v>471</v>
      </c>
      <c r="F58" s="9" t="s">
        <v>122</v>
      </c>
      <c r="G58" s="9"/>
      <c r="H58" s="9"/>
      <c r="I58" s="9" t="s">
        <v>269</v>
      </c>
      <c r="J58" s="9"/>
      <c r="K58" s="9" t="s">
        <v>270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Y58" s="9"/>
      <c r="Z58" s="9"/>
      <c r="AA58" s="9"/>
      <c r="AE58" s="9"/>
      <c r="AF58" s="9"/>
      <c r="AG58" s="9"/>
      <c r="AH58" s="9"/>
      <c r="AI58" s="9"/>
      <c r="AJ58" s="9"/>
      <c r="AL58" s="12"/>
    </row>
    <row r="59" spans="1:38" x14ac:dyDescent="0.2">
      <c r="A59" s="35">
        <v>50</v>
      </c>
      <c r="B59" s="9"/>
      <c r="C59" s="9"/>
      <c r="D59" s="9" t="s">
        <v>152</v>
      </c>
      <c r="E59" s="12" t="s">
        <v>472</v>
      </c>
      <c r="F59" s="9" t="s">
        <v>123</v>
      </c>
      <c r="G59" s="9"/>
      <c r="H59" s="9"/>
      <c r="I59" s="9" t="s">
        <v>269</v>
      </c>
      <c r="J59" s="9"/>
      <c r="K59" s="9" t="s">
        <v>270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Y59" s="9"/>
      <c r="Z59" s="9"/>
      <c r="AA59" s="9"/>
      <c r="AE59" s="9" t="s">
        <v>300</v>
      </c>
      <c r="AF59" s="9"/>
      <c r="AG59" s="9"/>
      <c r="AH59" s="9"/>
      <c r="AI59" s="9"/>
      <c r="AJ59" s="9"/>
      <c r="AL59" s="12"/>
    </row>
    <row r="60" spans="1:38" x14ac:dyDescent="0.2">
      <c r="A60" s="35">
        <v>50</v>
      </c>
      <c r="B60" s="9"/>
      <c r="C60" s="9"/>
      <c r="D60" s="9" t="s">
        <v>153</v>
      </c>
      <c r="E60" s="12" t="s">
        <v>473</v>
      </c>
      <c r="F60" s="9" t="s">
        <v>124</v>
      </c>
      <c r="G60" s="9"/>
      <c r="H60" s="9"/>
      <c r="I60" s="9" t="s">
        <v>269</v>
      </c>
      <c r="J60" s="9"/>
      <c r="K60" s="9" t="s">
        <v>270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Y60" s="9"/>
      <c r="Z60" s="9"/>
      <c r="AA60" s="9"/>
      <c r="AE60" s="9" t="s">
        <v>301</v>
      </c>
      <c r="AF60" s="9"/>
      <c r="AG60" s="9"/>
      <c r="AH60" s="9"/>
      <c r="AI60" s="9"/>
      <c r="AJ60" s="9"/>
      <c r="AL60" s="12"/>
    </row>
    <row r="61" spans="1:38" ht="26" x14ac:dyDescent="0.2">
      <c r="A61" s="35">
        <v>50</v>
      </c>
      <c r="B61" s="9"/>
      <c r="C61" s="9"/>
      <c r="D61" s="9" t="s">
        <v>154</v>
      </c>
      <c r="E61" s="12" t="s">
        <v>474</v>
      </c>
      <c r="F61" s="9" t="s">
        <v>125</v>
      </c>
      <c r="G61" s="9"/>
      <c r="H61" s="9"/>
      <c r="I61" s="9" t="s">
        <v>269</v>
      </c>
      <c r="J61" s="9"/>
      <c r="K61" s="9" t="s">
        <v>270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Y61" s="9"/>
      <c r="Z61" s="9"/>
      <c r="AA61" s="9"/>
      <c r="AE61" s="9"/>
      <c r="AF61" s="9"/>
      <c r="AG61" s="9"/>
      <c r="AH61" s="9"/>
      <c r="AI61" s="9"/>
      <c r="AJ61" s="9"/>
      <c r="AL61" s="12"/>
    </row>
    <row r="62" spans="1:38" x14ac:dyDescent="0.2">
      <c r="A62" s="35">
        <v>50</v>
      </c>
      <c r="B62" s="9"/>
      <c r="C62" s="9"/>
      <c r="D62" s="9" t="s">
        <v>155</v>
      </c>
      <c r="E62" s="12" t="s">
        <v>475</v>
      </c>
      <c r="F62" s="9" t="s">
        <v>126</v>
      </c>
      <c r="G62" s="9"/>
      <c r="H62" s="9"/>
      <c r="I62" s="9" t="s">
        <v>269</v>
      </c>
      <c r="J62" s="9"/>
      <c r="K62" s="9" t="s">
        <v>270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Y62" s="9"/>
      <c r="Z62" s="9"/>
      <c r="AA62" s="9"/>
      <c r="AE62" s="9" t="s">
        <v>302</v>
      </c>
      <c r="AF62" s="9"/>
      <c r="AG62" s="9"/>
      <c r="AH62" s="9"/>
      <c r="AI62" s="9"/>
      <c r="AJ62" s="9"/>
      <c r="AL62" s="12"/>
    </row>
    <row r="63" spans="1:38" x14ac:dyDescent="0.2">
      <c r="A63" s="35">
        <v>50</v>
      </c>
      <c r="B63" s="9"/>
      <c r="C63" s="9"/>
      <c r="D63" s="9" t="s">
        <v>156</v>
      </c>
      <c r="E63" s="12" t="s">
        <v>476</v>
      </c>
      <c r="F63" s="9" t="s">
        <v>127</v>
      </c>
      <c r="G63" s="9"/>
      <c r="H63" s="9"/>
      <c r="I63" s="9" t="s">
        <v>269</v>
      </c>
      <c r="J63" s="9"/>
      <c r="K63" s="9" t="s">
        <v>270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Y63" s="9"/>
      <c r="Z63" s="9"/>
      <c r="AA63" s="9"/>
      <c r="AE63" s="9" t="s">
        <v>303</v>
      </c>
      <c r="AF63" s="9"/>
      <c r="AG63" s="9"/>
      <c r="AH63" s="9"/>
      <c r="AI63" s="9"/>
      <c r="AJ63" s="9"/>
      <c r="AL63" s="12"/>
    </row>
    <row r="64" spans="1:38" ht="26" x14ac:dyDescent="0.2">
      <c r="A64" s="35">
        <v>50</v>
      </c>
      <c r="B64" s="9"/>
      <c r="C64" s="9"/>
      <c r="D64" s="9" t="s">
        <v>157</v>
      </c>
      <c r="E64" s="12" t="s">
        <v>477</v>
      </c>
      <c r="F64" s="9" t="s">
        <v>128</v>
      </c>
      <c r="G64" s="9"/>
      <c r="H64" s="9"/>
      <c r="I64" s="9" t="s">
        <v>269</v>
      </c>
      <c r="J64" s="9"/>
      <c r="K64" s="9" t="s">
        <v>270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Y64" s="9"/>
      <c r="Z64" s="9"/>
      <c r="AA64" s="9"/>
      <c r="AE64" s="9"/>
      <c r="AF64" s="9"/>
      <c r="AG64" s="9"/>
      <c r="AH64" s="9"/>
      <c r="AI64" s="9"/>
      <c r="AJ64" s="9"/>
      <c r="AL64" s="12"/>
    </row>
    <row r="65" spans="1:38" x14ac:dyDescent="0.2">
      <c r="A65" s="35">
        <v>50</v>
      </c>
      <c r="B65" s="9"/>
      <c r="C65" s="9"/>
      <c r="D65" s="9" t="s">
        <v>158</v>
      </c>
      <c r="E65" s="12" t="s">
        <v>478</v>
      </c>
      <c r="F65" s="9" t="s">
        <v>129</v>
      </c>
      <c r="G65" s="9"/>
      <c r="H65" s="9"/>
      <c r="I65" s="9" t="s">
        <v>269</v>
      </c>
      <c r="J65" s="9"/>
      <c r="K65" s="9" t="s">
        <v>270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Y65" s="9"/>
      <c r="Z65" s="9"/>
      <c r="AA65" s="9"/>
      <c r="AE65" s="9" t="s">
        <v>304</v>
      </c>
      <c r="AF65" s="9"/>
      <c r="AG65" s="9"/>
      <c r="AH65" s="9"/>
      <c r="AI65" s="9"/>
      <c r="AJ65" s="9"/>
      <c r="AL65" s="12"/>
    </row>
    <row r="66" spans="1:38" x14ac:dyDescent="0.2">
      <c r="A66" s="35">
        <v>50</v>
      </c>
      <c r="B66" s="9"/>
      <c r="C66" s="9"/>
      <c r="D66" s="9" t="s">
        <v>159</v>
      </c>
      <c r="E66" s="12" t="s">
        <v>479</v>
      </c>
      <c r="F66" s="9" t="s">
        <v>130</v>
      </c>
      <c r="G66" s="9"/>
      <c r="H66" s="9"/>
      <c r="I66" s="9" t="s">
        <v>269</v>
      </c>
      <c r="J66" s="9"/>
      <c r="K66" s="9" t="s">
        <v>270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Y66" s="9"/>
      <c r="Z66" s="9"/>
      <c r="AA66" s="9"/>
      <c r="AE66" s="9" t="s">
        <v>305</v>
      </c>
      <c r="AF66" s="9"/>
      <c r="AG66" s="9"/>
      <c r="AH66" s="9"/>
      <c r="AI66" s="9"/>
      <c r="AJ66" s="9"/>
      <c r="AL66" s="12"/>
    </row>
    <row r="67" spans="1:38" ht="26" x14ac:dyDescent="0.2">
      <c r="A67" s="35">
        <v>50</v>
      </c>
      <c r="B67" s="9"/>
      <c r="C67" s="9"/>
      <c r="D67" s="9" t="s">
        <v>160</v>
      </c>
      <c r="E67" s="12" t="s">
        <v>480</v>
      </c>
      <c r="F67" s="9" t="s">
        <v>131</v>
      </c>
      <c r="G67" s="9"/>
      <c r="H67" s="9"/>
      <c r="I67" s="9" t="s">
        <v>269</v>
      </c>
      <c r="J67" s="9"/>
      <c r="K67" s="9" t="s">
        <v>270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Y67" s="9"/>
      <c r="Z67" s="9"/>
      <c r="AA67" s="9"/>
      <c r="AE67" s="9"/>
      <c r="AF67" s="9"/>
      <c r="AG67" s="9"/>
      <c r="AH67" s="9"/>
      <c r="AI67" s="9"/>
      <c r="AJ67" s="9"/>
      <c r="AL67" s="12"/>
    </row>
    <row r="68" spans="1:38" x14ac:dyDescent="0.2">
      <c r="A68" s="35">
        <v>50</v>
      </c>
      <c r="B68" s="9"/>
      <c r="C68" s="9"/>
      <c r="D68" s="9" t="s">
        <v>161</v>
      </c>
      <c r="E68" s="12" t="s">
        <v>481</v>
      </c>
      <c r="F68" s="9" t="s">
        <v>132</v>
      </c>
      <c r="G68" s="9"/>
      <c r="H68" s="9"/>
      <c r="I68" s="9" t="s">
        <v>269</v>
      </c>
      <c r="J68" s="9"/>
      <c r="K68" s="9" t="s">
        <v>270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Y68" s="9"/>
      <c r="Z68" s="9"/>
      <c r="AA68" s="9"/>
      <c r="AE68" s="9" t="s">
        <v>306</v>
      </c>
      <c r="AF68" s="9"/>
      <c r="AG68" s="9"/>
      <c r="AH68" s="9"/>
      <c r="AI68" s="9"/>
      <c r="AJ68" s="9"/>
      <c r="AL68" s="12"/>
    </row>
    <row r="69" spans="1:38" x14ac:dyDescent="0.2">
      <c r="A69" s="35">
        <v>50</v>
      </c>
      <c r="B69" s="9"/>
      <c r="C69" s="9"/>
      <c r="D69" s="9" t="s">
        <v>162</v>
      </c>
      <c r="E69" s="12" t="s">
        <v>482</v>
      </c>
      <c r="F69" s="9" t="s">
        <v>133</v>
      </c>
      <c r="G69" s="9"/>
      <c r="H69" s="9"/>
      <c r="I69" s="9" t="s">
        <v>269</v>
      </c>
      <c r="J69" s="9"/>
      <c r="K69" s="9" t="s">
        <v>270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Y69" s="9"/>
      <c r="Z69" s="9"/>
      <c r="AA69" s="9"/>
      <c r="AE69" s="9" t="s">
        <v>307</v>
      </c>
      <c r="AF69" s="9"/>
      <c r="AG69" s="9"/>
      <c r="AH69" s="9"/>
      <c r="AI69" s="9"/>
      <c r="AJ69" s="9"/>
      <c r="AL69" s="12"/>
    </row>
    <row r="70" spans="1:38" ht="26" x14ac:dyDescent="0.2">
      <c r="A70" s="35">
        <v>50</v>
      </c>
      <c r="B70" s="9"/>
      <c r="C70" s="9"/>
      <c r="D70" s="9" t="s">
        <v>163</v>
      </c>
      <c r="E70" s="12" t="s">
        <v>483</v>
      </c>
      <c r="F70" s="9" t="s">
        <v>134</v>
      </c>
      <c r="G70" s="9"/>
      <c r="H70" s="9"/>
      <c r="I70" s="9" t="s">
        <v>269</v>
      </c>
      <c r="J70" s="9"/>
      <c r="K70" s="9" t="s">
        <v>270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Y70" s="9"/>
      <c r="Z70" s="9"/>
      <c r="AA70" s="9"/>
      <c r="AE70" s="9"/>
      <c r="AF70" s="9"/>
      <c r="AG70" s="9"/>
      <c r="AH70" s="9"/>
      <c r="AI70" s="9"/>
      <c r="AJ70" s="9"/>
      <c r="AL70" s="12"/>
    </row>
    <row r="71" spans="1:38" x14ac:dyDescent="0.2">
      <c r="A71" s="35">
        <v>50</v>
      </c>
      <c r="B71" s="9"/>
      <c r="C71" s="9"/>
      <c r="D71" s="9" t="s">
        <v>164</v>
      </c>
      <c r="E71" s="12" t="s">
        <v>484</v>
      </c>
      <c r="F71" s="9" t="s">
        <v>135</v>
      </c>
      <c r="G71" s="9"/>
      <c r="H71" s="9"/>
      <c r="I71" s="9" t="s">
        <v>269</v>
      </c>
      <c r="J71" s="9"/>
      <c r="K71" s="9" t="s">
        <v>270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Y71" s="9"/>
      <c r="Z71" s="9"/>
      <c r="AA71" s="9"/>
      <c r="AE71" s="9" t="s">
        <v>308</v>
      </c>
      <c r="AF71" s="9"/>
      <c r="AG71" s="9"/>
      <c r="AH71" s="9"/>
      <c r="AI71" s="9"/>
      <c r="AJ71" s="9"/>
      <c r="AL71" s="12"/>
    </row>
    <row r="72" spans="1:38" x14ac:dyDescent="0.2">
      <c r="A72" s="35">
        <v>50</v>
      </c>
      <c r="B72" s="9"/>
      <c r="C72" s="9"/>
      <c r="D72" s="9" t="s">
        <v>165</v>
      </c>
      <c r="E72" s="12" t="s">
        <v>485</v>
      </c>
      <c r="F72" s="9" t="s">
        <v>136</v>
      </c>
      <c r="G72" s="9"/>
      <c r="H72" s="9"/>
      <c r="I72" s="9" t="s">
        <v>269</v>
      </c>
      <c r="J72" s="9"/>
      <c r="K72" s="9" t="s">
        <v>270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Y72" s="9"/>
      <c r="Z72" s="9"/>
      <c r="AA72" s="9"/>
      <c r="AE72" s="9" t="s">
        <v>309</v>
      </c>
      <c r="AF72" s="9"/>
      <c r="AG72" s="9"/>
      <c r="AH72" s="9"/>
      <c r="AI72" s="9"/>
      <c r="AJ72" s="9"/>
      <c r="AL72" s="12"/>
    </row>
    <row r="73" spans="1:38" ht="26" x14ac:dyDescent="0.2">
      <c r="A73" s="35">
        <v>50</v>
      </c>
      <c r="B73" s="9"/>
      <c r="C73" s="9"/>
      <c r="D73" s="9" t="s">
        <v>166</v>
      </c>
      <c r="E73" s="12" t="s">
        <v>486</v>
      </c>
      <c r="F73" s="9" t="s">
        <v>137</v>
      </c>
      <c r="G73" s="9"/>
      <c r="H73" s="9"/>
      <c r="I73" s="9" t="s">
        <v>269</v>
      </c>
      <c r="J73" s="9"/>
      <c r="K73" s="9" t="s">
        <v>270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Y73" s="9"/>
      <c r="Z73" s="9"/>
      <c r="AA73" s="9"/>
      <c r="AE73" s="9"/>
      <c r="AF73" s="9"/>
      <c r="AG73" s="9"/>
      <c r="AH73" s="9"/>
      <c r="AI73" s="9"/>
      <c r="AJ73" s="9"/>
      <c r="AL73" s="12"/>
    </row>
    <row r="74" spans="1:38" ht="26" x14ac:dyDescent="0.2">
      <c r="A74" s="35">
        <v>50</v>
      </c>
      <c r="B74" s="9"/>
      <c r="C74" s="9"/>
      <c r="D74" s="9" t="s">
        <v>167</v>
      </c>
      <c r="E74" s="12" t="s">
        <v>487</v>
      </c>
      <c r="F74" s="9" t="s">
        <v>138</v>
      </c>
      <c r="G74" s="9"/>
      <c r="H74" s="9"/>
      <c r="I74" s="9" t="s">
        <v>269</v>
      </c>
      <c r="J74" s="9"/>
      <c r="K74" s="9" t="s">
        <v>270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Y74" s="9"/>
      <c r="Z74" s="9"/>
      <c r="AA74" s="9"/>
      <c r="AE74" s="9" t="s">
        <v>310</v>
      </c>
      <c r="AF74" s="9"/>
      <c r="AG74" s="9"/>
      <c r="AH74" s="9"/>
      <c r="AI74" s="9"/>
      <c r="AJ74" s="9"/>
      <c r="AL74" s="12"/>
    </row>
    <row r="75" spans="1:38" ht="26" x14ac:dyDescent="0.2">
      <c r="A75" s="35">
        <v>50</v>
      </c>
      <c r="B75" s="9"/>
      <c r="C75" s="9"/>
      <c r="D75" s="9" t="s">
        <v>168</v>
      </c>
      <c r="E75" s="12" t="s">
        <v>488</v>
      </c>
      <c r="F75" s="9" t="s">
        <v>139</v>
      </c>
      <c r="G75" s="9"/>
      <c r="H75" s="9"/>
      <c r="I75" s="9" t="s">
        <v>269</v>
      </c>
      <c r="J75" s="9"/>
      <c r="K75" s="9" t="s">
        <v>270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Y75" s="9"/>
      <c r="Z75" s="9"/>
      <c r="AA75" s="9"/>
      <c r="AE75" s="9" t="s">
        <v>311</v>
      </c>
      <c r="AF75" s="9"/>
      <c r="AG75" s="9"/>
      <c r="AH75" s="9"/>
      <c r="AI75" s="9"/>
      <c r="AJ75" s="9"/>
      <c r="AL75" s="12"/>
    </row>
    <row r="76" spans="1:38" ht="39" x14ac:dyDescent="0.2">
      <c r="A76" s="5"/>
      <c r="AE76" s="28" t="s">
        <v>517</v>
      </c>
      <c r="AF76" s="28" t="s">
        <v>518</v>
      </c>
      <c r="AG76" s="28" t="s">
        <v>517</v>
      </c>
      <c r="AH76" s="28" t="s">
        <v>518</v>
      </c>
      <c r="AI76" s="28" t="s">
        <v>517</v>
      </c>
      <c r="AJ76" s="28" t="s">
        <v>518</v>
      </c>
      <c r="AL76" s="13"/>
    </row>
    <row r="77" spans="1:38" x14ac:dyDescent="0.2">
      <c r="A77" s="21">
        <v>60</v>
      </c>
      <c r="B77" s="21" t="s">
        <v>0</v>
      </c>
      <c r="C77" s="21"/>
      <c r="D77" s="21" t="s">
        <v>29</v>
      </c>
      <c r="E77" s="22"/>
      <c r="F77" s="21"/>
      <c r="G77" s="21"/>
      <c r="H77" s="21"/>
      <c r="I77" s="21" t="s">
        <v>250</v>
      </c>
      <c r="J77" s="21"/>
      <c r="K77" s="21" t="s">
        <v>251</v>
      </c>
      <c r="L77" s="21" t="s">
        <v>252</v>
      </c>
      <c r="M77" s="21"/>
      <c r="N77" s="21"/>
      <c r="O77" s="21"/>
      <c r="P77" s="21"/>
      <c r="Q77" s="26"/>
      <c r="R77" s="25"/>
      <c r="S77" s="26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1"/>
      <c r="AF77" s="21"/>
      <c r="AG77" s="21"/>
      <c r="AH77" s="21"/>
      <c r="AI77" s="21"/>
      <c r="AJ77" s="21"/>
      <c r="AK77" s="25"/>
      <c r="AL77" s="24"/>
    </row>
    <row r="78" spans="1:38" ht="39" x14ac:dyDescent="0.2">
      <c r="A78" s="5"/>
      <c r="AE78" s="28" t="s">
        <v>517</v>
      </c>
      <c r="AF78" s="28" t="s">
        <v>518</v>
      </c>
      <c r="AG78" s="28" t="s">
        <v>517</v>
      </c>
      <c r="AH78" s="28" t="s">
        <v>518</v>
      </c>
      <c r="AI78" s="28" t="s">
        <v>517</v>
      </c>
      <c r="AJ78" s="28" t="s">
        <v>518</v>
      </c>
      <c r="AL78" s="13"/>
    </row>
    <row r="79" spans="1:38" x14ac:dyDescent="0.2">
      <c r="A79" s="21">
        <v>70</v>
      </c>
      <c r="B79" s="21" t="s">
        <v>0</v>
      </c>
      <c r="C79" s="21"/>
      <c r="D79" s="21" t="s">
        <v>31</v>
      </c>
      <c r="E79" s="22"/>
      <c r="F79" s="21"/>
      <c r="G79" s="21"/>
      <c r="H79" s="21"/>
      <c r="I79" s="21" t="s">
        <v>250</v>
      </c>
      <c r="J79" s="21"/>
      <c r="K79" s="21" t="s">
        <v>251</v>
      </c>
      <c r="L79" s="21"/>
      <c r="M79" s="21" t="s">
        <v>312</v>
      </c>
      <c r="N79" s="21">
        <v>700</v>
      </c>
      <c r="O79" s="21"/>
      <c r="P79" s="21"/>
      <c r="Q79" s="26"/>
      <c r="R79" s="25"/>
      <c r="S79" s="26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1"/>
      <c r="AF79" s="21"/>
      <c r="AG79" s="21"/>
      <c r="AH79" s="21"/>
      <c r="AI79" s="21"/>
      <c r="AJ79" s="21"/>
      <c r="AK79" s="25"/>
      <c r="AL79" s="24"/>
    </row>
    <row r="80" spans="1:38" ht="39" x14ac:dyDescent="0.2">
      <c r="A80" s="5"/>
      <c r="AE80" s="28" t="s">
        <v>517</v>
      </c>
      <c r="AF80" s="28" t="s">
        <v>518</v>
      </c>
      <c r="AG80" s="28" t="s">
        <v>517</v>
      </c>
      <c r="AH80" s="28" t="s">
        <v>518</v>
      </c>
      <c r="AI80" s="28" t="s">
        <v>517</v>
      </c>
      <c r="AJ80" s="28" t="s">
        <v>518</v>
      </c>
      <c r="AL80" s="13"/>
    </row>
    <row r="81" spans="1:38" x14ac:dyDescent="0.2">
      <c r="A81" s="9">
        <v>80</v>
      </c>
      <c r="B81" s="9" t="s">
        <v>0</v>
      </c>
      <c r="C81" s="9"/>
      <c r="D81" s="9" t="s">
        <v>32</v>
      </c>
      <c r="E81" s="10"/>
      <c r="F81" s="9"/>
      <c r="G81" s="9"/>
      <c r="H81" s="9"/>
      <c r="I81" s="9" t="s">
        <v>250</v>
      </c>
      <c r="J81" s="9"/>
      <c r="K81" s="9" t="s">
        <v>251</v>
      </c>
      <c r="L81" s="9"/>
      <c r="M81" s="9" t="s">
        <v>313</v>
      </c>
      <c r="N81" s="9" t="s">
        <v>314</v>
      </c>
      <c r="O81" s="9"/>
      <c r="P81" s="9"/>
      <c r="Q81" s="15"/>
      <c r="R81" s="14"/>
      <c r="S81" s="15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9"/>
      <c r="AF81" s="9"/>
      <c r="AG81" s="9"/>
      <c r="AH81" s="9"/>
      <c r="AI81" s="9"/>
      <c r="AJ81" s="9"/>
      <c r="AK81" s="14"/>
      <c r="AL81" s="12"/>
    </row>
    <row r="82" spans="1:38" ht="26" x14ac:dyDescent="0.2">
      <c r="A82" s="9">
        <v>80</v>
      </c>
      <c r="B82" s="9"/>
      <c r="C82" s="9"/>
      <c r="D82" s="9" t="s">
        <v>17</v>
      </c>
      <c r="E82" s="12" t="s">
        <v>440</v>
      </c>
      <c r="F82" s="9" t="s">
        <v>55</v>
      </c>
      <c r="G82" s="9" t="s">
        <v>56</v>
      </c>
      <c r="H82" s="9"/>
      <c r="I82" s="9" t="s">
        <v>315</v>
      </c>
      <c r="J82" s="9"/>
      <c r="K82" s="9" t="s">
        <v>316</v>
      </c>
      <c r="L82" s="9"/>
      <c r="M82" s="9" t="s">
        <v>314</v>
      </c>
      <c r="N82" s="9"/>
      <c r="O82" s="9"/>
      <c r="P82" s="9"/>
      <c r="Q82" s="9" t="s">
        <v>178</v>
      </c>
      <c r="R82" s="9"/>
      <c r="S82" s="9"/>
      <c r="T82" s="9" t="s">
        <v>317</v>
      </c>
      <c r="U82" s="9"/>
      <c r="V82" s="9"/>
      <c r="W82" s="9"/>
      <c r="Y82" s="9"/>
      <c r="Z82" s="9"/>
      <c r="AA82" s="9" t="s">
        <v>318</v>
      </c>
      <c r="AE82" s="9"/>
      <c r="AF82" s="9"/>
      <c r="AG82" s="9"/>
      <c r="AH82" s="9"/>
      <c r="AI82" s="9"/>
      <c r="AJ82" s="9"/>
      <c r="AL82" s="12"/>
    </row>
    <row r="83" spans="1:38" ht="39" x14ac:dyDescent="0.2">
      <c r="A83" s="5"/>
      <c r="AE83" s="28" t="s">
        <v>517</v>
      </c>
      <c r="AF83" s="28" t="s">
        <v>518</v>
      </c>
      <c r="AG83" s="28" t="s">
        <v>517</v>
      </c>
      <c r="AH83" s="28" t="s">
        <v>518</v>
      </c>
      <c r="AI83" s="28" t="s">
        <v>517</v>
      </c>
      <c r="AJ83" s="28" t="s">
        <v>518</v>
      </c>
      <c r="AL83" s="13"/>
    </row>
    <row r="84" spans="1:38" x14ac:dyDescent="0.2">
      <c r="A84" s="9">
        <v>90</v>
      </c>
      <c r="B84" s="9" t="s">
        <v>0</v>
      </c>
      <c r="C84" s="9"/>
      <c r="D84" s="9" t="s">
        <v>186</v>
      </c>
      <c r="E84" s="10"/>
      <c r="F84" s="9"/>
      <c r="G84" s="9"/>
      <c r="H84" s="9"/>
      <c r="I84" s="9" t="s">
        <v>254</v>
      </c>
      <c r="J84" s="9"/>
      <c r="K84" s="9" t="s">
        <v>319</v>
      </c>
      <c r="L84" s="9"/>
      <c r="M84" s="9" t="s">
        <v>262</v>
      </c>
      <c r="N84" s="9"/>
      <c r="O84" s="9"/>
      <c r="P84" s="9"/>
      <c r="Q84" s="15"/>
      <c r="R84" s="14"/>
      <c r="S84" s="15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9"/>
      <c r="AF84" s="9" t="s">
        <v>320</v>
      </c>
      <c r="AG84" s="9" t="s">
        <v>321</v>
      </c>
      <c r="AH84" s="9"/>
      <c r="AI84" s="9" t="s">
        <v>322</v>
      </c>
      <c r="AJ84" s="9"/>
      <c r="AK84" s="14"/>
      <c r="AL84" s="12"/>
    </row>
    <row r="85" spans="1:38" x14ac:dyDescent="0.2">
      <c r="A85" s="9">
        <v>90</v>
      </c>
      <c r="B85" s="9"/>
      <c r="C85" s="9"/>
      <c r="D85" s="9" t="s">
        <v>33</v>
      </c>
      <c r="E85" s="12" t="s">
        <v>489</v>
      </c>
      <c r="F85" s="9" t="s">
        <v>34</v>
      </c>
      <c r="G85" s="9" t="s">
        <v>24</v>
      </c>
      <c r="H85" s="9"/>
      <c r="I85" s="9" t="s">
        <v>323</v>
      </c>
      <c r="J85" s="9"/>
      <c r="K85" s="9" t="s">
        <v>324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Y85" s="9" t="s">
        <v>250</v>
      </c>
      <c r="Z85" s="9" t="s">
        <v>325</v>
      </c>
      <c r="AA85" s="9" t="s">
        <v>250</v>
      </c>
      <c r="AE85" s="9"/>
      <c r="AF85" s="9"/>
      <c r="AG85" s="9"/>
      <c r="AH85" s="9"/>
      <c r="AI85" s="9"/>
      <c r="AJ85" s="9"/>
      <c r="AL85" s="12"/>
    </row>
    <row r="86" spans="1:38" x14ac:dyDescent="0.2">
      <c r="A86" s="9">
        <v>90</v>
      </c>
      <c r="B86" s="9"/>
      <c r="C86" s="9"/>
      <c r="D86" s="9" t="s">
        <v>82</v>
      </c>
      <c r="E86" s="1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Y86" s="9"/>
      <c r="Z86" s="9"/>
      <c r="AA86" s="9"/>
      <c r="AE86" s="9"/>
      <c r="AF86" s="9"/>
      <c r="AG86" s="9"/>
      <c r="AH86" s="9"/>
      <c r="AI86" s="9"/>
      <c r="AJ86" s="9"/>
      <c r="AL86" s="12"/>
    </row>
    <row r="87" spans="1:38" ht="39" x14ac:dyDescent="0.2">
      <c r="A87" s="35">
        <v>90</v>
      </c>
      <c r="B87" s="35"/>
      <c r="C87" s="35"/>
      <c r="D87" s="35" t="s">
        <v>86</v>
      </c>
      <c r="E87" s="35"/>
      <c r="F87" s="35"/>
      <c r="G87" s="35"/>
      <c r="H87" s="35"/>
      <c r="I87" s="35" t="s">
        <v>250</v>
      </c>
      <c r="J87" s="35"/>
      <c r="K87" s="35" t="s">
        <v>326</v>
      </c>
      <c r="L87" s="35" t="s">
        <v>327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 t="s">
        <v>328</v>
      </c>
      <c r="Z87" s="35" t="s">
        <v>329</v>
      </c>
      <c r="AA87" s="35" t="s">
        <v>329</v>
      </c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</row>
    <row r="88" spans="1:38" ht="52" x14ac:dyDescent="0.2">
      <c r="A88" s="35">
        <v>90</v>
      </c>
      <c r="B88" s="9"/>
      <c r="C88" s="9"/>
      <c r="D88" s="9" t="s">
        <v>87</v>
      </c>
      <c r="E88" s="12"/>
      <c r="F88" s="9"/>
      <c r="G88" s="9"/>
      <c r="H88" s="9"/>
      <c r="I88" s="9" t="s">
        <v>269</v>
      </c>
      <c r="J88" s="9"/>
      <c r="K88" s="9" t="s">
        <v>270</v>
      </c>
      <c r="L88" s="9"/>
      <c r="M88" s="9"/>
      <c r="N88" s="9"/>
      <c r="O88" s="9" t="s">
        <v>5</v>
      </c>
      <c r="P88" s="9"/>
      <c r="Q88" s="9" t="s">
        <v>276</v>
      </c>
      <c r="R88" s="9"/>
      <c r="S88" s="9" t="s">
        <v>330</v>
      </c>
      <c r="T88" s="9"/>
      <c r="U88" s="9" t="s">
        <v>330</v>
      </c>
      <c r="V88" s="9" t="s">
        <v>278</v>
      </c>
      <c r="W88" s="9" t="s">
        <v>279</v>
      </c>
      <c r="Y88" s="9"/>
      <c r="Z88" s="9"/>
      <c r="AA88" s="9"/>
      <c r="AE88" s="9"/>
      <c r="AF88" s="9" t="s">
        <v>280</v>
      </c>
      <c r="AG88" s="9" t="s">
        <v>280</v>
      </c>
      <c r="AH88" s="9"/>
      <c r="AI88" s="9" t="s">
        <v>280</v>
      </c>
      <c r="AJ88" s="9"/>
      <c r="AL88" s="12"/>
    </row>
    <row r="89" spans="1:38" ht="52" x14ac:dyDescent="0.2">
      <c r="A89" s="35">
        <v>90</v>
      </c>
      <c r="B89" s="9"/>
      <c r="C89" s="9"/>
      <c r="D89" s="9" t="s">
        <v>89</v>
      </c>
      <c r="E89" s="12"/>
      <c r="F89" s="9"/>
      <c r="G89" s="9"/>
      <c r="H89" s="9"/>
      <c r="I89" s="9" t="s">
        <v>269</v>
      </c>
      <c r="J89" s="9"/>
      <c r="K89" s="9" t="s">
        <v>270</v>
      </c>
      <c r="L89" s="9"/>
      <c r="M89" s="9"/>
      <c r="N89" s="9"/>
      <c r="O89" s="9" t="s">
        <v>5</v>
      </c>
      <c r="P89" s="9"/>
      <c r="Q89" s="9" t="s">
        <v>331</v>
      </c>
      <c r="R89" s="9"/>
      <c r="S89" s="9" t="s">
        <v>332</v>
      </c>
      <c r="T89" s="9"/>
      <c r="U89" s="9" t="s">
        <v>332</v>
      </c>
      <c r="V89" s="9" t="s">
        <v>333</v>
      </c>
      <c r="W89" s="9" t="s">
        <v>334</v>
      </c>
      <c r="Y89" s="9"/>
      <c r="Z89" s="9"/>
      <c r="AA89" s="9"/>
      <c r="AE89" s="9"/>
      <c r="AF89" s="9" t="s">
        <v>281</v>
      </c>
      <c r="AG89" s="9" t="s">
        <v>281</v>
      </c>
      <c r="AH89" s="9"/>
      <c r="AI89" s="9" t="s">
        <v>281</v>
      </c>
      <c r="AJ89" s="9"/>
      <c r="AL89" s="12"/>
    </row>
    <row r="90" spans="1:38" ht="65" x14ac:dyDescent="0.2">
      <c r="A90" s="35">
        <v>90</v>
      </c>
      <c r="B90" s="9"/>
      <c r="C90" s="9"/>
      <c r="D90" s="9" t="s">
        <v>90</v>
      </c>
      <c r="E90" s="12"/>
      <c r="F90" s="9"/>
      <c r="G90" s="9"/>
      <c r="H90" s="9"/>
      <c r="I90" s="9" t="s">
        <v>269</v>
      </c>
      <c r="J90" s="9"/>
      <c r="K90" s="9" t="s">
        <v>270</v>
      </c>
      <c r="L90" s="9"/>
      <c r="M90" s="9"/>
      <c r="N90" s="9"/>
      <c r="O90" s="9" t="s">
        <v>5</v>
      </c>
      <c r="P90" s="9"/>
      <c r="Q90" s="9" t="s">
        <v>335</v>
      </c>
      <c r="R90" s="9"/>
      <c r="S90" s="9" t="s">
        <v>212</v>
      </c>
      <c r="T90" s="9"/>
      <c r="U90" s="9" t="s">
        <v>212</v>
      </c>
      <c r="V90" s="9" t="s">
        <v>336</v>
      </c>
      <c r="W90" s="9" t="s">
        <v>337</v>
      </c>
      <c r="Y90" s="9"/>
      <c r="Z90" s="9"/>
      <c r="AA90" s="9"/>
      <c r="AE90" s="9"/>
      <c r="AF90" s="9" t="s">
        <v>282</v>
      </c>
      <c r="AG90" s="9" t="s">
        <v>282</v>
      </c>
      <c r="AH90" s="9"/>
      <c r="AI90" s="9" t="s">
        <v>282</v>
      </c>
      <c r="AJ90" s="9"/>
      <c r="AL90" s="12"/>
    </row>
    <row r="91" spans="1:38" ht="78" x14ac:dyDescent="0.2">
      <c r="A91" s="35">
        <v>90</v>
      </c>
      <c r="B91" s="9"/>
      <c r="C91" s="9"/>
      <c r="D91" s="9" t="s">
        <v>385</v>
      </c>
      <c r="E91" s="12"/>
      <c r="F91" s="9"/>
      <c r="G91" s="9"/>
      <c r="H91" s="9"/>
      <c r="I91" s="9" t="s">
        <v>269</v>
      </c>
      <c r="J91" s="9"/>
      <c r="K91" s="9" t="s">
        <v>270</v>
      </c>
      <c r="L91" s="9"/>
      <c r="M91" s="9"/>
      <c r="N91" s="9"/>
      <c r="O91" s="9" t="s">
        <v>5</v>
      </c>
      <c r="P91" s="9"/>
      <c r="Q91" s="9" t="s">
        <v>338</v>
      </c>
      <c r="R91" s="9"/>
      <c r="S91" s="9" t="s">
        <v>213</v>
      </c>
      <c r="T91" s="9"/>
      <c r="U91" s="9" t="s">
        <v>213</v>
      </c>
      <c r="V91" s="9" t="s">
        <v>211</v>
      </c>
      <c r="W91" s="9" t="s">
        <v>339</v>
      </c>
      <c r="Y91" s="9"/>
      <c r="Z91" s="9"/>
      <c r="AA91" s="9"/>
      <c r="AE91" s="9"/>
      <c r="AF91" s="9" t="s">
        <v>283</v>
      </c>
      <c r="AG91" s="9" t="s">
        <v>283</v>
      </c>
      <c r="AH91" s="9"/>
      <c r="AI91" s="9" t="s">
        <v>283</v>
      </c>
      <c r="AJ91" s="9"/>
      <c r="AL91" s="12"/>
    </row>
    <row r="92" spans="1:38" x14ac:dyDescent="0.2">
      <c r="A92" s="35">
        <v>90</v>
      </c>
      <c r="B92" s="9"/>
      <c r="C92" s="9"/>
      <c r="D92" s="9" t="s">
        <v>91</v>
      </c>
      <c r="E92" s="12"/>
      <c r="F92" s="9"/>
      <c r="G92" s="9"/>
      <c r="H92" s="9"/>
      <c r="I92" s="9" t="s">
        <v>269</v>
      </c>
      <c r="J92" s="9"/>
      <c r="K92" s="9" t="s">
        <v>270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Y92" s="9"/>
      <c r="Z92" s="9"/>
      <c r="AA92" s="9"/>
      <c r="AE92" s="9"/>
      <c r="AF92" s="9" t="s">
        <v>284</v>
      </c>
      <c r="AG92" s="9"/>
      <c r="AH92" s="9"/>
      <c r="AI92" s="9"/>
      <c r="AJ92" s="9"/>
      <c r="AL92" s="12"/>
    </row>
    <row r="93" spans="1:38" x14ac:dyDescent="0.2">
      <c r="A93" s="9">
        <v>90</v>
      </c>
      <c r="B93" s="9"/>
      <c r="C93" s="9"/>
      <c r="D93" s="9" t="s">
        <v>195</v>
      </c>
      <c r="E93" s="12" t="s">
        <v>490</v>
      </c>
      <c r="F93" s="9" t="s">
        <v>196</v>
      </c>
      <c r="G93" s="9" t="s">
        <v>24</v>
      </c>
      <c r="H93" s="9"/>
      <c r="I93" s="9" t="s">
        <v>340</v>
      </c>
      <c r="J93" s="9"/>
      <c r="K93" s="9" t="s">
        <v>264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Y93" s="9" t="s">
        <v>341</v>
      </c>
      <c r="Z93" s="9" t="s">
        <v>341</v>
      </c>
      <c r="AA93" s="9" t="s">
        <v>341</v>
      </c>
      <c r="AE93" s="9"/>
      <c r="AF93" s="9"/>
      <c r="AG93" s="9"/>
      <c r="AH93" s="9"/>
      <c r="AI93" s="9"/>
      <c r="AJ93" s="9"/>
      <c r="AL93" s="12"/>
    </row>
    <row r="94" spans="1:38" x14ac:dyDescent="0.2">
      <c r="A94" s="9">
        <v>90</v>
      </c>
      <c r="B94" s="9"/>
      <c r="C94" s="9"/>
      <c r="D94" s="9" t="s">
        <v>197</v>
      </c>
      <c r="E94" s="12" t="s">
        <v>491</v>
      </c>
      <c r="F94" s="9" t="s">
        <v>198</v>
      </c>
      <c r="G94" s="9" t="s">
        <v>24</v>
      </c>
      <c r="H94" s="9"/>
      <c r="I94" s="9" t="s">
        <v>342</v>
      </c>
      <c r="J94" s="9"/>
      <c r="K94" s="9" t="s">
        <v>264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Y94" s="9" t="s">
        <v>341</v>
      </c>
      <c r="Z94" s="9" t="s">
        <v>341</v>
      </c>
      <c r="AA94" s="9" t="s">
        <v>341</v>
      </c>
      <c r="AE94" s="9"/>
      <c r="AF94" s="9"/>
      <c r="AG94" s="9"/>
      <c r="AH94" s="9"/>
      <c r="AI94" s="9"/>
      <c r="AJ94" s="9"/>
      <c r="AL94" s="12"/>
    </row>
    <row r="95" spans="1:38" ht="39" x14ac:dyDescent="0.2">
      <c r="A95" s="35">
        <v>90</v>
      </c>
      <c r="B95" s="35"/>
      <c r="C95" s="35"/>
      <c r="D95" s="35" t="s">
        <v>191</v>
      </c>
      <c r="E95" s="35"/>
      <c r="F95" s="35"/>
      <c r="G95" s="35"/>
      <c r="H95" s="35"/>
      <c r="I95" s="35" t="s">
        <v>250</v>
      </c>
      <c r="J95" s="35"/>
      <c r="K95" s="35" t="s">
        <v>326</v>
      </c>
      <c r="L95" s="35" t="s">
        <v>343</v>
      </c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 t="s">
        <v>328</v>
      </c>
      <c r="Z95" s="35" t="s">
        <v>329</v>
      </c>
      <c r="AA95" s="35" t="s">
        <v>329</v>
      </c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</row>
    <row r="96" spans="1:38" x14ac:dyDescent="0.2">
      <c r="A96" s="35">
        <v>90</v>
      </c>
      <c r="B96" s="9"/>
      <c r="C96" s="9"/>
      <c r="D96" s="9" t="s">
        <v>192</v>
      </c>
      <c r="E96" s="12"/>
      <c r="F96" s="9"/>
      <c r="G96" s="9"/>
      <c r="H96" s="9"/>
      <c r="I96" s="9" t="s">
        <v>269</v>
      </c>
      <c r="J96" s="9"/>
      <c r="K96" s="9" t="s">
        <v>270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Y96" s="9" t="s">
        <v>341</v>
      </c>
      <c r="Z96" s="9" t="s">
        <v>341</v>
      </c>
      <c r="AA96" s="9" t="s">
        <v>341</v>
      </c>
      <c r="AE96" s="9"/>
      <c r="AF96" s="9"/>
      <c r="AG96" s="9"/>
      <c r="AH96" s="9"/>
      <c r="AI96" s="9"/>
      <c r="AJ96" s="9"/>
      <c r="AL96" s="12"/>
    </row>
    <row r="97" spans="1:38" x14ac:dyDescent="0.2">
      <c r="A97" s="35">
        <v>90</v>
      </c>
      <c r="B97" s="9"/>
      <c r="C97" s="9"/>
      <c r="D97" s="9" t="s">
        <v>193</v>
      </c>
      <c r="E97" s="12"/>
      <c r="F97" s="9"/>
      <c r="G97" s="9" t="s">
        <v>24</v>
      </c>
      <c r="H97" s="9"/>
      <c r="I97" s="9" t="s">
        <v>269</v>
      </c>
      <c r="J97" s="9"/>
      <c r="K97" s="9" t="s">
        <v>270</v>
      </c>
      <c r="L97" s="9"/>
      <c r="M97" s="9"/>
      <c r="N97" s="9"/>
      <c r="O97" s="9" t="s">
        <v>5</v>
      </c>
      <c r="P97" s="9"/>
      <c r="Q97" s="9"/>
      <c r="R97" s="9"/>
      <c r="S97" s="9"/>
      <c r="T97" s="9"/>
      <c r="U97" s="9"/>
      <c r="V97" s="9"/>
      <c r="W97" s="9"/>
      <c r="Y97" s="9"/>
      <c r="Z97" s="9"/>
      <c r="AA97" s="9"/>
      <c r="AE97" s="9"/>
      <c r="AF97" s="9" t="s">
        <v>215</v>
      </c>
      <c r="AG97" s="9" t="s">
        <v>215</v>
      </c>
      <c r="AH97" s="9"/>
      <c r="AI97" s="9" t="s">
        <v>215</v>
      </c>
      <c r="AJ97" s="9"/>
      <c r="AL97" s="12"/>
    </row>
    <row r="98" spans="1:38" x14ac:dyDescent="0.2">
      <c r="A98" s="35">
        <v>90</v>
      </c>
      <c r="B98" s="9"/>
      <c r="C98" s="9"/>
      <c r="D98" s="9" t="s">
        <v>194</v>
      </c>
      <c r="E98" s="12"/>
      <c r="F98" s="9"/>
      <c r="G98" s="9" t="s">
        <v>24</v>
      </c>
      <c r="H98" s="9"/>
      <c r="I98" s="9" t="s">
        <v>269</v>
      </c>
      <c r="J98" s="9"/>
      <c r="K98" s="9" t="s">
        <v>270</v>
      </c>
      <c r="L98" s="9"/>
      <c r="M98" s="9"/>
      <c r="N98" s="9"/>
      <c r="O98" s="9" t="s">
        <v>5</v>
      </c>
      <c r="P98" s="9"/>
      <c r="Q98" s="9"/>
      <c r="R98" s="9"/>
      <c r="S98" s="9"/>
      <c r="T98" s="9"/>
      <c r="U98" s="9"/>
      <c r="V98" s="9"/>
      <c r="W98" s="9"/>
      <c r="Y98" s="9"/>
      <c r="Z98" s="9"/>
      <c r="AA98" s="9"/>
      <c r="AE98" s="9"/>
      <c r="AF98" s="9" t="s">
        <v>216</v>
      </c>
      <c r="AG98" s="9" t="s">
        <v>216</v>
      </c>
      <c r="AH98" s="9"/>
      <c r="AI98" s="9" t="s">
        <v>216</v>
      </c>
      <c r="AJ98" s="9"/>
      <c r="AL98" s="12"/>
    </row>
    <row r="99" spans="1:38" x14ac:dyDescent="0.2">
      <c r="A99" s="9">
        <v>90</v>
      </c>
      <c r="B99" s="9"/>
      <c r="C99" s="9"/>
      <c r="D99" s="9" t="s">
        <v>169</v>
      </c>
      <c r="E99" s="12" t="s">
        <v>492</v>
      </c>
      <c r="F99" s="9" t="s">
        <v>171</v>
      </c>
      <c r="G99" s="9" t="s">
        <v>24</v>
      </c>
      <c r="H99" s="9"/>
      <c r="I99" s="9" t="s">
        <v>263</v>
      </c>
      <c r="J99" s="9"/>
      <c r="K99" s="9" t="s">
        <v>264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Y99" s="9" t="s">
        <v>250</v>
      </c>
      <c r="Z99" s="9" t="s">
        <v>325</v>
      </c>
      <c r="AA99" s="9" t="s">
        <v>325</v>
      </c>
      <c r="AE99" s="9"/>
      <c r="AF99" s="9" t="s">
        <v>396</v>
      </c>
      <c r="AG99" s="9" t="s">
        <v>396</v>
      </c>
      <c r="AH99" s="9"/>
      <c r="AI99" s="9"/>
      <c r="AJ99" s="9"/>
      <c r="AL99" s="12"/>
    </row>
    <row r="100" spans="1:38" ht="26" x14ac:dyDescent="0.2">
      <c r="A100" s="9">
        <v>90</v>
      </c>
      <c r="B100" s="9"/>
      <c r="C100" s="9"/>
      <c r="D100" s="9" t="s">
        <v>206</v>
      </c>
      <c r="E100" s="12" t="s">
        <v>493</v>
      </c>
      <c r="F100" s="9" t="s">
        <v>225</v>
      </c>
      <c r="G100" s="9" t="s">
        <v>208</v>
      </c>
      <c r="H100" s="9"/>
      <c r="I100" s="9" t="s">
        <v>344</v>
      </c>
      <c r="J100" s="9"/>
      <c r="K100" s="9" t="s">
        <v>214</v>
      </c>
      <c r="L100" s="9"/>
      <c r="M100" s="9"/>
      <c r="N100" s="9"/>
      <c r="O100" s="9"/>
      <c r="P100" s="9"/>
      <c r="Q100" s="9" t="s">
        <v>345</v>
      </c>
      <c r="R100" s="9"/>
      <c r="S100" s="9" t="s">
        <v>397</v>
      </c>
      <c r="T100" s="9"/>
      <c r="U100" s="9" t="s">
        <v>346</v>
      </c>
      <c r="V100" s="9"/>
      <c r="W100" s="9"/>
      <c r="Y100" s="9" t="s">
        <v>265</v>
      </c>
      <c r="Z100" s="9" t="s">
        <v>325</v>
      </c>
      <c r="AA100" s="9" t="s">
        <v>325</v>
      </c>
      <c r="AE100" s="9"/>
      <c r="AF100" s="9" t="s">
        <v>206</v>
      </c>
      <c r="AG100" s="9" t="s">
        <v>206</v>
      </c>
      <c r="AH100" s="9"/>
      <c r="AI100" s="9"/>
      <c r="AJ100" s="9"/>
      <c r="AL100" s="12"/>
    </row>
    <row r="101" spans="1:38" x14ac:dyDescent="0.2">
      <c r="A101" s="9">
        <v>90</v>
      </c>
      <c r="B101" s="9"/>
      <c r="C101" s="9"/>
      <c r="D101" s="9" t="s">
        <v>173</v>
      </c>
      <c r="E101" s="12" t="s">
        <v>494</v>
      </c>
      <c r="F101" s="9" t="s">
        <v>175</v>
      </c>
      <c r="G101" s="9" t="s">
        <v>24</v>
      </c>
      <c r="H101" s="9"/>
      <c r="I101" s="9" t="s">
        <v>347</v>
      </c>
      <c r="J101" s="9"/>
      <c r="K101" s="9" t="s">
        <v>264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Y101" s="9" t="s">
        <v>325</v>
      </c>
      <c r="Z101" s="9" t="s">
        <v>325</v>
      </c>
      <c r="AA101" s="9" t="s">
        <v>325</v>
      </c>
      <c r="AE101" s="9"/>
      <c r="AF101" s="9" t="s">
        <v>397</v>
      </c>
      <c r="AG101" s="9"/>
      <c r="AH101" s="9"/>
      <c r="AI101" s="9"/>
      <c r="AJ101" s="9"/>
      <c r="AL101" s="12"/>
    </row>
    <row r="102" spans="1:38" ht="26" x14ac:dyDescent="0.2">
      <c r="A102" s="9">
        <v>90</v>
      </c>
      <c r="B102" s="9"/>
      <c r="C102" s="9"/>
      <c r="D102" s="9" t="s">
        <v>100</v>
      </c>
      <c r="E102" s="12" t="s">
        <v>454</v>
      </c>
      <c r="F102" s="9" t="s">
        <v>105</v>
      </c>
      <c r="G102" s="9" t="s">
        <v>24</v>
      </c>
      <c r="H102" s="9"/>
      <c r="I102" s="9" t="s">
        <v>286</v>
      </c>
      <c r="J102" s="9"/>
      <c r="K102" s="9" t="s">
        <v>264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Y102" s="9" t="s">
        <v>265</v>
      </c>
      <c r="Z102" s="9" t="s">
        <v>325</v>
      </c>
      <c r="AA102" s="9" t="s">
        <v>325</v>
      </c>
      <c r="AE102" s="9"/>
      <c r="AF102" s="9" t="s">
        <v>391</v>
      </c>
      <c r="AG102" s="9" t="s">
        <v>391</v>
      </c>
      <c r="AH102" s="9"/>
      <c r="AI102" s="9"/>
      <c r="AJ102" s="9"/>
      <c r="AL102" s="12"/>
    </row>
    <row r="103" spans="1:38" x14ac:dyDescent="0.2">
      <c r="A103" s="9">
        <v>90</v>
      </c>
      <c r="B103" s="9"/>
      <c r="C103" s="9"/>
      <c r="D103" s="9" t="s">
        <v>170</v>
      </c>
      <c r="E103" s="12" t="s">
        <v>495</v>
      </c>
      <c r="F103" s="9" t="s">
        <v>172</v>
      </c>
      <c r="G103" s="9" t="s">
        <v>24</v>
      </c>
      <c r="H103" s="9"/>
      <c r="I103" s="9" t="s">
        <v>263</v>
      </c>
      <c r="J103" s="9"/>
      <c r="K103" s="9" t="s">
        <v>264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Y103" s="9" t="s">
        <v>265</v>
      </c>
      <c r="Z103" s="9" t="s">
        <v>325</v>
      </c>
      <c r="AA103" s="9" t="s">
        <v>325</v>
      </c>
      <c r="AE103" s="9"/>
      <c r="AF103" s="9" t="s">
        <v>398</v>
      </c>
      <c r="AG103" s="9" t="s">
        <v>398</v>
      </c>
      <c r="AH103" s="9"/>
      <c r="AI103" s="9"/>
      <c r="AJ103" s="9"/>
      <c r="AL103" s="12"/>
    </row>
    <row r="104" spans="1:38" ht="26" x14ac:dyDescent="0.2">
      <c r="A104" s="9">
        <v>90</v>
      </c>
      <c r="B104" s="9"/>
      <c r="C104" s="9"/>
      <c r="D104" s="9" t="s">
        <v>207</v>
      </c>
      <c r="E104" s="12" t="s">
        <v>496</v>
      </c>
      <c r="F104" s="9" t="s">
        <v>226</v>
      </c>
      <c r="G104" s="9" t="s">
        <v>209</v>
      </c>
      <c r="H104" s="9"/>
      <c r="I104" s="9" t="s">
        <v>344</v>
      </c>
      <c r="J104" s="9"/>
      <c r="K104" s="9" t="s">
        <v>214</v>
      </c>
      <c r="L104" s="9"/>
      <c r="M104" s="9"/>
      <c r="N104" s="9"/>
      <c r="O104" s="9"/>
      <c r="P104" s="9"/>
      <c r="Q104" s="9" t="s">
        <v>345</v>
      </c>
      <c r="R104" s="9"/>
      <c r="S104" s="9" t="s">
        <v>399</v>
      </c>
      <c r="T104" s="9"/>
      <c r="U104" s="9" t="s">
        <v>346</v>
      </c>
      <c r="V104" s="9"/>
      <c r="W104" s="9"/>
      <c r="Y104" s="9" t="s">
        <v>265</v>
      </c>
      <c r="Z104" s="9" t="s">
        <v>325</v>
      </c>
      <c r="AA104" s="9" t="s">
        <v>325</v>
      </c>
      <c r="AE104" s="9"/>
      <c r="AF104" s="9" t="s">
        <v>207</v>
      </c>
      <c r="AG104" s="9" t="s">
        <v>207</v>
      </c>
      <c r="AH104" s="9"/>
      <c r="AI104" s="9"/>
      <c r="AJ104" s="9"/>
      <c r="AL104" s="12"/>
    </row>
    <row r="105" spans="1:38" x14ac:dyDescent="0.2">
      <c r="A105" s="9">
        <v>90</v>
      </c>
      <c r="B105" s="9"/>
      <c r="C105" s="9"/>
      <c r="D105" s="9" t="s">
        <v>174</v>
      </c>
      <c r="E105" s="12" t="s">
        <v>497</v>
      </c>
      <c r="F105" s="9" t="s">
        <v>176</v>
      </c>
      <c r="G105" s="9" t="s">
        <v>24</v>
      </c>
      <c r="H105" s="9"/>
      <c r="I105" s="9" t="s">
        <v>347</v>
      </c>
      <c r="J105" s="9"/>
      <c r="K105" s="9" t="s">
        <v>264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Y105" s="9" t="s">
        <v>325</v>
      </c>
      <c r="Z105" s="9" t="s">
        <v>325</v>
      </c>
      <c r="AA105" s="9" t="s">
        <v>325</v>
      </c>
      <c r="AE105" s="9"/>
      <c r="AF105" s="9" t="s">
        <v>399</v>
      </c>
      <c r="AG105" s="9"/>
      <c r="AH105" s="9"/>
      <c r="AI105" s="9"/>
      <c r="AJ105" s="9"/>
      <c r="AL105" s="12"/>
    </row>
    <row r="106" spans="1:38" ht="26" x14ac:dyDescent="0.2">
      <c r="A106" s="9">
        <v>90</v>
      </c>
      <c r="B106" s="9"/>
      <c r="C106" s="9"/>
      <c r="D106" s="9" t="s">
        <v>101</v>
      </c>
      <c r="E106" s="12" t="s">
        <v>455</v>
      </c>
      <c r="F106" s="9" t="s">
        <v>106</v>
      </c>
      <c r="G106" s="9" t="s">
        <v>24</v>
      </c>
      <c r="H106" s="9"/>
      <c r="I106" s="9" t="s">
        <v>287</v>
      </c>
      <c r="J106" s="9"/>
      <c r="K106" s="9" t="s">
        <v>264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Y106" s="9" t="s">
        <v>265</v>
      </c>
      <c r="Z106" s="9" t="s">
        <v>325</v>
      </c>
      <c r="AA106" s="9" t="s">
        <v>325</v>
      </c>
      <c r="AE106" s="9"/>
      <c r="AF106" s="9" t="s">
        <v>392</v>
      </c>
      <c r="AG106" s="9" t="s">
        <v>392</v>
      </c>
      <c r="AH106" s="9"/>
      <c r="AI106" s="9"/>
      <c r="AJ106" s="9"/>
      <c r="AL106" s="12"/>
    </row>
    <row r="107" spans="1:38" ht="26" x14ac:dyDescent="0.2">
      <c r="A107" s="9">
        <v>90</v>
      </c>
      <c r="B107" s="9"/>
      <c r="C107" s="9"/>
      <c r="D107" s="9" t="s">
        <v>102</v>
      </c>
      <c r="E107" s="12" t="s">
        <v>456</v>
      </c>
      <c r="F107" s="9" t="s">
        <v>107</v>
      </c>
      <c r="G107" s="9" t="s">
        <v>24</v>
      </c>
      <c r="H107" s="9"/>
      <c r="I107" s="9" t="s">
        <v>288</v>
      </c>
      <c r="J107" s="9"/>
      <c r="K107" s="9" t="s">
        <v>264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Y107" s="9" t="s">
        <v>265</v>
      </c>
      <c r="Z107" s="9" t="s">
        <v>325</v>
      </c>
      <c r="AA107" s="9" t="s">
        <v>325</v>
      </c>
      <c r="AE107" s="9"/>
      <c r="AF107" s="9" t="s">
        <v>393</v>
      </c>
      <c r="AG107" s="9" t="s">
        <v>393</v>
      </c>
      <c r="AH107" s="9"/>
      <c r="AI107" s="9"/>
      <c r="AJ107" s="9"/>
      <c r="AL107" s="12"/>
    </row>
    <row r="108" spans="1:38" ht="26" x14ac:dyDescent="0.2">
      <c r="A108" s="9">
        <v>90</v>
      </c>
      <c r="B108" s="9"/>
      <c r="C108" s="9"/>
      <c r="D108" s="9" t="s">
        <v>103</v>
      </c>
      <c r="E108" s="12" t="s">
        <v>457</v>
      </c>
      <c r="F108" s="9" t="s">
        <v>108</v>
      </c>
      <c r="G108" s="9" t="s">
        <v>24</v>
      </c>
      <c r="H108" s="9"/>
      <c r="I108" s="9" t="s">
        <v>289</v>
      </c>
      <c r="J108" s="9"/>
      <c r="K108" s="9" t="s">
        <v>264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Y108" s="9" t="s">
        <v>265</v>
      </c>
      <c r="Z108" s="9" t="s">
        <v>325</v>
      </c>
      <c r="AA108" s="9" t="s">
        <v>325</v>
      </c>
      <c r="AE108" s="9"/>
      <c r="AF108" s="9" t="s">
        <v>394</v>
      </c>
      <c r="AG108" s="9" t="s">
        <v>394</v>
      </c>
      <c r="AH108" s="9"/>
      <c r="AI108" s="9"/>
      <c r="AJ108" s="9"/>
      <c r="AL108" s="12"/>
    </row>
    <row r="109" spans="1:38" ht="26" x14ac:dyDescent="0.2">
      <c r="A109" s="9">
        <v>90</v>
      </c>
      <c r="B109" s="9"/>
      <c r="C109" s="9"/>
      <c r="D109" s="9" t="s">
        <v>104</v>
      </c>
      <c r="E109" s="12" t="s">
        <v>458</v>
      </c>
      <c r="F109" s="9" t="s">
        <v>109</v>
      </c>
      <c r="G109" s="9" t="s">
        <v>24</v>
      </c>
      <c r="H109" s="9"/>
      <c r="I109" s="9" t="s">
        <v>290</v>
      </c>
      <c r="J109" s="9"/>
      <c r="K109" s="9" t="s">
        <v>264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Y109" s="9" t="s">
        <v>265</v>
      </c>
      <c r="Z109" s="9" t="s">
        <v>325</v>
      </c>
      <c r="AA109" s="9" t="s">
        <v>325</v>
      </c>
      <c r="AE109" s="9"/>
      <c r="AF109" s="9" t="s">
        <v>395</v>
      </c>
      <c r="AG109" s="9" t="s">
        <v>395</v>
      </c>
      <c r="AH109" s="9"/>
      <c r="AI109" s="9"/>
      <c r="AJ109" s="9"/>
      <c r="AL109" s="12"/>
    </row>
    <row r="110" spans="1:38" x14ac:dyDescent="0.2">
      <c r="A110" s="9">
        <v>90</v>
      </c>
      <c r="B110" s="9"/>
      <c r="C110" s="9"/>
      <c r="D110" s="9" t="s">
        <v>71</v>
      </c>
      <c r="E110" s="12" t="s">
        <v>498</v>
      </c>
      <c r="F110" s="9" t="s">
        <v>227</v>
      </c>
      <c r="G110" s="9" t="s">
        <v>24</v>
      </c>
      <c r="H110" s="9"/>
      <c r="I110" s="9" t="s">
        <v>348</v>
      </c>
      <c r="J110" s="9"/>
      <c r="K110" s="9" t="s">
        <v>264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Y110" s="9" t="s">
        <v>325</v>
      </c>
      <c r="Z110" s="9" t="s">
        <v>325</v>
      </c>
      <c r="AA110" s="9" t="s">
        <v>325</v>
      </c>
      <c r="AE110" s="9"/>
      <c r="AF110" s="9" t="s">
        <v>400</v>
      </c>
      <c r="AG110" s="9"/>
      <c r="AH110" s="9"/>
      <c r="AI110" s="9"/>
      <c r="AJ110" s="9"/>
      <c r="AL110" s="12"/>
    </row>
    <row r="111" spans="1:38" x14ac:dyDescent="0.2">
      <c r="A111" s="9">
        <v>90</v>
      </c>
      <c r="B111" s="9"/>
      <c r="C111" s="9"/>
      <c r="D111" s="9" t="s">
        <v>72</v>
      </c>
      <c r="E111" s="12" t="s">
        <v>499</v>
      </c>
      <c r="F111" s="9" t="s">
        <v>65</v>
      </c>
      <c r="G111" s="9" t="s">
        <v>24</v>
      </c>
      <c r="H111" s="9"/>
      <c r="I111" s="9" t="s">
        <v>349</v>
      </c>
      <c r="J111" s="9"/>
      <c r="K111" s="9" t="s">
        <v>264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Y111" s="9" t="s">
        <v>325</v>
      </c>
      <c r="Z111" s="9" t="s">
        <v>325</v>
      </c>
      <c r="AA111" s="9" t="s">
        <v>325</v>
      </c>
      <c r="AE111" s="9"/>
      <c r="AF111" s="9" t="s">
        <v>401</v>
      </c>
      <c r="AG111" s="9"/>
      <c r="AH111" s="9"/>
      <c r="AI111" s="9"/>
      <c r="AJ111" s="9"/>
      <c r="AL111" s="12"/>
    </row>
    <row r="112" spans="1:38" x14ac:dyDescent="0.2">
      <c r="A112" s="9">
        <v>90</v>
      </c>
      <c r="B112" s="9"/>
      <c r="C112" s="9"/>
      <c r="D112" s="9" t="s">
        <v>73</v>
      </c>
      <c r="E112" s="12" t="s">
        <v>500</v>
      </c>
      <c r="F112" s="9" t="s">
        <v>228</v>
      </c>
      <c r="G112" s="9" t="s">
        <v>24</v>
      </c>
      <c r="H112" s="9"/>
      <c r="I112" s="9" t="s">
        <v>350</v>
      </c>
      <c r="J112" s="9"/>
      <c r="K112" s="9" t="s">
        <v>264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Y112" s="9" t="s">
        <v>325</v>
      </c>
      <c r="Z112" s="9" t="s">
        <v>325</v>
      </c>
      <c r="AA112" s="9" t="s">
        <v>325</v>
      </c>
      <c r="AE112" s="9"/>
      <c r="AF112" s="9" t="s">
        <v>402</v>
      </c>
      <c r="AG112" s="9"/>
      <c r="AH112" s="9"/>
      <c r="AI112" s="9"/>
      <c r="AJ112" s="9"/>
      <c r="AL112" s="12"/>
    </row>
    <row r="113" spans="1:38" x14ac:dyDescent="0.2">
      <c r="A113" s="9">
        <v>90</v>
      </c>
      <c r="B113" s="9"/>
      <c r="C113" s="9"/>
      <c r="D113" s="9" t="s">
        <v>74</v>
      </c>
      <c r="E113" s="12" t="s">
        <v>501</v>
      </c>
      <c r="F113" s="9" t="s">
        <v>66</v>
      </c>
      <c r="G113" s="9" t="s">
        <v>24</v>
      </c>
      <c r="H113" s="9"/>
      <c r="I113" s="9" t="s">
        <v>351</v>
      </c>
      <c r="J113" s="9"/>
      <c r="K113" s="9" t="s">
        <v>264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Y113" s="9" t="s">
        <v>325</v>
      </c>
      <c r="Z113" s="9" t="s">
        <v>325</v>
      </c>
      <c r="AA113" s="9" t="s">
        <v>325</v>
      </c>
      <c r="AE113" s="9"/>
      <c r="AF113" s="9" t="s">
        <v>403</v>
      </c>
      <c r="AG113" s="9"/>
      <c r="AH113" s="9"/>
      <c r="AI113" s="9"/>
      <c r="AJ113" s="9"/>
      <c r="AL113" s="12"/>
    </row>
    <row r="114" spans="1:38" x14ac:dyDescent="0.2">
      <c r="A114" s="9">
        <v>90</v>
      </c>
      <c r="B114" s="9"/>
      <c r="C114" s="9"/>
      <c r="D114" s="9" t="s">
        <v>75</v>
      </c>
      <c r="E114" s="12" t="s">
        <v>502</v>
      </c>
      <c r="F114" s="9" t="s">
        <v>67</v>
      </c>
      <c r="G114" s="9" t="s">
        <v>24</v>
      </c>
      <c r="H114" s="9"/>
      <c r="I114" s="9" t="s">
        <v>352</v>
      </c>
      <c r="J114" s="9"/>
      <c r="K114" s="9" t="s">
        <v>264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Y114" s="9" t="s">
        <v>325</v>
      </c>
      <c r="Z114" s="9" t="s">
        <v>325</v>
      </c>
      <c r="AA114" s="9" t="s">
        <v>325</v>
      </c>
      <c r="AE114" s="9"/>
      <c r="AF114" s="9" t="s">
        <v>404</v>
      </c>
      <c r="AG114" s="9"/>
      <c r="AH114" s="9"/>
      <c r="AI114" s="9"/>
      <c r="AJ114" s="9"/>
      <c r="AL114" s="12"/>
    </row>
    <row r="115" spans="1:38" x14ac:dyDescent="0.2">
      <c r="A115" s="9">
        <v>90</v>
      </c>
      <c r="B115" s="9"/>
      <c r="C115" s="9"/>
      <c r="D115" s="9" t="s">
        <v>83</v>
      </c>
      <c r="E115" s="12" t="s">
        <v>503</v>
      </c>
      <c r="F115" s="9" t="s">
        <v>84</v>
      </c>
      <c r="G115" s="9"/>
      <c r="H115" s="9"/>
      <c r="I115" s="9" t="s">
        <v>353</v>
      </c>
      <c r="J115" s="9"/>
      <c r="K115" s="9" t="s">
        <v>264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Y115" s="9" t="s">
        <v>341</v>
      </c>
      <c r="Z115" s="9" t="s">
        <v>341</v>
      </c>
      <c r="AA115" s="9" t="s">
        <v>341</v>
      </c>
      <c r="AE115" s="9"/>
      <c r="AF115" s="9" t="s">
        <v>405</v>
      </c>
      <c r="AG115" s="9" t="s">
        <v>405</v>
      </c>
      <c r="AH115" s="9"/>
      <c r="AI115" s="9" t="s">
        <v>405</v>
      </c>
      <c r="AJ115" s="9"/>
      <c r="AL115" s="12"/>
    </row>
    <row r="116" spans="1:38" x14ac:dyDescent="0.2">
      <c r="A116" s="9">
        <v>90</v>
      </c>
      <c r="B116" s="9"/>
      <c r="C116" s="9"/>
      <c r="D116" s="9" t="s">
        <v>76</v>
      </c>
      <c r="E116" s="12" t="s">
        <v>504</v>
      </c>
      <c r="F116" s="9" t="s">
        <v>229</v>
      </c>
      <c r="G116" s="9" t="s">
        <v>24</v>
      </c>
      <c r="H116" s="9"/>
      <c r="I116" s="9" t="s">
        <v>348</v>
      </c>
      <c r="J116" s="9"/>
      <c r="K116" s="9" t="s">
        <v>264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Y116" s="9" t="s">
        <v>325</v>
      </c>
      <c r="Z116" s="9" t="s">
        <v>325</v>
      </c>
      <c r="AA116" s="9" t="s">
        <v>325</v>
      </c>
      <c r="AE116" s="9"/>
      <c r="AF116" s="9" t="s">
        <v>406</v>
      </c>
      <c r="AG116" s="9"/>
      <c r="AH116" s="9"/>
      <c r="AI116" s="9"/>
      <c r="AJ116" s="9"/>
      <c r="AL116" s="12"/>
    </row>
    <row r="117" spans="1:38" x14ac:dyDescent="0.2">
      <c r="A117" s="9">
        <v>90</v>
      </c>
      <c r="B117" s="9"/>
      <c r="C117" s="9"/>
      <c r="D117" s="9" t="s">
        <v>77</v>
      </c>
      <c r="E117" s="12" t="s">
        <v>505</v>
      </c>
      <c r="F117" s="9" t="s">
        <v>68</v>
      </c>
      <c r="G117" s="9" t="s">
        <v>24</v>
      </c>
      <c r="H117" s="9"/>
      <c r="I117" s="9" t="s">
        <v>349</v>
      </c>
      <c r="J117" s="9"/>
      <c r="K117" s="9" t="s">
        <v>264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Y117" s="9" t="s">
        <v>325</v>
      </c>
      <c r="Z117" s="9" t="s">
        <v>325</v>
      </c>
      <c r="AA117" s="9" t="s">
        <v>325</v>
      </c>
      <c r="AE117" s="9"/>
      <c r="AF117" s="9" t="s">
        <v>407</v>
      </c>
      <c r="AG117" s="9"/>
      <c r="AH117" s="9"/>
      <c r="AI117" s="9"/>
      <c r="AJ117" s="9"/>
      <c r="AL117" s="12"/>
    </row>
    <row r="118" spans="1:38" x14ac:dyDescent="0.2">
      <c r="A118" s="9">
        <v>90</v>
      </c>
      <c r="B118" s="9"/>
      <c r="C118" s="9"/>
      <c r="D118" s="9" t="s">
        <v>78</v>
      </c>
      <c r="E118" s="12" t="s">
        <v>506</v>
      </c>
      <c r="F118" s="9" t="s">
        <v>230</v>
      </c>
      <c r="G118" s="9" t="s">
        <v>24</v>
      </c>
      <c r="H118" s="9"/>
      <c r="I118" s="9" t="s">
        <v>350</v>
      </c>
      <c r="J118" s="9"/>
      <c r="K118" s="9" t="s">
        <v>264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Y118" s="9" t="s">
        <v>325</v>
      </c>
      <c r="Z118" s="9" t="s">
        <v>325</v>
      </c>
      <c r="AA118" s="9" t="s">
        <v>325</v>
      </c>
      <c r="AE118" s="9"/>
      <c r="AF118" s="9" t="s">
        <v>408</v>
      </c>
      <c r="AG118" s="9"/>
      <c r="AH118" s="9"/>
      <c r="AI118" s="9"/>
      <c r="AJ118" s="9"/>
      <c r="AL118" s="12"/>
    </row>
    <row r="119" spans="1:38" x14ac:dyDescent="0.2">
      <c r="A119" s="9">
        <v>90</v>
      </c>
      <c r="B119" s="9"/>
      <c r="C119" s="9"/>
      <c r="D119" s="9" t="s">
        <v>79</v>
      </c>
      <c r="E119" s="12" t="s">
        <v>507</v>
      </c>
      <c r="F119" s="9" t="s">
        <v>69</v>
      </c>
      <c r="G119" s="9" t="s">
        <v>24</v>
      </c>
      <c r="H119" s="9"/>
      <c r="I119" s="9" t="s">
        <v>351</v>
      </c>
      <c r="J119" s="9"/>
      <c r="K119" s="9" t="s">
        <v>264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Y119" s="9" t="s">
        <v>325</v>
      </c>
      <c r="Z119" s="9" t="s">
        <v>325</v>
      </c>
      <c r="AA119" s="9" t="s">
        <v>325</v>
      </c>
      <c r="AE119" s="9"/>
      <c r="AF119" s="9" t="s">
        <v>409</v>
      </c>
      <c r="AG119" s="9"/>
      <c r="AH119" s="9"/>
      <c r="AI119" s="9"/>
      <c r="AJ119" s="9"/>
      <c r="AL119" s="12"/>
    </row>
    <row r="120" spans="1:38" x14ac:dyDescent="0.2">
      <c r="A120" s="9">
        <v>90</v>
      </c>
      <c r="B120" s="9"/>
      <c r="C120" s="9"/>
      <c r="D120" s="9" t="s">
        <v>80</v>
      </c>
      <c r="E120" s="12" t="s">
        <v>508</v>
      </c>
      <c r="F120" s="9" t="s">
        <v>70</v>
      </c>
      <c r="G120" s="9" t="s">
        <v>24</v>
      </c>
      <c r="H120" s="9"/>
      <c r="I120" s="9" t="s">
        <v>352</v>
      </c>
      <c r="J120" s="9"/>
      <c r="K120" s="9" t="s">
        <v>264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Y120" s="9" t="s">
        <v>325</v>
      </c>
      <c r="Z120" s="9" t="s">
        <v>325</v>
      </c>
      <c r="AA120" s="9" t="s">
        <v>325</v>
      </c>
      <c r="AE120" s="9"/>
      <c r="AF120" s="9" t="s">
        <v>410</v>
      </c>
      <c r="AG120" s="9"/>
      <c r="AH120" s="9"/>
      <c r="AI120" s="9"/>
      <c r="AJ120" s="9"/>
      <c r="AL120" s="12"/>
    </row>
    <row r="121" spans="1:38" x14ac:dyDescent="0.2">
      <c r="A121" s="9">
        <v>90</v>
      </c>
      <c r="B121" s="9"/>
      <c r="C121" s="9"/>
      <c r="D121" s="9" t="s">
        <v>81</v>
      </c>
      <c r="E121" s="12" t="s">
        <v>509</v>
      </c>
      <c r="F121" s="9" t="s">
        <v>210</v>
      </c>
      <c r="G121" s="9" t="s">
        <v>24</v>
      </c>
      <c r="H121" s="9"/>
      <c r="I121" s="9" t="s">
        <v>354</v>
      </c>
      <c r="J121" s="9"/>
      <c r="K121" s="9" t="s">
        <v>264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Y121" s="9" t="s">
        <v>325</v>
      </c>
      <c r="Z121" s="9" t="s">
        <v>325</v>
      </c>
      <c r="AA121" s="9" t="s">
        <v>325</v>
      </c>
      <c r="AE121" s="9"/>
      <c r="AF121" s="9" t="s">
        <v>411</v>
      </c>
      <c r="AG121" s="9"/>
      <c r="AH121" s="9"/>
      <c r="AI121" s="9"/>
      <c r="AJ121" s="9"/>
      <c r="AL121" s="12"/>
    </row>
    <row r="122" spans="1:38" ht="39" x14ac:dyDescent="0.2">
      <c r="A122" s="5"/>
      <c r="AE122" s="28" t="s">
        <v>517</v>
      </c>
      <c r="AF122" s="28" t="s">
        <v>518</v>
      </c>
      <c r="AG122" s="28" t="s">
        <v>517</v>
      </c>
      <c r="AH122" s="28" t="s">
        <v>518</v>
      </c>
      <c r="AI122" s="28" t="s">
        <v>517</v>
      </c>
      <c r="AJ122" s="28" t="s">
        <v>518</v>
      </c>
      <c r="AL122" s="13"/>
    </row>
    <row r="123" spans="1:38" x14ac:dyDescent="0.2">
      <c r="A123" s="9">
        <v>100</v>
      </c>
      <c r="B123" s="9" t="s">
        <v>1</v>
      </c>
      <c r="C123" s="9"/>
      <c r="D123" s="9" t="s">
        <v>18</v>
      </c>
      <c r="E123" s="10"/>
      <c r="F123" s="9"/>
      <c r="G123" s="9"/>
      <c r="H123" s="9"/>
      <c r="I123" s="9" t="s">
        <v>250</v>
      </c>
      <c r="J123" s="9"/>
      <c r="K123" s="9" t="s">
        <v>251</v>
      </c>
      <c r="L123" s="9"/>
      <c r="M123" s="9" t="s">
        <v>355</v>
      </c>
      <c r="N123" s="9">
        <v>700</v>
      </c>
      <c r="O123" s="9"/>
      <c r="P123" s="9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9"/>
      <c r="AF123" s="9"/>
      <c r="AG123" s="9"/>
      <c r="AH123" s="9"/>
      <c r="AI123" s="9"/>
      <c r="AJ123" s="9"/>
      <c r="AK123" s="14"/>
      <c r="AL123" s="12"/>
    </row>
    <row r="124" spans="1:38" x14ac:dyDescent="0.2">
      <c r="A124" s="9">
        <v>100</v>
      </c>
      <c r="B124" s="9"/>
      <c r="C124" s="9"/>
      <c r="D124" s="9" t="s">
        <v>35</v>
      </c>
      <c r="E124" s="12" t="s">
        <v>510</v>
      </c>
      <c r="F124" s="9" t="s">
        <v>36</v>
      </c>
      <c r="G124" s="9" t="s">
        <v>37</v>
      </c>
      <c r="H124" s="9"/>
      <c r="I124" s="9" t="s">
        <v>356</v>
      </c>
      <c r="J124" s="9"/>
      <c r="K124" s="9" t="s">
        <v>357</v>
      </c>
      <c r="L124" s="9"/>
      <c r="M124" s="9"/>
      <c r="N124" s="9"/>
      <c r="O124" s="9"/>
      <c r="P124" s="9"/>
      <c r="Q124" s="9"/>
      <c r="R124" s="9"/>
      <c r="S124" s="9"/>
      <c r="T124" s="9" t="s">
        <v>358</v>
      </c>
      <c r="U124" s="9"/>
      <c r="V124" s="9"/>
      <c r="W124" s="9"/>
      <c r="Y124" s="9" t="s">
        <v>265</v>
      </c>
      <c r="Z124" s="9" t="s">
        <v>359</v>
      </c>
      <c r="AA124" s="9" t="s">
        <v>265</v>
      </c>
      <c r="AE124" s="9"/>
      <c r="AF124" s="9"/>
      <c r="AG124" s="9"/>
      <c r="AH124" s="9"/>
      <c r="AI124" s="9"/>
      <c r="AJ124" s="9"/>
      <c r="AL124" s="12"/>
    </row>
    <row r="125" spans="1:38" x14ac:dyDescent="0.2">
      <c r="A125" s="9">
        <v>100</v>
      </c>
      <c r="B125" s="9"/>
      <c r="C125" s="9"/>
      <c r="D125" s="9" t="s">
        <v>38</v>
      </c>
      <c r="E125" s="12" t="s">
        <v>511</v>
      </c>
      <c r="F125" s="9" t="s">
        <v>39</v>
      </c>
      <c r="G125" s="9" t="s">
        <v>40</v>
      </c>
      <c r="H125" s="9"/>
      <c r="I125" s="9" t="s">
        <v>356</v>
      </c>
      <c r="J125" s="9"/>
      <c r="K125" s="9" t="s">
        <v>357</v>
      </c>
      <c r="L125" s="9"/>
      <c r="M125" s="9"/>
      <c r="N125" s="9"/>
      <c r="O125" s="9"/>
      <c r="P125" s="9"/>
      <c r="Q125" s="9"/>
      <c r="R125" s="9"/>
      <c r="S125" s="9"/>
      <c r="T125" s="9" t="s">
        <v>360</v>
      </c>
      <c r="U125" s="9"/>
      <c r="V125" s="9"/>
      <c r="W125" s="9"/>
      <c r="Y125" s="9" t="s">
        <v>265</v>
      </c>
      <c r="Z125" s="9" t="s">
        <v>359</v>
      </c>
      <c r="AA125" s="9" t="s">
        <v>265</v>
      </c>
      <c r="AE125" s="9"/>
      <c r="AF125" s="9"/>
      <c r="AG125" s="9"/>
      <c r="AH125" s="9"/>
      <c r="AI125" s="9"/>
      <c r="AJ125" s="9"/>
      <c r="AL125" s="12"/>
    </row>
    <row r="126" spans="1:38" x14ac:dyDescent="0.2">
      <c r="A126" s="9">
        <v>100</v>
      </c>
      <c r="B126" s="9"/>
      <c r="C126" s="9"/>
      <c r="D126" s="9" t="s">
        <v>41</v>
      </c>
      <c r="E126" s="12" t="s">
        <v>512</v>
      </c>
      <c r="F126" s="9" t="s">
        <v>42</v>
      </c>
      <c r="G126" s="9" t="s">
        <v>43</v>
      </c>
      <c r="H126" s="9"/>
      <c r="I126" s="9" t="s">
        <v>356</v>
      </c>
      <c r="J126" s="9"/>
      <c r="K126" s="9" t="s">
        <v>357</v>
      </c>
      <c r="L126" s="9"/>
      <c r="M126" s="9"/>
      <c r="N126" s="9"/>
      <c r="O126" s="9"/>
      <c r="P126" s="9"/>
      <c r="Q126" s="9" t="s">
        <v>361</v>
      </c>
      <c r="R126" s="9" t="s">
        <v>186</v>
      </c>
      <c r="S126" s="9"/>
      <c r="T126" s="9" t="s">
        <v>362</v>
      </c>
      <c r="U126" s="9"/>
      <c r="V126" s="9"/>
      <c r="W126" s="9"/>
      <c r="Y126" s="9" t="s">
        <v>265</v>
      </c>
      <c r="Z126" s="9" t="s">
        <v>359</v>
      </c>
      <c r="AA126" s="9" t="s">
        <v>359</v>
      </c>
      <c r="AE126" s="9"/>
      <c r="AF126" s="9"/>
      <c r="AG126" s="9"/>
      <c r="AH126" s="9"/>
      <c r="AI126" s="9"/>
      <c r="AJ126" s="9"/>
      <c r="AL126" s="12"/>
    </row>
    <row r="127" spans="1:38" x14ac:dyDescent="0.2">
      <c r="A127" s="9">
        <v>100</v>
      </c>
      <c r="B127" s="9"/>
      <c r="C127" s="9"/>
      <c r="D127" s="9" t="s">
        <v>44</v>
      </c>
      <c r="E127" s="12" t="s">
        <v>513</v>
      </c>
      <c r="F127" s="9" t="s">
        <v>45</v>
      </c>
      <c r="G127" s="9" t="s">
        <v>46</v>
      </c>
      <c r="H127" s="9"/>
      <c r="I127" s="9" t="s">
        <v>356</v>
      </c>
      <c r="J127" s="9"/>
      <c r="K127" s="9" t="s">
        <v>357</v>
      </c>
      <c r="L127" s="9"/>
      <c r="M127" s="9"/>
      <c r="N127" s="9"/>
      <c r="O127" s="9"/>
      <c r="P127" s="9"/>
      <c r="Q127" s="9" t="s">
        <v>363</v>
      </c>
      <c r="R127" s="9" t="s">
        <v>186</v>
      </c>
      <c r="S127" s="9"/>
      <c r="T127" s="9" t="s">
        <v>364</v>
      </c>
      <c r="U127" s="9"/>
      <c r="V127" s="9"/>
      <c r="W127" s="9"/>
      <c r="Y127" s="9" t="s">
        <v>265</v>
      </c>
      <c r="Z127" s="9" t="s">
        <v>359</v>
      </c>
      <c r="AA127" s="9" t="s">
        <v>359</v>
      </c>
      <c r="AE127" s="9"/>
      <c r="AF127" s="9"/>
      <c r="AG127" s="9"/>
      <c r="AH127" s="9"/>
      <c r="AI127" s="9"/>
      <c r="AJ127" s="9"/>
      <c r="AL127" s="12"/>
    </row>
    <row r="128" spans="1:38" x14ac:dyDescent="0.2">
      <c r="A128" s="9">
        <v>100</v>
      </c>
      <c r="B128" s="9"/>
      <c r="C128" s="9"/>
      <c r="D128" s="9" t="s">
        <v>47</v>
      </c>
      <c r="E128" s="12" t="s">
        <v>514</v>
      </c>
      <c r="F128" s="9" t="s">
        <v>48</v>
      </c>
      <c r="G128" s="9" t="s">
        <v>49</v>
      </c>
      <c r="H128" s="9"/>
      <c r="I128" s="9" t="s">
        <v>356</v>
      </c>
      <c r="J128" s="9"/>
      <c r="K128" s="9" t="s">
        <v>357</v>
      </c>
      <c r="L128" s="9"/>
      <c r="M128" s="9"/>
      <c r="N128" s="9"/>
      <c r="O128" s="9"/>
      <c r="P128" s="9"/>
      <c r="Q128" s="9" t="s">
        <v>365</v>
      </c>
      <c r="R128" s="9" t="s">
        <v>186</v>
      </c>
      <c r="S128" s="9"/>
      <c r="T128" s="9" t="s">
        <v>366</v>
      </c>
      <c r="U128" s="9"/>
      <c r="V128" s="9"/>
      <c r="W128" s="9"/>
      <c r="Y128" s="9" t="s">
        <v>265</v>
      </c>
      <c r="Z128" s="9" t="s">
        <v>359</v>
      </c>
      <c r="AA128" s="9" t="s">
        <v>359</v>
      </c>
      <c r="AE128" s="9"/>
      <c r="AF128" s="9"/>
      <c r="AG128" s="9"/>
      <c r="AH128" s="9"/>
      <c r="AI128" s="9"/>
      <c r="AJ128" s="9"/>
      <c r="AL128" s="12"/>
    </row>
    <row r="129" spans="1:38" ht="26" x14ac:dyDescent="0.2">
      <c r="A129" s="9">
        <v>100</v>
      </c>
      <c r="B129" s="9"/>
      <c r="C129" s="9"/>
      <c r="D129" s="9" t="s">
        <v>50</v>
      </c>
      <c r="E129" s="12" t="s">
        <v>515</v>
      </c>
      <c r="F129" s="9" t="s">
        <v>85</v>
      </c>
      <c r="G129" s="9" t="s">
        <v>110</v>
      </c>
      <c r="H129" s="9"/>
      <c r="I129" s="9" t="s">
        <v>367</v>
      </c>
      <c r="J129" s="9"/>
      <c r="K129" s="9" t="s">
        <v>316</v>
      </c>
      <c r="L129" s="9"/>
      <c r="M129" s="9" t="s">
        <v>314</v>
      </c>
      <c r="N129" s="9"/>
      <c r="O129" s="9"/>
      <c r="P129" s="9"/>
      <c r="Q129" s="9" t="s">
        <v>179</v>
      </c>
      <c r="R129" s="9"/>
      <c r="S129" s="9"/>
      <c r="T129" s="9" t="s">
        <v>368</v>
      </c>
      <c r="U129" s="9"/>
      <c r="V129" s="9"/>
      <c r="W129" s="9"/>
      <c r="Y129" s="9" t="s">
        <v>265</v>
      </c>
      <c r="Z129" s="9" t="s">
        <v>359</v>
      </c>
      <c r="AA129" s="9" t="s">
        <v>359</v>
      </c>
      <c r="AE129" s="9"/>
      <c r="AF129" s="9"/>
      <c r="AG129" s="9"/>
      <c r="AH129" s="9"/>
      <c r="AI129" s="9"/>
      <c r="AJ129" s="9"/>
      <c r="AL129" s="12"/>
    </row>
    <row r="130" spans="1:38" ht="26" x14ac:dyDescent="0.2">
      <c r="A130" s="9">
        <v>100</v>
      </c>
      <c r="B130" s="9"/>
      <c r="C130" s="9"/>
      <c r="D130" s="9" t="s">
        <v>51</v>
      </c>
      <c r="E130" s="12" t="s">
        <v>516</v>
      </c>
      <c r="F130" s="9" t="s">
        <v>52</v>
      </c>
      <c r="G130" s="9" t="s">
        <v>53</v>
      </c>
      <c r="H130" s="9"/>
      <c r="I130" s="9" t="s">
        <v>369</v>
      </c>
      <c r="J130" s="9"/>
      <c r="K130" s="9" t="s">
        <v>316</v>
      </c>
      <c r="L130" s="9"/>
      <c r="M130" s="9" t="s">
        <v>314</v>
      </c>
      <c r="N130" s="9"/>
      <c r="O130" s="9"/>
      <c r="P130" s="9"/>
      <c r="Q130" s="9" t="s">
        <v>180</v>
      </c>
      <c r="R130" s="9"/>
      <c r="S130" s="9"/>
      <c r="T130" s="9" t="s">
        <v>370</v>
      </c>
      <c r="U130" s="9"/>
      <c r="V130" s="9"/>
      <c r="W130" s="9"/>
      <c r="Y130" s="9" t="s">
        <v>359</v>
      </c>
      <c r="Z130" s="9" t="s">
        <v>359</v>
      </c>
      <c r="AA130" s="9" t="s">
        <v>265</v>
      </c>
      <c r="AE130" s="9"/>
      <c r="AF130" s="9"/>
      <c r="AG130" s="9"/>
      <c r="AH130" s="9"/>
      <c r="AI130" s="9"/>
      <c r="AJ130" s="9"/>
      <c r="AL130" s="12"/>
    </row>
    <row r="131" spans="1:38" ht="39" x14ac:dyDescent="0.2">
      <c r="A131" s="5"/>
      <c r="AE131" s="28" t="s">
        <v>517</v>
      </c>
      <c r="AF131" s="28" t="s">
        <v>518</v>
      </c>
      <c r="AG131" s="28" t="s">
        <v>517</v>
      </c>
      <c r="AH131" s="28" t="s">
        <v>518</v>
      </c>
      <c r="AI131" s="28" t="s">
        <v>517</v>
      </c>
      <c r="AJ131" s="28" t="s">
        <v>518</v>
      </c>
      <c r="AL131" s="13"/>
    </row>
    <row r="132" spans="1:38" x14ac:dyDescent="0.2">
      <c r="A132" s="9">
        <v>110</v>
      </c>
      <c r="B132" s="9" t="s">
        <v>0</v>
      </c>
      <c r="C132" s="9"/>
      <c r="D132" s="9" t="s">
        <v>54</v>
      </c>
      <c r="E132" s="10"/>
      <c r="F132" s="9"/>
      <c r="G132" s="9"/>
      <c r="H132" s="9"/>
      <c r="I132" s="9" t="s">
        <v>250</v>
      </c>
      <c r="J132" s="9"/>
      <c r="K132" s="9" t="s">
        <v>251</v>
      </c>
      <c r="L132" s="9"/>
      <c r="M132" s="9" t="s">
        <v>371</v>
      </c>
      <c r="N132" s="9" t="s">
        <v>314</v>
      </c>
      <c r="O132" s="9"/>
      <c r="P132" s="9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9"/>
      <c r="AF132" s="9"/>
      <c r="AG132" s="9"/>
      <c r="AH132" s="9"/>
      <c r="AI132" s="9"/>
      <c r="AJ132" s="9"/>
      <c r="AK132" s="14"/>
      <c r="AL132" s="12"/>
    </row>
    <row r="133" spans="1:38" x14ac:dyDescent="0.2">
      <c r="A133" s="2"/>
      <c r="B133" s="3"/>
      <c r="C133" s="3"/>
      <c r="D133" s="4" t="s">
        <v>386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8"/>
    </row>
    <row r="134" spans="1:38" x14ac:dyDescent="0.2">
      <c r="A134" s="5"/>
      <c r="AL134" s="13"/>
    </row>
    <row r="135" spans="1:38" x14ac:dyDescent="0.2">
      <c r="A135" s="5"/>
      <c r="AL135" s="13"/>
    </row>
    <row r="136" spans="1:38" x14ac:dyDescent="0.2">
      <c r="A136" s="5"/>
      <c r="AL136" s="13"/>
    </row>
    <row r="137" spans="1:38" x14ac:dyDescent="0.2">
      <c r="A137" s="5"/>
      <c r="AL137" s="13"/>
    </row>
    <row r="138" spans="1:38" x14ac:dyDescent="0.2">
      <c r="A138" s="5"/>
      <c r="AL138" s="13"/>
    </row>
    <row r="139" spans="1:38" x14ac:dyDescent="0.2">
      <c r="A139" s="5"/>
      <c r="AL139" s="13"/>
    </row>
    <row r="140" spans="1:38" x14ac:dyDescent="0.2">
      <c r="A140" s="5"/>
      <c r="AL140" s="13"/>
    </row>
    <row r="141" spans="1:38" x14ac:dyDescent="0.2">
      <c r="A141" s="5"/>
      <c r="AL141" s="13"/>
    </row>
    <row r="142" spans="1:38" x14ac:dyDescent="0.2">
      <c r="A142" s="5"/>
      <c r="AL142" s="13"/>
    </row>
    <row r="143" spans="1:38" x14ac:dyDescent="0.2">
      <c r="A143" s="5"/>
      <c r="AL143" s="13"/>
    </row>
    <row r="144" spans="1:38" x14ac:dyDescent="0.2">
      <c r="A144" s="5"/>
      <c r="AL144" s="13"/>
    </row>
    <row r="145" spans="1:38" x14ac:dyDescent="0.2">
      <c r="A145" s="5"/>
      <c r="AL145" s="13"/>
    </row>
    <row r="146" spans="1:38" x14ac:dyDescent="0.2">
      <c r="A146" s="5"/>
      <c r="AL146" s="13"/>
    </row>
    <row r="147" spans="1:38" x14ac:dyDescent="0.2">
      <c r="A147" s="5"/>
      <c r="AL147" s="13"/>
    </row>
    <row r="148" spans="1:38" x14ac:dyDescent="0.2">
      <c r="A148" s="5"/>
      <c r="AL148" s="13"/>
    </row>
    <row r="149" spans="1:38" x14ac:dyDescent="0.2">
      <c r="A149" s="5"/>
      <c r="AL149" s="13"/>
    </row>
    <row r="150" spans="1:38" x14ac:dyDescent="0.2">
      <c r="A150" s="5"/>
      <c r="AL150" s="13"/>
    </row>
    <row r="151" spans="1:38" x14ac:dyDescent="0.2">
      <c r="A151" s="5"/>
      <c r="AL151" s="13"/>
    </row>
    <row r="152" spans="1:38" x14ac:dyDescent="0.2">
      <c r="A152" s="5"/>
      <c r="AL152" s="13"/>
    </row>
    <row r="153" spans="1:38" x14ac:dyDescent="0.2">
      <c r="A153" s="5"/>
      <c r="AL153" s="13"/>
    </row>
    <row r="154" spans="1:38" x14ac:dyDescent="0.2">
      <c r="A154" s="5"/>
      <c r="AL154" s="13"/>
    </row>
    <row r="155" spans="1:38" x14ac:dyDescent="0.2">
      <c r="A155" s="5"/>
      <c r="AL155" s="13"/>
    </row>
    <row r="156" spans="1:38" x14ac:dyDescent="0.2">
      <c r="A156" s="5"/>
      <c r="AL156" s="13"/>
    </row>
    <row r="157" spans="1:38" x14ac:dyDescent="0.2">
      <c r="A157" s="5"/>
      <c r="AL157" s="13"/>
    </row>
    <row r="158" spans="1:38" x14ac:dyDescent="0.2">
      <c r="A158" s="5"/>
      <c r="AL158" s="13"/>
    </row>
    <row r="159" spans="1:38" x14ac:dyDescent="0.2">
      <c r="A159" s="5"/>
      <c r="AL159" s="13"/>
    </row>
    <row r="160" spans="1:38" x14ac:dyDescent="0.2">
      <c r="A160" s="5"/>
      <c r="AL160" s="13"/>
    </row>
    <row r="161" spans="1:38" x14ac:dyDescent="0.2">
      <c r="A161" s="5"/>
      <c r="AL161" s="13"/>
    </row>
    <row r="162" spans="1:38" x14ac:dyDescent="0.2">
      <c r="A162" s="5"/>
      <c r="AL162" s="13"/>
    </row>
    <row r="163" spans="1:38" x14ac:dyDescent="0.2">
      <c r="A163" s="5"/>
      <c r="AL163" s="13"/>
    </row>
    <row r="164" spans="1:38" x14ac:dyDescent="0.2">
      <c r="A164" s="5"/>
      <c r="AL164" s="13"/>
    </row>
    <row r="165" spans="1:38" x14ac:dyDescent="0.2">
      <c r="A165" s="5"/>
      <c r="AL165" s="13"/>
    </row>
    <row r="166" spans="1:38" x14ac:dyDescent="0.2">
      <c r="A166" s="5"/>
      <c r="AL166" s="13"/>
    </row>
    <row r="167" spans="1:38" x14ac:dyDescent="0.2">
      <c r="A167" s="5"/>
      <c r="AL167" s="13"/>
    </row>
    <row r="168" spans="1:38" x14ac:dyDescent="0.2">
      <c r="A168" s="5"/>
      <c r="AL168" s="13"/>
    </row>
    <row r="169" spans="1:38" x14ac:dyDescent="0.2">
      <c r="A169" s="5"/>
      <c r="AL169" s="13"/>
    </row>
    <row r="170" spans="1:38" x14ac:dyDescent="0.2">
      <c r="A170" s="5"/>
      <c r="AL170" s="13"/>
    </row>
    <row r="171" spans="1:38" x14ac:dyDescent="0.2">
      <c r="A171" s="5"/>
      <c r="AL171" s="13"/>
    </row>
    <row r="172" spans="1:38" x14ac:dyDescent="0.2">
      <c r="A172" s="5"/>
      <c r="AL172" s="13"/>
    </row>
    <row r="173" spans="1:38" x14ac:dyDescent="0.2">
      <c r="A173" s="5"/>
      <c r="AL173" s="13"/>
    </row>
    <row r="174" spans="1:38" x14ac:dyDescent="0.2">
      <c r="A174" s="5"/>
      <c r="AL174" s="13"/>
    </row>
    <row r="175" spans="1:38" x14ac:dyDescent="0.2">
      <c r="A175" s="5"/>
      <c r="AL175" s="13"/>
    </row>
    <row r="176" spans="1:38" x14ac:dyDescent="0.2">
      <c r="A176" s="32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32" r:id="rId1" display="core_itm_p@Tab1" xr:uid="{00000000-0004-0000-0000-000000000000}"/>
    <hyperlink ref="D87" r:id="rId2" display="core_itm_p@Tab1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73" t="s">
        <v>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76" t="s">
        <v>10</v>
      </c>
      <c r="B3" s="77"/>
      <c r="C3" s="77"/>
      <c r="D3" s="77"/>
      <c r="E3" s="77"/>
      <c r="F3" s="77"/>
      <c r="G3" s="78"/>
      <c r="H3" s="79" t="s">
        <v>11</v>
      </c>
      <c r="I3" s="77"/>
      <c r="J3" s="77"/>
      <c r="K3" s="77"/>
      <c r="L3" s="77"/>
      <c r="M3" s="77"/>
      <c r="N3" s="78"/>
      <c r="O3" s="79" t="s">
        <v>12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13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14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57">
        <v>1.1000000000000001</v>
      </c>
      <c r="B5" s="58"/>
      <c r="C5" s="58"/>
      <c r="D5" s="58"/>
      <c r="E5" s="58"/>
      <c r="F5" s="58"/>
      <c r="G5" s="59"/>
      <c r="H5" s="60" t="s">
        <v>415</v>
      </c>
      <c r="I5" s="61"/>
      <c r="J5" s="61"/>
      <c r="K5" s="61"/>
      <c r="L5" s="61"/>
      <c r="M5" s="61"/>
      <c r="N5" s="62"/>
      <c r="O5" s="60" t="s">
        <v>412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413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6"/>
    </row>
    <row r="6" spans="1:57" ht="15" customHeight="1" x14ac:dyDescent="0.2">
      <c r="A6" s="57">
        <v>1.2000000000000002</v>
      </c>
      <c r="B6" s="58"/>
      <c r="C6" s="58"/>
      <c r="D6" s="58"/>
      <c r="E6" s="58"/>
      <c r="F6" s="58"/>
      <c r="G6" s="59"/>
      <c r="H6" s="60"/>
      <c r="I6" s="61"/>
      <c r="J6" s="61"/>
      <c r="K6" s="61"/>
      <c r="L6" s="61"/>
      <c r="M6" s="61"/>
      <c r="N6" s="62"/>
      <c r="O6" s="67" t="s">
        <v>519</v>
      </c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 t="s">
        <v>520</v>
      </c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2"/>
    </row>
    <row r="7" spans="1:57" ht="15" customHeight="1" x14ac:dyDescent="0.2">
      <c r="A7" s="57"/>
      <c r="B7" s="58"/>
      <c r="C7" s="58"/>
      <c r="D7" s="58"/>
      <c r="E7" s="58"/>
      <c r="F7" s="58"/>
      <c r="G7" s="59"/>
      <c r="H7" s="60"/>
      <c r="I7" s="61"/>
      <c r="J7" s="61"/>
      <c r="K7" s="61"/>
      <c r="L7" s="61"/>
      <c r="M7" s="61"/>
      <c r="N7" s="62"/>
      <c r="O7" s="60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 x14ac:dyDescent="0.2">
      <c r="A8" s="57"/>
      <c r="B8" s="58"/>
      <c r="C8" s="58"/>
      <c r="D8" s="58"/>
      <c r="E8" s="58"/>
      <c r="F8" s="58"/>
      <c r="G8" s="59"/>
      <c r="H8" s="60"/>
      <c r="I8" s="61"/>
      <c r="J8" s="61"/>
      <c r="K8" s="61"/>
      <c r="L8" s="61"/>
      <c r="M8" s="61"/>
      <c r="N8" s="62"/>
      <c r="O8" s="6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 x14ac:dyDescent="0.2">
      <c r="A9" s="57"/>
      <c r="B9" s="58"/>
      <c r="C9" s="58"/>
      <c r="D9" s="58"/>
      <c r="E9" s="58"/>
      <c r="F9" s="58"/>
      <c r="G9" s="59"/>
      <c r="H9" s="60"/>
      <c r="I9" s="61"/>
      <c r="J9" s="61"/>
      <c r="K9" s="61"/>
      <c r="L9" s="61"/>
      <c r="M9" s="61"/>
      <c r="N9" s="62"/>
      <c r="O9" s="6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 x14ac:dyDescent="0.2">
      <c r="A10" s="57"/>
      <c r="B10" s="58"/>
      <c r="C10" s="58"/>
      <c r="D10" s="58"/>
      <c r="E10" s="58"/>
      <c r="F10" s="58"/>
      <c r="G10" s="59"/>
      <c r="H10" s="60"/>
      <c r="I10" s="61"/>
      <c r="J10" s="61"/>
      <c r="K10" s="61"/>
      <c r="L10" s="61"/>
      <c r="M10" s="61"/>
      <c r="N10" s="62"/>
      <c r="O10" s="60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 x14ac:dyDescent="0.2">
      <c r="A11" s="57"/>
      <c r="B11" s="58"/>
      <c r="C11" s="58"/>
      <c r="D11" s="58"/>
      <c r="E11" s="58"/>
      <c r="F11" s="58"/>
      <c r="G11" s="59"/>
      <c r="H11" s="60"/>
      <c r="I11" s="61"/>
      <c r="J11" s="61"/>
      <c r="K11" s="61"/>
      <c r="L11" s="61"/>
      <c r="M11" s="61"/>
      <c r="N11" s="62"/>
      <c r="O11" s="60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 x14ac:dyDescent="0.2">
      <c r="A12" s="57"/>
      <c r="B12" s="58"/>
      <c r="C12" s="58"/>
      <c r="D12" s="58"/>
      <c r="E12" s="58"/>
      <c r="F12" s="58"/>
      <c r="G12" s="59"/>
      <c r="H12" s="60"/>
      <c r="I12" s="61"/>
      <c r="J12" s="61"/>
      <c r="K12" s="61"/>
      <c r="L12" s="61"/>
      <c r="M12" s="61"/>
      <c r="N12" s="62"/>
      <c r="O12" s="60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 x14ac:dyDescent="0.2">
      <c r="A13" s="57"/>
      <c r="B13" s="58"/>
      <c r="C13" s="58"/>
      <c r="D13" s="58"/>
      <c r="E13" s="58"/>
      <c r="F13" s="58"/>
      <c r="G13" s="59"/>
      <c r="H13" s="60"/>
      <c r="I13" s="61"/>
      <c r="J13" s="61"/>
      <c r="K13" s="61"/>
      <c r="L13" s="61"/>
      <c r="M13" s="61"/>
      <c r="N13" s="62"/>
      <c r="O13" s="60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 x14ac:dyDescent="0.2">
      <c r="A14" s="57"/>
      <c r="B14" s="58"/>
      <c r="C14" s="58"/>
      <c r="D14" s="58"/>
      <c r="E14" s="58"/>
      <c r="F14" s="58"/>
      <c r="G14" s="59"/>
      <c r="H14" s="60"/>
      <c r="I14" s="61"/>
      <c r="J14" s="61"/>
      <c r="K14" s="61"/>
      <c r="L14" s="61"/>
      <c r="M14" s="61"/>
      <c r="N14" s="62"/>
      <c r="O14" s="60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 x14ac:dyDescent="0.2">
      <c r="A15" s="57"/>
      <c r="B15" s="58"/>
      <c r="C15" s="58"/>
      <c r="D15" s="58"/>
      <c r="E15" s="58"/>
      <c r="F15" s="58"/>
      <c r="G15" s="59"/>
      <c r="H15" s="60"/>
      <c r="I15" s="61"/>
      <c r="J15" s="61"/>
      <c r="K15" s="61"/>
      <c r="L15" s="61"/>
      <c r="M15" s="61"/>
      <c r="N15" s="62"/>
      <c r="O15" s="60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 x14ac:dyDescent="0.2">
      <c r="A16" s="57"/>
      <c r="B16" s="58"/>
      <c r="C16" s="58"/>
      <c r="D16" s="58"/>
      <c r="E16" s="58"/>
      <c r="F16" s="58"/>
      <c r="G16" s="59"/>
      <c r="H16" s="60"/>
      <c r="I16" s="61"/>
      <c r="J16" s="61"/>
      <c r="K16" s="61"/>
      <c r="L16" s="61"/>
      <c r="M16" s="61"/>
      <c r="N16" s="62"/>
      <c r="O16" s="60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 x14ac:dyDescent="0.2">
      <c r="A17" s="57"/>
      <c r="B17" s="58"/>
      <c r="C17" s="58"/>
      <c r="D17" s="58"/>
      <c r="E17" s="58"/>
      <c r="F17" s="58"/>
      <c r="G17" s="59"/>
      <c r="H17" s="60"/>
      <c r="I17" s="61"/>
      <c r="J17" s="61"/>
      <c r="K17" s="61"/>
      <c r="L17" s="61"/>
      <c r="M17" s="61"/>
      <c r="N17" s="62"/>
      <c r="O17" s="60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 x14ac:dyDescent="0.2">
      <c r="A18" s="57"/>
      <c r="B18" s="58"/>
      <c r="C18" s="58"/>
      <c r="D18" s="58"/>
      <c r="E18" s="58"/>
      <c r="F18" s="58"/>
      <c r="G18" s="59"/>
      <c r="H18" s="60"/>
      <c r="I18" s="61"/>
      <c r="J18" s="61"/>
      <c r="K18" s="61"/>
      <c r="L18" s="61"/>
      <c r="M18" s="61"/>
      <c r="N18" s="62"/>
      <c r="O18" s="60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 x14ac:dyDescent="0.2">
      <c r="A19" s="57"/>
      <c r="B19" s="58"/>
      <c r="C19" s="58"/>
      <c r="D19" s="58"/>
      <c r="E19" s="58"/>
      <c r="F19" s="58"/>
      <c r="G19" s="59"/>
      <c r="H19" s="60"/>
      <c r="I19" s="61"/>
      <c r="J19" s="61"/>
      <c r="K19" s="61"/>
      <c r="L19" s="61"/>
      <c r="M19" s="61"/>
      <c r="N19" s="62"/>
      <c r="O19" s="60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 x14ac:dyDescent="0.2">
      <c r="A20" s="57"/>
      <c r="B20" s="58"/>
      <c r="C20" s="58"/>
      <c r="D20" s="58"/>
      <c r="E20" s="58"/>
      <c r="F20" s="58"/>
      <c r="G20" s="59"/>
      <c r="H20" s="60"/>
      <c r="I20" s="61"/>
      <c r="J20" s="61"/>
      <c r="K20" s="61"/>
      <c r="L20" s="61"/>
      <c r="M20" s="61"/>
      <c r="N20" s="62"/>
      <c r="O20" s="60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 x14ac:dyDescent="0.2">
      <c r="A21" s="57"/>
      <c r="B21" s="58"/>
      <c r="C21" s="58"/>
      <c r="D21" s="58"/>
      <c r="E21" s="58"/>
      <c r="F21" s="58"/>
      <c r="G21" s="59"/>
      <c r="H21" s="60"/>
      <c r="I21" s="61"/>
      <c r="J21" s="61"/>
      <c r="K21" s="61"/>
      <c r="L21" s="61"/>
      <c r="M21" s="61"/>
      <c r="N21" s="62"/>
      <c r="O21" s="60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 x14ac:dyDescent="0.2">
      <c r="A22" s="57"/>
      <c r="B22" s="58"/>
      <c r="C22" s="58"/>
      <c r="D22" s="58"/>
      <c r="E22" s="58"/>
      <c r="F22" s="58"/>
      <c r="G22" s="59"/>
      <c r="H22" s="60"/>
      <c r="I22" s="61"/>
      <c r="J22" s="61"/>
      <c r="K22" s="61"/>
      <c r="L22" s="61"/>
      <c r="M22" s="61"/>
      <c r="N22" s="62"/>
      <c r="O22" s="60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 x14ac:dyDescent="0.2">
      <c r="A23" s="57"/>
      <c r="B23" s="58"/>
      <c r="C23" s="58"/>
      <c r="D23" s="58"/>
      <c r="E23" s="58"/>
      <c r="F23" s="58"/>
      <c r="G23" s="59"/>
      <c r="H23" s="60"/>
      <c r="I23" s="61"/>
      <c r="J23" s="61"/>
      <c r="K23" s="61"/>
      <c r="L23" s="61"/>
      <c r="M23" s="61"/>
      <c r="N23" s="62"/>
      <c r="O23" s="60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 x14ac:dyDescent="0.2">
      <c r="A24" s="57"/>
      <c r="B24" s="58"/>
      <c r="C24" s="58"/>
      <c r="D24" s="58"/>
      <c r="E24" s="58"/>
      <c r="F24" s="58"/>
      <c r="G24" s="59"/>
      <c r="H24" s="60"/>
      <c r="I24" s="61"/>
      <c r="J24" s="61"/>
      <c r="K24" s="61"/>
      <c r="L24" s="61"/>
      <c r="M24" s="61"/>
      <c r="N24" s="62"/>
      <c r="O24" s="60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 x14ac:dyDescent="0.2">
      <c r="A25" s="57"/>
      <c r="B25" s="58"/>
      <c r="C25" s="58"/>
      <c r="D25" s="58"/>
      <c r="E25" s="58"/>
      <c r="F25" s="58"/>
      <c r="G25" s="59"/>
      <c r="H25" s="60"/>
      <c r="I25" s="61"/>
      <c r="J25" s="61"/>
      <c r="K25" s="61"/>
      <c r="L25" s="61"/>
      <c r="M25" s="61"/>
      <c r="N25" s="62"/>
      <c r="O25" s="60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 x14ac:dyDescent="0.2">
      <c r="A26" s="57"/>
      <c r="B26" s="58"/>
      <c r="C26" s="58"/>
      <c r="D26" s="58"/>
      <c r="E26" s="58"/>
      <c r="F26" s="58"/>
      <c r="G26" s="59"/>
      <c r="H26" s="60"/>
      <c r="I26" s="61"/>
      <c r="J26" s="61"/>
      <c r="K26" s="61"/>
      <c r="L26" s="61"/>
      <c r="M26" s="61"/>
      <c r="N26" s="62"/>
      <c r="O26" s="60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 x14ac:dyDescent="0.2">
      <c r="A27" s="57"/>
      <c r="B27" s="58"/>
      <c r="C27" s="58"/>
      <c r="D27" s="58"/>
      <c r="E27" s="58"/>
      <c r="F27" s="58"/>
      <c r="G27" s="59"/>
      <c r="H27" s="60"/>
      <c r="I27" s="61"/>
      <c r="J27" s="61"/>
      <c r="K27" s="61"/>
      <c r="L27" s="61"/>
      <c r="M27" s="61"/>
      <c r="N27" s="62"/>
      <c r="O27" s="60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 x14ac:dyDescent="0.2">
      <c r="A28" s="57"/>
      <c r="B28" s="58"/>
      <c r="C28" s="58"/>
      <c r="D28" s="58"/>
      <c r="E28" s="58"/>
      <c r="F28" s="58"/>
      <c r="G28" s="59"/>
      <c r="H28" s="60"/>
      <c r="I28" s="61"/>
      <c r="J28" s="61"/>
      <c r="K28" s="61"/>
      <c r="L28" s="61"/>
      <c r="M28" s="61"/>
      <c r="N28" s="62"/>
      <c r="O28" s="60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 x14ac:dyDescent="0.2">
      <c r="A29" s="57"/>
      <c r="B29" s="58"/>
      <c r="C29" s="58"/>
      <c r="D29" s="58"/>
      <c r="E29" s="58"/>
      <c r="F29" s="58"/>
      <c r="G29" s="59"/>
      <c r="H29" s="60"/>
      <c r="I29" s="61"/>
      <c r="J29" s="61"/>
      <c r="K29" s="61"/>
      <c r="L29" s="61"/>
      <c r="M29" s="61"/>
      <c r="N29" s="62"/>
      <c r="O29" s="60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 x14ac:dyDescent="0.2">
      <c r="A30" s="57"/>
      <c r="B30" s="58"/>
      <c r="C30" s="58"/>
      <c r="D30" s="58"/>
      <c r="E30" s="58"/>
      <c r="F30" s="58"/>
      <c r="G30" s="59"/>
      <c r="H30" s="60"/>
      <c r="I30" s="61"/>
      <c r="J30" s="61"/>
      <c r="K30" s="61"/>
      <c r="L30" s="61"/>
      <c r="M30" s="61"/>
      <c r="N30" s="62"/>
      <c r="O30" s="60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 x14ac:dyDescent="0.2">
      <c r="A31" s="57"/>
      <c r="B31" s="58"/>
      <c r="C31" s="58"/>
      <c r="D31" s="58"/>
      <c r="E31" s="58"/>
      <c r="F31" s="58"/>
      <c r="G31" s="59"/>
      <c r="H31" s="60"/>
      <c r="I31" s="61"/>
      <c r="J31" s="61"/>
      <c r="K31" s="61"/>
      <c r="L31" s="61"/>
      <c r="M31" s="61"/>
      <c r="N31" s="62"/>
      <c r="O31" s="60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 x14ac:dyDescent="0.2">
      <c r="A32" s="57"/>
      <c r="B32" s="58"/>
      <c r="C32" s="58"/>
      <c r="D32" s="58"/>
      <c r="E32" s="58"/>
      <c r="F32" s="58"/>
      <c r="G32" s="59"/>
      <c r="H32" s="60"/>
      <c r="I32" s="61"/>
      <c r="J32" s="61"/>
      <c r="K32" s="61"/>
      <c r="L32" s="61"/>
      <c r="M32" s="61"/>
      <c r="N32" s="62"/>
      <c r="O32" s="60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 x14ac:dyDescent="0.2">
      <c r="A33" s="57"/>
      <c r="B33" s="58"/>
      <c r="C33" s="58"/>
      <c r="D33" s="58"/>
      <c r="E33" s="58"/>
      <c r="F33" s="58"/>
      <c r="G33" s="59"/>
      <c r="H33" s="60"/>
      <c r="I33" s="61"/>
      <c r="J33" s="61"/>
      <c r="K33" s="61"/>
      <c r="L33" s="61"/>
      <c r="M33" s="61"/>
      <c r="N33" s="62"/>
      <c r="O33" s="60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 x14ac:dyDescent="0.2">
      <c r="A34" s="57"/>
      <c r="B34" s="58"/>
      <c r="C34" s="58"/>
      <c r="D34" s="58"/>
      <c r="E34" s="58"/>
      <c r="F34" s="58"/>
      <c r="G34" s="59"/>
      <c r="H34" s="60"/>
      <c r="I34" s="61"/>
      <c r="J34" s="61"/>
      <c r="K34" s="61"/>
      <c r="L34" s="61"/>
      <c r="M34" s="61"/>
      <c r="N34" s="62"/>
      <c r="O34" s="60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 x14ac:dyDescent="0.25">
      <c r="A35" s="47"/>
      <c r="B35" s="48"/>
      <c r="C35" s="48"/>
      <c r="D35" s="48"/>
      <c r="E35" s="48"/>
      <c r="F35" s="48"/>
      <c r="G35" s="49"/>
      <c r="H35" s="50"/>
      <c r="I35" s="51"/>
      <c r="J35" s="51"/>
      <c r="K35" s="51"/>
      <c r="L35" s="51"/>
      <c r="M35" s="51"/>
      <c r="N35" s="52"/>
      <c r="O35" s="50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/>
      <c r="AQ35" s="55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2026-03-27T05:59:06Z</dcterms:modified>
  <cp:category/>
</cp:coreProperties>
</file>