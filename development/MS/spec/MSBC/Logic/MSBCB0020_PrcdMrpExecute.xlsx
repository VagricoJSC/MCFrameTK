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0F9A4E50-E269-4FBC-BB3F-E6FF0BE7ACB8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rcdMrpExecute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<sst xmlns="http://schemas.openxmlformats.org/spreadsheetml/2006/main" count="117" uniqueCount="81">
  <si>
    <t>*</t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</si>
  <si>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</si>
  <si>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</si>
  <si>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</si>
  <si>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</si>
  <si>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</si>
  <si>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</si>
  <si>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</si>
  <si>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</si>
  <si>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</si>
  <si>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</si>
  <si>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</si>
  <si>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</si>
  <si>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</si>
  <si>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</si>
  <si>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</si>
  <si>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</si>
  <si>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</si>
  <si>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</si>
  <si>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</si>
  <si>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</si>
  <si>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ModuleID :</t>
    <phoneticPr fontId="1"/>
  </si>
  <si>
    <t>MS</t>
  </si>
  <si>
    <t>LogicID :</t>
    <phoneticPr fontId="1"/>
  </si>
  <si>
    <t>MC</t>
    <phoneticPr fontId="3"/>
  </si>
  <si>
    <t>SubModuleID :</t>
    <phoneticPr fontId="1"/>
  </si>
  <si>
    <t>MSBC</t>
  </si>
  <si>
    <t>LogicClass :</t>
    <phoneticPr fontId="1"/>
  </si>
  <si>
    <t>LogicName :</t>
    <phoneticPr fontId="1"/>
  </si>
  <si>
    <t>SuperLogicID :</t>
    <phoneticPr fontId="1"/>
  </si>
  <si>
    <t>#MA.WG_CD</t>
  </si>
  <si>
    <t>#MA.DT</t>
    <phoneticPr fontId="3"/>
  </si>
  <si>
    <t>MSBCB0020</t>
    <phoneticPr fontId="3"/>
  </si>
  <si>
    <t>MSBCB_PrcdMrpExecute</t>
    <phoneticPr fontId="3"/>
  </si>
  <si>
    <t>先行手配用所要量計算実行</t>
    <rPh sb="0" eb="2">
      <t>センコウ</t>
    </rPh>
    <rPh sb="2" eb="4">
      <t>テハイ</t>
    </rPh>
    <rPh sb="4" eb="5">
      <t>ヨウ</t>
    </rPh>
    <rPh sb="5" eb="7">
      <t>ショヨウ</t>
    </rPh>
    <rPh sb="7" eb="8">
      <t>リョウ</t>
    </rPh>
    <rPh sb="8" eb="10">
      <t>ケイサン</t>
    </rPh>
    <rPh sb="10" eb="12">
      <t>ジッコウ</t>
    </rPh>
    <phoneticPr fontId="3"/>
  </si>
  <si>
    <t>PrcdMrpExecute_Upd01</t>
    <phoneticPr fontId="3"/>
  </si>
  <si>
    <t>先行手配用所要量計算</t>
    <rPh sb="0" eb="2">
      <t>センコウ</t>
    </rPh>
    <rPh sb="2" eb="4">
      <t>テハイ</t>
    </rPh>
    <rPh sb="4" eb="5">
      <t>ヨウ</t>
    </rPh>
    <phoneticPr fontId="3"/>
  </si>
  <si>
    <t>先行手配用所要量計算処理を実行するバッチです。</t>
    <rPh sb="0" eb="2">
      <t>センコウ</t>
    </rPh>
    <rPh sb="2" eb="4">
      <t>テハイ</t>
    </rPh>
    <rPh sb="4" eb="5">
      <t>ヨウ</t>
    </rPh>
    <phoneticPr fontId="3"/>
  </si>
  <si>
    <t>PrcdMrp_Cnd</t>
    <phoneticPr fontId="1"/>
  </si>
  <si>
    <t>@</t>
    <phoneticPr fontId="3"/>
  </si>
  <si>
    <t>R</t>
    <phoneticPr fontId="1"/>
  </si>
  <si>
    <t>Pj.ID :</t>
    <phoneticPr fontId="1"/>
  </si>
  <si>
    <t>SuperClassPj.ID :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</si>
  <si>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</si>
  <si>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</si>
  <si>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</si>
  <si>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</si>
  <si>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</si>
  <si>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ワーキンググループＣＤ</t>
    <phoneticPr fontId="1"/>
  </si>
  <si>
    <t>E</t>
    <phoneticPr fontId="3"/>
  </si>
  <si>
    <t>-</t>
    <phoneticPr fontId="3"/>
  </si>
  <si>
    <t>出庫予定ＦＲＯＭ</t>
    <phoneticPr fontId="3"/>
  </si>
  <si>
    <t>独立所要ＦＲＯＭ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</si>
  <si>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</si>
  <si>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</si>
  <si>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</si>
  <si>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</si>
  <si>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wg_cd</t>
    <phoneticPr fontId="3"/>
  </si>
  <si>
    <t>gi_schd_fr</t>
    <phoneticPr fontId="3"/>
  </si>
  <si>
    <t>irqmt_fr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</si>
  <si>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</si>
  <si>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</si>
  <si>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</si>
  <si>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</si>
  <si>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</si>
  <si>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</si>
  <si>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</si>
  <si>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</si>
  <si>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</si>
  <si>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</si>
  <si>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</si>
  <si>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</si>
  <si>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</si>
  <si>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</si>
  <si>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</si>
  <si>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</si>
  <si>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</si>
  <si>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GI schedule FROM</t>
  </si>
  <si>
    <t>Independent requirement FROM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</si>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</sst>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7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3.8164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12</v>
      </c>
      <c r="B2" s="7" t="s">
        <v>21</v>
      </c>
      <c r="C2" s="8" t="s">
        <v>22</v>
      </c>
      <c r="D2" s="7" t="s">
        <v>23</v>
      </c>
      <c r="E2" s="8" t="s">
        <v>32</v>
      </c>
      <c r="F2" s="7" t="s">
        <v>41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25</v>
      </c>
      <c r="C3" s="8" t="s">
        <v>26</v>
      </c>
      <c r="D3" s="7" t="s">
        <v>27</v>
      </c>
      <c r="E3" s="8" t="s">
        <v>33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28</v>
      </c>
      <c r="E4" s="11" t="s">
        <v>34</v>
      </c>
      <c r="F4" s="7" t="s">
        <v>29</v>
      </c>
      <c r="G4" s="8" t="s">
        <v>60</v>
      </c>
      <c r="I4" s="5"/>
      <c r="J4" s="4"/>
    </row>
    <row r="5" spans="1:13" x14ac:dyDescent="0.2">
      <c r="A5" s="6" t="s">
        <v>14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20.1796875" style="4" bestFit="1" customWidth="1"/>
    <col min="12" max="12" width="21.453125" style="4" bestFit="1" customWidth="1"/>
    <col min="13" max="13" width="38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2</v>
      </c>
      <c r="B1" s="46" t="s">
        <v>2</v>
      </c>
      <c r="C1" s="46"/>
      <c r="D1" s="1" t="s">
        <v>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</v>
      </c>
      <c r="B2" s="23"/>
      <c r="C2" s="23"/>
      <c r="D2" s="58" t="s">
        <v>62</v>
      </c>
      <c r="E2" s="7" t="s">
        <v>21</v>
      </c>
      <c r="F2" s="47" t="str">
        <f>IF(LogicCommon!C2="","",LogicCommon!C2)</f>
        <v>MS</v>
      </c>
      <c r="G2" s="7" t="s">
        <v>23</v>
      </c>
      <c r="H2" s="47" t="str">
        <f>IF(LogicCommon!E2="","",LogicCommon!E2)</f>
        <v>MSBCB0020</v>
      </c>
      <c r="I2" s="7" t="s">
        <v>43</v>
      </c>
      <c r="J2" s="8" t="s">
        <v>35</v>
      </c>
      <c r="K2" s="7" t="s">
        <v>41</v>
      </c>
      <c r="L2" s="47" t="str">
        <f>IF(LogicCommon!G2="","",LogicCommon!G2)</f>
        <v>MC</v>
      </c>
      <c r="M2" s="5" t="s">
        <v>9</v>
      </c>
      <c r="N2" s="24" t="s">
        <v>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</v>
      </c>
      <c r="B3" s="49"/>
      <c r="C3" s="49"/>
      <c r="D3" s="50" t="str">
        <f>IF(LogicCommon!A3="","",LogicCommon!A3)</f>
        <v/>
      </c>
      <c r="E3" s="7" t="s">
        <v>25</v>
      </c>
      <c r="F3" s="47" t="str">
        <f>IF(LogicCommon!C3="","",LogicCommon!C3)</f>
        <v>MSBC</v>
      </c>
      <c r="G3" s="7" t="s">
        <v>27</v>
      </c>
      <c r="H3" s="47" t="str">
        <f>IF(LogicCommon!E3="","",LogicCommon!E3)</f>
        <v>MSBCB_PrcdMrpExecute</v>
      </c>
      <c r="I3" s="7" t="s">
        <v>44</v>
      </c>
      <c r="J3" s="8" t="s">
        <v>35</v>
      </c>
      <c r="K3" s="7" t="s">
        <v>42</v>
      </c>
      <c r="L3" s="47" t="str">
        <f>IF(LogicCommon!G3="","",LogicCommon!G3)</f>
        <v/>
      </c>
      <c r="M3" s="51"/>
      <c r="N3" s="7"/>
      <c r="O3" s="7" t="s">
        <v>45</v>
      </c>
      <c r="P3" s="8" t="s">
        <v>53</v>
      </c>
      <c r="Q3" s="4"/>
      <c r="R3" s="5"/>
      <c r="S3" s="5"/>
      <c r="T3" s="5"/>
      <c r="U3" s="5"/>
    </row>
    <row r="4" spans="1:21" s="10" customFormat="1" x14ac:dyDescent="0.2">
      <c r="A4" s="48" t="s">
        <v>2</v>
      </c>
      <c r="B4" s="49"/>
      <c r="C4" s="49"/>
      <c r="D4" s="4"/>
      <c r="E4" s="7" t="s">
        <v>10</v>
      </c>
      <c r="F4" s="52" t="s">
        <v>46</v>
      </c>
      <c r="G4" s="7" t="s">
        <v>28</v>
      </c>
      <c r="H4" s="47" t="str">
        <f>IF(LogicCommon!E4="","",LogicCommon!E4)</f>
        <v>先行手配用所要量計算実行</v>
      </c>
      <c r="I4" s="7" t="s">
        <v>47</v>
      </c>
      <c r="J4" s="8" t="s">
        <v>36</v>
      </c>
      <c r="K4" s="7" t="s">
        <v>29</v>
      </c>
      <c r="L4" s="47" t="str">
        <f>IF(LogicCommon!G4="","",LogicCommon!G4)</f>
        <v>MS.MSUDL5010</v>
      </c>
      <c r="M4" s="53" t="s">
        <v>54</v>
      </c>
      <c r="N4" s="24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</v>
      </c>
      <c r="B5" s="46"/>
      <c r="C5" s="46"/>
      <c r="D5" s="21"/>
      <c r="E5" s="7" t="s">
        <v>11</v>
      </c>
      <c r="F5" s="52" t="s">
        <v>39</v>
      </c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</v>
      </c>
      <c r="B6" s="49"/>
      <c r="C6" s="49"/>
      <c r="D6" s="4" t="s">
        <v>14</v>
      </c>
      <c r="E6" s="12" t="s">
        <v>37</v>
      </c>
      <c r="F6" s="12"/>
      <c r="G6" s="12"/>
      <c r="H6" s="12"/>
      <c r="I6" s="12"/>
      <c r="J6" s="12"/>
      <c r="K6" s="12"/>
      <c r="L6" s="57"/>
      <c r="M6" s="15" t="s">
        <v>6</v>
      </c>
      <c r="N6" s="15"/>
      <c r="O6" s="15" t="s">
        <v>6</v>
      </c>
      <c r="P6" s="15"/>
      <c r="Q6" s="15" t="s">
        <v>6</v>
      </c>
      <c r="R6" s="4"/>
      <c r="S6" s="4"/>
      <c r="T6" s="4"/>
      <c r="U6" s="4"/>
    </row>
    <row r="7" spans="1:21" s="10" customFormat="1" x14ac:dyDescent="0.2">
      <c r="A7" s="23" t="s">
        <v>4</v>
      </c>
      <c r="B7" s="23"/>
      <c r="C7" s="23"/>
      <c r="D7" s="6"/>
      <c r="E7" s="6"/>
      <c r="F7" s="6"/>
      <c r="G7" s="6"/>
      <c r="H7" s="6"/>
      <c r="I7" s="6" t="s">
        <v>5</v>
      </c>
      <c r="J7" s="6"/>
      <c r="K7" s="8" t="s">
        <v>13</v>
      </c>
      <c r="L7" s="25" t="s">
        <v>7</v>
      </c>
      <c r="M7" s="26"/>
      <c r="N7" s="25" t="s">
        <v>7</v>
      </c>
      <c r="O7" s="26"/>
      <c r="P7" s="25" t="s">
        <v>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4</v>
      </c>
      <c r="B8" s="59"/>
      <c r="C8" s="60"/>
      <c r="D8" s="25" t="s">
        <v>63</v>
      </c>
      <c r="E8" s="25" t="s">
        <v>64</v>
      </c>
      <c r="F8" s="57"/>
      <c r="G8" s="25" t="s">
        <v>55</v>
      </c>
      <c r="H8" s="25" t="s">
        <v>65</v>
      </c>
      <c r="I8" s="57"/>
      <c r="J8" s="3"/>
      <c r="K8" s="8"/>
      <c r="L8" s="25" t="s">
        <v>8</v>
      </c>
      <c r="M8" s="26"/>
      <c r="N8" s="25" t="s">
        <v>56</v>
      </c>
      <c r="O8" s="26"/>
      <c r="P8" s="25" t="s">
        <v>56</v>
      </c>
      <c r="Q8" s="26"/>
      <c r="R8" s="3"/>
      <c r="S8" s="21"/>
      <c r="T8" s="113" t="s">
        <v>66</v>
      </c>
      <c r="U8" s="114"/>
    </row>
    <row r="9" spans="1:21" s="10" customFormat="1" ht="60" customHeight="1" x14ac:dyDescent="0.2">
      <c r="A9" s="8" t="s">
        <v>4</v>
      </c>
      <c r="B9" s="28"/>
      <c r="C9" s="29"/>
      <c r="D9" s="25" t="s">
        <v>67</v>
      </c>
      <c r="E9" s="61" t="s">
        <v>68</v>
      </c>
      <c r="F9" s="25" t="s">
        <v>69</v>
      </c>
      <c r="G9" s="25" t="s">
        <v>70</v>
      </c>
      <c r="H9" s="25" t="s">
        <v>71</v>
      </c>
      <c r="I9" s="62" t="s">
        <v>72</v>
      </c>
      <c r="J9" s="25" t="s">
        <v>73</v>
      </c>
      <c r="K9" s="58"/>
      <c r="L9" s="62"/>
      <c r="M9" s="25"/>
      <c r="N9" s="25"/>
      <c r="O9" s="25"/>
      <c r="P9" s="25"/>
      <c r="Q9" s="25"/>
      <c r="R9" s="113" t="s">
        <v>74</v>
      </c>
      <c r="S9" s="114"/>
      <c r="T9" s="113" t="s">
        <v>75</v>
      </c>
      <c r="U9" s="114"/>
    </row>
    <row r="10" spans="1:21" s="10" customFormat="1" ht="39" x14ac:dyDescent="0.2">
      <c r="A10" s="28" t="s">
        <v>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72</v>
      </c>
      <c r="M10" s="25" t="s">
        <v>73</v>
      </c>
      <c r="N10" s="25" t="s">
        <v>72</v>
      </c>
      <c r="O10" s="25" t="s">
        <v>73</v>
      </c>
      <c r="P10" s="25" t="s">
        <v>72</v>
      </c>
      <c r="Q10" s="25" t="s">
        <v>73</v>
      </c>
      <c r="R10" s="30"/>
      <c r="S10" s="30"/>
      <c r="T10" s="35"/>
      <c r="U10" s="45"/>
    </row>
    <row r="11" spans="1:21" s="10" customFormat="1" x14ac:dyDescent="0.2">
      <c r="A11" s="8">
        <v>10</v>
      </c>
      <c r="B11" s="28" t="s">
        <v>0</v>
      </c>
      <c r="C11" s="29"/>
      <c r="D11" s="24" t="s">
        <v>38</v>
      </c>
      <c r="E11" s="27" t="s">
        <v>40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15"/>
      <c r="U11" s="116"/>
    </row>
    <row r="12" spans="1:21" s="10" customFormat="1" x14ac:dyDescent="0.2">
      <c r="A12" s="8">
        <v>10</v>
      </c>
      <c r="B12" s="8"/>
      <c r="C12" s="8"/>
      <c r="D12" s="8" t="s">
        <v>57</v>
      </c>
      <c r="E12" s="26" t="s">
        <v>30</v>
      </c>
      <c r="F12" s="26"/>
      <c r="G12" s="39" t="s">
        <v>76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113"/>
      <c r="S12" s="114"/>
      <c r="T12" s="115"/>
      <c r="U12" s="116"/>
    </row>
    <row r="13" spans="1:21" s="10" customFormat="1" x14ac:dyDescent="0.2">
      <c r="A13" s="8">
        <v>10</v>
      </c>
      <c r="B13" s="8"/>
      <c r="C13" s="8"/>
      <c r="D13" s="8" t="s">
        <v>58</v>
      </c>
      <c r="E13" s="26" t="s">
        <v>31</v>
      </c>
      <c r="F13" s="26"/>
      <c r="G13" s="39" t="s">
        <v>77</v>
      </c>
      <c r="H13" s="39" t="s">
        <v>51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13"/>
      <c r="S13" s="114"/>
      <c r="T13" s="115"/>
      <c r="U13" s="116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31</v>
      </c>
      <c r="F14" s="26"/>
      <c r="G14" s="39" t="s">
        <v>78</v>
      </c>
      <c r="H14" s="39" t="s">
        <v>52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13"/>
      <c r="S14" s="114"/>
      <c r="T14" s="115"/>
      <c r="U14" s="116"/>
    </row>
    <row r="15" spans="1:21" s="10" customFormat="1" x14ac:dyDescent="0.2">
      <c r="A15" s="22"/>
      <c r="B15" s="23"/>
      <c r="C15" s="23"/>
      <c r="D15" s="16" t="s">
        <v>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48"/>
      <c r="U16" s="40"/>
    </row>
    <row r="17" spans="1:21" s="10" customFormat="1" x14ac:dyDescent="0.2">
      <c r="A17" s="48"/>
      <c r="U17" s="40"/>
    </row>
    <row r="18" spans="1:21" s="10" customFormat="1" x14ac:dyDescent="0.2">
      <c r="A18" s="48"/>
      <c r="U18" s="40"/>
    </row>
    <row r="19" spans="1:21" s="10" customFormat="1" x14ac:dyDescent="0.2">
      <c r="A19" s="48"/>
      <c r="U19" s="40"/>
    </row>
    <row r="20" spans="1:21" s="10" customFormat="1" x14ac:dyDescent="0.2">
      <c r="A20" s="48"/>
      <c r="U20" s="40"/>
    </row>
    <row r="21" spans="1:21" s="10" customFormat="1" x14ac:dyDescent="0.2">
      <c r="A21" s="48"/>
      <c r="U21" s="40"/>
    </row>
    <row r="22" spans="1:21" s="10" customFormat="1" x14ac:dyDescent="0.2">
      <c r="A22" s="5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1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92" t="s">
        <v>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95" t="s">
        <v>16</v>
      </c>
      <c r="B3" s="96"/>
      <c r="C3" s="96"/>
      <c r="D3" s="96"/>
      <c r="E3" s="96"/>
      <c r="F3" s="96"/>
      <c r="G3" s="97"/>
      <c r="H3" s="98" t="s">
        <v>17</v>
      </c>
      <c r="I3" s="96"/>
      <c r="J3" s="96"/>
      <c r="K3" s="96"/>
      <c r="L3" s="96"/>
      <c r="M3" s="96"/>
      <c r="N3" s="97"/>
      <c r="O3" s="98" t="s">
        <v>18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19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20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6" t="s">
        <v>79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80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83"/>
      <c r="I6" s="84"/>
      <c r="J6" s="84"/>
      <c r="K6" s="84"/>
      <c r="L6" s="84"/>
      <c r="M6" s="84"/>
      <c r="N6" s="85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83"/>
      <c r="I7" s="84"/>
      <c r="J7" s="84"/>
      <c r="K7" s="84"/>
      <c r="L7" s="84"/>
      <c r="M7" s="84"/>
      <c r="N7" s="8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63"/>
      <c r="B35" s="64"/>
      <c r="C35" s="64"/>
      <c r="D35" s="64"/>
      <c r="E35" s="64"/>
      <c r="F35" s="64"/>
      <c r="G35" s="65"/>
      <c r="H35" s="66"/>
      <c r="I35" s="67"/>
      <c r="J35" s="67"/>
      <c r="K35" s="67"/>
      <c r="L35" s="67"/>
      <c r="M35" s="67"/>
      <c r="N35" s="68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1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PrcdMrpExecute_Upd01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2026-03-27T05:56:45Z</dcterms:modified>
  <cp:category/>
</cp:coreProperties>
</file>