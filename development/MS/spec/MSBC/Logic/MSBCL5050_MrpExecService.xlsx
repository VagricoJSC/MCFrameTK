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46926047-841F-4C7C-A3A1-B76A2B45FC21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MRP_Upd01" sheetId="5" r:id="rId2"/>
    <sheet name="MRP_Upd02" sheetId="6" r:id="rId3"/>
    <sheet name="MRP_Upd03" sheetId="7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<sst xmlns="http://schemas.openxmlformats.org/spreadsheetml/2006/main" count="509" uniqueCount="202">
  <si>
    <t>*</t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</si>
  <si>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</si>
  <si>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</si>
  <si>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</si>
  <si>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</si>
  <si>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</si>
  <si>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</si>
  <si>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</si>
  <si>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</si>
  <si>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</si>
  <si>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</si>
  <si>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</si>
  <si>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</si>
  <si>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</si>
  <si>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</si>
  <si>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</si>
  <si>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ModuleID :</t>
    <phoneticPr fontId="1"/>
  </si>
  <si>
    <t>MS</t>
  </si>
  <si>
    <t>LogicID :</t>
    <phoneticPr fontId="1"/>
  </si>
  <si>
    <t>MSBCL5050</t>
  </si>
  <si>
    <t>MC</t>
    <phoneticPr fontId="3"/>
  </si>
  <si>
    <t>SubModuleID :</t>
    <phoneticPr fontId="1"/>
  </si>
  <si>
    <t>MSBC</t>
  </si>
  <si>
    <t>LogicClass :</t>
    <phoneticPr fontId="1"/>
  </si>
  <si>
    <t>LogicName :</t>
    <phoneticPr fontId="1"/>
  </si>
  <si>
    <t>SuperLogicID :</t>
    <phoneticPr fontId="1"/>
  </si>
  <si>
    <t>所要量計算サービス</t>
  </si>
  <si>
    <t>所要量計算サービス</t>
    <rPh sb="0" eb="2">
      <t>ショヨウ</t>
    </rPh>
    <rPh sb="2" eb="3">
      <t>リョウ</t>
    </rPh>
    <rPh sb="3" eb="5">
      <t>ケイサン</t>
    </rPh>
    <phoneticPr fontId="3"/>
  </si>
  <si>
    <t>MRP_Upd01</t>
  </si>
  <si>
    <t>L</t>
    <phoneticPr fontId="1"/>
  </si>
  <si>
    <t>#MA.WG_CD</t>
  </si>
  <si>
    <t>#MA.SIM_MRP_NO</t>
  </si>
  <si>
    <t>#MS.SIM_MRP_TYP</t>
  </si>
  <si>
    <t>sim_mrp_typ</t>
  </si>
  <si>
    <t>sch_flg</t>
  </si>
  <si>
    <t>#MA.FLG</t>
  </si>
  <si>
    <t>#MA.MRP_CALC_NO</t>
  </si>
  <si>
    <t>mrp_calc_no</t>
  </si>
  <si>
    <t>#MA.DT</t>
    <phoneticPr fontId="3"/>
  </si>
  <si>
    <t>#MS.MRP_TYP</t>
    <phoneticPr fontId="3"/>
  </si>
  <si>
    <t>所要量計算を実行する処理です。</t>
    <phoneticPr fontId="3"/>
  </si>
  <si>
    <t>mrp_proc_dt</t>
    <phoneticPr fontId="1"/>
  </si>
  <si>
    <t>ＭＲＰ実行日</t>
    <phoneticPr fontId="3"/>
  </si>
  <si>
    <t>err_flg</t>
  </si>
  <si>
    <t>納期回答用シミュレーションＭＲＰ後処理です。</t>
    <rPh sb="0" eb="2">
      <t>ノウキ</t>
    </rPh>
    <rPh sb="2" eb="4">
      <t>カイトウ</t>
    </rPh>
    <rPh sb="4" eb="5">
      <t>ヨウ</t>
    </rPh>
    <rPh sb="16" eb="17">
      <t>アト</t>
    </rPh>
    <phoneticPr fontId="3"/>
  </si>
  <si>
    <t>MRP_Upd02</t>
    <phoneticPr fontId="3"/>
  </si>
  <si>
    <t>納期回答用後処理</t>
    <rPh sb="0" eb="2">
      <t>ノウキ</t>
    </rPh>
    <rPh sb="2" eb="4">
      <t>カイトウ</t>
    </rPh>
    <rPh sb="4" eb="5">
      <t>ヨウ</t>
    </rPh>
    <rPh sb="5" eb="6">
      <t>アト</t>
    </rPh>
    <rPh sb="6" eb="8">
      <t>ショリ</t>
    </rPh>
    <phoneticPr fontId="3"/>
  </si>
  <si>
    <t>Mrp_Upd02_Dtl</t>
    <phoneticPr fontId="1"/>
  </si>
  <si>
    <t>R</t>
    <phoneticPr fontId="1"/>
  </si>
  <si>
    <t>#MA.TREE_LVL</t>
    <phoneticPr fontId="3"/>
  </si>
  <si>
    <t>納期回答用シミュレーション結果登録</t>
    <rPh sb="0" eb="2">
      <t>ノウキ</t>
    </rPh>
    <rPh sb="2" eb="4">
      <t>カイトウ</t>
    </rPh>
    <rPh sb="4" eb="5">
      <t>ヨウ</t>
    </rPh>
    <rPh sb="13" eb="15">
      <t>ケッカ</t>
    </rPh>
    <rPh sb="15" eb="17">
      <t>トウロク</t>
    </rPh>
    <phoneticPr fontId="3"/>
  </si>
  <si>
    <t>MRP_Upd03</t>
    <phoneticPr fontId="3"/>
  </si>
  <si>
    <t>Mrp_Upd03_Dtl</t>
    <phoneticPr fontId="1"/>
  </si>
  <si>
    <t>wg_cd</t>
  </si>
  <si>
    <t>L</t>
    <phoneticPr fontId="3"/>
  </si>
  <si>
    <t>#MA.RQMT_NO</t>
  </si>
  <si>
    <t>#MA.LOT_NO</t>
  </si>
  <si>
    <t>#MA.SUBLOT_NO</t>
  </si>
  <si>
    <t>#MA.IO_SCHD_PR_NO</t>
  </si>
  <si>
    <t>#MA.DT</t>
  </si>
  <si>
    <t>tree_lvl</t>
  </si>
  <si>
    <t>sim_mrp_typ</t>
    <phoneticPr fontId="3"/>
  </si>
  <si>
    <t>MSBCL_MrpExecService</t>
    <phoneticPr fontId="3"/>
  </si>
  <si>
    <t>rqmt_no</t>
  </si>
  <si>
    <t>lot_no</t>
  </si>
  <si>
    <t>sublot_no</t>
  </si>
  <si>
    <t>io_schd_pr_no</t>
  </si>
  <si>
    <t>gi_schd_dt</t>
  </si>
  <si>
    <t>sim_mrp_no</t>
  </si>
  <si>
    <t>#MA.ITM_ORD_NO</t>
  </si>
  <si>
    <t>#MA.INT</t>
  </si>
  <si>
    <t>#MA.TREE_LVL</t>
  </si>
  <si>
    <t>ワーキンググループＣＤ</t>
    <phoneticPr fontId="3"/>
  </si>
  <si>
    <t>Mrp_Upd03_Rslt</t>
    <phoneticPr fontId="1"/>
  </si>
  <si>
    <t>*</t>
    <phoneticPr fontId="3"/>
  </si>
  <si>
    <t>L</t>
    <phoneticPr fontId="3"/>
  </si>
  <si>
    <t>root_id</t>
  </si>
  <si>
    <t>sort_no</t>
  </si>
  <si>
    <t>hrrchy</t>
  </si>
  <si>
    <t>itm_ord_no</t>
  </si>
  <si>
    <t>itm_ord_typ</t>
  </si>
  <si>
    <t>po_schd_dt</t>
  </si>
  <si>
    <t>mfg_st_schd_dt</t>
  </si>
  <si>
    <t>wg_rqst_typ</t>
    <phoneticPr fontId="3"/>
  </si>
  <si>
    <t>#WG_RQST_TYP</t>
    <phoneticPr fontId="3"/>
  </si>
  <si>
    <t>-</t>
    <phoneticPr fontId="3"/>
  </si>
  <si>
    <t>wg_rqst_no</t>
    <phoneticPr fontId="3"/>
  </si>
  <si>
    <t>slo_d_no</t>
    <phoneticPr fontId="3"/>
  </si>
  <si>
    <t>#MA.WG_RQST_NO</t>
    <phoneticPr fontId="3"/>
  </si>
  <si>
    <t>#MA.SLO_D_NO</t>
    <phoneticPr fontId="3"/>
  </si>
  <si>
    <t>io_schd_no</t>
    <phoneticPr fontId="3"/>
  </si>
  <si>
    <t>io_schd_typ</t>
    <phoneticPr fontId="3"/>
  </si>
  <si>
    <t>io_schd_sts_typ</t>
    <phoneticPr fontId="3"/>
  </si>
  <si>
    <t>#MS.IO_SCHD_STS_TYP</t>
  </si>
  <si>
    <t>#MA.IO_SCHD_NO</t>
  </si>
  <si>
    <t>#MS.IO_SCHD_TYP</t>
  </si>
  <si>
    <t>Pj.ID :</t>
    <phoneticPr fontId="1"/>
  </si>
  <si>
    <t>SuperClassPj.ID :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</si>
  <si>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</si>
  <si>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</si>
  <si>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</si>
  <si>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</si>
  <si>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</si>
  <si>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</si>
  <si>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</si>
  <si>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</si>
  <si>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</si>
  <si>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エラー</t>
    <phoneticPr fontId="3"/>
  </si>
  <si>
    <t>ＭＲＰ区分</t>
    <phoneticPr fontId="3"/>
  </si>
  <si>
    <t>E</t>
    <phoneticPr fontId="3"/>
  </si>
  <si>
    <t>ワーキンググループＣＤ</t>
    <phoneticPr fontId="1"/>
  </si>
  <si>
    <t>出庫予定ＦＲＯＭ</t>
    <phoneticPr fontId="3"/>
  </si>
  <si>
    <t>独立所要ＦＲＯＭ</t>
    <phoneticPr fontId="3"/>
  </si>
  <si>
    <t>シミュレーションＮＯ</t>
    <phoneticPr fontId="3"/>
  </si>
  <si>
    <t>シミュレーションＭＲＰ区分</t>
    <phoneticPr fontId="3"/>
  </si>
  <si>
    <t>スケジューラ</t>
    <phoneticPr fontId="3"/>
  </si>
  <si>
    <t>ＭＲＰ計算ＮＯ</t>
    <phoneticPr fontId="3"/>
  </si>
  <si>
    <t>階層</t>
    <phoneticPr fontId="3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</si>
  <si>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</si>
  <si>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</si>
  <si>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</si>
  <si>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</si>
  <si>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Mrp_Upd01_Dtl</t>
    <phoneticPr fontId="1"/>
  </si>
  <si>
    <t>mrp_typ</t>
    <phoneticPr fontId="3"/>
  </si>
  <si>
    <t>wg_cd</t>
    <phoneticPr fontId="3"/>
  </si>
  <si>
    <t>gi_schd_fr</t>
    <phoneticPr fontId="3"/>
  </si>
  <si>
    <t>irqmt_fr</t>
    <phoneticPr fontId="3"/>
  </si>
  <si>
    <t>sim_mrp_no</t>
    <phoneticPr fontId="1"/>
  </si>
  <si>
    <t>tree_lvl</t>
    <phoneticPr fontId="3"/>
  </si>
  <si>
    <t>MS.MSBCL5050.MRP_Upd01.Mrp_Upd01_Dtl</t>
    <phoneticPr fontId="3"/>
  </si>
  <si>
    <t>TargetName</t>
    <phoneticPr fontId="1"/>
  </si>
  <si>
    <t>TargetName</t>
    <phoneticPr fontId="1"/>
  </si>
  <si>
    <t>$share$</t>
  </si>
  <si>
    <t>mrp_typ</t>
    <phoneticPr fontId="3"/>
  </si>
  <si>
    <t>wg_cd</t>
    <phoneticPr fontId="3"/>
  </si>
  <si>
    <t>gi_schd_fr</t>
    <phoneticPr fontId="3"/>
  </si>
  <si>
    <t>irqmt_fr</t>
    <phoneticPr fontId="3"/>
  </si>
  <si>
    <t>sim_mrp_no</t>
    <phoneticPr fontId="1"/>
  </si>
  <si>
    <t>tree_lvl</t>
    <phoneticPr fontId="3"/>
  </si>
  <si>
    <t>所要ＮＯ</t>
    <phoneticPr fontId="3"/>
  </si>
  <si>
    <t>ＷＧ間依頼種類区分</t>
    <phoneticPr fontId="3"/>
  </si>
  <si>
    <t>ＷＧ間依頼ＮＯ</t>
    <phoneticPr fontId="3"/>
  </si>
  <si>
    <t>受注明細ＮＯ</t>
    <phoneticPr fontId="3"/>
  </si>
  <si>
    <t>受払予定ＮＯ</t>
    <phoneticPr fontId="3"/>
  </si>
  <si>
    <t>受払予定区分</t>
    <phoneticPr fontId="3"/>
  </si>
  <si>
    <t>受払予定状況区分</t>
    <phoneticPr fontId="3"/>
  </si>
  <si>
    <t>ルートＩＤ</t>
    <phoneticPr fontId="3"/>
  </si>
  <si>
    <t>ソート順</t>
    <phoneticPr fontId="3"/>
  </si>
  <si>
    <t>品目オーダＮＯ</t>
    <phoneticPr fontId="3"/>
  </si>
  <si>
    <t>受払進捗管理ＮＯ</t>
    <phoneticPr fontId="3"/>
  </si>
  <si>
    <t>ロットＮＯ</t>
    <phoneticPr fontId="3"/>
  </si>
  <si>
    <t>サブロットＮＯ</t>
    <phoneticPr fontId="3"/>
  </si>
  <si>
    <t>品目オーダ区分</t>
    <phoneticPr fontId="3"/>
  </si>
  <si>
    <t>発注予定日</t>
    <phoneticPr fontId="3"/>
  </si>
  <si>
    <t>製造開始予定日</t>
    <phoneticPr fontId="3"/>
  </si>
  <si>
    <t>出庫予定日</t>
    <phoneticPr fontId="3"/>
  </si>
  <si>
    <t>MS.MSUDL5010</t>
    <phoneticPr fontId="3"/>
  </si>
  <si>
    <t>"mcframe.serverMAUD.MAUDL5010.MAUDL_Operation"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</si>
  <si>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</si>
  <si>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</si>
  <si>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</si>
  <si>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</si>
  <si>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</si>
  <si>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</si>
  <si>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</si>
  <si>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</si>
  <si>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</si>
  <si>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</si>
  <si>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</si>
  <si>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</si>
  <si>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</si>
  <si>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</si>
  <si>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Error</t>
  </si>
  <si>
    <t>MRP type</t>
  </si>
  <si>
    <t>WG cd.</t>
  </si>
  <si>
    <t>GI schedule FROM</t>
  </si>
  <si>
    <t>Independent requirement FROM</t>
  </si>
  <si>
    <t>Simulation No.</t>
  </si>
  <si>
    <t>Simulation MRP type</t>
  </si>
  <si>
    <t>MRP run date</t>
  </si>
  <si>
    <t>Scheduler</t>
  </si>
  <si>
    <t>MRP calculation No.</t>
  </si>
  <si>
    <t>Hierarchy</t>
  </si>
  <si>
    <t>Requirements No.</t>
  </si>
  <si>
    <t>Inventory request from other WG classification type</t>
  </si>
  <si>
    <t>No. of inventory request from other WG</t>
  </si>
  <si>
    <t>Sales order details No.</t>
  </si>
  <si>
    <t>GR/GI schedule No.</t>
  </si>
  <si>
    <t>GR/GI schedule type</t>
  </si>
  <si>
    <t>GR/GI schedule status type</t>
  </si>
  <si>
    <t>Route ID</t>
  </si>
  <si>
    <t>Sort order</t>
  </si>
  <si>
    <t>Item order No.</t>
  </si>
  <si>
    <t>GR/GI progress management No.</t>
  </si>
  <si>
    <t>Lot No.</t>
  </si>
  <si>
    <t>Sublot No.</t>
  </si>
  <si>
    <t>Item order type</t>
  </si>
  <si>
    <t>Scheduled PO date</t>
  </si>
  <si>
    <t>Scheduled mfg. start date</t>
  </si>
  <si>
    <t>Scheduled GI date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</si>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</sst>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17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2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12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2" borderId="12" xfId="0" applyFont="1" applyFill="1" applyBorder="1" applyAlignment="1"/>
    <xf numFmtId="0" fontId="6" fillId="0" borderId="7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2" xfId="0" applyFont="1" applyBorder="1" applyAlignment="1"/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</cellXfs>
  <cellStyles count="6">
    <cellStyle name="Comma [0]" xfId="2" xr:uid="{00000000-0005-0000-0000-00007B000000}"/>
    <cellStyle name="Currency [0]" xfId="1" xr:uid="{00000000-0005-0000-0000-00007F000000}"/>
    <cellStyle name="桁区切り" xfId="4" builtinId="6" hidden="1"/>
    <cellStyle name="常规_S005_プロトタイプデータまとめ_r07 " xfId="3" xr:uid="{00000000-0005-0000-0000-00003209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23.8164062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16</v>
      </c>
      <c r="C2" s="8" t="s">
        <v>17</v>
      </c>
      <c r="D2" s="7" t="s">
        <v>18</v>
      </c>
      <c r="E2" s="8" t="s">
        <v>19</v>
      </c>
      <c r="F2" s="7" t="s">
        <v>96</v>
      </c>
      <c r="G2" s="8" t="s">
        <v>20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21</v>
      </c>
      <c r="C3" s="8" t="s">
        <v>22</v>
      </c>
      <c r="D3" s="7" t="s">
        <v>23</v>
      </c>
      <c r="E3" s="8" t="s">
        <v>62</v>
      </c>
      <c r="F3" s="7" t="s">
        <v>97</v>
      </c>
      <c r="G3" s="8"/>
      <c r="H3" s="5"/>
      <c r="I3" s="5"/>
    </row>
    <row r="4" spans="1:13" x14ac:dyDescent="0.2">
      <c r="A4" s="4"/>
      <c r="B4" s="7"/>
      <c r="C4" s="7"/>
      <c r="D4" s="7" t="s">
        <v>24</v>
      </c>
      <c r="E4" s="11" t="s">
        <v>27</v>
      </c>
      <c r="F4" s="7" t="s">
        <v>25</v>
      </c>
      <c r="G4" s="8" t="s">
        <v>156</v>
      </c>
      <c r="I4" s="5"/>
      <c r="J4" s="4"/>
    </row>
    <row r="5" spans="1:13" x14ac:dyDescent="0.2">
      <c r="A5" s="6" t="s">
        <v>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2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6328125" style="4" bestFit="1" customWidth="1"/>
    <col min="9" max="10" width="15.81640625" style="4" customWidth="1"/>
    <col min="11" max="11" width="20.1796875" style="4" bestFit="1" customWidth="1"/>
    <col min="12" max="12" width="21.453125" style="4" bestFit="1" customWidth="1"/>
    <col min="13" max="13" width="13.453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99</v>
      </c>
      <c r="B1" s="54" t="s">
        <v>99</v>
      </c>
      <c r="C1" s="54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99</v>
      </c>
      <c r="B2" s="23"/>
      <c r="C2" s="23"/>
      <c r="D2" s="66" t="s">
        <v>158</v>
      </c>
      <c r="E2" s="7" t="s">
        <v>16</v>
      </c>
      <c r="F2" s="55" t="str">
        <f>IF(LogicCommon!C2="","",LogicCommon!C2)</f>
        <v>MS</v>
      </c>
      <c r="G2" s="7" t="s">
        <v>18</v>
      </c>
      <c r="H2" s="55" t="str">
        <f>IF(LogicCommon!E2="","",LogicCommon!E2)</f>
        <v>MSBCL5050</v>
      </c>
      <c r="I2" s="7" t="s">
        <v>100</v>
      </c>
      <c r="J2" s="8" t="s">
        <v>28</v>
      </c>
      <c r="K2" s="7" t="s">
        <v>96</v>
      </c>
      <c r="L2" s="55" t="str">
        <f>IF(LogicCommon!G2="","",LogicCommon!G2)</f>
        <v>MC</v>
      </c>
      <c r="M2" s="5" t="s">
        <v>101</v>
      </c>
      <c r="N2" s="24" t="s">
        <v>157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99</v>
      </c>
      <c r="B3" s="57"/>
      <c r="C3" s="57"/>
      <c r="D3" s="58" t="str">
        <f>IF(LogicCommon!A3="","",LogicCommon!A3)</f>
        <v/>
      </c>
      <c r="E3" s="7" t="s">
        <v>21</v>
      </c>
      <c r="F3" s="55" t="str">
        <f>IF(LogicCommon!C3="","",LogicCommon!C3)</f>
        <v>MSBC</v>
      </c>
      <c r="G3" s="7" t="s">
        <v>23</v>
      </c>
      <c r="H3" s="55" t="str">
        <f>IF(LogicCommon!E3="","",LogicCommon!E3)</f>
        <v>MSBCL_MrpExecService</v>
      </c>
      <c r="I3" s="7" t="s">
        <v>102</v>
      </c>
      <c r="J3" s="8" t="s">
        <v>28</v>
      </c>
      <c r="K3" s="7" t="s">
        <v>97</v>
      </c>
      <c r="L3" s="55" t="str">
        <f>IF(LogicCommon!G3="","",LogicCommon!G3)</f>
        <v/>
      </c>
      <c r="M3" s="59"/>
      <c r="N3" s="7"/>
      <c r="O3" s="7" t="s">
        <v>103</v>
      </c>
      <c r="P3" s="8" t="s">
        <v>118</v>
      </c>
      <c r="Q3" s="4"/>
      <c r="R3" s="5"/>
      <c r="S3" s="5"/>
      <c r="T3" s="5"/>
      <c r="U3" s="5"/>
    </row>
    <row r="4" spans="1:21" s="10" customFormat="1" x14ac:dyDescent="0.2">
      <c r="A4" s="56" t="s">
        <v>99</v>
      </c>
      <c r="B4" s="57"/>
      <c r="C4" s="57"/>
      <c r="D4" s="4"/>
      <c r="E4" s="7" t="s">
        <v>6</v>
      </c>
      <c r="F4" s="60" t="s">
        <v>104</v>
      </c>
      <c r="G4" s="7" t="s">
        <v>24</v>
      </c>
      <c r="H4" s="55" t="str">
        <f>IF(LogicCommon!E4="","",LogicCommon!E4)</f>
        <v>所要量計算サービス</v>
      </c>
      <c r="I4" s="7" t="s">
        <v>105</v>
      </c>
      <c r="J4" s="8" t="s">
        <v>26</v>
      </c>
      <c r="K4" s="7" t="s">
        <v>25</v>
      </c>
      <c r="L4" s="55" t="str">
        <f>IF(LogicCommon!G4="","",LogicCommon!G4)</f>
        <v>MS.MSUDL5010</v>
      </c>
      <c r="M4" s="61" t="s">
        <v>119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99</v>
      </c>
      <c r="B5" s="54"/>
      <c r="C5" s="54"/>
      <c r="D5" s="21"/>
      <c r="E5" s="7" t="s">
        <v>106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99</v>
      </c>
      <c r="B6" s="57"/>
      <c r="C6" s="57"/>
      <c r="D6" s="4" t="s">
        <v>9</v>
      </c>
      <c r="E6" s="12" t="s">
        <v>40</v>
      </c>
      <c r="F6" s="12"/>
      <c r="G6" s="12"/>
      <c r="H6" s="12"/>
      <c r="I6" s="12"/>
      <c r="J6" s="12"/>
      <c r="K6" s="12"/>
      <c r="L6" s="65"/>
      <c r="M6" s="15" t="s">
        <v>98</v>
      </c>
      <c r="N6" s="15"/>
      <c r="O6" s="15" t="s">
        <v>98</v>
      </c>
      <c r="P6" s="15"/>
      <c r="Q6" s="15" t="s">
        <v>98</v>
      </c>
      <c r="R6" s="4"/>
      <c r="S6" s="4"/>
      <c r="T6" s="4"/>
      <c r="U6" s="4"/>
    </row>
    <row r="7" spans="1:21" s="10" customFormat="1" x14ac:dyDescent="0.2">
      <c r="A7" s="23" t="s">
        <v>2</v>
      </c>
      <c r="B7" s="23"/>
      <c r="C7" s="23"/>
      <c r="D7" s="6"/>
      <c r="E7" s="6"/>
      <c r="F7" s="6"/>
      <c r="G7" s="6"/>
      <c r="H7" s="6"/>
      <c r="I7" s="6" t="s">
        <v>3</v>
      </c>
      <c r="J7" s="6"/>
      <c r="K7" s="8" t="s">
        <v>8</v>
      </c>
      <c r="L7" s="25" t="s">
        <v>4</v>
      </c>
      <c r="M7" s="26"/>
      <c r="N7" s="25" t="s">
        <v>4</v>
      </c>
      <c r="O7" s="26"/>
      <c r="P7" s="25" t="s">
        <v>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</v>
      </c>
      <c r="B8" s="67"/>
      <c r="C8" s="68"/>
      <c r="D8" s="25" t="s">
        <v>159</v>
      </c>
      <c r="E8" s="25" t="s">
        <v>160</v>
      </c>
      <c r="F8" s="65"/>
      <c r="G8" s="25" t="s">
        <v>120</v>
      </c>
      <c r="H8" s="25" t="s">
        <v>161</v>
      </c>
      <c r="I8" s="65"/>
      <c r="J8" s="3"/>
      <c r="K8" s="8"/>
      <c r="L8" s="25" t="s">
        <v>5</v>
      </c>
      <c r="M8" s="26"/>
      <c r="N8" s="25" t="s">
        <v>121</v>
      </c>
      <c r="O8" s="26"/>
      <c r="P8" s="25" t="s">
        <v>121</v>
      </c>
      <c r="Q8" s="26"/>
      <c r="R8" s="3"/>
      <c r="S8" s="21"/>
      <c r="T8" s="119" t="s">
        <v>162</v>
      </c>
      <c r="U8" s="120"/>
    </row>
    <row r="9" spans="1:21" s="10" customFormat="1" ht="60" customHeight="1" x14ac:dyDescent="0.2">
      <c r="A9" s="8" t="s">
        <v>2</v>
      </c>
      <c r="B9" s="29"/>
      <c r="C9" s="30"/>
      <c r="D9" s="25" t="s">
        <v>163</v>
      </c>
      <c r="E9" s="52" t="s">
        <v>164</v>
      </c>
      <c r="F9" s="25" t="s">
        <v>165</v>
      </c>
      <c r="G9" s="25" t="s">
        <v>166</v>
      </c>
      <c r="H9" s="25" t="s">
        <v>167</v>
      </c>
      <c r="I9" s="53" t="s">
        <v>168</v>
      </c>
      <c r="J9" s="25" t="s">
        <v>169</v>
      </c>
      <c r="K9" s="66"/>
      <c r="L9" s="53"/>
      <c r="M9" s="25"/>
      <c r="N9" s="25"/>
      <c r="O9" s="25"/>
      <c r="P9" s="25"/>
      <c r="Q9" s="25"/>
      <c r="R9" s="119" t="s">
        <v>170</v>
      </c>
      <c r="S9" s="120"/>
      <c r="T9" s="119" t="s">
        <v>171</v>
      </c>
      <c r="U9" s="120"/>
    </row>
    <row r="10" spans="1:21" s="10" customFormat="1" ht="52" x14ac:dyDescent="0.2">
      <c r="A10" s="29" t="s">
        <v>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168</v>
      </c>
      <c r="M10" s="25" t="s">
        <v>169</v>
      </c>
      <c r="N10" s="25" t="s">
        <v>168</v>
      </c>
      <c r="O10" s="25" t="s">
        <v>169</v>
      </c>
      <c r="P10" s="25" t="s">
        <v>168</v>
      </c>
      <c r="Q10" s="25" t="s">
        <v>169</v>
      </c>
      <c r="R10" s="31"/>
      <c r="S10" s="31"/>
      <c r="T10" s="36"/>
      <c r="U10" s="49"/>
    </row>
    <row r="11" spans="1:21" s="10" customFormat="1" x14ac:dyDescent="0.2">
      <c r="A11" s="8">
        <v>10</v>
      </c>
      <c r="B11" s="29" t="s">
        <v>0</v>
      </c>
      <c r="C11" s="30"/>
      <c r="D11" s="24" t="s">
        <v>122</v>
      </c>
      <c r="E11" s="27" t="s">
        <v>29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43</v>
      </c>
      <c r="E12" s="26" t="s">
        <v>35</v>
      </c>
      <c r="F12" s="26"/>
      <c r="G12" s="39" t="s">
        <v>172</v>
      </c>
      <c r="H12" s="39" t="s">
        <v>107</v>
      </c>
      <c r="I12" s="8" t="s">
        <v>85</v>
      </c>
      <c r="J12" s="8" t="s">
        <v>85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123</v>
      </c>
      <c r="E13" s="26" t="s">
        <v>39</v>
      </c>
      <c r="F13" s="26"/>
      <c r="G13" s="39" t="s">
        <v>173</v>
      </c>
      <c r="H13" s="39" t="s">
        <v>108</v>
      </c>
      <c r="I13" s="8" t="s">
        <v>109</v>
      </c>
      <c r="J13" s="8" t="s">
        <v>109</v>
      </c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124</v>
      </c>
      <c r="E14" s="26" t="s">
        <v>30</v>
      </c>
      <c r="F14" s="26"/>
      <c r="G14" s="39" t="s">
        <v>174</v>
      </c>
      <c r="H14" s="39" t="s">
        <v>110</v>
      </c>
      <c r="I14" s="8" t="s">
        <v>109</v>
      </c>
      <c r="J14" s="8" t="s">
        <v>109</v>
      </c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125</v>
      </c>
      <c r="E15" s="26" t="s">
        <v>38</v>
      </c>
      <c r="F15" s="26"/>
      <c r="G15" s="39" t="s">
        <v>175</v>
      </c>
      <c r="H15" s="39" t="s">
        <v>111</v>
      </c>
      <c r="I15" s="8" t="s">
        <v>109</v>
      </c>
      <c r="J15" s="8" t="s">
        <v>85</v>
      </c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126</v>
      </c>
      <c r="E16" s="26" t="s">
        <v>38</v>
      </c>
      <c r="F16" s="26"/>
      <c r="G16" s="39" t="s">
        <v>176</v>
      </c>
      <c r="H16" s="39" t="s">
        <v>112</v>
      </c>
      <c r="I16" s="8" t="s">
        <v>109</v>
      </c>
      <c r="J16" s="8" t="s">
        <v>85</v>
      </c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127</v>
      </c>
      <c r="E17" s="26" t="s">
        <v>31</v>
      </c>
      <c r="F17" s="26"/>
      <c r="G17" s="39" t="s">
        <v>177</v>
      </c>
      <c r="H17" s="39" t="s">
        <v>113</v>
      </c>
      <c r="I17" s="8" t="s">
        <v>109</v>
      </c>
      <c r="J17" s="8" t="s">
        <v>109</v>
      </c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33</v>
      </c>
      <c r="E18" s="26" t="s">
        <v>32</v>
      </c>
      <c r="F18" s="26"/>
      <c r="G18" s="39" t="s">
        <v>178</v>
      </c>
      <c r="H18" s="39" t="s">
        <v>114</v>
      </c>
      <c r="I18" s="8" t="s">
        <v>109</v>
      </c>
      <c r="J18" s="8" t="s">
        <v>109</v>
      </c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41</v>
      </c>
      <c r="E19" s="26" t="s">
        <v>38</v>
      </c>
      <c r="F19" s="26"/>
      <c r="G19" s="39" t="s">
        <v>179</v>
      </c>
      <c r="H19" s="39" t="s">
        <v>42</v>
      </c>
      <c r="I19" s="8" t="s">
        <v>85</v>
      </c>
      <c r="J19" s="8" t="s">
        <v>85</v>
      </c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34</v>
      </c>
      <c r="E20" s="26" t="s">
        <v>35</v>
      </c>
      <c r="F20" s="26"/>
      <c r="G20" s="39" t="s">
        <v>180</v>
      </c>
      <c r="H20" s="39" t="s">
        <v>115</v>
      </c>
      <c r="I20" s="8" t="s">
        <v>109</v>
      </c>
      <c r="J20" s="8" t="s">
        <v>85</v>
      </c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37</v>
      </c>
      <c r="E21" s="26" t="s">
        <v>36</v>
      </c>
      <c r="F21" s="26"/>
      <c r="G21" s="39" t="s">
        <v>181</v>
      </c>
      <c r="H21" s="39" t="s">
        <v>116</v>
      </c>
      <c r="I21" s="8" t="s">
        <v>85</v>
      </c>
      <c r="J21" s="8" t="s">
        <v>109</v>
      </c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128</v>
      </c>
      <c r="E22" s="26" t="s">
        <v>49</v>
      </c>
      <c r="F22" s="26"/>
      <c r="G22" s="39" t="s">
        <v>182</v>
      </c>
      <c r="H22" s="39" t="s">
        <v>117</v>
      </c>
      <c r="I22" s="8" t="s">
        <v>85</v>
      </c>
      <c r="J22" s="8" t="s">
        <v>85</v>
      </c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22"/>
      <c r="B23" s="23"/>
      <c r="C23" s="23"/>
      <c r="D23" s="16" t="s">
        <v>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8"/>
    </row>
    <row r="24" spans="1:21" s="10" customFormat="1" x14ac:dyDescent="0.2">
      <c r="A24" s="56"/>
      <c r="U24" s="40"/>
    </row>
    <row r="25" spans="1:21" s="10" customFormat="1" x14ac:dyDescent="0.2">
      <c r="A25" s="56"/>
      <c r="U25" s="40"/>
    </row>
    <row r="26" spans="1:21" s="10" customFormat="1" x14ac:dyDescent="0.2">
      <c r="A26" s="56"/>
      <c r="U26" s="40"/>
    </row>
    <row r="27" spans="1:21" s="10" customFormat="1" x14ac:dyDescent="0.2">
      <c r="A27" s="56"/>
      <c r="U27" s="40"/>
    </row>
    <row r="28" spans="1:21" s="10" customFormat="1" x14ac:dyDescent="0.2">
      <c r="A28" s="56"/>
      <c r="U28" s="40"/>
    </row>
    <row r="29" spans="1:21" s="10" customFormat="1" x14ac:dyDescent="0.2">
      <c r="A29" s="56"/>
      <c r="U29" s="40"/>
    </row>
    <row r="30" spans="1:21" s="10" customFormat="1" x14ac:dyDescent="0.2">
      <c r="A30" s="56"/>
      <c r="U30" s="40"/>
    </row>
    <row r="31" spans="1:21" s="10" customFormat="1" x14ac:dyDescent="0.2">
      <c r="A31" s="56"/>
      <c r="U31" s="40"/>
    </row>
    <row r="32" spans="1:21" s="10" customFormat="1" x14ac:dyDescent="0.2">
      <c r="A32" s="63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1"/>
    </row>
  </sheetData>
  <mergeCells count="26">
    <mergeCell ref="T8:U8"/>
    <mergeCell ref="R9:S9"/>
    <mergeCell ref="T9:U9"/>
    <mergeCell ref="T11:U11"/>
    <mergeCell ref="R13:S13"/>
    <mergeCell ref="T13:U13"/>
    <mergeCell ref="R12:S12"/>
    <mergeCell ref="T12:U12"/>
    <mergeCell ref="R14:S14"/>
    <mergeCell ref="T14:U14"/>
    <mergeCell ref="R15:S15"/>
    <mergeCell ref="T15:U15"/>
    <mergeCell ref="R16:S16"/>
    <mergeCell ref="T16:U16"/>
    <mergeCell ref="R22:S22"/>
    <mergeCell ref="T22:U22"/>
    <mergeCell ref="R21:S21"/>
    <mergeCell ref="T21:U21"/>
    <mergeCell ref="R17:S17"/>
    <mergeCell ref="T17:U17"/>
    <mergeCell ref="R18:S18"/>
    <mergeCell ref="T18:U18"/>
    <mergeCell ref="R20:S20"/>
    <mergeCell ref="T20:U20"/>
    <mergeCell ref="R19:S19"/>
    <mergeCell ref="T19:U1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0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6328125" style="4" bestFit="1" customWidth="1"/>
    <col min="9" max="10" width="15.81640625" style="4" customWidth="1"/>
    <col min="11" max="11" width="20.1796875" style="4" bestFit="1" customWidth="1"/>
    <col min="12" max="12" width="21.453125" style="4" bestFit="1" customWidth="1"/>
    <col min="13" max="13" width="14.816406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99</v>
      </c>
      <c r="B1" s="54" t="s">
        <v>99</v>
      </c>
      <c r="C1" s="54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99</v>
      </c>
      <c r="B2" s="23"/>
      <c r="C2" s="23"/>
      <c r="D2" s="66" t="s">
        <v>158</v>
      </c>
      <c r="E2" s="7" t="s">
        <v>16</v>
      </c>
      <c r="F2" s="55" t="str">
        <f>IF(LogicCommon!C2="","",LogicCommon!C2)</f>
        <v>MS</v>
      </c>
      <c r="G2" s="7" t="s">
        <v>18</v>
      </c>
      <c r="H2" s="55" t="str">
        <f>IF(LogicCommon!E2="","",LogicCommon!E2)</f>
        <v>MSBCL5050</v>
      </c>
      <c r="I2" s="7" t="s">
        <v>100</v>
      </c>
      <c r="J2" s="8" t="s">
        <v>45</v>
      </c>
      <c r="K2" s="7" t="s">
        <v>96</v>
      </c>
      <c r="L2" s="55" t="str">
        <f>IF(LogicCommon!G2="","",LogicCommon!G2)</f>
        <v>MC</v>
      </c>
      <c r="M2" s="5" t="s">
        <v>101</v>
      </c>
      <c r="N2" s="24" t="s">
        <v>157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99</v>
      </c>
      <c r="B3" s="57"/>
      <c r="C3" s="57"/>
      <c r="D3" s="58" t="str">
        <f>IF(LogicCommon!A3="","",LogicCommon!A3)</f>
        <v/>
      </c>
      <c r="E3" s="7" t="s">
        <v>21</v>
      </c>
      <c r="F3" s="55" t="str">
        <f>IF(LogicCommon!C3="","",LogicCommon!C3)</f>
        <v>MSBC</v>
      </c>
      <c r="G3" s="7" t="s">
        <v>23</v>
      </c>
      <c r="H3" s="55" t="str">
        <f>IF(LogicCommon!E3="","",LogicCommon!E3)</f>
        <v>MSBCL_MrpExecService</v>
      </c>
      <c r="I3" s="7" t="s">
        <v>102</v>
      </c>
      <c r="J3" s="8" t="s">
        <v>45</v>
      </c>
      <c r="K3" s="7" t="s">
        <v>97</v>
      </c>
      <c r="L3" s="55" t="str">
        <f>IF(LogicCommon!G3="","",LogicCommon!G3)</f>
        <v/>
      </c>
      <c r="M3" s="59"/>
      <c r="N3" s="7"/>
      <c r="O3" s="7" t="s">
        <v>103</v>
      </c>
      <c r="P3" s="8" t="s">
        <v>118</v>
      </c>
      <c r="Q3" s="4"/>
      <c r="R3" s="5"/>
      <c r="S3" s="5"/>
      <c r="T3" s="5"/>
      <c r="U3" s="5"/>
    </row>
    <row r="4" spans="1:21" s="10" customFormat="1" x14ac:dyDescent="0.2">
      <c r="A4" s="56" t="s">
        <v>99</v>
      </c>
      <c r="B4" s="57"/>
      <c r="C4" s="57"/>
      <c r="D4" s="4"/>
      <c r="E4" s="7" t="s">
        <v>6</v>
      </c>
      <c r="F4" s="60" t="s">
        <v>104</v>
      </c>
      <c r="G4" s="7" t="s">
        <v>24</v>
      </c>
      <c r="H4" s="55" t="str">
        <f>IF(LogicCommon!E4="","",LogicCommon!E4)</f>
        <v>所要量計算サービス</v>
      </c>
      <c r="I4" s="7" t="s">
        <v>105</v>
      </c>
      <c r="J4" s="8" t="s">
        <v>46</v>
      </c>
      <c r="K4" s="7" t="s">
        <v>25</v>
      </c>
      <c r="L4" s="55" t="str">
        <f>IF(LogicCommon!G4="","",LogicCommon!G4)</f>
        <v>MS.MSUDL5010</v>
      </c>
      <c r="M4" s="61" t="s">
        <v>119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99</v>
      </c>
      <c r="B5" s="54"/>
      <c r="C5" s="54"/>
      <c r="D5" s="21"/>
      <c r="E5" s="7" t="s">
        <v>106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99</v>
      </c>
      <c r="B6" s="57"/>
      <c r="C6" s="57"/>
      <c r="D6" s="4" t="s">
        <v>9</v>
      </c>
      <c r="E6" s="12" t="s">
        <v>44</v>
      </c>
      <c r="F6" s="12"/>
      <c r="G6" s="12"/>
      <c r="H6" s="12"/>
      <c r="I6" s="12"/>
      <c r="J6" s="12"/>
      <c r="K6" s="12"/>
      <c r="L6" s="65"/>
      <c r="M6" s="15" t="s">
        <v>98</v>
      </c>
      <c r="N6" s="15"/>
      <c r="O6" s="15" t="s">
        <v>98</v>
      </c>
      <c r="P6" s="15"/>
      <c r="Q6" s="15" t="s">
        <v>98</v>
      </c>
      <c r="R6" s="4"/>
      <c r="S6" s="4"/>
      <c r="T6" s="4"/>
      <c r="U6" s="4"/>
    </row>
    <row r="7" spans="1:21" s="10" customFormat="1" x14ac:dyDescent="0.2">
      <c r="A7" s="23" t="s">
        <v>2</v>
      </c>
      <c r="B7" s="23"/>
      <c r="C7" s="23"/>
      <c r="D7" s="6"/>
      <c r="E7" s="6"/>
      <c r="F7" s="6"/>
      <c r="G7" s="6"/>
      <c r="H7" s="6"/>
      <c r="I7" s="6" t="s">
        <v>3</v>
      </c>
      <c r="J7" s="6"/>
      <c r="K7" s="8" t="s">
        <v>8</v>
      </c>
      <c r="L7" s="25" t="s">
        <v>4</v>
      </c>
      <c r="M7" s="26"/>
      <c r="N7" s="25" t="s">
        <v>4</v>
      </c>
      <c r="O7" s="26"/>
      <c r="P7" s="25" t="s">
        <v>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</v>
      </c>
      <c r="B8" s="67"/>
      <c r="C8" s="68"/>
      <c r="D8" s="25" t="s">
        <v>159</v>
      </c>
      <c r="E8" s="25" t="s">
        <v>160</v>
      </c>
      <c r="F8" s="65"/>
      <c r="G8" s="25" t="s">
        <v>120</v>
      </c>
      <c r="H8" s="25" t="s">
        <v>161</v>
      </c>
      <c r="I8" s="65"/>
      <c r="J8" s="3"/>
      <c r="K8" s="8"/>
      <c r="L8" s="25" t="s">
        <v>5</v>
      </c>
      <c r="M8" s="26"/>
      <c r="N8" s="25" t="s">
        <v>130</v>
      </c>
      <c r="O8" s="26"/>
      <c r="P8" s="25" t="s">
        <v>131</v>
      </c>
      <c r="Q8" s="26"/>
      <c r="R8" s="3"/>
      <c r="S8" s="21"/>
      <c r="T8" s="119" t="s">
        <v>162</v>
      </c>
      <c r="U8" s="120"/>
    </row>
    <row r="9" spans="1:21" s="10" customFormat="1" ht="60" customHeight="1" x14ac:dyDescent="0.2">
      <c r="A9" s="8" t="s">
        <v>2</v>
      </c>
      <c r="B9" s="29"/>
      <c r="C9" s="30"/>
      <c r="D9" s="25" t="s">
        <v>163</v>
      </c>
      <c r="E9" s="52" t="s">
        <v>164</v>
      </c>
      <c r="F9" s="25" t="s">
        <v>165</v>
      </c>
      <c r="G9" s="25" t="s">
        <v>166</v>
      </c>
      <c r="H9" s="25" t="s">
        <v>167</v>
      </c>
      <c r="I9" s="53" t="s">
        <v>168</v>
      </c>
      <c r="J9" s="25" t="s">
        <v>169</v>
      </c>
      <c r="K9" s="66"/>
      <c r="L9" s="53"/>
      <c r="M9" s="25"/>
      <c r="N9" s="25"/>
      <c r="O9" s="25"/>
      <c r="P9" s="25"/>
      <c r="Q9" s="25"/>
      <c r="R9" s="119" t="s">
        <v>170</v>
      </c>
      <c r="S9" s="120"/>
      <c r="T9" s="119" t="s">
        <v>171</v>
      </c>
      <c r="U9" s="120"/>
    </row>
    <row r="10" spans="1:21" s="10" customFormat="1" ht="39" x14ac:dyDescent="0.2">
      <c r="A10" s="29" t="s">
        <v>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168</v>
      </c>
      <c r="M10" s="25" t="s">
        <v>169</v>
      </c>
      <c r="N10" s="25" t="s">
        <v>168</v>
      </c>
      <c r="O10" s="25" t="s">
        <v>169</v>
      </c>
      <c r="P10" s="25" t="s">
        <v>168</v>
      </c>
      <c r="Q10" s="25" t="s">
        <v>169</v>
      </c>
      <c r="R10" s="31"/>
      <c r="S10" s="31"/>
      <c r="T10" s="36"/>
      <c r="U10" s="49"/>
    </row>
    <row r="11" spans="1:21" s="10" customFormat="1" x14ac:dyDescent="0.2">
      <c r="A11" s="8">
        <v>10</v>
      </c>
      <c r="B11" s="29" t="s">
        <v>0</v>
      </c>
      <c r="C11" s="30"/>
      <c r="D11" s="24" t="s">
        <v>47</v>
      </c>
      <c r="E11" s="27" t="s">
        <v>48</v>
      </c>
      <c r="F11" s="37"/>
      <c r="G11" s="24" t="s">
        <v>132</v>
      </c>
      <c r="H11" s="42" t="s">
        <v>129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43</v>
      </c>
      <c r="E12" s="26" t="s">
        <v>35</v>
      </c>
      <c r="F12" s="26"/>
      <c r="G12" s="39" t="s">
        <v>172</v>
      </c>
      <c r="H12" s="39" t="s">
        <v>107</v>
      </c>
      <c r="I12" s="8" t="s">
        <v>85</v>
      </c>
      <c r="J12" s="8" t="s">
        <v>85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133</v>
      </c>
      <c r="E13" s="26" t="s">
        <v>39</v>
      </c>
      <c r="F13" s="26"/>
      <c r="G13" s="39" t="s">
        <v>173</v>
      </c>
      <c r="H13" s="39" t="s">
        <v>108</v>
      </c>
      <c r="I13" s="8" t="s">
        <v>85</v>
      </c>
      <c r="J13" s="8" t="s">
        <v>85</v>
      </c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134</v>
      </c>
      <c r="E14" s="26" t="s">
        <v>30</v>
      </c>
      <c r="F14" s="26"/>
      <c r="G14" s="39" t="s">
        <v>174</v>
      </c>
      <c r="H14" s="39" t="s">
        <v>110</v>
      </c>
      <c r="I14" s="8" t="s">
        <v>109</v>
      </c>
      <c r="J14" s="8" t="s">
        <v>109</v>
      </c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135</v>
      </c>
      <c r="E15" s="26" t="s">
        <v>38</v>
      </c>
      <c r="F15" s="26"/>
      <c r="G15" s="39" t="s">
        <v>175</v>
      </c>
      <c r="H15" s="39" t="s">
        <v>111</v>
      </c>
      <c r="I15" s="8" t="s">
        <v>85</v>
      </c>
      <c r="J15" s="8" t="s">
        <v>85</v>
      </c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136</v>
      </c>
      <c r="E16" s="26" t="s">
        <v>38</v>
      </c>
      <c r="F16" s="26"/>
      <c r="G16" s="39" t="s">
        <v>176</v>
      </c>
      <c r="H16" s="39" t="s">
        <v>112</v>
      </c>
      <c r="I16" s="8" t="s">
        <v>85</v>
      </c>
      <c r="J16" s="8" t="s">
        <v>85</v>
      </c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137</v>
      </c>
      <c r="E17" s="26" t="s">
        <v>31</v>
      </c>
      <c r="F17" s="26"/>
      <c r="G17" s="39" t="s">
        <v>177</v>
      </c>
      <c r="H17" s="39" t="s">
        <v>113</v>
      </c>
      <c r="I17" s="8" t="s">
        <v>109</v>
      </c>
      <c r="J17" s="8" t="s">
        <v>109</v>
      </c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61</v>
      </c>
      <c r="E18" s="26" t="s">
        <v>32</v>
      </c>
      <c r="F18" s="26"/>
      <c r="G18" s="39" t="s">
        <v>178</v>
      </c>
      <c r="H18" s="39" t="s">
        <v>114</v>
      </c>
      <c r="I18" s="8" t="s">
        <v>85</v>
      </c>
      <c r="J18" s="8" t="s">
        <v>85</v>
      </c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41</v>
      </c>
      <c r="E19" s="26" t="s">
        <v>38</v>
      </c>
      <c r="F19" s="26"/>
      <c r="G19" s="39" t="s">
        <v>179</v>
      </c>
      <c r="H19" s="39" t="s">
        <v>42</v>
      </c>
      <c r="I19" s="8" t="s">
        <v>85</v>
      </c>
      <c r="J19" s="8" t="s">
        <v>85</v>
      </c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34</v>
      </c>
      <c r="E20" s="26" t="s">
        <v>35</v>
      </c>
      <c r="F20" s="26"/>
      <c r="G20" s="39" t="s">
        <v>180</v>
      </c>
      <c r="H20" s="39" t="s">
        <v>115</v>
      </c>
      <c r="I20" s="8" t="s">
        <v>85</v>
      </c>
      <c r="J20" s="8" t="s">
        <v>85</v>
      </c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37</v>
      </c>
      <c r="E21" s="26" t="s">
        <v>36</v>
      </c>
      <c r="F21" s="26"/>
      <c r="G21" s="39" t="s">
        <v>181</v>
      </c>
      <c r="H21" s="39" t="s">
        <v>116</v>
      </c>
      <c r="I21" s="8" t="s">
        <v>85</v>
      </c>
      <c r="J21" s="8" t="s">
        <v>85</v>
      </c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138</v>
      </c>
      <c r="E22" s="26" t="s">
        <v>49</v>
      </c>
      <c r="F22" s="26"/>
      <c r="G22" s="39" t="s">
        <v>182</v>
      </c>
      <c r="H22" s="39" t="s">
        <v>117</v>
      </c>
      <c r="I22" s="8" t="s">
        <v>109</v>
      </c>
      <c r="J22" s="8" t="s">
        <v>85</v>
      </c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22"/>
      <c r="B23" s="23"/>
      <c r="C23" s="23"/>
      <c r="D23" s="16" t="s">
        <v>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8"/>
    </row>
    <row r="24" spans="1:21" s="10" customFormat="1" x14ac:dyDescent="0.2">
      <c r="A24" s="56"/>
      <c r="U24" s="40"/>
    </row>
    <row r="25" spans="1:21" s="10" customFormat="1" x14ac:dyDescent="0.2">
      <c r="A25" s="56"/>
      <c r="U25" s="40"/>
    </row>
    <row r="26" spans="1:21" s="10" customFormat="1" x14ac:dyDescent="0.2">
      <c r="A26" s="56"/>
      <c r="U26" s="40"/>
    </row>
    <row r="27" spans="1:21" s="10" customFormat="1" x14ac:dyDescent="0.2">
      <c r="A27" s="56"/>
      <c r="U27" s="40"/>
    </row>
    <row r="28" spans="1:21" s="10" customFormat="1" x14ac:dyDescent="0.2">
      <c r="A28" s="56"/>
      <c r="U28" s="40"/>
    </row>
    <row r="29" spans="1:21" s="10" customFormat="1" x14ac:dyDescent="0.2">
      <c r="A29" s="56"/>
      <c r="U29" s="40"/>
    </row>
    <row r="30" spans="1:21" s="10" customFormat="1" x14ac:dyDescent="0.2">
      <c r="A30" s="63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1"/>
    </row>
  </sheetData>
  <mergeCells count="26">
    <mergeCell ref="R22:S22"/>
    <mergeCell ref="T22:U22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3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6328125" style="4" bestFit="1" customWidth="1"/>
    <col min="9" max="10" width="15.81640625" style="4" customWidth="1"/>
    <col min="11" max="11" width="20.1796875" style="4" bestFit="1" customWidth="1"/>
    <col min="12" max="12" width="21.453125" style="4" bestFit="1" customWidth="1"/>
    <col min="13" max="13" width="15.906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99</v>
      </c>
      <c r="B1" s="54" t="s">
        <v>99</v>
      </c>
      <c r="C1" s="54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99</v>
      </c>
      <c r="B2" s="23"/>
      <c r="C2" s="23"/>
      <c r="D2" s="66" t="s">
        <v>158</v>
      </c>
      <c r="E2" s="7" t="s">
        <v>16</v>
      </c>
      <c r="F2" s="55" t="str">
        <f>IF(LogicCommon!C2="","",LogicCommon!C2)</f>
        <v>MS</v>
      </c>
      <c r="G2" s="7" t="s">
        <v>18</v>
      </c>
      <c r="H2" s="55" t="str">
        <f>IF(LogicCommon!E2="","",LogicCommon!E2)</f>
        <v>MSBCL5050</v>
      </c>
      <c r="I2" s="7" t="s">
        <v>100</v>
      </c>
      <c r="J2" s="8" t="s">
        <v>51</v>
      </c>
      <c r="K2" s="7" t="s">
        <v>96</v>
      </c>
      <c r="L2" s="55" t="str">
        <f>IF(LogicCommon!G2="","",LogicCommon!G2)</f>
        <v>MC</v>
      </c>
      <c r="M2" s="5" t="s">
        <v>101</v>
      </c>
      <c r="N2" s="24" t="s">
        <v>157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99</v>
      </c>
      <c r="B3" s="57"/>
      <c r="C3" s="57"/>
      <c r="D3" s="58" t="str">
        <f>IF(LogicCommon!A3="","",LogicCommon!A3)</f>
        <v/>
      </c>
      <c r="E3" s="7" t="s">
        <v>21</v>
      </c>
      <c r="F3" s="55" t="str">
        <f>IF(LogicCommon!C3="","",LogicCommon!C3)</f>
        <v>MSBC</v>
      </c>
      <c r="G3" s="7" t="s">
        <v>23</v>
      </c>
      <c r="H3" s="55" t="str">
        <f>IF(LogicCommon!E3="","",LogicCommon!E3)</f>
        <v>MSBCL_MrpExecService</v>
      </c>
      <c r="I3" s="7" t="s">
        <v>102</v>
      </c>
      <c r="J3" s="8" t="s">
        <v>51</v>
      </c>
      <c r="K3" s="7" t="s">
        <v>97</v>
      </c>
      <c r="L3" s="55" t="str">
        <f>IF(LogicCommon!G3="","",LogicCommon!G3)</f>
        <v/>
      </c>
      <c r="M3" s="59"/>
      <c r="N3" s="7"/>
      <c r="O3" s="7" t="s">
        <v>103</v>
      </c>
      <c r="P3" s="8" t="s">
        <v>118</v>
      </c>
      <c r="Q3" s="4"/>
      <c r="R3" s="5"/>
      <c r="S3" s="5"/>
      <c r="T3" s="5"/>
      <c r="U3" s="5"/>
    </row>
    <row r="4" spans="1:21" s="10" customFormat="1" x14ac:dyDescent="0.2">
      <c r="A4" s="56" t="s">
        <v>99</v>
      </c>
      <c r="B4" s="57"/>
      <c r="C4" s="57"/>
      <c r="D4" s="4"/>
      <c r="E4" s="7" t="s">
        <v>6</v>
      </c>
      <c r="F4" s="60" t="s">
        <v>104</v>
      </c>
      <c r="G4" s="7" t="s">
        <v>24</v>
      </c>
      <c r="H4" s="55" t="str">
        <f>IF(LogicCommon!E4="","",LogicCommon!E4)</f>
        <v>所要量計算サービス</v>
      </c>
      <c r="I4" s="7" t="s">
        <v>105</v>
      </c>
      <c r="J4" s="8" t="s">
        <v>50</v>
      </c>
      <c r="K4" s="7" t="s">
        <v>25</v>
      </c>
      <c r="L4" s="55" t="str">
        <f>IF(LogicCommon!G4="","",LogicCommon!G4)</f>
        <v>MS.MSUDL5010</v>
      </c>
      <c r="M4" s="61" t="s">
        <v>119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99</v>
      </c>
      <c r="B5" s="54"/>
      <c r="C5" s="54"/>
      <c r="D5" s="21"/>
      <c r="E5" s="7" t="s">
        <v>106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99</v>
      </c>
      <c r="B6" s="57"/>
      <c r="C6" s="57"/>
      <c r="D6" s="4" t="s">
        <v>9</v>
      </c>
      <c r="E6" s="12" t="s">
        <v>50</v>
      </c>
      <c r="F6" s="12"/>
      <c r="G6" s="12"/>
      <c r="H6" s="12"/>
      <c r="I6" s="12"/>
      <c r="J6" s="12"/>
      <c r="K6" s="12"/>
      <c r="L6" s="65"/>
      <c r="M6" s="15" t="s">
        <v>98</v>
      </c>
      <c r="N6" s="15"/>
      <c r="O6" s="15" t="s">
        <v>98</v>
      </c>
      <c r="P6" s="15"/>
      <c r="Q6" s="15" t="s">
        <v>98</v>
      </c>
      <c r="R6" s="4"/>
      <c r="S6" s="4"/>
      <c r="T6" s="4"/>
      <c r="U6" s="4"/>
    </row>
    <row r="7" spans="1:21" s="10" customFormat="1" x14ac:dyDescent="0.2">
      <c r="A7" s="23" t="s">
        <v>2</v>
      </c>
      <c r="B7" s="23"/>
      <c r="C7" s="23"/>
      <c r="D7" s="6"/>
      <c r="E7" s="6"/>
      <c r="F7" s="6"/>
      <c r="G7" s="6"/>
      <c r="H7" s="6"/>
      <c r="I7" s="6" t="s">
        <v>3</v>
      </c>
      <c r="J7" s="6"/>
      <c r="K7" s="8" t="s">
        <v>8</v>
      </c>
      <c r="L7" s="25" t="s">
        <v>4</v>
      </c>
      <c r="M7" s="26"/>
      <c r="N7" s="25" t="s">
        <v>4</v>
      </c>
      <c r="O7" s="26"/>
      <c r="P7" s="25" t="s">
        <v>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</v>
      </c>
      <c r="B8" s="67"/>
      <c r="C8" s="68"/>
      <c r="D8" s="25" t="s">
        <v>159</v>
      </c>
      <c r="E8" s="25" t="s">
        <v>160</v>
      </c>
      <c r="F8" s="65"/>
      <c r="G8" s="25" t="s">
        <v>120</v>
      </c>
      <c r="H8" s="25" t="s">
        <v>161</v>
      </c>
      <c r="I8" s="65"/>
      <c r="J8" s="3"/>
      <c r="K8" s="8"/>
      <c r="L8" s="25" t="s">
        <v>5</v>
      </c>
      <c r="M8" s="26"/>
      <c r="N8" s="25" t="s">
        <v>121</v>
      </c>
      <c r="O8" s="26"/>
      <c r="P8" s="25" t="s">
        <v>121</v>
      </c>
      <c r="Q8" s="26"/>
      <c r="R8" s="3"/>
      <c r="S8" s="21"/>
      <c r="T8" s="119" t="s">
        <v>162</v>
      </c>
      <c r="U8" s="120"/>
    </row>
    <row r="9" spans="1:21" s="10" customFormat="1" ht="60" customHeight="1" x14ac:dyDescent="0.2">
      <c r="A9" s="8" t="s">
        <v>2</v>
      </c>
      <c r="B9" s="29"/>
      <c r="C9" s="30"/>
      <c r="D9" s="25" t="s">
        <v>163</v>
      </c>
      <c r="E9" s="52" t="s">
        <v>164</v>
      </c>
      <c r="F9" s="25" t="s">
        <v>165</v>
      </c>
      <c r="G9" s="25" t="s">
        <v>166</v>
      </c>
      <c r="H9" s="25" t="s">
        <v>167</v>
      </c>
      <c r="I9" s="53" t="s">
        <v>168</v>
      </c>
      <c r="J9" s="25" t="s">
        <v>169</v>
      </c>
      <c r="K9" s="66"/>
      <c r="L9" s="53"/>
      <c r="M9" s="25"/>
      <c r="N9" s="25"/>
      <c r="O9" s="25"/>
      <c r="P9" s="25"/>
      <c r="Q9" s="25"/>
      <c r="R9" s="119" t="s">
        <v>170</v>
      </c>
      <c r="S9" s="120"/>
      <c r="T9" s="119" t="s">
        <v>171</v>
      </c>
      <c r="U9" s="120"/>
    </row>
    <row r="10" spans="1:21" s="10" customFormat="1" ht="39" x14ac:dyDescent="0.2">
      <c r="A10" s="29" t="s">
        <v>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168</v>
      </c>
      <c r="M10" s="25" t="s">
        <v>169</v>
      </c>
      <c r="N10" s="25" t="s">
        <v>168</v>
      </c>
      <c r="O10" s="25" t="s">
        <v>169</v>
      </c>
      <c r="P10" s="25" t="s">
        <v>168</v>
      </c>
      <c r="Q10" s="25" t="s">
        <v>169</v>
      </c>
      <c r="R10" s="31"/>
      <c r="S10" s="31"/>
      <c r="T10" s="36"/>
      <c r="U10" s="49"/>
    </row>
    <row r="11" spans="1:21" s="10" customFormat="1" x14ac:dyDescent="0.2">
      <c r="A11" s="8">
        <v>10</v>
      </c>
      <c r="B11" s="29" t="s">
        <v>0</v>
      </c>
      <c r="C11" s="30"/>
      <c r="D11" s="24" t="s">
        <v>52</v>
      </c>
      <c r="E11" s="27" t="s">
        <v>54</v>
      </c>
      <c r="F11" s="37"/>
      <c r="G11" s="24"/>
      <c r="H11" s="42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63</v>
      </c>
      <c r="E12" s="26" t="s">
        <v>55</v>
      </c>
      <c r="F12" s="26"/>
      <c r="G12" s="39" t="s">
        <v>183</v>
      </c>
      <c r="H12" s="39" t="s">
        <v>139</v>
      </c>
      <c r="I12" s="8" t="s">
        <v>109</v>
      </c>
      <c r="J12" s="8" t="s">
        <v>85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68</v>
      </c>
      <c r="E13" s="26" t="s">
        <v>31</v>
      </c>
      <c r="F13" s="26"/>
      <c r="G13" s="39" t="s">
        <v>177</v>
      </c>
      <c r="H13" s="39" t="s">
        <v>113</v>
      </c>
      <c r="I13" s="8" t="s">
        <v>109</v>
      </c>
      <c r="J13" s="8" t="s">
        <v>85</v>
      </c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60</v>
      </c>
      <c r="E14" s="26" t="s">
        <v>49</v>
      </c>
      <c r="F14" s="26"/>
      <c r="G14" s="39" t="s">
        <v>182</v>
      </c>
      <c r="H14" s="39" t="s">
        <v>117</v>
      </c>
      <c r="I14" s="8" t="s">
        <v>109</v>
      </c>
      <c r="J14" s="8" t="s">
        <v>85</v>
      </c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53</v>
      </c>
      <c r="E15" s="26" t="s">
        <v>30</v>
      </c>
      <c r="F15" s="26"/>
      <c r="G15" s="39" t="s">
        <v>174</v>
      </c>
      <c r="H15" s="39" t="s">
        <v>72</v>
      </c>
      <c r="I15" s="8" t="s">
        <v>109</v>
      </c>
      <c r="J15" s="8" t="s">
        <v>85</v>
      </c>
      <c r="K15" s="8"/>
      <c r="L15" s="8"/>
      <c r="M15" s="8"/>
      <c r="N15" s="8"/>
      <c r="O15" s="8"/>
      <c r="P15" s="8"/>
      <c r="Q15" s="8"/>
      <c r="R15" s="52"/>
      <c r="S15" s="53"/>
      <c r="T15" s="50"/>
      <c r="U15" s="51"/>
    </row>
    <row r="16" spans="1:21" s="10" customFormat="1" ht="26" x14ac:dyDescent="0.2">
      <c r="A16" s="8">
        <v>10</v>
      </c>
      <c r="B16" s="8"/>
      <c r="C16" s="8"/>
      <c r="D16" s="8" t="s">
        <v>83</v>
      </c>
      <c r="E16" s="26" t="s">
        <v>84</v>
      </c>
      <c r="F16" s="26"/>
      <c r="G16" s="39" t="s">
        <v>184</v>
      </c>
      <c r="H16" s="39" t="s">
        <v>140</v>
      </c>
      <c r="I16" s="8" t="s">
        <v>109</v>
      </c>
      <c r="J16" s="8" t="s">
        <v>85</v>
      </c>
      <c r="K16" s="8"/>
      <c r="L16" s="8"/>
      <c r="M16" s="8"/>
      <c r="N16" s="8"/>
      <c r="O16" s="8"/>
      <c r="P16" s="8"/>
      <c r="Q16" s="8"/>
      <c r="R16" s="52"/>
      <c r="S16" s="53"/>
      <c r="T16" s="50"/>
      <c r="U16" s="51"/>
    </row>
    <row r="17" spans="1:21" s="10" customFormat="1" ht="26" x14ac:dyDescent="0.2">
      <c r="A17" s="8">
        <v>10</v>
      </c>
      <c r="B17" s="8"/>
      <c r="C17" s="8"/>
      <c r="D17" s="8" t="s">
        <v>86</v>
      </c>
      <c r="E17" s="26" t="s">
        <v>88</v>
      </c>
      <c r="F17" s="26"/>
      <c r="G17" s="39" t="s">
        <v>185</v>
      </c>
      <c r="H17" s="39" t="s">
        <v>141</v>
      </c>
      <c r="I17" s="8" t="s">
        <v>109</v>
      </c>
      <c r="J17" s="8" t="s">
        <v>85</v>
      </c>
      <c r="K17" s="8"/>
      <c r="L17" s="8"/>
      <c r="M17" s="8"/>
      <c r="N17" s="8"/>
      <c r="O17" s="8"/>
      <c r="P17" s="8"/>
      <c r="Q17" s="8"/>
      <c r="R17" s="52"/>
      <c r="S17" s="53"/>
      <c r="T17" s="50"/>
      <c r="U17" s="51"/>
    </row>
    <row r="18" spans="1:21" s="10" customFormat="1" x14ac:dyDescent="0.2">
      <c r="A18" s="8">
        <v>10</v>
      </c>
      <c r="B18" s="8"/>
      <c r="C18" s="8"/>
      <c r="D18" s="8" t="s">
        <v>87</v>
      </c>
      <c r="E18" s="26" t="s">
        <v>89</v>
      </c>
      <c r="F18" s="26"/>
      <c r="G18" s="39" t="s">
        <v>186</v>
      </c>
      <c r="H18" s="39" t="s">
        <v>142</v>
      </c>
      <c r="I18" s="8" t="s">
        <v>109</v>
      </c>
      <c r="J18" s="8"/>
      <c r="K18" s="8"/>
      <c r="L18" s="8"/>
      <c r="M18" s="8"/>
      <c r="N18" s="8"/>
      <c r="O18" s="8"/>
      <c r="P18" s="8"/>
      <c r="Q18" s="8"/>
      <c r="R18" s="52"/>
      <c r="S18" s="53"/>
      <c r="T18" s="50"/>
      <c r="U18" s="51"/>
    </row>
    <row r="19" spans="1:21" s="10" customFormat="1" x14ac:dyDescent="0.2">
      <c r="A19" s="8">
        <v>10</v>
      </c>
      <c r="B19" s="8"/>
      <c r="C19" s="8"/>
      <c r="D19" s="8" t="s">
        <v>90</v>
      </c>
      <c r="E19" s="26" t="s">
        <v>94</v>
      </c>
      <c r="F19" s="26"/>
      <c r="G19" s="39" t="s">
        <v>187</v>
      </c>
      <c r="H19" s="39" t="s">
        <v>143</v>
      </c>
      <c r="I19" s="8" t="s">
        <v>109</v>
      </c>
      <c r="J19" s="8" t="s">
        <v>85</v>
      </c>
      <c r="K19" s="8"/>
      <c r="L19" s="8"/>
      <c r="M19" s="8"/>
      <c r="N19" s="8"/>
      <c r="O19" s="8"/>
      <c r="P19" s="8"/>
      <c r="Q19" s="8"/>
      <c r="R19" s="52"/>
      <c r="S19" s="53"/>
      <c r="T19" s="50"/>
      <c r="U19" s="51"/>
    </row>
    <row r="20" spans="1:21" s="10" customFormat="1" x14ac:dyDescent="0.2">
      <c r="A20" s="8">
        <v>10</v>
      </c>
      <c r="B20" s="8"/>
      <c r="C20" s="8"/>
      <c r="D20" s="8" t="s">
        <v>91</v>
      </c>
      <c r="E20" s="26" t="s">
        <v>95</v>
      </c>
      <c r="F20" s="26"/>
      <c r="G20" s="39" t="s">
        <v>188</v>
      </c>
      <c r="H20" s="39" t="s">
        <v>144</v>
      </c>
      <c r="I20" s="8" t="s">
        <v>109</v>
      </c>
      <c r="J20" s="8" t="s">
        <v>85</v>
      </c>
      <c r="K20" s="8"/>
      <c r="L20" s="8"/>
      <c r="M20" s="8"/>
      <c r="N20" s="8"/>
      <c r="O20" s="8"/>
      <c r="P20" s="8"/>
      <c r="Q20" s="8"/>
      <c r="R20" s="52"/>
      <c r="S20" s="53"/>
      <c r="T20" s="50"/>
      <c r="U20" s="51"/>
    </row>
    <row r="21" spans="1:21" s="10" customFormat="1" x14ac:dyDescent="0.2">
      <c r="A21" s="8">
        <v>10</v>
      </c>
      <c r="B21" s="8"/>
      <c r="C21" s="8"/>
      <c r="D21" s="8" t="s">
        <v>92</v>
      </c>
      <c r="E21" s="26" t="s">
        <v>93</v>
      </c>
      <c r="F21" s="26"/>
      <c r="G21" s="39" t="s">
        <v>189</v>
      </c>
      <c r="H21" s="39" t="s">
        <v>145</v>
      </c>
      <c r="I21" s="8" t="s">
        <v>109</v>
      </c>
      <c r="J21" s="8"/>
      <c r="K21" s="8"/>
      <c r="L21" s="8"/>
      <c r="M21" s="8"/>
      <c r="N21" s="8"/>
      <c r="O21" s="8"/>
      <c r="P21" s="8"/>
      <c r="Q21" s="8"/>
      <c r="R21" s="52"/>
      <c r="S21" s="53"/>
      <c r="T21" s="50"/>
      <c r="U21" s="51"/>
    </row>
    <row r="22" spans="1:21" s="10" customFormat="1" x14ac:dyDescent="0.2">
      <c r="A22" s="56"/>
      <c r="U22" s="40"/>
    </row>
    <row r="23" spans="1:21" s="10" customFormat="1" x14ac:dyDescent="0.2">
      <c r="A23" s="8">
        <v>20</v>
      </c>
      <c r="B23" s="29" t="s">
        <v>74</v>
      </c>
      <c r="C23" s="30"/>
      <c r="D23" s="24" t="s">
        <v>73</v>
      </c>
      <c r="E23" s="27" t="s">
        <v>75</v>
      </c>
      <c r="F23" s="43"/>
      <c r="G23" s="24"/>
      <c r="H23" s="42"/>
      <c r="I23" s="44"/>
      <c r="J23" s="45"/>
      <c r="K23" s="45"/>
      <c r="L23" s="27"/>
      <c r="M23" s="27"/>
      <c r="N23" s="27"/>
      <c r="O23" s="27"/>
      <c r="P23" s="27"/>
      <c r="Q23" s="27"/>
      <c r="R23" s="38"/>
      <c r="S23" s="37"/>
      <c r="T23" s="121"/>
      <c r="U23" s="122"/>
    </row>
    <row r="24" spans="1:21" s="10" customFormat="1" x14ac:dyDescent="0.2">
      <c r="A24" s="8">
        <v>20</v>
      </c>
      <c r="B24" s="8"/>
      <c r="C24" s="8"/>
      <c r="D24" s="8" t="s">
        <v>76</v>
      </c>
      <c r="E24" s="26" t="s">
        <v>69</v>
      </c>
      <c r="F24" s="26"/>
      <c r="G24" s="39" t="s">
        <v>190</v>
      </c>
      <c r="H24" s="39" t="s">
        <v>146</v>
      </c>
      <c r="I24" s="8" t="s">
        <v>85</v>
      </c>
      <c r="J24" s="8" t="s">
        <v>85</v>
      </c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8">
        <v>20</v>
      </c>
      <c r="B25" s="8"/>
      <c r="C25" s="8"/>
      <c r="D25" s="8" t="s">
        <v>77</v>
      </c>
      <c r="E25" s="26" t="s">
        <v>70</v>
      </c>
      <c r="F25" s="26"/>
      <c r="G25" s="39" t="s">
        <v>191</v>
      </c>
      <c r="H25" s="39" t="s">
        <v>147</v>
      </c>
      <c r="I25" s="8" t="s">
        <v>85</v>
      </c>
      <c r="J25" s="8" t="s">
        <v>85</v>
      </c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 x14ac:dyDescent="0.2">
      <c r="A26" s="8">
        <v>20</v>
      </c>
      <c r="B26" s="8"/>
      <c r="C26" s="8"/>
      <c r="D26" s="8" t="s">
        <v>78</v>
      </c>
      <c r="E26" s="26" t="s">
        <v>71</v>
      </c>
      <c r="F26" s="26"/>
      <c r="G26" s="39" t="s">
        <v>182</v>
      </c>
      <c r="H26" s="39" t="s">
        <v>117</v>
      </c>
      <c r="I26" s="8" t="s">
        <v>85</v>
      </c>
      <c r="J26" s="8" t="s">
        <v>85</v>
      </c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x14ac:dyDescent="0.2">
      <c r="A27" s="8">
        <v>20</v>
      </c>
      <c r="B27" s="8"/>
      <c r="C27" s="8"/>
      <c r="D27" s="8" t="s">
        <v>79</v>
      </c>
      <c r="E27" s="26" t="s">
        <v>69</v>
      </c>
      <c r="F27" s="26"/>
      <c r="G27" s="39" t="s">
        <v>192</v>
      </c>
      <c r="H27" s="39" t="s">
        <v>148</v>
      </c>
      <c r="I27" s="8" t="s">
        <v>85</v>
      </c>
      <c r="J27" s="8" t="s">
        <v>85</v>
      </c>
      <c r="K27" s="8"/>
      <c r="L27" s="8"/>
      <c r="M27" s="8"/>
      <c r="N27" s="8"/>
      <c r="O27" s="8"/>
      <c r="P27" s="8"/>
      <c r="Q27" s="8"/>
      <c r="R27" s="52"/>
      <c r="S27" s="53"/>
      <c r="T27" s="50"/>
      <c r="U27" s="51"/>
    </row>
    <row r="28" spans="1:21" s="10" customFormat="1" x14ac:dyDescent="0.2">
      <c r="A28" s="8">
        <v>20</v>
      </c>
      <c r="B28" s="8"/>
      <c r="C28" s="8"/>
      <c r="D28" s="8" t="s">
        <v>66</v>
      </c>
      <c r="E28" s="26" t="s">
        <v>58</v>
      </c>
      <c r="F28" s="26"/>
      <c r="G28" s="39" t="s">
        <v>193</v>
      </c>
      <c r="H28" s="39" t="s">
        <v>149</v>
      </c>
      <c r="I28" s="8" t="s">
        <v>85</v>
      </c>
      <c r="J28" s="8" t="s">
        <v>85</v>
      </c>
      <c r="K28" s="8"/>
      <c r="L28" s="8"/>
      <c r="M28" s="8"/>
      <c r="N28" s="8"/>
      <c r="O28" s="8"/>
      <c r="P28" s="8"/>
      <c r="Q28" s="8"/>
      <c r="R28" s="52"/>
      <c r="S28" s="53"/>
      <c r="T28" s="50"/>
      <c r="U28" s="51"/>
    </row>
    <row r="29" spans="1:21" s="10" customFormat="1" x14ac:dyDescent="0.2">
      <c r="A29" s="8">
        <v>20</v>
      </c>
      <c r="B29" s="8"/>
      <c r="C29" s="8"/>
      <c r="D29" s="8" t="s">
        <v>64</v>
      </c>
      <c r="E29" s="26" t="s">
        <v>56</v>
      </c>
      <c r="F29" s="26"/>
      <c r="G29" s="39" t="s">
        <v>194</v>
      </c>
      <c r="H29" s="39" t="s">
        <v>150</v>
      </c>
      <c r="I29" s="8" t="s">
        <v>85</v>
      </c>
      <c r="J29" s="8" t="s">
        <v>85</v>
      </c>
      <c r="K29" s="8"/>
      <c r="L29" s="8"/>
      <c r="M29" s="8"/>
      <c r="N29" s="8"/>
      <c r="O29" s="8"/>
      <c r="P29" s="8"/>
      <c r="Q29" s="8"/>
      <c r="R29" s="52"/>
      <c r="S29" s="53"/>
      <c r="T29" s="50"/>
      <c r="U29" s="51"/>
    </row>
    <row r="30" spans="1:21" s="10" customFormat="1" x14ac:dyDescent="0.2">
      <c r="A30" s="8">
        <v>20</v>
      </c>
      <c r="B30" s="8"/>
      <c r="C30" s="8"/>
      <c r="D30" s="8" t="s">
        <v>65</v>
      </c>
      <c r="E30" s="26" t="s">
        <v>57</v>
      </c>
      <c r="F30" s="26"/>
      <c r="G30" s="39" t="s">
        <v>195</v>
      </c>
      <c r="H30" s="39" t="s">
        <v>151</v>
      </c>
      <c r="I30" s="8" t="s">
        <v>85</v>
      </c>
      <c r="J30" s="8" t="s">
        <v>85</v>
      </c>
      <c r="K30" s="8"/>
      <c r="L30" s="8"/>
      <c r="M30" s="8"/>
      <c r="N30" s="8"/>
      <c r="O30" s="8"/>
      <c r="P30" s="8"/>
      <c r="Q30" s="8"/>
      <c r="R30" s="52"/>
      <c r="S30" s="53"/>
      <c r="T30" s="50"/>
      <c r="U30" s="51"/>
    </row>
    <row r="31" spans="1:21" s="10" customFormat="1" x14ac:dyDescent="0.2">
      <c r="A31" s="8">
        <v>20</v>
      </c>
      <c r="B31" s="8"/>
      <c r="C31" s="8"/>
      <c r="D31" s="8" t="s">
        <v>53</v>
      </c>
      <c r="E31" s="26" t="s">
        <v>30</v>
      </c>
      <c r="F31" s="26"/>
      <c r="G31" s="39" t="s">
        <v>174</v>
      </c>
      <c r="H31" s="39" t="s">
        <v>72</v>
      </c>
      <c r="I31" s="8" t="s">
        <v>85</v>
      </c>
      <c r="J31" s="8" t="s">
        <v>85</v>
      </c>
      <c r="K31" s="8"/>
      <c r="L31" s="8"/>
      <c r="M31" s="8"/>
      <c r="N31" s="8"/>
      <c r="O31" s="8"/>
      <c r="P31" s="8"/>
      <c r="Q31" s="8"/>
      <c r="R31" s="52"/>
      <c r="S31" s="53"/>
      <c r="T31" s="50"/>
      <c r="U31" s="51"/>
    </row>
    <row r="32" spans="1:21" s="10" customFormat="1" x14ac:dyDescent="0.2">
      <c r="A32" s="8">
        <v>20</v>
      </c>
      <c r="B32" s="8"/>
      <c r="C32" s="8"/>
      <c r="D32" s="8" t="s">
        <v>80</v>
      </c>
      <c r="E32" s="26" t="s">
        <v>69</v>
      </c>
      <c r="F32" s="26"/>
      <c r="G32" s="39" t="s">
        <v>196</v>
      </c>
      <c r="H32" s="39" t="s">
        <v>152</v>
      </c>
      <c r="I32" s="8" t="s">
        <v>85</v>
      </c>
      <c r="J32" s="8" t="s">
        <v>85</v>
      </c>
      <c r="K32" s="8"/>
      <c r="L32" s="8"/>
      <c r="M32" s="8"/>
      <c r="N32" s="8"/>
      <c r="O32" s="8"/>
      <c r="P32" s="8"/>
      <c r="Q32" s="8"/>
      <c r="R32" s="52"/>
      <c r="S32" s="53"/>
      <c r="T32" s="50"/>
      <c r="U32" s="51"/>
    </row>
    <row r="33" spans="1:21" s="10" customFormat="1" x14ac:dyDescent="0.2">
      <c r="A33" s="8">
        <v>20</v>
      </c>
      <c r="B33" s="8"/>
      <c r="C33" s="8"/>
      <c r="D33" s="8" t="s">
        <v>81</v>
      </c>
      <c r="E33" s="26" t="s">
        <v>59</v>
      </c>
      <c r="F33" s="26"/>
      <c r="G33" s="39" t="s">
        <v>197</v>
      </c>
      <c r="H33" s="39" t="s">
        <v>153</v>
      </c>
      <c r="I33" s="8" t="s">
        <v>85</v>
      </c>
      <c r="J33" s="8" t="s">
        <v>85</v>
      </c>
      <c r="K33" s="8"/>
      <c r="L33" s="8"/>
      <c r="M33" s="8"/>
      <c r="N33" s="8"/>
      <c r="O33" s="8"/>
      <c r="P33" s="8"/>
      <c r="Q33" s="8"/>
      <c r="R33" s="52"/>
      <c r="S33" s="53"/>
      <c r="T33" s="50"/>
      <c r="U33" s="51"/>
    </row>
    <row r="34" spans="1:21" s="10" customFormat="1" x14ac:dyDescent="0.2">
      <c r="A34" s="8">
        <v>20</v>
      </c>
      <c r="B34" s="8"/>
      <c r="C34" s="8"/>
      <c r="D34" s="8" t="s">
        <v>82</v>
      </c>
      <c r="E34" s="26" t="s">
        <v>59</v>
      </c>
      <c r="F34" s="26"/>
      <c r="G34" s="39" t="s">
        <v>198</v>
      </c>
      <c r="H34" s="39" t="s">
        <v>154</v>
      </c>
      <c r="I34" s="8" t="s">
        <v>85</v>
      </c>
      <c r="J34" s="8" t="s">
        <v>85</v>
      </c>
      <c r="K34" s="8"/>
      <c r="L34" s="8"/>
      <c r="M34" s="8"/>
      <c r="N34" s="8"/>
      <c r="O34" s="8"/>
      <c r="P34" s="8"/>
      <c r="Q34" s="8"/>
      <c r="R34" s="52"/>
      <c r="S34" s="53"/>
      <c r="T34" s="50"/>
      <c r="U34" s="51"/>
    </row>
    <row r="35" spans="1:21" s="10" customFormat="1" x14ac:dyDescent="0.2">
      <c r="A35" s="8">
        <v>20</v>
      </c>
      <c r="B35" s="8"/>
      <c r="C35" s="8"/>
      <c r="D35" s="8" t="s">
        <v>67</v>
      </c>
      <c r="E35" s="26" t="s">
        <v>59</v>
      </c>
      <c r="F35" s="26"/>
      <c r="G35" s="39" t="s">
        <v>199</v>
      </c>
      <c r="H35" s="39" t="s">
        <v>155</v>
      </c>
      <c r="I35" s="8" t="s">
        <v>85</v>
      </c>
      <c r="J35" s="8" t="s">
        <v>85</v>
      </c>
      <c r="K35" s="8"/>
      <c r="L35" s="8"/>
      <c r="M35" s="8"/>
      <c r="N35" s="8"/>
      <c r="O35" s="8"/>
      <c r="P35" s="8"/>
      <c r="Q35" s="8"/>
      <c r="R35" s="52"/>
      <c r="S35" s="53"/>
      <c r="T35" s="50"/>
      <c r="U35" s="51"/>
    </row>
    <row r="36" spans="1:21" s="10" customFormat="1" x14ac:dyDescent="0.2">
      <c r="A36" s="22"/>
      <c r="B36" s="23"/>
      <c r="C36" s="23"/>
      <c r="D36" s="16" t="s">
        <v>1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18"/>
    </row>
    <row r="37" spans="1:21" s="10" customFormat="1" x14ac:dyDescent="0.2">
      <c r="A37" s="56"/>
      <c r="U37" s="40"/>
    </row>
    <row r="38" spans="1:21" s="10" customFormat="1" x14ac:dyDescent="0.2">
      <c r="A38" s="56"/>
      <c r="U38" s="40"/>
    </row>
    <row r="39" spans="1:21" s="10" customFormat="1" x14ac:dyDescent="0.2">
      <c r="A39" s="56"/>
      <c r="U39" s="40"/>
    </row>
    <row r="40" spans="1:21" s="10" customFormat="1" x14ac:dyDescent="0.2">
      <c r="A40" s="56"/>
      <c r="U40" s="40"/>
    </row>
    <row r="41" spans="1:21" s="10" customFormat="1" x14ac:dyDescent="0.2">
      <c r="A41" s="56"/>
      <c r="U41" s="40"/>
    </row>
    <row r="42" spans="1:21" s="10" customFormat="1" x14ac:dyDescent="0.2">
      <c r="A42" s="56"/>
      <c r="U42" s="40"/>
    </row>
    <row r="43" spans="1:21" s="10" customFormat="1" x14ac:dyDescent="0.2">
      <c r="A43" s="63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41"/>
    </row>
  </sheetData>
  <mergeCells count="17">
    <mergeCell ref="R12:S12"/>
    <mergeCell ref="T12:U12"/>
    <mergeCell ref="T8:U8"/>
    <mergeCell ref="R9:S9"/>
    <mergeCell ref="T9:U9"/>
    <mergeCell ref="T11:U11"/>
    <mergeCell ref="R13:S13"/>
    <mergeCell ref="T13:U13"/>
    <mergeCell ref="R14:S14"/>
    <mergeCell ref="T14:U14"/>
    <mergeCell ref="R24:S24"/>
    <mergeCell ref="T24:U24"/>
    <mergeCell ref="R25:S25"/>
    <mergeCell ref="T25:U25"/>
    <mergeCell ref="R26:S26"/>
    <mergeCell ref="T26:U26"/>
    <mergeCell ref="T23:U2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69" t="s">
        <v>10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72" t="s">
        <v>11</v>
      </c>
      <c r="B3" s="73"/>
      <c r="C3" s="73"/>
      <c r="D3" s="73"/>
      <c r="E3" s="73"/>
      <c r="F3" s="73"/>
      <c r="G3" s="74"/>
      <c r="H3" s="75" t="s">
        <v>12</v>
      </c>
      <c r="I3" s="73"/>
      <c r="J3" s="73"/>
      <c r="K3" s="73"/>
      <c r="L3" s="73"/>
      <c r="M3" s="73"/>
      <c r="N3" s="74"/>
      <c r="O3" s="75" t="s">
        <v>13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14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15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6"/>
      <c r="I5" s="97"/>
      <c r="J5" s="97"/>
      <c r="K5" s="97"/>
      <c r="L5" s="97"/>
      <c r="M5" s="97"/>
      <c r="N5" s="98"/>
      <c r="O5" s="103" t="s">
        <v>200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201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2"/>
      <c r="AQ6" s="99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1"/>
    </row>
    <row r="7" spans="1:57" ht="15" customHeight="1" x14ac:dyDescent="0.2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 x14ac:dyDescent="0.2">
      <c r="A8" s="90"/>
      <c r="B8" s="91"/>
      <c r="C8" s="91"/>
      <c r="D8" s="91"/>
      <c r="E8" s="91"/>
      <c r="F8" s="91"/>
      <c r="G8" s="92"/>
      <c r="H8" s="96"/>
      <c r="I8" s="97"/>
      <c r="J8" s="97"/>
      <c r="K8" s="97"/>
      <c r="L8" s="97"/>
      <c r="M8" s="97"/>
      <c r="N8" s="98"/>
      <c r="O8" s="96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2"/>
      <c r="AQ8" s="99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1"/>
    </row>
    <row r="9" spans="1:57" ht="15" customHeight="1" x14ac:dyDescent="0.2">
      <c r="A9" s="90"/>
      <c r="B9" s="91"/>
      <c r="C9" s="91"/>
      <c r="D9" s="91"/>
      <c r="E9" s="91"/>
      <c r="F9" s="91"/>
      <c r="G9" s="92"/>
      <c r="H9" s="96"/>
      <c r="I9" s="97"/>
      <c r="J9" s="97"/>
      <c r="K9" s="97"/>
      <c r="L9" s="97"/>
      <c r="M9" s="97"/>
      <c r="N9" s="98"/>
      <c r="O9" s="96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2"/>
      <c r="AQ9" s="99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1"/>
    </row>
    <row r="10" spans="1:57" ht="15" customHeight="1" x14ac:dyDescent="0.2">
      <c r="A10" s="90"/>
      <c r="B10" s="91"/>
      <c r="C10" s="91"/>
      <c r="D10" s="91"/>
      <c r="E10" s="91"/>
      <c r="F10" s="91"/>
      <c r="G10" s="92"/>
      <c r="H10" s="96"/>
      <c r="I10" s="97"/>
      <c r="J10" s="97"/>
      <c r="K10" s="97"/>
      <c r="L10" s="97"/>
      <c r="M10" s="97"/>
      <c r="N10" s="98"/>
      <c r="O10" s="96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2"/>
      <c r="AQ10" s="99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1"/>
    </row>
    <row r="11" spans="1:57" ht="15" customHeight="1" x14ac:dyDescent="0.2">
      <c r="A11" s="90"/>
      <c r="B11" s="91"/>
      <c r="C11" s="91"/>
      <c r="D11" s="91"/>
      <c r="E11" s="91"/>
      <c r="F11" s="91"/>
      <c r="G11" s="92"/>
      <c r="H11" s="96"/>
      <c r="I11" s="97"/>
      <c r="J11" s="97"/>
      <c r="K11" s="97"/>
      <c r="L11" s="97"/>
      <c r="M11" s="97"/>
      <c r="N11" s="98"/>
      <c r="O11" s="96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2"/>
      <c r="AQ11" s="99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1"/>
    </row>
    <row r="12" spans="1:57" ht="15" customHeight="1" x14ac:dyDescent="0.2">
      <c r="A12" s="90"/>
      <c r="B12" s="91"/>
      <c r="C12" s="91"/>
      <c r="D12" s="91"/>
      <c r="E12" s="91"/>
      <c r="F12" s="91"/>
      <c r="G12" s="92"/>
      <c r="H12" s="96"/>
      <c r="I12" s="97"/>
      <c r="J12" s="97"/>
      <c r="K12" s="97"/>
      <c r="L12" s="97"/>
      <c r="M12" s="97"/>
      <c r="N12" s="98"/>
      <c r="O12" s="96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2"/>
      <c r="AQ12" s="99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1"/>
    </row>
    <row r="13" spans="1:57" ht="15" customHeight="1" x14ac:dyDescent="0.2">
      <c r="A13" s="90"/>
      <c r="B13" s="91"/>
      <c r="C13" s="91"/>
      <c r="D13" s="91"/>
      <c r="E13" s="91"/>
      <c r="F13" s="91"/>
      <c r="G13" s="92"/>
      <c r="H13" s="96"/>
      <c r="I13" s="97"/>
      <c r="J13" s="97"/>
      <c r="K13" s="97"/>
      <c r="L13" s="97"/>
      <c r="M13" s="97"/>
      <c r="N13" s="98"/>
      <c r="O13" s="96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2"/>
      <c r="AQ13" s="99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1"/>
    </row>
    <row r="14" spans="1:57" ht="15" customHeight="1" x14ac:dyDescent="0.2">
      <c r="A14" s="90"/>
      <c r="B14" s="91"/>
      <c r="C14" s="91"/>
      <c r="D14" s="91"/>
      <c r="E14" s="91"/>
      <c r="F14" s="91"/>
      <c r="G14" s="92"/>
      <c r="H14" s="96"/>
      <c r="I14" s="97"/>
      <c r="J14" s="97"/>
      <c r="K14" s="97"/>
      <c r="L14" s="97"/>
      <c r="M14" s="97"/>
      <c r="N14" s="98"/>
      <c r="O14" s="96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2"/>
      <c r="AQ14" s="99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1"/>
    </row>
    <row r="15" spans="1:57" ht="15" customHeight="1" x14ac:dyDescent="0.2">
      <c r="A15" s="90"/>
      <c r="B15" s="91"/>
      <c r="C15" s="91"/>
      <c r="D15" s="91"/>
      <c r="E15" s="91"/>
      <c r="F15" s="91"/>
      <c r="G15" s="92"/>
      <c r="H15" s="96"/>
      <c r="I15" s="97"/>
      <c r="J15" s="97"/>
      <c r="K15" s="97"/>
      <c r="L15" s="97"/>
      <c r="M15" s="97"/>
      <c r="N15" s="98"/>
      <c r="O15" s="96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2"/>
      <c r="AQ15" s="99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1"/>
    </row>
    <row r="16" spans="1:57" ht="15" customHeight="1" x14ac:dyDescent="0.2">
      <c r="A16" s="90"/>
      <c r="B16" s="91"/>
      <c r="C16" s="91"/>
      <c r="D16" s="91"/>
      <c r="E16" s="91"/>
      <c r="F16" s="91"/>
      <c r="G16" s="92"/>
      <c r="H16" s="96"/>
      <c r="I16" s="97"/>
      <c r="J16" s="97"/>
      <c r="K16" s="97"/>
      <c r="L16" s="97"/>
      <c r="M16" s="97"/>
      <c r="N16" s="98"/>
      <c r="O16" s="96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2"/>
      <c r="AQ16" s="99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1"/>
    </row>
    <row r="17" spans="1:57" ht="15" customHeight="1" x14ac:dyDescent="0.2">
      <c r="A17" s="90"/>
      <c r="B17" s="91"/>
      <c r="C17" s="91"/>
      <c r="D17" s="91"/>
      <c r="E17" s="91"/>
      <c r="F17" s="91"/>
      <c r="G17" s="92"/>
      <c r="H17" s="96"/>
      <c r="I17" s="97"/>
      <c r="J17" s="97"/>
      <c r="K17" s="97"/>
      <c r="L17" s="97"/>
      <c r="M17" s="97"/>
      <c r="N17" s="98"/>
      <c r="O17" s="96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2"/>
      <c r="AQ17" s="99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1"/>
    </row>
    <row r="18" spans="1:57" ht="15" customHeight="1" x14ac:dyDescent="0.2">
      <c r="A18" s="90"/>
      <c r="B18" s="91"/>
      <c r="C18" s="91"/>
      <c r="D18" s="91"/>
      <c r="E18" s="91"/>
      <c r="F18" s="91"/>
      <c r="G18" s="92"/>
      <c r="H18" s="96"/>
      <c r="I18" s="97"/>
      <c r="J18" s="97"/>
      <c r="K18" s="97"/>
      <c r="L18" s="97"/>
      <c r="M18" s="97"/>
      <c r="N18" s="98"/>
      <c r="O18" s="96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2"/>
      <c r="AQ18" s="99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1"/>
    </row>
    <row r="19" spans="1:57" ht="15" customHeight="1" x14ac:dyDescent="0.2">
      <c r="A19" s="90"/>
      <c r="B19" s="91"/>
      <c r="C19" s="91"/>
      <c r="D19" s="91"/>
      <c r="E19" s="91"/>
      <c r="F19" s="91"/>
      <c r="G19" s="92"/>
      <c r="H19" s="96"/>
      <c r="I19" s="97"/>
      <c r="J19" s="97"/>
      <c r="K19" s="97"/>
      <c r="L19" s="97"/>
      <c r="M19" s="97"/>
      <c r="N19" s="98"/>
      <c r="O19" s="96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2"/>
      <c r="AQ19" s="99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1"/>
    </row>
    <row r="20" spans="1:57" ht="15" customHeight="1" x14ac:dyDescent="0.2">
      <c r="A20" s="90"/>
      <c r="B20" s="91"/>
      <c r="C20" s="91"/>
      <c r="D20" s="91"/>
      <c r="E20" s="91"/>
      <c r="F20" s="91"/>
      <c r="G20" s="92"/>
      <c r="H20" s="96"/>
      <c r="I20" s="97"/>
      <c r="J20" s="97"/>
      <c r="K20" s="97"/>
      <c r="L20" s="97"/>
      <c r="M20" s="97"/>
      <c r="N20" s="98"/>
      <c r="O20" s="96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2"/>
      <c r="AQ20" s="99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1"/>
    </row>
    <row r="21" spans="1:57" ht="15" customHeight="1" x14ac:dyDescent="0.2">
      <c r="A21" s="90"/>
      <c r="B21" s="91"/>
      <c r="C21" s="91"/>
      <c r="D21" s="91"/>
      <c r="E21" s="91"/>
      <c r="F21" s="91"/>
      <c r="G21" s="92"/>
      <c r="H21" s="96"/>
      <c r="I21" s="97"/>
      <c r="J21" s="97"/>
      <c r="K21" s="97"/>
      <c r="L21" s="97"/>
      <c r="M21" s="97"/>
      <c r="N21" s="98"/>
      <c r="O21" s="96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2"/>
      <c r="AQ21" s="99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1"/>
    </row>
    <row r="22" spans="1:57" ht="15" customHeight="1" x14ac:dyDescent="0.2">
      <c r="A22" s="90"/>
      <c r="B22" s="91"/>
      <c r="C22" s="91"/>
      <c r="D22" s="91"/>
      <c r="E22" s="91"/>
      <c r="F22" s="91"/>
      <c r="G22" s="92"/>
      <c r="H22" s="96"/>
      <c r="I22" s="97"/>
      <c r="J22" s="97"/>
      <c r="K22" s="97"/>
      <c r="L22" s="97"/>
      <c r="M22" s="97"/>
      <c r="N22" s="98"/>
      <c r="O22" s="96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2"/>
      <c r="AQ22" s="99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1"/>
    </row>
    <row r="23" spans="1:57" ht="15" customHeight="1" x14ac:dyDescent="0.2">
      <c r="A23" s="90"/>
      <c r="B23" s="91"/>
      <c r="C23" s="91"/>
      <c r="D23" s="91"/>
      <c r="E23" s="91"/>
      <c r="F23" s="91"/>
      <c r="G23" s="92"/>
      <c r="H23" s="96"/>
      <c r="I23" s="97"/>
      <c r="J23" s="97"/>
      <c r="K23" s="97"/>
      <c r="L23" s="97"/>
      <c r="M23" s="97"/>
      <c r="N23" s="98"/>
      <c r="O23" s="96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2"/>
      <c r="AQ23" s="99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1"/>
    </row>
    <row r="24" spans="1:57" ht="15" customHeight="1" x14ac:dyDescent="0.2">
      <c r="A24" s="90"/>
      <c r="B24" s="91"/>
      <c r="C24" s="91"/>
      <c r="D24" s="91"/>
      <c r="E24" s="91"/>
      <c r="F24" s="91"/>
      <c r="G24" s="92"/>
      <c r="H24" s="96"/>
      <c r="I24" s="97"/>
      <c r="J24" s="97"/>
      <c r="K24" s="97"/>
      <c r="L24" s="97"/>
      <c r="M24" s="97"/>
      <c r="N24" s="98"/>
      <c r="O24" s="96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2"/>
      <c r="AQ24" s="99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1"/>
    </row>
    <row r="25" spans="1:57" ht="15" customHeight="1" x14ac:dyDescent="0.2">
      <c r="A25" s="90"/>
      <c r="B25" s="91"/>
      <c r="C25" s="91"/>
      <c r="D25" s="91"/>
      <c r="E25" s="91"/>
      <c r="F25" s="91"/>
      <c r="G25" s="92"/>
      <c r="H25" s="96"/>
      <c r="I25" s="97"/>
      <c r="J25" s="97"/>
      <c r="K25" s="97"/>
      <c r="L25" s="97"/>
      <c r="M25" s="97"/>
      <c r="N25" s="98"/>
      <c r="O25" s="96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2"/>
      <c r="AQ25" s="99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1"/>
    </row>
    <row r="26" spans="1:57" ht="15" customHeight="1" x14ac:dyDescent="0.2">
      <c r="A26" s="90"/>
      <c r="B26" s="91"/>
      <c r="C26" s="91"/>
      <c r="D26" s="91"/>
      <c r="E26" s="91"/>
      <c r="F26" s="91"/>
      <c r="G26" s="92"/>
      <c r="H26" s="96"/>
      <c r="I26" s="97"/>
      <c r="J26" s="97"/>
      <c r="K26" s="97"/>
      <c r="L26" s="97"/>
      <c r="M26" s="97"/>
      <c r="N26" s="98"/>
      <c r="O26" s="96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2"/>
      <c r="AQ26" s="99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1"/>
    </row>
    <row r="27" spans="1:57" ht="15" customHeight="1" x14ac:dyDescent="0.2">
      <c r="A27" s="90"/>
      <c r="B27" s="91"/>
      <c r="C27" s="91"/>
      <c r="D27" s="91"/>
      <c r="E27" s="91"/>
      <c r="F27" s="91"/>
      <c r="G27" s="92"/>
      <c r="H27" s="96"/>
      <c r="I27" s="97"/>
      <c r="J27" s="97"/>
      <c r="K27" s="97"/>
      <c r="L27" s="97"/>
      <c r="M27" s="97"/>
      <c r="N27" s="98"/>
      <c r="O27" s="96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2"/>
      <c r="AQ27" s="99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1"/>
    </row>
    <row r="28" spans="1:57" ht="15" customHeight="1" x14ac:dyDescent="0.2">
      <c r="A28" s="90"/>
      <c r="B28" s="91"/>
      <c r="C28" s="91"/>
      <c r="D28" s="91"/>
      <c r="E28" s="91"/>
      <c r="F28" s="91"/>
      <c r="G28" s="92"/>
      <c r="H28" s="96"/>
      <c r="I28" s="97"/>
      <c r="J28" s="97"/>
      <c r="K28" s="97"/>
      <c r="L28" s="97"/>
      <c r="M28" s="97"/>
      <c r="N28" s="98"/>
      <c r="O28" s="96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2"/>
      <c r="AQ28" s="99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1"/>
    </row>
    <row r="29" spans="1:57" ht="15" customHeight="1" x14ac:dyDescent="0.2">
      <c r="A29" s="90"/>
      <c r="B29" s="91"/>
      <c r="C29" s="91"/>
      <c r="D29" s="91"/>
      <c r="E29" s="91"/>
      <c r="F29" s="91"/>
      <c r="G29" s="92"/>
      <c r="H29" s="96"/>
      <c r="I29" s="97"/>
      <c r="J29" s="97"/>
      <c r="K29" s="97"/>
      <c r="L29" s="97"/>
      <c r="M29" s="97"/>
      <c r="N29" s="98"/>
      <c r="O29" s="96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2"/>
      <c r="AQ29" s="99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1"/>
    </row>
    <row r="30" spans="1:57" ht="15" customHeight="1" x14ac:dyDescent="0.2">
      <c r="A30" s="90"/>
      <c r="B30" s="91"/>
      <c r="C30" s="91"/>
      <c r="D30" s="91"/>
      <c r="E30" s="91"/>
      <c r="F30" s="91"/>
      <c r="G30" s="92"/>
      <c r="H30" s="96"/>
      <c r="I30" s="97"/>
      <c r="J30" s="97"/>
      <c r="K30" s="97"/>
      <c r="L30" s="97"/>
      <c r="M30" s="97"/>
      <c r="N30" s="98"/>
      <c r="O30" s="96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2"/>
      <c r="AQ30" s="99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1"/>
    </row>
    <row r="31" spans="1:57" ht="15" customHeight="1" x14ac:dyDescent="0.2">
      <c r="A31" s="90"/>
      <c r="B31" s="91"/>
      <c r="C31" s="91"/>
      <c r="D31" s="91"/>
      <c r="E31" s="91"/>
      <c r="F31" s="91"/>
      <c r="G31" s="92"/>
      <c r="H31" s="96"/>
      <c r="I31" s="97"/>
      <c r="J31" s="97"/>
      <c r="K31" s="97"/>
      <c r="L31" s="97"/>
      <c r="M31" s="97"/>
      <c r="N31" s="98"/>
      <c r="O31" s="96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2"/>
      <c r="AQ31" s="99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1"/>
    </row>
    <row r="32" spans="1:57" ht="15" customHeight="1" x14ac:dyDescent="0.2">
      <c r="A32" s="90"/>
      <c r="B32" s="91"/>
      <c r="C32" s="91"/>
      <c r="D32" s="91"/>
      <c r="E32" s="91"/>
      <c r="F32" s="91"/>
      <c r="G32" s="92"/>
      <c r="H32" s="96"/>
      <c r="I32" s="97"/>
      <c r="J32" s="97"/>
      <c r="K32" s="97"/>
      <c r="L32" s="97"/>
      <c r="M32" s="97"/>
      <c r="N32" s="98"/>
      <c r="O32" s="96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2"/>
      <c r="AQ32" s="99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1"/>
    </row>
    <row r="33" spans="1:57" ht="15" customHeight="1" x14ac:dyDescent="0.2">
      <c r="A33" s="90"/>
      <c r="B33" s="91"/>
      <c r="C33" s="91"/>
      <c r="D33" s="91"/>
      <c r="E33" s="91"/>
      <c r="F33" s="91"/>
      <c r="G33" s="92"/>
      <c r="H33" s="96"/>
      <c r="I33" s="97"/>
      <c r="J33" s="97"/>
      <c r="K33" s="97"/>
      <c r="L33" s="97"/>
      <c r="M33" s="97"/>
      <c r="N33" s="98"/>
      <c r="O33" s="96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2"/>
      <c r="AQ33" s="99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1"/>
    </row>
    <row r="34" spans="1:57" ht="15" customHeight="1" x14ac:dyDescent="0.2">
      <c r="A34" s="90"/>
      <c r="B34" s="91"/>
      <c r="C34" s="91"/>
      <c r="D34" s="91"/>
      <c r="E34" s="91"/>
      <c r="F34" s="91"/>
      <c r="G34" s="92"/>
      <c r="H34" s="96"/>
      <c r="I34" s="97"/>
      <c r="J34" s="97"/>
      <c r="K34" s="97"/>
      <c r="L34" s="97"/>
      <c r="M34" s="97"/>
      <c r="N34" s="98"/>
      <c r="O34" s="96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2"/>
      <c r="AQ34" s="99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1"/>
    </row>
    <row r="35" spans="1:57" ht="15" customHeight="1" thickBot="1" x14ac:dyDescent="0.25">
      <c r="A35" s="109"/>
      <c r="B35" s="110"/>
      <c r="C35" s="110"/>
      <c r="D35" s="110"/>
      <c r="E35" s="110"/>
      <c r="F35" s="110"/>
      <c r="G35" s="111"/>
      <c r="H35" s="112"/>
      <c r="I35" s="113"/>
      <c r="J35" s="113"/>
      <c r="K35" s="113"/>
      <c r="L35" s="113"/>
      <c r="M35" s="113"/>
      <c r="N35" s="114"/>
      <c r="O35" s="112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6"/>
      <c r="AQ35" s="117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MRP_Upd01</vt:lpstr>
      <vt:lpstr>MRP_Upd02</vt:lpstr>
      <vt:lpstr>MRP_Upd03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2026-03-27T05:57:06Z</dcterms:modified>
  <cp:category/>
</cp:coreProperties>
</file>