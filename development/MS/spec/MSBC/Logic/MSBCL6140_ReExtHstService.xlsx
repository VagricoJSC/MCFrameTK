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E519BC5B-5C80-43F4-AEAC-BA515BCAE31E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ReExtHst_Chk01" sheetId="5" r:id="rId2"/>
    <sheet name="ReExtHst_Ins01" sheetId="6" r:id="rId3"/>
    <sheet name="ReExtHst_Upd01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<sst xmlns="http://schemas.openxmlformats.org/spreadsheetml/2006/main" count="347" uniqueCount="132">
  <si>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</si>
  <si>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</si>
  <si>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</si>
  <si>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</si>
  <si>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</si>
  <si>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</si>
  <si>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</si>
  <si>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</si>
  <si>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</si>
  <si>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</si>
  <si>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</si>
  <si>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</si>
  <si>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</si>
  <si>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</si>
  <si>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</si>
  <si>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3"/>
  </si>
  <si>
    <t>MS</t>
  </si>
  <si>
    <t>MSBC</t>
  </si>
  <si>
    <t>MSBCL6140</t>
  </si>
  <si>
    <t>Version :</t>
  </si>
  <si>
    <t>ACType :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</si>
  <si>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</si>
  <si>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</si>
  <si>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</si>
  <si>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</si>
  <si>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</si>
  <si>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</si>
  <si>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更新前チェック</t>
  </si>
  <si>
    <t>mfg_inst_no</t>
  </si>
  <si>
    <t>#MA.MFG_INST_NO</t>
  </si>
  <si>
    <t>ref_ord</t>
  </si>
  <si>
    <t>#MA.INT</t>
  </si>
  <si>
    <t>新規</t>
  </si>
  <si>
    <t>chng_no</t>
  </si>
  <si>
    <t>re_ext_typ</t>
  </si>
  <si>
    <t>#MS.RE_EXT_TYP</t>
  </si>
  <si>
    <t>oper_chng_flg</t>
  </si>
  <si>
    <t>#MA.FLG</t>
  </si>
  <si>
    <t>plm_cnt_rmrks</t>
  </si>
  <si>
    <t>#MA.PLM_CNT_RMRKS</t>
  </si>
  <si>
    <t>更新</t>
  </si>
  <si>
    <t>intr_rmrks</t>
  </si>
  <si>
    <t>#MS.RE_EXT_INTR_RMRKS</t>
  </si>
  <si>
    <t>製造再展開履歴登録サービス</t>
    <rPh sb="0" eb="2">
      <t>セイゾウ</t>
    </rPh>
    <rPh sb="2" eb="5">
      <t>サイテンカイ</t>
    </rPh>
    <rPh sb="5" eb="7">
      <t>リレキ</t>
    </rPh>
    <rPh sb="7" eb="9">
      <t>トウロク</t>
    </rPh>
    <phoneticPr fontId="3"/>
  </si>
  <si>
    <t>製造再展開履歴の追加・更新を行う。</t>
    <rPh sb="0" eb="2">
      <t>セイゾウ</t>
    </rPh>
    <rPh sb="2" eb="5">
      <t>サイテンカイ</t>
    </rPh>
    <rPh sb="5" eb="7">
      <t>リレキ</t>
    </rPh>
    <rPh sb="8" eb="10">
      <t>ツイカ</t>
    </rPh>
    <rPh sb="11" eb="13">
      <t>コウシン</t>
    </rPh>
    <rPh sb="14" eb="15">
      <t>オコナ</t>
    </rPh>
    <phoneticPr fontId="3"/>
  </si>
  <si>
    <t>PLM-Linkオプションが有効な場合にみ使用されるサービス。</t>
    <phoneticPr fontId="3"/>
  </si>
  <si>
    <t>@</t>
    <phoneticPr fontId="3"/>
  </si>
  <si>
    <t>@</t>
    <phoneticPr fontId="3"/>
  </si>
  <si>
    <t>製造指図再展開履歴を更新する</t>
    <rPh sb="0" eb="4">
      <t>セイゾウサシズ</t>
    </rPh>
    <rPh sb="4" eb="7">
      <t>サイテンカイ</t>
    </rPh>
    <rPh sb="7" eb="9">
      <t>リレキ</t>
    </rPh>
    <rPh sb="10" eb="12">
      <t>コウシン</t>
    </rPh>
    <phoneticPr fontId="3"/>
  </si>
  <si>
    <t>L</t>
    <phoneticPr fontId="3"/>
  </si>
  <si>
    <t>L</t>
    <phoneticPr fontId="3"/>
  </si>
  <si>
    <t>ReExtHst_Chk01</t>
    <phoneticPr fontId="3"/>
  </si>
  <si>
    <t>ReExtHst_Chk01_Dtl</t>
    <phoneticPr fontId="3"/>
  </si>
  <si>
    <t>ReExtHst_Ins01</t>
    <phoneticPr fontId="3"/>
  </si>
  <si>
    <t>ReExtHst_Ins01_Dtl</t>
    <phoneticPr fontId="3"/>
  </si>
  <si>
    <t>ReExtHst_Upd01</t>
    <phoneticPr fontId="3"/>
  </si>
  <si>
    <t>ReExtHst_Upd01_Dtl</t>
    <phoneticPr fontId="3"/>
  </si>
  <si>
    <t>peg_no</t>
    <phoneticPr fontId="3"/>
  </si>
  <si>
    <t>err_flg</t>
    <phoneticPr fontId="3"/>
  </si>
  <si>
    <t>#MS.RE_EXT_SUB_CHAR1</t>
  </si>
  <si>
    <t>#MS.RE_EXT_SUB_CHAR2</t>
  </si>
  <si>
    <t>#MS.RE_EXT_SUB_CHAR3</t>
  </si>
  <si>
    <t>製造再展開履歴を新規登録する</t>
  </si>
  <si>
    <t>mfg_inst_rev</t>
    <phoneticPr fontId="3"/>
  </si>
  <si>
    <t>Pj.ID :</t>
    <phoneticPr fontId="2"/>
  </si>
  <si>
    <t>MSBCL_ReExtHstService</t>
    <phoneticPr fontId="3"/>
  </si>
  <si>
    <t>SuperClassPj.ID :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</si>
  <si>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</si>
  <si>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</si>
  <si>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</si>
  <si>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</si>
  <si>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</si>
  <si>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</si>
  <si>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</si>
  <si>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</si>
  <si>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ID</t>
    <phoneticPr fontId="2"/>
  </si>
  <si>
    <t>紐付けＮＯ</t>
    <phoneticPr fontId="3"/>
  </si>
  <si>
    <t>E</t>
    <phoneticPr fontId="2"/>
  </si>
  <si>
    <t>製造指図ＮＯ</t>
    <phoneticPr fontId="3"/>
  </si>
  <si>
    <t>反映順</t>
    <phoneticPr fontId="3"/>
  </si>
  <si>
    <t>エラー</t>
    <phoneticPr fontId="3"/>
  </si>
  <si>
    <t>ALL</t>
    <phoneticPr fontId="2"/>
  </si>
  <si>
    <t>ImplOpe.ID:</t>
    <phoneticPr fontId="2"/>
  </si>
  <si>
    <t>Upd01更新オペレーションの実行前チェックを行う</t>
    <rPh sb="5" eb="7">
      <t>コウシン</t>
    </rPh>
    <rPh sb="15" eb="17">
      <t>ジッコウ</t>
    </rPh>
    <rPh sb="17" eb="18">
      <t>マエ</t>
    </rPh>
    <rPh sb="23" eb="24">
      <t>オコナ</t>
    </rPh>
    <phoneticPr fontId="3"/>
  </si>
  <si>
    <t>super/share</t>
    <phoneticPr fontId="2"/>
  </si>
  <si>
    <t>#MA.FLG</t>
    <phoneticPr fontId="2"/>
  </si>
  <si>
    <t>変更ＮＯ</t>
    <phoneticPr fontId="3"/>
  </si>
  <si>
    <t>指図再展開区分</t>
    <phoneticPr fontId="3"/>
  </si>
  <si>
    <t>工程変更ＦＬＧ</t>
    <phoneticPr fontId="3"/>
  </si>
  <si>
    <t>設計変更連絡備考</t>
    <phoneticPr fontId="3"/>
  </si>
  <si>
    <t>予備１</t>
    <phoneticPr fontId="3"/>
  </si>
  <si>
    <t>予備２</t>
    <phoneticPr fontId="3"/>
  </si>
  <si>
    <t>予備３</t>
    <phoneticPr fontId="3"/>
  </si>
  <si>
    <t>#MA.CHNG_NO</t>
    <phoneticPr fontId="3"/>
  </si>
  <si>
    <t>sub_char1</t>
    <phoneticPr fontId="3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</si>
  <si>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</si>
  <si>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</si>
  <si>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製造指図改訂番号</t>
    <phoneticPr fontId="3"/>
  </si>
  <si>
    <t>内部備考</t>
    <phoneticPr fontId="3"/>
  </si>
  <si>
    <t>#MA.SLIP_REV</t>
    <phoneticPr fontId="3"/>
  </si>
  <si>
    <t>MS.MSUDL5010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</si>
  <si>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</si>
  <si>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</si>
  <si>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</si>
  <si>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</si>
  <si>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</si>
  <si>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</si>
  <si>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</si>
  <si>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"/>
  </si>
  <si>
    <t>型
Type</t>
    <phoneticPr fontId="3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</si>
  <si>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</si>
  <si>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</si>
  <si>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</si>
  <si>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</si>
  <si>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</si>
  <si>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</si>
  <si>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</si>
  <si>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</si>
  <si>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Mfg. order No.</t>
  </si>
  <si>
    <t>Applied sequence</t>
  </si>
  <si>
    <t>Error</t>
  </si>
  <si>
    <t>Change No.</t>
  </si>
  <si>
    <t>Order re-explosion type</t>
  </si>
  <si>
    <t>Operation change flg.</t>
  </si>
  <si>
    <t>Design changes contact remarks</t>
  </si>
  <si>
    <t>Spare 1</t>
  </si>
  <si>
    <t>Spare 2</t>
  </si>
  <si>
    <t>Spare 3</t>
  </si>
  <si>
    <t>Mfg. order rev. number</t>
  </si>
  <si>
    <t>Internal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</si>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</sst>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1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ont="0" applyFill="0" applyBorder="0" applyAlignment="0" applyProtection="0">
      <alignment horizontal="left"/>
    </xf>
    <xf numFmtId="0" fontId="15" fillId="0" borderId="12">
      <alignment horizont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8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12" fillId="0" borderId="0">
      <alignment vertical="center"/>
    </xf>
    <xf numFmtId="0" fontId="10" fillId="0" borderId="0"/>
    <xf numFmtId="0" fontId="29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9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0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9" xfId="0" applyFont="1" applyFill="1" applyBorder="1" applyAlignment="1">
      <alignment wrapText="1"/>
    </xf>
    <xf numFmtId="0" fontId="32" fillId="2" borderId="8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3" borderId="5" xfId="0" applyFont="1" applyFill="1" applyBorder="1">
      <alignment vertical="top" wrapText="1"/>
    </xf>
    <xf numFmtId="0" fontId="32" fillId="0" borderId="8" xfId="0" applyFont="1" applyBorder="1" applyAlignment="1" applyProtection="1">
      <alignment vertical="top"/>
      <protection locked="0"/>
    </xf>
    <xf numFmtId="0" fontId="32" fillId="0" borderId="9" xfId="0" applyFont="1" applyBorder="1" applyAlignment="1" applyProtection="1">
      <alignment vertical="top"/>
      <protection locked="0"/>
    </xf>
    <xf numFmtId="0" fontId="32" fillId="0" borderId="10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9" xfId="0" applyFont="1" applyBorder="1" applyAlignment="1"/>
    <xf numFmtId="0" fontId="32" fillId="3" borderId="8" xfId="0" applyFont="1" applyFill="1" applyBorder="1" applyAlignment="1" applyProtection="1">
      <protection locked="0"/>
    </xf>
    <xf numFmtId="0" fontId="32" fillId="3" borderId="9" xfId="0" applyFont="1" applyFill="1" applyBorder="1" applyAlignment="1"/>
    <xf numFmtId="0" fontId="32" fillId="2" borderId="3" xfId="0" applyFont="1" applyFill="1" applyBorder="1" applyAlignment="1">
      <alignment vertical="top"/>
    </xf>
    <xf numFmtId="0" fontId="32" fillId="2" borderId="30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31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8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32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32" xfId="0" applyFont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177" fontId="34" fillId="0" borderId="25" xfId="8" applyNumberFormat="1" applyFont="1" applyBorder="1" applyAlignment="1">
      <alignment horizontal="center" vertical="center"/>
    </xf>
    <xf numFmtId="177" fontId="34" fillId="0" borderId="26" xfId="7" applyNumberFormat="1" applyFont="1" applyBorder="1" applyAlignment="1">
      <alignment horizontal="center" vertical="center"/>
    </xf>
    <xf numFmtId="177" fontId="34" fillId="0" borderId="27" xfId="7" applyNumberFormat="1" applyFont="1" applyBorder="1" applyAlignment="1">
      <alignment horizontal="center" vertical="center"/>
    </xf>
    <xf numFmtId="0" fontId="34" fillId="0" borderId="28" xfId="8" applyFont="1" applyBorder="1" applyAlignment="1">
      <alignment horizontal="left" vertical="center" wrapText="1"/>
    </xf>
    <xf numFmtId="0" fontId="34" fillId="0" borderId="26" xfId="7" applyFont="1" applyBorder="1" applyAlignment="1">
      <alignment horizontal="left" vertical="center" wrapText="1"/>
    </xf>
    <xf numFmtId="0" fontId="34" fillId="0" borderId="27" xfId="7" applyFont="1" applyBorder="1" applyAlignment="1">
      <alignment horizontal="left" vertical="center" wrapText="1"/>
    </xf>
    <xf numFmtId="0" fontId="34" fillId="0" borderId="26" xfId="7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28" xfId="8" applyFont="1" applyBorder="1" applyAlignment="1">
      <alignment vertical="center" wrapText="1"/>
    </xf>
    <xf numFmtId="0" fontId="34" fillId="0" borderId="29" xfId="7" applyFont="1" applyBorder="1" applyAlignment="1">
      <alignment vertical="center" wrapText="1"/>
    </xf>
    <xf numFmtId="177" fontId="34" fillId="0" borderId="23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9" xfId="7" applyNumberFormat="1" applyFont="1" applyBorder="1" applyAlignment="1">
      <alignment horizontal="center" vertical="center"/>
    </xf>
    <xf numFmtId="0" fontId="34" fillId="0" borderId="8" xfId="8" applyFont="1" applyBorder="1" applyAlignment="1">
      <alignment horizontal="left" vertical="center" wrapText="1"/>
    </xf>
    <xf numFmtId="0" fontId="34" fillId="0" borderId="2" xfId="7" applyFont="1" applyBorder="1" applyAlignment="1">
      <alignment horizontal="left" vertical="center" wrapText="1"/>
    </xf>
    <xf numFmtId="0" fontId="34" fillId="0" borderId="9" xfId="7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9" xfId="7" applyFont="1" applyBorder="1" applyAlignment="1">
      <alignment vertical="center" wrapText="1"/>
    </xf>
    <xf numFmtId="0" fontId="34" fillId="0" borderId="8" xfId="8" applyFont="1" applyBorder="1" applyAlignment="1">
      <alignment vertical="center" wrapText="1"/>
    </xf>
    <xf numFmtId="0" fontId="34" fillId="0" borderId="24" xfId="7" applyFont="1" applyBorder="1" applyAlignment="1">
      <alignment vertical="center" wrapText="1"/>
    </xf>
    <xf numFmtId="0" fontId="34" fillId="0" borderId="8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34" fillId="0" borderId="2" xfId="8" applyFont="1" applyBorder="1" applyAlignment="1">
      <alignment horizontal="left" vertical="center" wrapText="1"/>
    </xf>
    <xf numFmtId="0" fontId="34" fillId="0" borderId="9" xfId="8" applyFont="1" applyBorder="1" applyAlignment="1">
      <alignment horizontal="left" vertical="center" wrapText="1"/>
    </xf>
    <xf numFmtId="0" fontId="34" fillId="0" borderId="2" xfId="8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8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9" xfId="7" applyFont="1" applyBorder="1" applyAlignment="1">
      <alignment horizontal="left" vertical="center"/>
    </xf>
    <xf numFmtId="0" fontId="34" fillId="0" borderId="8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4" xfId="7" applyFont="1" applyBorder="1" applyAlignment="1">
      <alignment vertical="center"/>
    </xf>
    <xf numFmtId="0" fontId="33" fillId="3" borderId="11" xfId="6" applyFont="1" applyFill="1" applyBorder="1" applyAlignment="1">
      <alignment horizontal="center" vertical="center"/>
    </xf>
    <xf numFmtId="0" fontId="34" fillId="0" borderId="12" xfId="7" applyFont="1" applyBorder="1" applyAlignment="1">
      <alignment vertical="center"/>
    </xf>
    <xf numFmtId="0" fontId="34" fillId="0" borderId="13" xfId="7" applyFont="1" applyBorder="1" applyAlignment="1">
      <alignment vertical="center"/>
    </xf>
    <xf numFmtId="0" fontId="35" fillId="3" borderId="14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5" fillId="3" borderId="16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5" xfId="8" applyFont="1" applyFill="1" applyBorder="1" applyAlignment="1">
      <alignment horizontal="center" vertical="center"/>
    </xf>
    <xf numFmtId="0" fontId="35" fillId="3" borderId="16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7" xfId="7" applyFont="1" applyBorder="1" applyAlignment="1">
      <alignment horizontal="center" vertical="center"/>
    </xf>
    <xf numFmtId="177" fontId="34" fillId="0" borderId="18" xfId="8" applyNumberFormat="1" applyFont="1" applyBorder="1" applyAlignment="1">
      <alignment horizontal="center" vertical="center"/>
    </xf>
    <xf numFmtId="177" fontId="34" fillId="0" borderId="19" xfId="7" applyNumberFormat="1" applyFont="1" applyBorder="1" applyAlignment="1">
      <alignment horizontal="center" vertical="center"/>
    </xf>
    <xf numFmtId="177" fontId="34" fillId="0" borderId="20" xfId="7" applyNumberFormat="1" applyFont="1" applyBorder="1" applyAlignment="1">
      <alignment horizontal="center" vertical="center"/>
    </xf>
    <xf numFmtId="0" fontId="34" fillId="0" borderId="21" xfId="8" applyFont="1" applyBorder="1" applyAlignment="1">
      <alignment horizontal="left" vertical="center" wrapText="1"/>
    </xf>
    <xf numFmtId="0" fontId="34" fillId="0" borderId="19" xfId="7" applyFont="1" applyBorder="1" applyAlignment="1">
      <alignment horizontal="left" vertical="center" wrapText="1"/>
    </xf>
    <xf numFmtId="0" fontId="34" fillId="0" borderId="20" xfId="7" applyFont="1" applyBorder="1" applyAlignment="1">
      <alignment horizontal="left" vertical="center" wrapText="1"/>
    </xf>
    <xf numFmtId="0" fontId="34" fillId="0" borderId="19" xfId="7" applyFont="1" applyBorder="1" applyAlignment="1">
      <alignment vertical="center" wrapText="1"/>
    </xf>
    <xf numFmtId="0" fontId="34" fillId="0" borderId="20" xfId="7" applyFont="1" applyBorder="1" applyAlignment="1">
      <alignment vertical="center" wrapText="1"/>
    </xf>
    <xf numFmtId="0" fontId="34" fillId="0" borderId="21" xfId="8" applyFont="1" applyBorder="1" applyAlignment="1">
      <alignment vertical="center" wrapText="1"/>
    </xf>
    <xf numFmtId="0" fontId="34" fillId="0" borderId="22" xfId="7" applyFont="1" applyBorder="1" applyAlignment="1">
      <alignment vertical="center" wrapText="1"/>
    </xf>
    <xf numFmtId="0" fontId="32" fillId="0" borderId="8" xfId="0" applyFont="1" applyBorder="1">
      <alignment vertical="top" wrapText="1"/>
    </xf>
    <xf numFmtId="0" fontId="32" fillId="0" borderId="9" xfId="0" applyFont="1" applyBorder="1">
      <alignment vertical="top" wrapText="1"/>
    </xf>
    <xf numFmtId="0" fontId="32" fillId="3" borderId="8" xfId="0" applyFont="1" applyFill="1" applyBorder="1" applyAlignment="1">
      <alignment wrapText="1"/>
    </xf>
    <xf numFmtId="0" fontId="32" fillId="3" borderId="9" xfId="0" applyFont="1" applyFill="1" applyBorder="1" applyAlignment="1">
      <alignment wrapText="1"/>
    </xf>
    <xf numFmtId="0" fontId="32" fillId="3" borderId="8" xfId="0" applyFont="1" applyFill="1" applyBorder="1" applyAlignment="1" applyProtection="1">
      <protection locked="0"/>
    </xf>
    <xf numFmtId="0" fontId="32" fillId="3" borderId="9" xfId="0" applyFont="1" applyFill="1" applyBorder="1" applyAlignment="1"/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0.63281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64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65</v>
      </c>
      <c r="F3" s="7" t="s">
        <v>66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43</v>
      </c>
      <c r="F4" s="7" t="s">
        <v>5</v>
      </c>
      <c r="G4" s="8" t="s">
        <v>100</v>
      </c>
      <c r="I4" s="5"/>
      <c r="J4" s="4"/>
    </row>
    <row r="5" spans="1:13">
      <c r="A5" s="6" t="s">
        <v>8</v>
      </c>
      <c r="B5" s="12" t="s">
        <v>44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 t="s">
        <v>45</v>
      </c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67</v>
      </c>
      <c r="B1" s="51" t="s">
        <v>67</v>
      </c>
      <c r="C1" s="51"/>
      <c r="D1" s="1" t="s">
        <v>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67</v>
      </c>
      <c r="B2" s="22"/>
      <c r="C2" s="22"/>
      <c r="D2" s="64" t="s">
        <v>103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MSBCL6140</v>
      </c>
      <c r="I2" s="7" t="s">
        <v>69</v>
      </c>
      <c r="J2" s="8" t="s">
        <v>51</v>
      </c>
      <c r="K2" s="7" t="s">
        <v>64</v>
      </c>
      <c r="L2" s="53" t="str">
        <f>IF(LogicCommon!G2="","",LogicCommon!G2)</f>
        <v>MC</v>
      </c>
      <c r="M2" s="5" t="s">
        <v>70</v>
      </c>
      <c r="N2" s="23" t="s">
        <v>101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67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MSBC</v>
      </c>
      <c r="G3" s="7" t="s">
        <v>3</v>
      </c>
      <c r="H3" s="53" t="str">
        <f>IF(LogicCommon!E3="","",LogicCommon!E3)</f>
        <v>MSBCL_ReExtHstService</v>
      </c>
      <c r="I3" s="7" t="s">
        <v>71</v>
      </c>
      <c r="J3" s="8" t="s">
        <v>47</v>
      </c>
      <c r="K3" s="7" t="s">
        <v>66</v>
      </c>
      <c r="L3" s="53" t="str">
        <f>IF(LogicCommon!G3="","",LogicCommon!G3)</f>
        <v/>
      </c>
      <c r="M3" s="57"/>
      <c r="N3" s="7"/>
      <c r="O3" s="7" t="s">
        <v>72</v>
      </c>
      <c r="P3" s="8" t="s">
        <v>81</v>
      </c>
      <c r="Q3" s="4"/>
      <c r="R3" s="5"/>
      <c r="S3" s="5"/>
      <c r="T3" s="5"/>
      <c r="U3" s="5"/>
    </row>
    <row r="4" spans="1:21" s="10" customFormat="1">
      <c r="A4" s="54" t="s">
        <v>67</v>
      </c>
      <c r="B4" s="55"/>
      <c r="C4" s="55"/>
      <c r="D4" s="4"/>
      <c r="E4" s="7" t="s">
        <v>19</v>
      </c>
      <c r="F4" s="58" t="s">
        <v>73</v>
      </c>
      <c r="G4" s="7" t="s">
        <v>4</v>
      </c>
      <c r="H4" s="53" t="str">
        <f>IF(LogicCommon!E4="","",LogicCommon!E4)</f>
        <v>製造再展開履歴登録サービス</v>
      </c>
      <c r="I4" s="7" t="s">
        <v>74</v>
      </c>
      <c r="J4" s="8" t="s">
        <v>27</v>
      </c>
      <c r="K4" s="7" t="s">
        <v>5</v>
      </c>
      <c r="L4" s="53" t="str">
        <f>IF(LogicCommon!G4="","",LogicCommon!G4)</f>
        <v>MS.MSUDL5010</v>
      </c>
      <c r="M4" s="59" t="s">
        <v>82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67</v>
      </c>
      <c r="B5" s="51"/>
      <c r="C5" s="51"/>
      <c r="D5" s="21"/>
      <c r="E5" s="7" t="s">
        <v>20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67</v>
      </c>
      <c r="B6" s="55"/>
      <c r="C6" s="55"/>
      <c r="D6" s="4" t="s">
        <v>8</v>
      </c>
      <c r="E6" s="12" t="s">
        <v>83</v>
      </c>
      <c r="F6" s="12"/>
      <c r="G6" s="12"/>
      <c r="H6" s="12"/>
      <c r="I6" s="12"/>
      <c r="J6" s="12"/>
      <c r="K6" s="12"/>
      <c r="L6" s="63"/>
      <c r="M6" s="15" t="s">
        <v>75</v>
      </c>
      <c r="N6" s="15"/>
      <c r="O6" s="15" t="s">
        <v>75</v>
      </c>
      <c r="P6" s="15"/>
      <c r="Q6" s="15" t="s">
        <v>75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5"/>
      <c r="C8" s="66"/>
      <c r="D8" s="24" t="s">
        <v>104</v>
      </c>
      <c r="E8" s="24" t="s">
        <v>105</v>
      </c>
      <c r="F8" s="63"/>
      <c r="G8" s="24" t="s">
        <v>84</v>
      </c>
      <c r="H8" s="24" t="s">
        <v>106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4" t="s">
        <v>107</v>
      </c>
      <c r="U8" s="125"/>
    </row>
    <row r="9" spans="1:21" s="10" customFormat="1" ht="60" customHeight="1">
      <c r="A9" s="8" t="s">
        <v>21</v>
      </c>
      <c r="B9" s="28"/>
      <c r="C9" s="29"/>
      <c r="D9" s="24" t="s">
        <v>108</v>
      </c>
      <c r="E9" s="67" t="s">
        <v>109</v>
      </c>
      <c r="F9" s="24" t="s">
        <v>110</v>
      </c>
      <c r="G9" s="24" t="s">
        <v>111</v>
      </c>
      <c r="H9" s="24" t="s">
        <v>112</v>
      </c>
      <c r="I9" s="68" t="s">
        <v>113</v>
      </c>
      <c r="J9" s="24" t="s">
        <v>114</v>
      </c>
      <c r="K9" s="64"/>
      <c r="L9" s="68"/>
      <c r="M9" s="24"/>
      <c r="N9" s="24"/>
      <c r="O9" s="24"/>
      <c r="P9" s="24"/>
      <c r="Q9" s="24"/>
      <c r="R9" s="124" t="s">
        <v>115</v>
      </c>
      <c r="S9" s="125"/>
      <c r="T9" s="124" t="s">
        <v>116</v>
      </c>
      <c r="U9" s="125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113</v>
      </c>
      <c r="M10" s="24" t="s">
        <v>114</v>
      </c>
      <c r="N10" s="24" t="s">
        <v>113</v>
      </c>
      <c r="O10" s="24" t="s">
        <v>114</v>
      </c>
      <c r="P10" s="24" t="s">
        <v>113</v>
      </c>
      <c r="Q10" s="24" t="s">
        <v>114</v>
      </c>
      <c r="R10" s="30"/>
      <c r="S10" s="30"/>
      <c r="T10" s="35"/>
      <c r="U10" s="48"/>
    </row>
    <row r="11" spans="1:21" s="10" customFormat="1">
      <c r="A11" s="8">
        <v>10</v>
      </c>
      <c r="B11" s="28" t="s">
        <v>26</v>
      </c>
      <c r="C11" s="29"/>
      <c r="D11" s="23" t="s">
        <v>52</v>
      </c>
      <c r="E11" s="26" t="s">
        <v>50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57</v>
      </c>
      <c r="E12" s="25" t="s">
        <v>31</v>
      </c>
      <c r="F12" s="25"/>
      <c r="G12" s="38" t="s">
        <v>117</v>
      </c>
      <c r="H12" s="38" t="s">
        <v>76</v>
      </c>
      <c r="I12" s="8" t="s">
        <v>77</v>
      </c>
      <c r="J12" s="8" t="s">
        <v>77</v>
      </c>
      <c r="K12" s="8"/>
      <c r="L12" s="8"/>
      <c r="M12" s="8"/>
      <c r="N12" s="8"/>
      <c r="O12" s="8"/>
      <c r="P12" s="8"/>
      <c r="Q12" s="8"/>
      <c r="R12" s="39"/>
      <c r="S12" s="40"/>
      <c r="T12" s="49"/>
      <c r="U12" s="50"/>
    </row>
    <row r="13" spans="1:21" s="10" customFormat="1">
      <c r="A13" s="8">
        <v>10</v>
      </c>
      <c r="B13" s="8"/>
      <c r="C13" s="8"/>
      <c r="D13" s="8" t="s">
        <v>28</v>
      </c>
      <c r="E13" s="25" t="s">
        <v>29</v>
      </c>
      <c r="F13" s="25"/>
      <c r="G13" s="38" t="s">
        <v>118</v>
      </c>
      <c r="H13" s="38" t="s">
        <v>78</v>
      </c>
      <c r="I13" s="8" t="s">
        <v>77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8">
        <v>10</v>
      </c>
      <c r="B14" s="8"/>
      <c r="C14" s="8"/>
      <c r="D14" s="8" t="s">
        <v>30</v>
      </c>
      <c r="E14" s="25" t="s">
        <v>31</v>
      </c>
      <c r="F14" s="25"/>
      <c r="G14" s="38" t="s">
        <v>119</v>
      </c>
      <c r="H14" s="38" t="s">
        <v>79</v>
      </c>
      <c r="I14" s="8" t="s">
        <v>77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58</v>
      </c>
      <c r="E15" s="25" t="s">
        <v>85</v>
      </c>
      <c r="F15" s="25"/>
      <c r="G15" s="38" t="s">
        <v>120</v>
      </c>
      <c r="H15" s="38" t="s">
        <v>80</v>
      </c>
      <c r="I15" s="8"/>
      <c r="J15" s="8" t="s">
        <v>77</v>
      </c>
      <c r="K15" s="8"/>
      <c r="L15" s="8"/>
      <c r="M15" s="8"/>
      <c r="N15" s="8"/>
      <c r="O15" s="8"/>
      <c r="P15" s="8"/>
      <c r="Q15" s="8"/>
      <c r="R15" s="39"/>
      <c r="S15" s="40"/>
      <c r="T15" s="128"/>
      <c r="U15" s="129"/>
    </row>
    <row r="16" spans="1:21" s="10" customFormat="1">
      <c r="A16" s="54"/>
      <c r="U16" s="41"/>
    </row>
    <row r="17" spans="1:21" s="10" customFormat="1">
      <c r="A17" s="54"/>
      <c r="U17" s="41"/>
    </row>
    <row r="18" spans="1:21" s="10" customFormat="1">
      <c r="A18" s="54"/>
      <c r="U18" s="41"/>
    </row>
    <row r="19" spans="1:21" s="10" customFormat="1">
      <c r="A19" s="54"/>
      <c r="U19" s="41"/>
    </row>
    <row r="20" spans="1:21" s="10" customFormat="1">
      <c r="A20" s="54"/>
      <c r="U20" s="41"/>
    </row>
    <row r="21" spans="1:21" s="10" customFormat="1">
      <c r="A21" s="54"/>
      <c r="U21" s="41"/>
    </row>
    <row r="22" spans="1:21" s="10" customFormat="1">
      <c r="A22" s="54"/>
      <c r="U22" s="41"/>
    </row>
    <row r="23" spans="1:21" s="10" customFormat="1">
      <c r="A23" s="54"/>
      <c r="U23" s="41"/>
    </row>
    <row r="24" spans="1:21" s="10" customFormat="1">
      <c r="A24" s="54"/>
      <c r="U24" s="41"/>
    </row>
    <row r="25" spans="1:21" s="10" customFormat="1">
      <c r="A25" s="54"/>
      <c r="U25" s="41"/>
    </row>
    <row r="26" spans="1:21" s="10" customFormat="1">
      <c r="A26" s="54"/>
      <c r="U26" s="41"/>
    </row>
    <row r="27" spans="1:21" s="10" customFormat="1">
      <c r="A27" s="54"/>
      <c r="U27" s="41"/>
    </row>
    <row r="28" spans="1:21" s="10" customFormat="1">
      <c r="A28" s="6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2"/>
    </row>
  </sheetData>
  <mergeCells count="9">
    <mergeCell ref="T8:U8"/>
    <mergeCell ref="R9:S9"/>
    <mergeCell ref="T9:U9"/>
    <mergeCell ref="T11:U11"/>
    <mergeCell ref="T15:U15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6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67</v>
      </c>
      <c r="B1" s="51" t="s">
        <v>67</v>
      </c>
      <c r="C1" s="51"/>
      <c r="D1" s="1" t="s">
        <v>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67</v>
      </c>
      <c r="B2" s="22"/>
      <c r="C2" s="22"/>
      <c r="D2" s="64" t="s">
        <v>103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MSBCL6140</v>
      </c>
      <c r="I2" s="7" t="s">
        <v>69</v>
      </c>
      <c r="J2" s="8" t="s">
        <v>53</v>
      </c>
      <c r="K2" s="7" t="s">
        <v>64</v>
      </c>
      <c r="L2" s="53" t="str">
        <f>IF(LogicCommon!G2="","",LogicCommon!G2)</f>
        <v>MC</v>
      </c>
      <c r="M2" s="5" t="s">
        <v>70</v>
      </c>
      <c r="N2" s="23" t="s">
        <v>102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67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MSBC</v>
      </c>
      <c r="G3" s="7" t="s">
        <v>3</v>
      </c>
      <c r="H3" s="53" t="str">
        <f>IF(LogicCommon!E3="","",LogicCommon!E3)</f>
        <v>MSBCL_ReExtHstService</v>
      </c>
      <c r="I3" s="7" t="s">
        <v>71</v>
      </c>
      <c r="J3" s="8" t="s">
        <v>46</v>
      </c>
      <c r="K3" s="7" t="s">
        <v>66</v>
      </c>
      <c r="L3" s="53" t="str">
        <f>IF(LogicCommon!G3="","",LogicCommon!G3)</f>
        <v/>
      </c>
      <c r="M3" s="57"/>
      <c r="N3" s="7"/>
      <c r="O3" s="7" t="s">
        <v>72</v>
      </c>
      <c r="P3" s="8" t="s">
        <v>81</v>
      </c>
      <c r="Q3" s="4"/>
      <c r="R3" s="5"/>
      <c r="S3" s="5"/>
      <c r="T3" s="5"/>
      <c r="U3" s="5"/>
    </row>
    <row r="4" spans="1:21" s="10" customFormat="1">
      <c r="A4" s="54" t="s">
        <v>67</v>
      </c>
      <c r="B4" s="55"/>
      <c r="C4" s="55"/>
      <c r="D4" s="4"/>
      <c r="E4" s="7" t="s">
        <v>19</v>
      </c>
      <c r="F4" s="58" t="s">
        <v>73</v>
      </c>
      <c r="G4" s="7" t="s">
        <v>4</v>
      </c>
      <c r="H4" s="53" t="str">
        <f>IF(LogicCommon!E4="","",LogicCommon!E4)</f>
        <v>製造再展開履歴登録サービス</v>
      </c>
      <c r="I4" s="7" t="s">
        <v>74</v>
      </c>
      <c r="J4" s="8" t="s">
        <v>32</v>
      </c>
      <c r="K4" s="7" t="s">
        <v>5</v>
      </c>
      <c r="L4" s="53" t="str">
        <f>IF(LogicCommon!G4="","",LogicCommon!G4)</f>
        <v>MS.MSUDL5010</v>
      </c>
      <c r="M4" s="59" t="s">
        <v>82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67</v>
      </c>
      <c r="B5" s="51"/>
      <c r="C5" s="51"/>
      <c r="D5" s="21"/>
      <c r="E5" s="7" t="s">
        <v>20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67</v>
      </c>
      <c r="B6" s="55"/>
      <c r="C6" s="55"/>
      <c r="D6" s="4" t="s">
        <v>8</v>
      </c>
      <c r="E6" s="12" t="s">
        <v>62</v>
      </c>
      <c r="F6" s="12"/>
      <c r="G6" s="12"/>
      <c r="H6" s="12"/>
      <c r="I6" s="12"/>
      <c r="J6" s="12"/>
      <c r="K6" s="12"/>
      <c r="L6" s="63"/>
      <c r="M6" s="15" t="s">
        <v>75</v>
      </c>
      <c r="N6" s="15"/>
      <c r="O6" s="15" t="s">
        <v>75</v>
      </c>
      <c r="P6" s="15"/>
      <c r="Q6" s="15" t="s">
        <v>75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5"/>
      <c r="C8" s="66"/>
      <c r="D8" s="24" t="s">
        <v>104</v>
      </c>
      <c r="E8" s="24" t="s">
        <v>105</v>
      </c>
      <c r="F8" s="63"/>
      <c r="G8" s="24" t="s">
        <v>84</v>
      </c>
      <c r="H8" s="24" t="s">
        <v>106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4" t="s">
        <v>107</v>
      </c>
      <c r="U8" s="125"/>
    </row>
    <row r="9" spans="1:21" s="10" customFormat="1" ht="60" customHeight="1">
      <c r="A9" s="8" t="s">
        <v>21</v>
      </c>
      <c r="B9" s="28"/>
      <c r="C9" s="29"/>
      <c r="D9" s="24" t="s">
        <v>108</v>
      </c>
      <c r="E9" s="67" t="s">
        <v>109</v>
      </c>
      <c r="F9" s="24" t="s">
        <v>110</v>
      </c>
      <c r="G9" s="24" t="s">
        <v>111</v>
      </c>
      <c r="H9" s="24" t="s">
        <v>112</v>
      </c>
      <c r="I9" s="68" t="s">
        <v>113</v>
      </c>
      <c r="J9" s="24" t="s">
        <v>114</v>
      </c>
      <c r="K9" s="64"/>
      <c r="L9" s="68"/>
      <c r="M9" s="24"/>
      <c r="N9" s="24"/>
      <c r="O9" s="24"/>
      <c r="P9" s="24"/>
      <c r="Q9" s="24"/>
      <c r="R9" s="124" t="s">
        <v>115</v>
      </c>
      <c r="S9" s="125"/>
      <c r="T9" s="124" t="s">
        <v>116</v>
      </c>
      <c r="U9" s="125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113</v>
      </c>
      <c r="M10" s="24" t="s">
        <v>114</v>
      </c>
      <c r="N10" s="24" t="s">
        <v>113</v>
      </c>
      <c r="O10" s="24" t="s">
        <v>114</v>
      </c>
      <c r="P10" s="24" t="s">
        <v>113</v>
      </c>
      <c r="Q10" s="24" t="s">
        <v>114</v>
      </c>
      <c r="R10" s="30"/>
      <c r="S10" s="30"/>
      <c r="T10" s="35"/>
      <c r="U10" s="48"/>
    </row>
    <row r="11" spans="1:21" s="10" customFormat="1">
      <c r="A11" s="8">
        <v>10</v>
      </c>
      <c r="B11" s="28" t="s">
        <v>26</v>
      </c>
      <c r="C11" s="29"/>
      <c r="D11" s="23" t="s">
        <v>54</v>
      </c>
      <c r="E11" s="26" t="s">
        <v>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28</v>
      </c>
      <c r="E12" s="25" t="s">
        <v>29</v>
      </c>
      <c r="F12" s="25"/>
      <c r="G12" s="38" t="s">
        <v>118</v>
      </c>
      <c r="H12" s="38" t="s">
        <v>78</v>
      </c>
      <c r="I12" s="8" t="s">
        <v>77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33</v>
      </c>
      <c r="E13" s="25" t="s">
        <v>93</v>
      </c>
      <c r="F13" s="25"/>
      <c r="G13" s="38" t="s">
        <v>121</v>
      </c>
      <c r="H13" s="38" t="s">
        <v>86</v>
      </c>
      <c r="I13" s="8" t="s">
        <v>77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8">
        <v>10</v>
      </c>
      <c r="B14" s="8"/>
      <c r="C14" s="8"/>
      <c r="D14" s="8" t="s">
        <v>34</v>
      </c>
      <c r="E14" s="25" t="s">
        <v>35</v>
      </c>
      <c r="F14" s="25"/>
      <c r="G14" s="38" t="s">
        <v>122</v>
      </c>
      <c r="H14" s="38" t="s">
        <v>87</v>
      </c>
      <c r="I14" s="8" t="s">
        <v>77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30</v>
      </c>
      <c r="E15" s="25" t="s">
        <v>31</v>
      </c>
      <c r="F15" s="25"/>
      <c r="G15" s="38" t="s">
        <v>119</v>
      </c>
      <c r="H15" s="38" t="s">
        <v>79</v>
      </c>
      <c r="I15" s="8" t="s">
        <v>77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123</v>
      </c>
      <c r="H16" s="38" t="s">
        <v>88</v>
      </c>
      <c r="I16" s="8" t="s">
        <v>77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10</v>
      </c>
      <c r="B17" s="8"/>
      <c r="C17" s="8"/>
      <c r="D17" s="8" t="s">
        <v>38</v>
      </c>
      <c r="E17" s="25" t="s">
        <v>39</v>
      </c>
      <c r="F17" s="25"/>
      <c r="G17" s="38" t="s">
        <v>124</v>
      </c>
      <c r="H17" s="38" t="s">
        <v>89</v>
      </c>
      <c r="I17" s="8" t="s">
        <v>77</v>
      </c>
      <c r="J17" s="8"/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>
      <c r="A18" s="8">
        <v>10</v>
      </c>
      <c r="B18" s="8"/>
      <c r="C18" s="8"/>
      <c r="D18" s="8" t="s">
        <v>94</v>
      </c>
      <c r="E18" s="25" t="s">
        <v>59</v>
      </c>
      <c r="F18" s="25"/>
      <c r="G18" s="38" t="s">
        <v>125</v>
      </c>
      <c r="H18" s="38" t="s">
        <v>90</v>
      </c>
      <c r="I18" s="8" t="s">
        <v>77</v>
      </c>
      <c r="J18" s="8"/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>
      <c r="A19" s="8">
        <v>10</v>
      </c>
      <c r="B19" s="8"/>
      <c r="C19" s="8"/>
      <c r="D19" s="8" t="s">
        <v>95</v>
      </c>
      <c r="E19" s="25" t="s">
        <v>60</v>
      </c>
      <c r="F19" s="25"/>
      <c r="G19" s="38" t="s">
        <v>126</v>
      </c>
      <c r="H19" s="38" t="s">
        <v>91</v>
      </c>
      <c r="I19" s="8" t="s">
        <v>77</v>
      </c>
      <c r="J19" s="8"/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10" customFormat="1">
      <c r="A20" s="8">
        <v>10</v>
      </c>
      <c r="B20" s="8"/>
      <c r="C20" s="8"/>
      <c r="D20" s="8" t="s">
        <v>96</v>
      </c>
      <c r="E20" s="25" t="s">
        <v>61</v>
      </c>
      <c r="F20" s="25"/>
      <c r="G20" s="38" t="s">
        <v>127</v>
      </c>
      <c r="H20" s="38" t="s">
        <v>92</v>
      </c>
      <c r="I20" s="8" t="s">
        <v>77</v>
      </c>
      <c r="J20" s="8"/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10" customFormat="1">
      <c r="A21" s="54"/>
      <c r="U21" s="41"/>
    </row>
    <row r="22" spans="1:21" s="10" customFormat="1">
      <c r="A22" s="54"/>
      <c r="U22" s="41"/>
    </row>
    <row r="23" spans="1:21" s="10" customFormat="1">
      <c r="A23" s="54"/>
      <c r="U23" s="41"/>
    </row>
    <row r="24" spans="1:21" s="10" customFormat="1">
      <c r="A24" s="54"/>
      <c r="U24" s="41"/>
    </row>
    <row r="25" spans="1:21" s="10" customFormat="1">
      <c r="A25" s="54"/>
      <c r="U25" s="41"/>
    </row>
    <row r="26" spans="1:21" s="10" customFormat="1">
      <c r="A26" s="6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2"/>
    </row>
  </sheetData>
  <mergeCells count="22">
    <mergeCell ref="R18:S18"/>
    <mergeCell ref="T18:U18"/>
    <mergeCell ref="R19:S19"/>
    <mergeCell ref="T19:U19"/>
    <mergeCell ref="R20:S20"/>
    <mergeCell ref="T20:U20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67</v>
      </c>
      <c r="B1" s="51" t="s">
        <v>67</v>
      </c>
      <c r="C1" s="51"/>
      <c r="D1" s="1" t="s">
        <v>68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67</v>
      </c>
      <c r="B2" s="22"/>
      <c r="C2" s="22"/>
      <c r="D2" s="64" t="s">
        <v>103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MSBCL6140</v>
      </c>
      <c r="I2" s="7" t="s">
        <v>69</v>
      </c>
      <c r="J2" s="8" t="s">
        <v>55</v>
      </c>
      <c r="K2" s="7" t="s">
        <v>64</v>
      </c>
      <c r="L2" s="53" t="str">
        <f>IF(LogicCommon!G2="","",LogicCommon!G2)</f>
        <v>MC</v>
      </c>
      <c r="M2" s="5" t="s">
        <v>70</v>
      </c>
      <c r="N2" s="23" t="s">
        <v>102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67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MSBC</v>
      </c>
      <c r="G3" s="7" t="s">
        <v>3</v>
      </c>
      <c r="H3" s="53" t="str">
        <f>IF(LogicCommon!E3="","",LogicCommon!E3)</f>
        <v>MSBCL_ReExtHstService</v>
      </c>
      <c r="I3" s="7" t="s">
        <v>71</v>
      </c>
      <c r="J3" s="8" t="s">
        <v>46</v>
      </c>
      <c r="K3" s="7" t="s">
        <v>66</v>
      </c>
      <c r="L3" s="53" t="str">
        <f>IF(LogicCommon!G3="","",LogicCommon!G3)</f>
        <v/>
      </c>
      <c r="M3" s="57"/>
      <c r="N3" s="7"/>
      <c r="O3" s="7" t="s">
        <v>72</v>
      </c>
      <c r="P3" s="8" t="s">
        <v>81</v>
      </c>
      <c r="Q3" s="4"/>
      <c r="R3" s="5"/>
      <c r="S3" s="5"/>
      <c r="T3" s="5"/>
      <c r="U3" s="5"/>
    </row>
    <row r="4" spans="1:21" s="10" customFormat="1">
      <c r="A4" s="54" t="s">
        <v>67</v>
      </c>
      <c r="B4" s="55"/>
      <c r="C4" s="55"/>
      <c r="D4" s="4"/>
      <c r="E4" s="7" t="s">
        <v>19</v>
      </c>
      <c r="F4" s="58" t="s">
        <v>73</v>
      </c>
      <c r="G4" s="7" t="s">
        <v>4</v>
      </c>
      <c r="H4" s="53" t="str">
        <f>IF(LogicCommon!E4="","",LogicCommon!E4)</f>
        <v>製造再展開履歴登録サービス</v>
      </c>
      <c r="I4" s="7" t="s">
        <v>74</v>
      </c>
      <c r="J4" s="8" t="s">
        <v>40</v>
      </c>
      <c r="K4" s="7" t="s">
        <v>5</v>
      </c>
      <c r="L4" s="53" t="str">
        <f>IF(LogicCommon!G4="","",LogicCommon!G4)</f>
        <v>MS.MSUDL5010</v>
      </c>
      <c r="M4" s="59" t="s">
        <v>82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67</v>
      </c>
      <c r="B5" s="51"/>
      <c r="C5" s="51"/>
      <c r="D5" s="21"/>
      <c r="E5" s="7" t="s">
        <v>20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67</v>
      </c>
      <c r="B6" s="55"/>
      <c r="C6" s="55"/>
      <c r="D6" s="4" t="s">
        <v>8</v>
      </c>
      <c r="E6" s="12" t="s">
        <v>48</v>
      </c>
      <c r="F6" s="12"/>
      <c r="G6" s="12"/>
      <c r="H6" s="12"/>
      <c r="I6" s="12"/>
      <c r="J6" s="12"/>
      <c r="K6" s="12"/>
      <c r="L6" s="63"/>
      <c r="M6" s="15" t="s">
        <v>75</v>
      </c>
      <c r="N6" s="15"/>
      <c r="O6" s="15" t="s">
        <v>75</v>
      </c>
      <c r="P6" s="15"/>
      <c r="Q6" s="15" t="s">
        <v>75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5"/>
      <c r="C8" s="66"/>
      <c r="D8" s="24" t="s">
        <v>104</v>
      </c>
      <c r="E8" s="24" t="s">
        <v>105</v>
      </c>
      <c r="F8" s="63"/>
      <c r="G8" s="24" t="s">
        <v>84</v>
      </c>
      <c r="H8" s="24" t="s">
        <v>106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4" t="s">
        <v>107</v>
      </c>
      <c r="U8" s="125"/>
    </row>
    <row r="9" spans="1:21" s="10" customFormat="1" ht="60" customHeight="1">
      <c r="A9" s="8" t="s">
        <v>21</v>
      </c>
      <c r="B9" s="28"/>
      <c r="C9" s="29"/>
      <c r="D9" s="24" t="s">
        <v>108</v>
      </c>
      <c r="E9" s="67" t="s">
        <v>109</v>
      </c>
      <c r="F9" s="24" t="s">
        <v>110</v>
      </c>
      <c r="G9" s="24" t="s">
        <v>111</v>
      </c>
      <c r="H9" s="24" t="s">
        <v>112</v>
      </c>
      <c r="I9" s="68" t="s">
        <v>113</v>
      </c>
      <c r="J9" s="24" t="s">
        <v>114</v>
      </c>
      <c r="K9" s="64"/>
      <c r="L9" s="68"/>
      <c r="M9" s="24"/>
      <c r="N9" s="24"/>
      <c r="O9" s="24"/>
      <c r="P9" s="24"/>
      <c r="Q9" s="24"/>
      <c r="R9" s="124" t="s">
        <v>115</v>
      </c>
      <c r="S9" s="125"/>
      <c r="T9" s="124" t="s">
        <v>116</v>
      </c>
      <c r="U9" s="125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113</v>
      </c>
      <c r="M10" s="24" t="s">
        <v>114</v>
      </c>
      <c r="N10" s="24" t="s">
        <v>113</v>
      </c>
      <c r="O10" s="24" t="s">
        <v>114</v>
      </c>
      <c r="P10" s="24" t="s">
        <v>113</v>
      </c>
      <c r="Q10" s="24" t="s">
        <v>114</v>
      </c>
      <c r="R10" s="30"/>
      <c r="S10" s="30"/>
      <c r="T10" s="35"/>
      <c r="U10" s="48"/>
    </row>
    <row r="11" spans="1:21" s="10" customFormat="1">
      <c r="A11" s="8">
        <v>10</v>
      </c>
      <c r="B11" s="28" t="s">
        <v>26</v>
      </c>
      <c r="C11" s="29"/>
      <c r="D11" s="23" t="s">
        <v>56</v>
      </c>
      <c r="E11" s="26" t="s">
        <v>49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6"/>
      <c r="U11" s="127"/>
    </row>
    <row r="12" spans="1:21" s="10" customFormat="1">
      <c r="A12" s="8">
        <v>10</v>
      </c>
      <c r="B12" s="8"/>
      <c r="C12" s="8"/>
      <c r="D12" s="8" t="s">
        <v>28</v>
      </c>
      <c r="E12" s="25" t="s">
        <v>29</v>
      </c>
      <c r="F12" s="25"/>
      <c r="G12" s="38" t="s">
        <v>118</v>
      </c>
      <c r="H12" s="38" t="s">
        <v>78</v>
      </c>
      <c r="I12" s="8" t="s">
        <v>77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>
      <c r="A13" s="8">
        <v>10</v>
      </c>
      <c r="B13" s="8"/>
      <c r="C13" s="8"/>
      <c r="D13" s="8" t="s">
        <v>30</v>
      </c>
      <c r="E13" s="25" t="s">
        <v>31</v>
      </c>
      <c r="F13" s="25"/>
      <c r="G13" s="38" t="s">
        <v>119</v>
      </c>
      <c r="H13" s="38" t="s">
        <v>79</v>
      </c>
      <c r="I13" s="8" t="s">
        <v>77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>
      <c r="A14" s="8">
        <v>10</v>
      </c>
      <c r="B14" s="8"/>
      <c r="C14" s="8"/>
      <c r="D14" s="8" t="s">
        <v>63</v>
      </c>
      <c r="E14" s="25" t="s">
        <v>99</v>
      </c>
      <c r="F14" s="25"/>
      <c r="G14" s="38" t="s">
        <v>128</v>
      </c>
      <c r="H14" s="38" t="s">
        <v>97</v>
      </c>
      <c r="I14" s="8" t="s">
        <v>77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>
      <c r="A15" s="8">
        <v>10</v>
      </c>
      <c r="B15" s="8"/>
      <c r="C15" s="8"/>
      <c r="D15" s="8" t="s">
        <v>34</v>
      </c>
      <c r="E15" s="25" t="s">
        <v>35</v>
      </c>
      <c r="F15" s="25"/>
      <c r="G15" s="38" t="s">
        <v>122</v>
      </c>
      <c r="H15" s="38" t="s">
        <v>87</v>
      </c>
      <c r="I15" s="8" t="s">
        <v>77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>
      <c r="A16" s="8">
        <v>10</v>
      </c>
      <c r="B16" s="8"/>
      <c r="C16" s="8"/>
      <c r="D16" s="8" t="s">
        <v>41</v>
      </c>
      <c r="E16" s="25" t="s">
        <v>42</v>
      </c>
      <c r="F16" s="25"/>
      <c r="G16" s="38" t="s">
        <v>129</v>
      </c>
      <c r="H16" s="38" t="s">
        <v>98</v>
      </c>
      <c r="I16" s="8" t="s">
        <v>77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>
      <c r="A17" s="8">
        <v>10</v>
      </c>
      <c r="B17" s="8"/>
      <c r="C17" s="8"/>
      <c r="D17" s="8" t="s">
        <v>94</v>
      </c>
      <c r="E17" s="25" t="s">
        <v>59</v>
      </c>
      <c r="F17" s="25"/>
      <c r="G17" s="38" t="s">
        <v>125</v>
      </c>
      <c r="H17" s="38" t="s">
        <v>90</v>
      </c>
      <c r="I17" s="8" t="s">
        <v>77</v>
      </c>
      <c r="J17" s="8"/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>
      <c r="A18" s="8">
        <v>10</v>
      </c>
      <c r="B18" s="8"/>
      <c r="C18" s="8"/>
      <c r="D18" s="8" t="s">
        <v>95</v>
      </c>
      <c r="E18" s="25" t="s">
        <v>60</v>
      </c>
      <c r="F18" s="25"/>
      <c r="G18" s="38" t="s">
        <v>126</v>
      </c>
      <c r="H18" s="38" t="s">
        <v>91</v>
      </c>
      <c r="I18" s="8" t="s">
        <v>77</v>
      </c>
      <c r="J18" s="8"/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>
      <c r="A19" s="8">
        <v>10</v>
      </c>
      <c r="B19" s="8"/>
      <c r="C19" s="8"/>
      <c r="D19" s="8" t="s">
        <v>96</v>
      </c>
      <c r="E19" s="25" t="s">
        <v>61</v>
      </c>
      <c r="F19" s="25"/>
      <c r="G19" s="38" t="s">
        <v>127</v>
      </c>
      <c r="H19" s="38" t="s">
        <v>92</v>
      </c>
      <c r="I19" s="8" t="s">
        <v>77</v>
      </c>
      <c r="J19" s="8"/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10" customFormat="1">
      <c r="A20" s="54"/>
      <c r="U20" s="41"/>
    </row>
    <row r="21" spans="1:21" s="10" customFormat="1">
      <c r="A21" s="54"/>
      <c r="U21" s="41"/>
    </row>
    <row r="22" spans="1:21" s="10" customFormat="1">
      <c r="A22" s="54"/>
      <c r="U22" s="41"/>
    </row>
    <row r="23" spans="1:21" s="10" customFormat="1">
      <c r="A23" s="54"/>
      <c r="U23" s="41"/>
    </row>
    <row r="24" spans="1:21" s="10" customFormat="1">
      <c r="A24" s="54"/>
      <c r="U24" s="41"/>
    </row>
    <row r="25" spans="1:21" s="10" customFormat="1">
      <c r="A25" s="6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2"/>
    </row>
  </sheetData>
  <mergeCells count="20">
    <mergeCell ref="R17:S17"/>
    <mergeCell ref="T17:U17"/>
    <mergeCell ref="R18:S18"/>
    <mergeCell ref="T18:U18"/>
    <mergeCell ref="R19:S19"/>
    <mergeCell ref="T19:U19"/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102" t="s">
        <v>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105" t="s">
        <v>10</v>
      </c>
      <c r="B3" s="106"/>
      <c r="C3" s="106"/>
      <c r="D3" s="106"/>
      <c r="E3" s="106"/>
      <c r="F3" s="106"/>
      <c r="G3" s="107"/>
      <c r="H3" s="108" t="s">
        <v>11</v>
      </c>
      <c r="I3" s="106"/>
      <c r="J3" s="106"/>
      <c r="K3" s="106"/>
      <c r="L3" s="106"/>
      <c r="M3" s="106"/>
      <c r="N3" s="107"/>
      <c r="O3" s="108" t="s">
        <v>12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13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14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6" t="s">
        <v>130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131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87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5"/>
    </row>
    <row r="8" spans="1:57" ht="15" customHeight="1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ReExtHst_Chk01</vt:lpstr>
      <vt:lpstr>ReExtHst_Ins01</vt:lpstr>
      <vt:lpstr>ReExtHst_Upd01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2026-03-27T05:57:15Z</dcterms:modified>
  <cp:category/>
</cp:coreProperties>
</file>