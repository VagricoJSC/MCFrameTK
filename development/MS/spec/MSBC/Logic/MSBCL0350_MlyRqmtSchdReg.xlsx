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91800D5D-CB8B-45FA-BBBE-9421B359A3F0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Srch01" sheetId="1" r:id="rId2"/>
    <sheet name="Srch02" sheetId="10" r:id="rId3"/>
    <sheet name="Chk01" sheetId="5" r:id="rId4"/>
    <sheet name="Upd01" sheetId="6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<sst xmlns="http://schemas.openxmlformats.org/spreadsheetml/2006/main" count="1241" uniqueCount="342">
  <si>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</si>
  <si>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</si>
  <si>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</si>
  <si>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</si>
  <si>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</si>
  <si>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</si>
  <si>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</si>
  <si>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</si>
  <si>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</si>
  <si>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</si>
  <si>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</si>
  <si>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</si>
  <si>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</si>
  <si>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</si>
  <si>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</si>
  <si>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</si>
  <si>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</si>
  <si>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</si>
  <si>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</si>
  <si>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</si>
  <si>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</si>
  <si>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</si>
  <si>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CONST</t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</si>
  <si>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</si>
  <si>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</si>
  <si>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</si>
  <si>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</si>
  <si>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</si>
  <si>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</si>
  <si>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</si>
  <si>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</si>
  <si>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</si>
  <si>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</si>
  <si>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</si>
  <si>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</si>
  <si>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</si>
  <si>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</si>
  <si>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</si>
  <si>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</si>
  <si>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</si>
  <si>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</si>
  <si>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MC</t>
  </si>
  <si>
    <t>MSBCL0350</t>
    <phoneticPr fontId="3"/>
  </si>
  <si>
    <t>MSBCL_MlyRqmtSchdReg</t>
    <phoneticPr fontId="3"/>
  </si>
  <si>
    <t>月次生産依頼日程登録</t>
    <rPh sb="0" eb="2">
      <t>ゲツジ</t>
    </rPh>
    <rPh sb="2" eb="4">
      <t>セイサン</t>
    </rPh>
    <rPh sb="4" eb="6">
      <t>イライ</t>
    </rPh>
    <rPh sb="6" eb="8">
      <t>ニッテイ</t>
    </rPh>
    <rPh sb="8" eb="10">
      <t>トウロク</t>
    </rPh>
    <phoneticPr fontId="3"/>
  </si>
  <si>
    <t>Upd01</t>
    <phoneticPr fontId="3"/>
  </si>
  <si>
    <t>更新</t>
    <rPh sb="0" eb="2">
      <t>コウシン</t>
    </rPh>
    <phoneticPr fontId="3"/>
  </si>
  <si>
    <t>Chk01</t>
    <phoneticPr fontId="3"/>
  </si>
  <si>
    <t>更新前チェック</t>
    <rPh sb="0" eb="2">
      <t>コウシン</t>
    </rPh>
    <rPh sb="2" eb="3">
      <t>マエ</t>
    </rPh>
    <phoneticPr fontId="3"/>
  </si>
  <si>
    <t>Chk01_Rslt</t>
  </si>
  <si>
    <t>L</t>
  </si>
  <si>
    <t>peg_no</t>
  </si>
  <si>
    <t>#MA.INT</t>
  </si>
  <si>
    <t>err_flg</t>
  </si>
  <si>
    <t>#MA.FLG</t>
  </si>
  <si>
    <t>data_crud_typ</t>
  </si>
  <si>
    <t>#MA.DATA_CRUD_TYP</t>
  </si>
  <si>
    <t>rtn_sts_typ</t>
  </si>
  <si>
    <t>#MA.RTN_STS_TYP</t>
  </si>
  <si>
    <t>ym</t>
  </si>
  <si>
    <t>#MA.YM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</si>
  <si>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</si>
  <si>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</si>
  <si>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</si>
  <si>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</si>
  <si>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</si>
  <si>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</si>
  <si>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</si>
  <si>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</si>
  <si>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</si>
  <si>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</si>
  <si>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mps_grp_cd</t>
  </si>
  <si>
    <t>#MA.MPS_GRP_CD</t>
  </si>
  <si>
    <t>strg_loc_cd</t>
  </si>
  <si>
    <t>#MA.LOC_CD</t>
  </si>
  <si>
    <t>mfg_loc_cd</t>
  </si>
  <si>
    <t>sppl_cd</t>
  </si>
  <si>
    <t>#MA.BP_CD</t>
  </si>
  <si>
    <t>rqst_loc_cd</t>
  </si>
  <si>
    <t>prod_ym</t>
  </si>
  <si>
    <t>qty</t>
  </si>
  <si>
    <t>#MA.QTY</t>
  </si>
  <si>
    <t>unit_cd</t>
  </si>
  <si>
    <t>#MA.UNIT_CD</t>
  </si>
  <si>
    <t>dec_place</t>
  </si>
  <si>
    <t>#MA.DEC_PLACE</t>
  </si>
  <si>
    <t>wg_cd</t>
  </si>
  <si>
    <t>#MA.WG_CD</t>
  </si>
  <si>
    <t>intr_rmrks</t>
  </si>
  <si>
    <t>#MS.MLYRQST_INTR_RMRKS</t>
  </si>
  <si>
    <t>sub_char1</t>
  </si>
  <si>
    <t>#MS.MLYRQST_SUB_CHAR1</t>
  </si>
  <si>
    <t>sub_char2</t>
  </si>
  <si>
    <t>#MS.MLYRQST_SUB_CHAR2</t>
  </si>
  <si>
    <t>sub_char3</t>
  </si>
  <si>
    <t>#MS.MLYRQST_SUB_CHAR3</t>
  </si>
  <si>
    <t>upd_cntr</t>
  </si>
  <si>
    <t>#MA.UPD_CNT</t>
  </si>
  <si>
    <t>*</t>
    <phoneticPr fontId="3"/>
  </si>
  <si>
    <t>Chk01_Crtl</t>
  </si>
  <si>
    <t>R</t>
  </si>
  <si>
    <t>file_imp_flg</t>
  </si>
  <si>
    <t>Upd01_Rslt</t>
  </si>
  <si>
    <t>$share$</t>
  </si>
  <si>
    <t>Srch01</t>
    <phoneticPr fontId="1"/>
  </si>
  <si>
    <t>検索</t>
    <rPh sb="0" eb="2">
      <t>ケンサク</t>
    </rPh>
    <phoneticPr fontId="1"/>
  </si>
  <si>
    <t>詳細：</t>
    <rPh sb="0" eb="2">
      <t>ショウサイ</t>
    </rPh>
    <phoneticPr fontId="1"/>
  </si>
  <si>
    <t>R</t>
    <phoneticPr fontId="1"/>
  </si>
  <si>
    <t>prod_ym_fr</t>
  </si>
  <si>
    <t>prod_ym_to</t>
  </si>
  <si>
    <t>mps_grp_nm</t>
  </si>
  <si>
    <t>#MA.MPS_GRP_NM</t>
  </si>
  <si>
    <t>site_cd</t>
  </si>
  <si>
    <t>#MA.SITE_CD</t>
  </si>
  <si>
    <t>site_nm</t>
  </si>
  <si>
    <t>#MA.SITE_NM</t>
  </si>
  <si>
    <t>wg_nm</t>
  </si>
  <si>
    <t>#MA.WG_NM</t>
  </si>
  <si>
    <t>strg_loc_grp_cd</t>
  </si>
  <si>
    <t>#MA.LOC_GRP_CD</t>
  </si>
  <si>
    <t>strg_loc_grp_nm</t>
  </si>
  <si>
    <t>#MA.LOC_GRP_NM</t>
  </si>
  <si>
    <t>strg_loc_nm</t>
  </si>
  <si>
    <t>#MA.LOC_NM</t>
  </si>
  <si>
    <t>ym</t>
    <phoneticPr fontId="1"/>
  </si>
  <si>
    <t>計画年月</t>
    <phoneticPr fontId="1"/>
  </si>
  <si>
    <t>ＭＰＳグループＣＤ</t>
    <phoneticPr fontId="1"/>
  </si>
  <si>
    <t>L</t>
    <phoneticPr fontId="1"/>
  </si>
  <si>
    <t>Srch01_MtrxRslt</t>
    <phoneticPr fontId="1"/>
  </si>
  <si>
    <t>mfg_loc_nm</t>
  </si>
  <si>
    <t>sppl_nm</t>
  </si>
  <si>
    <t>#MA.BP_NM</t>
  </si>
  <si>
    <t>rqst_loc_nm</t>
  </si>
  <si>
    <t>unit_nm</t>
  </si>
  <si>
    <t>#MA.UNIT_NM</t>
  </si>
  <si>
    <t>fix_rqmt_qty</t>
    <phoneticPr fontId="1"/>
  </si>
  <si>
    <t>act_qty</t>
    <phoneticPr fontId="1"/>
  </si>
  <si>
    <t>Srch02_Cnd</t>
    <phoneticPr fontId="1"/>
  </si>
  <si>
    <t>Srch02_MtrxRslt</t>
    <phoneticPr fontId="1"/>
  </si>
  <si>
    <t>Srch02</t>
    <phoneticPr fontId="1"/>
  </si>
  <si>
    <t>Srch01</t>
    <phoneticPr fontId="1"/>
  </si>
  <si>
    <t>Srch01_Cnd</t>
    <phoneticPr fontId="1"/>
  </si>
  <si>
    <t>ワーキンググループＣＤ</t>
    <phoneticPr fontId="1"/>
  </si>
  <si>
    <t>wg_cd</t>
    <phoneticPr fontId="3"/>
  </si>
  <si>
    <t>登録、訂正対象データを検索する</t>
    <rPh sb="0" eb="2">
      <t>トウロク</t>
    </rPh>
    <rPh sb="3" eb="5">
      <t>テイセイ</t>
    </rPh>
    <rPh sb="5" eb="7">
      <t>タイショウ</t>
    </rPh>
    <rPh sb="11" eb="13">
      <t>ケンサク</t>
    </rPh>
    <phoneticPr fontId="1"/>
  </si>
  <si>
    <t>参照対象データを検索する</t>
    <rPh sb="0" eb="2">
      <t>サンショウ</t>
    </rPh>
    <rPh sb="2" eb="4">
      <t>タイショウ</t>
    </rPh>
    <rPh sb="8" eb="10">
      <t>ケンサク</t>
    </rPh>
    <phoneticPr fontId="3"/>
  </si>
  <si>
    <t>C</t>
    <phoneticPr fontId="1"/>
  </si>
  <si>
    <t>エラー</t>
    <phoneticPr fontId="3"/>
  </si>
  <si>
    <t>MS</t>
    <phoneticPr fontId="3"/>
  </si>
  <si>
    <t>Pj.ID :</t>
    <phoneticPr fontId="1"/>
  </si>
  <si>
    <t>MSBC</t>
    <phoneticPr fontId="3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</si>
  <si>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</si>
  <si>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</si>
  <si>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</si>
  <si>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</si>
  <si>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</si>
  <si>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</si>
  <si>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</si>
  <si>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</si>
  <si>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</si>
  <si>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</si>
  <si>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E</t>
    <phoneticPr fontId="1"/>
  </si>
  <si>
    <t>-</t>
    <phoneticPr fontId="1"/>
  </si>
  <si>
    <t>生産年月ＦＲＯＭ</t>
    <phoneticPr fontId="1"/>
  </si>
  <si>
    <t>生産年月ＴＯ</t>
    <phoneticPr fontId="1"/>
  </si>
  <si>
    <t>ＭＰＳグループ名</t>
    <phoneticPr fontId="1"/>
  </si>
  <si>
    <t>ワーキンググループ名</t>
    <phoneticPr fontId="1"/>
  </si>
  <si>
    <t>工場・物流倉庫ＣＤ</t>
    <phoneticPr fontId="1"/>
  </si>
  <si>
    <t>工場・物流倉庫名</t>
    <phoneticPr fontId="1"/>
  </si>
  <si>
    <t>格納先製造場所グループＣＤ</t>
    <phoneticPr fontId="1"/>
  </si>
  <si>
    <t>格納先製造場所グループ名</t>
    <phoneticPr fontId="1"/>
  </si>
  <si>
    <t>格納場所ＣＤ</t>
    <phoneticPr fontId="1"/>
  </si>
  <si>
    <t>格納場所名</t>
    <phoneticPr fontId="1"/>
  </si>
  <si>
    <t>生産年月</t>
    <phoneticPr fontId="1"/>
  </si>
  <si>
    <t>ＭＲＰグループ名</t>
    <phoneticPr fontId="1"/>
  </si>
  <si>
    <t>製造場所ＣＤ</t>
    <phoneticPr fontId="1"/>
  </si>
  <si>
    <t>製造場所名</t>
    <phoneticPr fontId="1"/>
  </si>
  <si>
    <t>発注先ＣＤ</t>
    <phoneticPr fontId="1"/>
  </si>
  <si>
    <t>発注先名</t>
    <phoneticPr fontId="1"/>
  </si>
  <si>
    <t>依頼先場所ＣＤ</t>
    <phoneticPr fontId="1"/>
  </si>
  <si>
    <t>依頼先場所名</t>
    <phoneticPr fontId="1"/>
  </si>
  <si>
    <t>調達先ＣＤ</t>
    <phoneticPr fontId="1"/>
  </si>
  <si>
    <t>調達先名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</si>
  <si>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</si>
  <si>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</si>
  <si>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</si>
  <si>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</si>
  <si>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</si>
  <si>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計画数量</t>
    <phoneticPr fontId="1"/>
  </si>
  <si>
    <t>前回計画数量</t>
    <phoneticPr fontId="1"/>
  </si>
  <si>
    <t>日次生産依頼数量</t>
    <phoneticPr fontId="1"/>
  </si>
  <si>
    <t>確定日次生産依頼数量</t>
    <phoneticPr fontId="1"/>
  </si>
  <si>
    <t>未確定日次生産依頼数量</t>
    <phoneticPr fontId="1"/>
  </si>
  <si>
    <t>実績数量</t>
    <phoneticPr fontId="1"/>
  </si>
  <si>
    <t>基準単位ＣＤ</t>
    <phoneticPr fontId="1"/>
  </si>
  <si>
    <t>基準単位名</t>
    <phoneticPr fontId="1"/>
  </si>
  <si>
    <t>小数部有効桁数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</si>
  <si>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</si>
  <si>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</si>
  <si>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</si>
  <si>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</si>
  <si>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更新カウンタ</t>
    <phoneticPr fontId="1"/>
  </si>
  <si>
    <t>ＭＰＳ品目論理削除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</si>
  <si>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</si>
  <si>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</si>
  <si>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</si>
  <si>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</si>
  <si>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wg_cd</t>
    <phoneticPr fontId="1"/>
  </si>
  <si>
    <t>#MA.WG_CD</t>
    <phoneticPr fontId="1"/>
  </si>
  <si>
    <t>proc_cd</t>
    <phoneticPr fontId="1"/>
  </si>
  <si>
    <t>proc_nm</t>
    <phoneticPr fontId="1"/>
  </si>
  <si>
    <t>pre_qty</t>
    <phoneticPr fontId="1"/>
  </si>
  <si>
    <t>rqmt_qty</t>
    <phoneticPr fontId="1"/>
  </si>
  <si>
    <t>no_fix_rqmt_qty</t>
    <phoneticPr fontId="1"/>
  </si>
  <si>
    <t>mst_del_flg</t>
    <phoneticPr fontId="1"/>
  </si>
  <si>
    <t>#MA.FLG</t>
    <phoneticPr fontId="1"/>
  </si>
  <si>
    <t>MS.MSBCL0350.Srch01.Srch01_Cnd</t>
    <phoneticPr fontId="3"/>
  </si>
  <si>
    <t>生産年月ＦＲＯＭ</t>
    <phoneticPr fontId="3"/>
  </si>
  <si>
    <t>生産年月ＴＯ</t>
    <phoneticPr fontId="3"/>
  </si>
  <si>
    <t>ワーキンググループＣＤ</t>
    <phoneticPr fontId="3"/>
  </si>
  <si>
    <t>ワーキンググループ名</t>
    <phoneticPr fontId="3"/>
  </si>
  <si>
    <t>工場・物流倉庫ＣＤ</t>
    <phoneticPr fontId="3"/>
  </si>
  <si>
    <t>工場・物流倉庫名</t>
    <phoneticPr fontId="3"/>
  </si>
  <si>
    <t>格納先製造場所グループＣＤ</t>
    <phoneticPr fontId="3"/>
  </si>
  <si>
    <t>格納先製造場所グループ名</t>
    <phoneticPr fontId="3"/>
  </si>
  <si>
    <t>格納場所ＣＤ</t>
    <phoneticPr fontId="3"/>
  </si>
  <si>
    <t>格納場所名</t>
    <phoneticPr fontId="3"/>
  </si>
  <si>
    <t>MS.MSBCL0350.Srch01.Srch01_MtrxRslt</t>
    <phoneticPr fontId="3"/>
  </si>
  <si>
    <t>計画年月</t>
    <phoneticPr fontId="3"/>
  </si>
  <si>
    <t>-</t>
    <phoneticPr fontId="3"/>
  </si>
  <si>
    <t>E</t>
    <phoneticPr fontId="3"/>
  </si>
  <si>
    <t>生産年月</t>
    <phoneticPr fontId="3"/>
  </si>
  <si>
    <t>ＭＰＳグループＣＤ</t>
    <phoneticPr fontId="3"/>
  </si>
  <si>
    <t>ＭＲＰグループ名</t>
    <phoneticPr fontId="3"/>
  </si>
  <si>
    <t>製造場所ＣＤ</t>
    <phoneticPr fontId="3"/>
  </si>
  <si>
    <t>製造場所名</t>
    <phoneticPr fontId="3"/>
  </si>
  <si>
    <t>発注先ＣＤ</t>
    <phoneticPr fontId="3"/>
  </si>
  <si>
    <t>発注先名</t>
    <phoneticPr fontId="3"/>
  </si>
  <si>
    <t>依頼先場所ＣＤ</t>
    <phoneticPr fontId="3"/>
  </si>
  <si>
    <t>依頼先場所名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</si>
  <si>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</si>
  <si>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</si>
  <si>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</si>
  <si>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</si>
  <si>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</si>
  <si>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計画数量</t>
    <phoneticPr fontId="3"/>
  </si>
  <si>
    <t>基準単位ＣＤ</t>
    <phoneticPr fontId="3"/>
  </si>
  <si>
    <t>基準単位名</t>
    <phoneticPr fontId="3"/>
  </si>
  <si>
    <t>小数部有効桁数</t>
    <phoneticPr fontId="3"/>
  </si>
  <si>
    <t>更新カウンタ</t>
    <phoneticPr fontId="3"/>
  </si>
  <si>
    <t>TargetName</t>
    <phoneticPr fontId="1"/>
  </si>
  <si>
    <t>wg_cd</t>
    <phoneticPr fontId="1"/>
  </si>
  <si>
    <t>#MA.WG_CD</t>
    <phoneticPr fontId="1"/>
  </si>
  <si>
    <t>proc_cd</t>
    <phoneticPr fontId="1"/>
  </si>
  <si>
    <t>proc_nm</t>
    <phoneticPr fontId="1"/>
  </si>
  <si>
    <t>pre_qty</t>
    <phoneticPr fontId="1"/>
  </si>
  <si>
    <t>rqmt_qty</t>
    <phoneticPr fontId="1"/>
  </si>
  <si>
    <t>no_fix_rqmt_qty</t>
    <phoneticPr fontId="1"/>
  </si>
  <si>
    <t>mst_del_flg</t>
    <phoneticPr fontId="1"/>
  </si>
  <si>
    <t>#MA.FLG</t>
    <phoneticPr fontId="1"/>
  </si>
  <si>
    <t>紐付けＮＯ</t>
    <phoneticPr fontId="1"/>
  </si>
  <si>
    <t>データ更新区分</t>
    <phoneticPr fontId="1"/>
  </si>
  <si>
    <t>処理結果状況区分</t>
    <phoneticPr fontId="1"/>
  </si>
  <si>
    <t>ファイル入力</t>
    <phoneticPr fontId="1"/>
  </si>
  <si>
    <t>MS.MSBCL0350.Chk01.Chk01_Rslt</t>
    <phoneticPr fontId="3"/>
  </si>
  <si>
    <t>紐付けＮＯ</t>
    <phoneticPr fontId="3"/>
  </si>
  <si>
    <t>データ更新区分</t>
    <phoneticPr fontId="3"/>
  </si>
  <si>
    <t>処理結果状況区分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</si>
  <si>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</si>
  <si>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</si>
  <si>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</si>
  <si>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</si>
  <si>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MS.MSUDL5010</t>
  </si>
  <si>
    <t>"mcframe.serverMAUD.MAUDL5010.MAUDL_Searcher"</t>
  </si>
  <si>
    <t>MA.MAUDL5010.Checker</t>
  </si>
  <si>
    <t>"mcframe.serverMAUD.MAUDL5010.MAUDL_Operation"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</si>
  <si>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</si>
  <si>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</si>
  <si>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</si>
  <si>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</si>
  <si>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</si>
  <si>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</si>
  <si>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</si>
  <si>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</si>
  <si>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</si>
  <si>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</si>
  <si>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</si>
  <si>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</si>
  <si>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</si>
  <si>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</si>
  <si>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Plan month</t>
  </si>
  <si>
    <t>Production month FROM</t>
  </si>
  <si>
    <t>Production month TO</t>
  </si>
  <si>
    <t>MPS group cd.</t>
  </si>
  <si>
    <t>MPS group name</t>
  </si>
  <si>
    <t>WG cd.</t>
  </si>
  <si>
    <t>WG name</t>
  </si>
  <si>
    <t>Factory/Distribution warehouse cd.</t>
  </si>
  <si>
    <t>Factory/Distribution warehouse name</t>
  </si>
  <si>
    <t>Storage mfg. location group cd.</t>
  </si>
  <si>
    <t>Storage mfg. location group name</t>
  </si>
  <si>
    <t>Storage location cd.</t>
  </si>
  <si>
    <t>Storage location name</t>
  </si>
  <si>
    <t>Production month</t>
  </si>
  <si>
    <t>MRP group name</t>
  </si>
  <si>
    <t>Mfg. location cd.</t>
  </si>
  <si>
    <t>Mfg. location name</t>
  </si>
  <si>
    <t>Supplier cd.</t>
  </si>
  <si>
    <t>Supplier name</t>
  </si>
  <si>
    <t>Requested location cd.</t>
  </si>
  <si>
    <t>Location name (Requested)</t>
  </si>
  <si>
    <t>Procurement provider cd.</t>
  </si>
  <si>
    <t>Procurement provider name</t>
  </si>
  <si>
    <t>Item cd.</t>
  </si>
  <si>
    <t>Branch No. 1</t>
  </si>
  <si>
    <t>Branch No. 2</t>
  </si>
  <si>
    <t>Branch No. 3</t>
  </si>
  <si>
    <t>Item name</t>
  </si>
  <si>
    <t>Plan qty.</t>
  </si>
  <si>
    <t>Last planned qty.</t>
  </si>
  <si>
    <t>Daily production request qty.</t>
  </si>
  <si>
    <t>Firm daily production request qty.</t>
  </si>
  <si>
    <t>Unfirm daily production request qty.</t>
  </si>
  <si>
    <t>Result qty.</t>
  </si>
  <si>
    <t>Base unit cd.</t>
  </si>
  <si>
    <t>Base unit name</t>
  </si>
  <si>
    <t>Number of decimal places</t>
  </si>
  <si>
    <t>Internal remarks</t>
  </si>
  <si>
    <t>Spare 1</t>
  </si>
  <si>
    <t>Spare 2</t>
  </si>
  <si>
    <t>Spare 3</t>
  </si>
  <si>
    <t>Update counter</t>
  </si>
  <si>
    <t>MPS item logical delete</t>
  </si>
  <si>
    <t>項目名
Field Name</t>
    <phoneticPr fontId="3"/>
  </si>
  <si>
    <t>型
Type</t>
    <phoneticPr fontId="3"/>
  </si>
  <si>
    <t>Pegging No.</t>
  </si>
  <si>
    <t>Error</t>
  </si>
  <si>
    <t>Data update type</t>
  </si>
  <si>
    <t>Process result status type</t>
  </si>
  <si>
    <t>Import file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</si>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</sst>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5" xfId="0" applyFont="1" applyFill="1" applyBorder="1" applyAlignment="1">
      <alignment vertical="center" wrapText="1"/>
    </xf>
    <xf numFmtId="0" fontId="5" fillId="0" borderId="7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5" fillId="0" borderId="6" xfId="0" applyFont="1" applyBorder="1" applyAlignment="1">
      <alignment vertical="center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2" xfId="0" applyFont="1" applyBorder="1" applyAlignment="1"/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5.453125" style="4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148</v>
      </c>
      <c r="D2" s="7" t="s">
        <v>2</v>
      </c>
      <c r="E2" s="8" t="s">
        <v>42</v>
      </c>
      <c r="F2" s="7" t="s">
        <v>149</v>
      </c>
      <c r="G2" s="8" t="s">
        <v>41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150</v>
      </c>
      <c r="D3" s="7" t="s">
        <v>4</v>
      </c>
      <c r="E3" s="8" t="s">
        <v>43</v>
      </c>
      <c r="F3" s="7" t="s">
        <v>151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44</v>
      </c>
      <c r="F4" s="7" t="s">
        <v>6</v>
      </c>
      <c r="G4" s="8" t="s">
        <v>272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6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3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153</v>
      </c>
      <c r="B1" s="53" t="s">
        <v>153</v>
      </c>
      <c r="C1" s="53"/>
      <c r="D1" s="1" t="s">
        <v>127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153</v>
      </c>
      <c r="B2" s="23"/>
      <c r="C2" s="23"/>
      <c r="D2" s="65" t="s">
        <v>276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MSBCL0350</v>
      </c>
      <c r="I2" s="7" t="s">
        <v>154</v>
      </c>
      <c r="J2" s="8" t="s">
        <v>140</v>
      </c>
      <c r="K2" s="7" t="s">
        <v>149</v>
      </c>
      <c r="L2" s="54" t="str">
        <f>IF(LogicCommon!G2="","",LogicCommon!G2)</f>
        <v>MC</v>
      </c>
      <c r="M2" s="5" t="s">
        <v>155</v>
      </c>
      <c r="N2" s="24" t="s">
        <v>273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153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MSBC</v>
      </c>
      <c r="G3" s="7" t="s">
        <v>4</v>
      </c>
      <c r="H3" s="54" t="str">
        <f>IF(LogicCommon!E3="","",LogicCommon!E3)</f>
        <v>MSBCL_MlyRqmtSchdReg</v>
      </c>
      <c r="I3" s="7" t="s">
        <v>156</v>
      </c>
      <c r="J3" s="8" t="s">
        <v>104</v>
      </c>
      <c r="K3" s="7" t="s">
        <v>151</v>
      </c>
      <c r="L3" s="54" t="str">
        <f>IF(LogicCommon!G3="","",LogicCommon!G3)</f>
        <v/>
      </c>
      <c r="M3" s="58"/>
      <c r="N3" s="7"/>
      <c r="O3" s="7" t="s">
        <v>157</v>
      </c>
      <c r="P3" s="8" t="s">
        <v>203</v>
      </c>
      <c r="Q3" s="4"/>
      <c r="R3" s="5"/>
      <c r="S3" s="5"/>
      <c r="T3" s="5"/>
      <c r="U3" s="5"/>
    </row>
    <row r="4" spans="1:21" s="10" customFormat="1" x14ac:dyDescent="0.2">
      <c r="A4" s="55" t="s">
        <v>153</v>
      </c>
      <c r="B4" s="56"/>
      <c r="C4" s="56"/>
      <c r="D4" s="4"/>
      <c r="E4" s="7" t="s">
        <v>12</v>
      </c>
      <c r="F4" s="59" t="s">
        <v>158</v>
      </c>
      <c r="G4" s="7" t="s">
        <v>5</v>
      </c>
      <c r="H4" s="54" t="str">
        <f>IF(LogicCommon!E4="","",LogicCommon!E4)</f>
        <v>月次生産依頼日程登録</v>
      </c>
      <c r="I4" s="7" t="s">
        <v>159</v>
      </c>
      <c r="J4" s="8" t="s">
        <v>105</v>
      </c>
      <c r="K4" s="7" t="s">
        <v>6</v>
      </c>
      <c r="L4" s="54" t="str">
        <f>IF(LogicCommon!G4="","",LogicCommon!G4)</f>
        <v>MS.MSUDL5010</v>
      </c>
      <c r="M4" s="60" t="s">
        <v>204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153</v>
      </c>
      <c r="B5" s="53"/>
      <c r="C5" s="53"/>
      <c r="D5" s="21"/>
      <c r="E5" s="7" t="s">
        <v>160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153</v>
      </c>
      <c r="B6" s="56"/>
      <c r="C6" s="56"/>
      <c r="D6" s="4" t="s">
        <v>15</v>
      </c>
      <c r="E6" s="12" t="s">
        <v>144</v>
      </c>
      <c r="F6" s="12"/>
      <c r="G6" s="12"/>
      <c r="H6" s="12"/>
      <c r="I6" s="12"/>
      <c r="J6" s="12"/>
      <c r="K6" s="12"/>
      <c r="L6" s="64"/>
      <c r="M6" s="15" t="s">
        <v>152</v>
      </c>
      <c r="N6" s="15"/>
      <c r="O6" s="15" t="s">
        <v>152</v>
      </c>
      <c r="P6" s="15"/>
      <c r="Q6" s="15" t="s">
        <v>152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6"/>
      <c r="C8" s="67"/>
      <c r="D8" s="25" t="s">
        <v>277</v>
      </c>
      <c r="E8" s="25" t="s">
        <v>278</v>
      </c>
      <c r="F8" s="64"/>
      <c r="G8" s="25" t="s">
        <v>205</v>
      </c>
      <c r="H8" s="25" t="s">
        <v>279</v>
      </c>
      <c r="I8" s="64"/>
      <c r="J8" s="3"/>
      <c r="K8" s="8" t="s">
        <v>22</v>
      </c>
      <c r="L8" s="25" t="s">
        <v>11</v>
      </c>
      <c r="M8" s="26"/>
      <c r="N8" s="25" t="s">
        <v>206</v>
      </c>
      <c r="O8" s="26"/>
      <c r="P8" s="25" t="s">
        <v>206</v>
      </c>
      <c r="Q8" s="26"/>
      <c r="R8" s="3"/>
      <c r="S8" s="21"/>
      <c r="T8" s="120" t="s">
        <v>280</v>
      </c>
      <c r="U8" s="121"/>
    </row>
    <row r="9" spans="1:21" s="10" customFormat="1" ht="60" customHeight="1" x14ac:dyDescent="0.2">
      <c r="A9" s="8" t="s">
        <v>8</v>
      </c>
      <c r="B9" s="29"/>
      <c r="C9" s="30"/>
      <c r="D9" s="25" t="s">
        <v>281</v>
      </c>
      <c r="E9" s="48" t="s">
        <v>282</v>
      </c>
      <c r="F9" s="25" t="s">
        <v>283</v>
      </c>
      <c r="G9" s="25" t="s">
        <v>284</v>
      </c>
      <c r="H9" s="25" t="s">
        <v>285</v>
      </c>
      <c r="I9" s="49" t="s">
        <v>286</v>
      </c>
      <c r="J9" s="25" t="s">
        <v>287</v>
      </c>
      <c r="K9" s="65"/>
      <c r="L9" s="49"/>
      <c r="M9" s="25"/>
      <c r="N9" s="25"/>
      <c r="O9" s="25"/>
      <c r="P9" s="25"/>
      <c r="Q9" s="25"/>
      <c r="R9" s="120" t="s">
        <v>288</v>
      </c>
      <c r="S9" s="121"/>
      <c r="T9" s="120" t="s">
        <v>289</v>
      </c>
      <c r="U9" s="121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286</v>
      </c>
      <c r="M10" s="25" t="s">
        <v>287</v>
      </c>
      <c r="N10" s="25" t="s">
        <v>286</v>
      </c>
      <c r="O10" s="25" t="s">
        <v>287</v>
      </c>
      <c r="P10" s="25" t="s">
        <v>286</v>
      </c>
      <c r="Q10" s="25" t="s">
        <v>287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141</v>
      </c>
      <c r="E11" s="27" t="s">
        <v>107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124</v>
      </c>
      <c r="E12" s="26" t="s">
        <v>60</v>
      </c>
      <c r="F12" s="26"/>
      <c r="G12" s="39" t="s">
        <v>290</v>
      </c>
      <c r="H12" s="39" t="s">
        <v>125</v>
      </c>
      <c r="I12" s="8" t="s">
        <v>161</v>
      </c>
      <c r="J12" s="8" t="s">
        <v>162</v>
      </c>
      <c r="K12" s="8"/>
      <c r="L12" s="8"/>
      <c r="M12" s="8"/>
      <c r="N12" s="8"/>
      <c r="O12" s="8"/>
      <c r="P12" s="8"/>
      <c r="Q12" s="8"/>
      <c r="R12" s="120"/>
      <c r="S12" s="121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108</v>
      </c>
      <c r="E13" s="26" t="s">
        <v>60</v>
      </c>
      <c r="F13" s="26"/>
      <c r="G13" s="39" t="s">
        <v>291</v>
      </c>
      <c r="H13" s="39" t="s">
        <v>163</v>
      </c>
      <c r="I13" s="8" t="s">
        <v>161</v>
      </c>
      <c r="J13" s="8" t="s">
        <v>162</v>
      </c>
      <c r="K13" s="8"/>
      <c r="L13" s="8"/>
      <c r="M13" s="8"/>
      <c r="N13" s="8"/>
      <c r="O13" s="8"/>
      <c r="P13" s="8"/>
      <c r="Q13" s="8"/>
      <c r="R13" s="120"/>
      <c r="S13" s="121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109</v>
      </c>
      <c r="E14" s="26" t="s">
        <v>60</v>
      </c>
      <c r="F14" s="26"/>
      <c r="G14" s="39" t="s">
        <v>292</v>
      </c>
      <c r="H14" s="39" t="s">
        <v>164</v>
      </c>
      <c r="I14" s="8" t="s">
        <v>161</v>
      </c>
      <c r="J14" s="8" t="s">
        <v>162</v>
      </c>
      <c r="K14" s="8"/>
      <c r="L14" s="8"/>
      <c r="M14" s="8"/>
      <c r="N14" s="8"/>
      <c r="O14" s="8"/>
      <c r="P14" s="8"/>
      <c r="Q14" s="8"/>
      <c r="R14" s="120"/>
      <c r="S14" s="121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71</v>
      </c>
      <c r="E15" s="26" t="s">
        <v>72</v>
      </c>
      <c r="F15" s="26"/>
      <c r="G15" s="39" t="s">
        <v>293</v>
      </c>
      <c r="H15" s="39" t="s">
        <v>126</v>
      </c>
      <c r="I15" s="8" t="s">
        <v>161</v>
      </c>
      <c r="J15" s="8" t="s">
        <v>162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110</v>
      </c>
      <c r="E16" s="26" t="s">
        <v>111</v>
      </c>
      <c r="F16" s="26"/>
      <c r="G16" s="39" t="s">
        <v>294</v>
      </c>
      <c r="H16" s="39" t="s">
        <v>165</v>
      </c>
      <c r="I16" s="8" t="s">
        <v>161</v>
      </c>
      <c r="J16" s="8" t="s">
        <v>162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86</v>
      </c>
      <c r="E17" s="26" t="s">
        <v>87</v>
      </c>
      <c r="F17" s="26"/>
      <c r="G17" s="39" t="s">
        <v>295</v>
      </c>
      <c r="H17" s="39" t="s">
        <v>142</v>
      </c>
      <c r="I17" s="8" t="s">
        <v>161</v>
      </c>
      <c r="J17" s="8" t="s">
        <v>162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116</v>
      </c>
      <c r="E18" s="26" t="s">
        <v>117</v>
      </c>
      <c r="F18" s="26"/>
      <c r="G18" s="39" t="s">
        <v>296</v>
      </c>
      <c r="H18" s="39" t="s">
        <v>166</v>
      </c>
      <c r="I18" s="8" t="s">
        <v>161</v>
      </c>
      <c r="J18" s="8" t="s">
        <v>162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ht="26" x14ac:dyDescent="0.2">
      <c r="A19" s="8">
        <v>10</v>
      </c>
      <c r="B19" s="8"/>
      <c r="C19" s="8"/>
      <c r="D19" s="8" t="s">
        <v>112</v>
      </c>
      <c r="E19" s="26" t="s">
        <v>113</v>
      </c>
      <c r="F19" s="26"/>
      <c r="G19" s="39" t="s">
        <v>297</v>
      </c>
      <c r="H19" s="39" t="s">
        <v>167</v>
      </c>
      <c r="I19" s="8" t="s">
        <v>161</v>
      </c>
      <c r="J19" s="8" t="s">
        <v>162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ht="26" x14ac:dyDescent="0.2">
      <c r="A20" s="8">
        <v>10</v>
      </c>
      <c r="B20" s="8"/>
      <c r="C20" s="8"/>
      <c r="D20" s="8" t="s">
        <v>114</v>
      </c>
      <c r="E20" s="26" t="s">
        <v>115</v>
      </c>
      <c r="F20" s="26"/>
      <c r="G20" s="39" t="s">
        <v>298</v>
      </c>
      <c r="H20" s="39" t="s">
        <v>168</v>
      </c>
      <c r="I20" s="8" t="s">
        <v>161</v>
      </c>
      <c r="J20" s="8" t="s">
        <v>162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ht="26" x14ac:dyDescent="0.2">
      <c r="A21" s="8">
        <v>10</v>
      </c>
      <c r="B21" s="8"/>
      <c r="C21" s="8"/>
      <c r="D21" s="8" t="s">
        <v>118</v>
      </c>
      <c r="E21" s="26" t="s">
        <v>119</v>
      </c>
      <c r="F21" s="26"/>
      <c r="G21" s="39" t="s">
        <v>299</v>
      </c>
      <c r="H21" s="39" t="s">
        <v>169</v>
      </c>
      <c r="I21" s="8" t="s">
        <v>161</v>
      </c>
      <c r="J21" s="8" t="s">
        <v>162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ht="26" x14ac:dyDescent="0.2">
      <c r="A22" s="8">
        <v>10</v>
      </c>
      <c r="B22" s="8"/>
      <c r="C22" s="8"/>
      <c r="D22" s="8" t="s">
        <v>120</v>
      </c>
      <c r="E22" s="26" t="s">
        <v>121</v>
      </c>
      <c r="F22" s="26"/>
      <c r="G22" s="39" t="s">
        <v>300</v>
      </c>
      <c r="H22" s="39" t="s">
        <v>170</v>
      </c>
      <c r="I22" s="8" t="s">
        <v>161</v>
      </c>
      <c r="J22" s="8" t="s">
        <v>162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73</v>
      </c>
      <c r="E23" s="26" t="s">
        <v>74</v>
      </c>
      <c r="F23" s="26"/>
      <c r="G23" s="39" t="s">
        <v>301</v>
      </c>
      <c r="H23" s="39" t="s">
        <v>171</v>
      </c>
      <c r="I23" s="8" t="s">
        <v>161</v>
      </c>
      <c r="J23" s="8" t="s">
        <v>162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x14ac:dyDescent="0.2">
      <c r="A24" s="8">
        <v>10</v>
      </c>
      <c r="B24" s="8"/>
      <c r="C24" s="8"/>
      <c r="D24" s="8" t="s">
        <v>122</v>
      </c>
      <c r="E24" s="26" t="s">
        <v>123</v>
      </c>
      <c r="F24" s="26"/>
      <c r="G24" s="39" t="s">
        <v>302</v>
      </c>
      <c r="H24" s="39" t="s">
        <v>172</v>
      </c>
      <c r="I24" s="8" t="s">
        <v>161</v>
      </c>
      <c r="J24" s="8" t="s">
        <v>162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ht="39" x14ac:dyDescent="0.2">
      <c r="A25" s="55"/>
      <c r="L25" s="10" t="s">
        <v>286</v>
      </c>
      <c r="M25" s="10" t="s">
        <v>287</v>
      </c>
      <c r="N25" s="10" t="s">
        <v>286</v>
      </c>
      <c r="O25" s="10" t="s">
        <v>287</v>
      </c>
      <c r="P25" s="10" t="s">
        <v>286</v>
      </c>
      <c r="Q25" s="10" t="s">
        <v>287</v>
      </c>
      <c r="U25" s="40"/>
    </row>
    <row r="26" spans="1:21" s="10" customFormat="1" x14ac:dyDescent="0.2">
      <c r="A26" s="8">
        <v>20</v>
      </c>
      <c r="B26" s="29" t="s">
        <v>0</v>
      </c>
      <c r="C26" s="30"/>
      <c r="D26" s="41" t="s">
        <v>128</v>
      </c>
      <c r="E26" s="27" t="s">
        <v>127</v>
      </c>
      <c r="F26" s="42"/>
      <c r="G26" s="24"/>
      <c r="H26" s="26"/>
      <c r="I26" s="15"/>
      <c r="J26" s="15"/>
      <c r="K26" s="15"/>
      <c r="L26" s="27"/>
      <c r="M26" s="27"/>
      <c r="N26" s="27"/>
      <c r="O26" s="27"/>
      <c r="P26" s="27"/>
      <c r="Q26" s="27"/>
      <c r="R26" s="48"/>
      <c r="S26" s="49"/>
      <c r="T26" s="118"/>
      <c r="U26" s="119"/>
    </row>
    <row r="27" spans="1:21" s="10" customFormat="1" x14ac:dyDescent="0.2">
      <c r="A27" s="8">
        <v>20</v>
      </c>
      <c r="B27" s="8"/>
      <c r="C27" s="8"/>
      <c r="D27" s="8" t="s">
        <v>59</v>
      </c>
      <c r="E27" s="26" t="s">
        <v>60</v>
      </c>
      <c r="F27" s="26"/>
      <c r="G27" s="39" t="s">
        <v>290</v>
      </c>
      <c r="H27" s="39" t="s">
        <v>125</v>
      </c>
      <c r="I27" s="8" t="s">
        <v>162</v>
      </c>
      <c r="J27" s="8" t="s">
        <v>161</v>
      </c>
      <c r="K27" s="8"/>
      <c r="L27" s="8"/>
      <c r="M27" s="8"/>
      <c r="N27" s="8"/>
      <c r="O27" s="8"/>
      <c r="P27" s="8"/>
      <c r="Q27" s="8"/>
      <c r="R27" s="120"/>
      <c r="S27" s="121"/>
      <c r="T27" s="118"/>
      <c r="U27" s="119"/>
    </row>
    <row r="28" spans="1:21" s="10" customFormat="1" x14ac:dyDescent="0.2">
      <c r="A28" s="8">
        <v>20</v>
      </c>
      <c r="B28" s="8"/>
      <c r="C28" s="8"/>
      <c r="D28" s="8" t="s">
        <v>79</v>
      </c>
      <c r="E28" s="26" t="s">
        <v>60</v>
      </c>
      <c r="F28" s="26"/>
      <c r="G28" s="39" t="s">
        <v>303</v>
      </c>
      <c r="H28" s="39" t="s">
        <v>173</v>
      </c>
      <c r="I28" s="8" t="s">
        <v>162</v>
      </c>
      <c r="J28" s="8" t="s">
        <v>161</v>
      </c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20</v>
      </c>
      <c r="B29" s="8"/>
      <c r="C29" s="8"/>
      <c r="D29" s="8" t="s">
        <v>71</v>
      </c>
      <c r="E29" s="26" t="s">
        <v>72</v>
      </c>
      <c r="F29" s="26"/>
      <c r="G29" s="39" t="s">
        <v>293</v>
      </c>
      <c r="H29" s="39" t="s">
        <v>126</v>
      </c>
      <c r="I29" s="8" t="s">
        <v>162</v>
      </c>
      <c r="J29" s="8" t="s">
        <v>161</v>
      </c>
      <c r="K29" s="8"/>
      <c r="L29" s="8"/>
      <c r="M29" s="8"/>
      <c r="N29" s="8"/>
      <c r="O29" s="8"/>
      <c r="P29" s="8"/>
      <c r="Q29" s="8"/>
      <c r="R29" s="120"/>
      <c r="S29" s="121"/>
      <c r="T29" s="118"/>
      <c r="U29" s="119"/>
    </row>
    <row r="30" spans="1:21" s="10" customFormat="1" x14ac:dyDescent="0.2">
      <c r="A30" s="8">
        <v>20</v>
      </c>
      <c r="B30" s="8"/>
      <c r="C30" s="8"/>
      <c r="D30" s="8" t="s">
        <v>110</v>
      </c>
      <c r="E30" s="26" t="s">
        <v>111</v>
      </c>
      <c r="F30" s="26"/>
      <c r="G30" s="39" t="s">
        <v>304</v>
      </c>
      <c r="H30" s="39" t="s">
        <v>174</v>
      </c>
      <c r="I30" s="8" t="s">
        <v>162</v>
      </c>
      <c r="J30" s="8" t="s">
        <v>161</v>
      </c>
      <c r="K30" s="8"/>
      <c r="L30" s="8"/>
      <c r="M30" s="8"/>
      <c r="N30" s="8"/>
      <c r="O30" s="8"/>
      <c r="P30" s="8"/>
      <c r="Q30" s="8"/>
      <c r="R30" s="120"/>
      <c r="S30" s="121"/>
      <c r="T30" s="118"/>
      <c r="U30" s="119"/>
    </row>
    <row r="31" spans="1:21" s="10" customFormat="1" x14ac:dyDescent="0.2">
      <c r="A31" s="8">
        <v>20</v>
      </c>
      <c r="B31" s="8"/>
      <c r="C31" s="8"/>
      <c r="D31" s="8" t="s">
        <v>73</v>
      </c>
      <c r="E31" s="26" t="s">
        <v>74</v>
      </c>
      <c r="F31" s="26"/>
      <c r="G31" s="39" t="s">
        <v>301</v>
      </c>
      <c r="H31" s="39" t="s">
        <v>171</v>
      </c>
      <c r="I31" s="8" t="s">
        <v>162</v>
      </c>
      <c r="J31" s="8" t="s">
        <v>161</v>
      </c>
      <c r="K31" s="8"/>
      <c r="L31" s="8"/>
      <c r="M31" s="8"/>
      <c r="N31" s="8"/>
      <c r="O31" s="8"/>
      <c r="P31" s="8"/>
      <c r="Q31" s="8"/>
      <c r="R31" s="120"/>
      <c r="S31" s="121"/>
      <c r="T31" s="118"/>
      <c r="U31" s="119"/>
    </row>
    <row r="32" spans="1:21" s="10" customFormat="1" x14ac:dyDescent="0.2">
      <c r="A32" s="8">
        <v>20</v>
      </c>
      <c r="B32" s="8"/>
      <c r="C32" s="8"/>
      <c r="D32" s="8" t="s">
        <v>122</v>
      </c>
      <c r="E32" s="26" t="s">
        <v>123</v>
      </c>
      <c r="F32" s="26"/>
      <c r="G32" s="39" t="s">
        <v>302</v>
      </c>
      <c r="H32" s="39" t="s">
        <v>172</v>
      </c>
      <c r="I32" s="8" t="s">
        <v>162</v>
      </c>
      <c r="J32" s="8" t="s">
        <v>161</v>
      </c>
      <c r="K32" s="8"/>
      <c r="L32" s="8"/>
      <c r="M32" s="8"/>
      <c r="N32" s="8"/>
      <c r="O32" s="8"/>
      <c r="P32" s="8"/>
      <c r="Q32" s="8"/>
      <c r="R32" s="120"/>
      <c r="S32" s="121"/>
      <c r="T32" s="118"/>
      <c r="U32" s="119"/>
    </row>
    <row r="33" spans="1:21" s="10" customFormat="1" x14ac:dyDescent="0.2">
      <c r="A33" s="8">
        <v>20</v>
      </c>
      <c r="B33" s="8"/>
      <c r="C33" s="8"/>
      <c r="D33" s="8" t="s">
        <v>207</v>
      </c>
      <c r="E33" s="26" t="s">
        <v>208</v>
      </c>
      <c r="F33" s="26"/>
      <c r="G33" s="39" t="s">
        <v>295</v>
      </c>
      <c r="H33" s="39" t="s">
        <v>142</v>
      </c>
      <c r="I33" s="8" t="s">
        <v>162</v>
      </c>
      <c r="J33" s="8" t="s">
        <v>161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20</v>
      </c>
      <c r="B34" s="8"/>
      <c r="C34" s="8"/>
      <c r="D34" s="8" t="s">
        <v>75</v>
      </c>
      <c r="E34" s="26" t="s">
        <v>74</v>
      </c>
      <c r="F34" s="26"/>
      <c r="G34" s="39" t="s">
        <v>305</v>
      </c>
      <c r="H34" s="39" t="s">
        <v>175</v>
      </c>
      <c r="I34" s="8" t="s">
        <v>162</v>
      </c>
      <c r="J34" s="8" t="s">
        <v>161</v>
      </c>
      <c r="K34" s="8"/>
      <c r="L34" s="8"/>
      <c r="M34" s="8"/>
      <c r="N34" s="8"/>
      <c r="O34" s="8"/>
      <c r="P34" s="8"/>
      <c r="Q34" s="8"/>
      <c r="R34" s="120"/>
      <c r="S34" s="121"/>
      <c r="T34" s="118"/>
      <c r="U34" s="119"/>
    </row>
    <row r="35" spans="1:21" s="10" customFormat="1" x14ac:dyDescent="0.2">
      <c r="A35" s="8">
        <v>20</v>
      </c>
      <c r="B35" s="8"/>
      <c r="C35" s="8"/>
      <c r="D35" s="8" t="s">
        <v>129</v>
      </c>
      <c r="E35" s="26" t="s">
        <v>123</v>
      </c>
      <c r="F35" s="26"/>
      <c r="G35" s="39" t="s">
        <v>306</v>
      </c>
      <c r="H35" s="39" t="s">
        <v>176</v>
      </c>
      <c r="I35" s="8" t="s">
        <v>162</v>
      </c>
      <c r="J35" s="8" t="s">
        <v>161</v>
      </c>
      <c r="K35" s="8"/>
      <c r="L35" s="8"/>
      <c r="M35" s="8"/>
      <c r="N35" s="8"/>
      <c r="O35" s="8"/>
      <c r="P35" s="8"/>
      <c r="Q35" s="8"/>
      <c r="R35" s="120"/>
      <c r="S35" s="121"/>
      <c r="T35" s="118"/>
      <c r="U35" s="119"/>
    </row>
    <row r="36" spans="1:21" s="10" customFormat="1" x14ac:dyDescent="0.2">
      <c r="A36" s="8">
        <v>20</v>
      </c>
      <c r="B36" s="8"/>
      <c r="C36" s="8"/>
      <c r="D36" s="8" t="s">
        <v>76</v>
      </c>
      <c r="E36" s="26" t="s">
        <v>77</v>
      </c>
      <c r="F36" s="26"/>
      <c r="G36" s="39" t="s">
        <v>307</v>
      </c>
      <c r="H36" s="39" t="s">
        <v>177</v>
      </c>
      <c r="I36" s="8" t="s">
        <v>162</v>
      </c>
      <c r="J36" s="8" t="s">
        <v>161</v>
      </c>
      <c r="K36" s="8"/>
      <c r="L36" s="8"/>
      <c r="M36" s="8"/>
      <c r="N36" s="8"/>
      <c r="O36" s="8"/>
      <c r="P36" s="8"/>
      <c r="Q36" s="8"/>
      <c r="R36" s="120"/>
      <c r="S36" s="121"/>
      <c r="T36" s="118"/>
      <c r="U36" s="119"/>
    </row>
    <row r="37" spans="1:21" s="10" customFormat="1" x14ac:dyDescent="0.2">
      <c r="A37" s="8">
        <v>20</v>
      </c>
      <c r="B37" s="8"/>
      <c r="C37" s="8"/>
      <c r="D37" s="8" t="s">
        <v>130</v>
      </c>
      <c r="E37" s="26" t="s">
        <v>131</v>
      </c>
      <c r="F37" s="26"/>
      <c r="G37" s="39" t="s">
        <v>308</v>
      </c>
      <c r="H37" s="39" t="s">
        <v>178</v>
      </c>
      <c r="I37" s="8" t="s">
        <v>162</v>
      </c>
      <c r="J37" s="8" t="s">
        <v>161</v>
      </c>
      <c r="K37" s="8"/>
      <c r="L37" s="8"/>
      <c r="M37" s="8"/>
      <c r="N37" s="8"/>
      <c r="O37" s="8"/>
      <c r="P37" s="8"/>
      <c r="Q37" s="8"/>
      <c r="R37" s="120"/>
      <c r="S37" s="121"/>
      <c r="T37" s="118"/>
      <c r="U37" s="119"/>
    </row>
    <row r="38" spans="1:21" s="10" customFormat="1" x14ac:dyDescent="0.2">
      <c r="A38" s="8">
        <v>20</v>
      </c>
      <c r="B38" s="8"/>
      <c r="C38" s="8"/>
      <c r="D38" s="8" t="s">
        <v>78</v>
      </c>
      <c r="E38" s="26" t="s">
        <v>74</v>
      </c>
      <c r="F38" s="26"/>
      <c r="G38" s="39" t="s">
        <v>309</v>
      </c>
      <c r="H38" s="39" t="s">
        <v>179</v>
      </c>
      <c r="I38" s="8" t="s">
        <v>162</v>
      </c>
      <c r="J38" s="8" t="s">
        <v>161</v>
      </c>
      <c r="K38" s="8"/>
      <c r="L38" s="8"/>
      <c r="M38" s="8"/>
      <c r="N38" s="8"/>
      <c r="O38" s="8"/>
      <c r="P38" s="8"/>
      <c r="Q38" s="8"/>
      <c r="R38" s="120"/>
      <c r="S38" s="121"/>
      <c r="T38" s="118"/>
      <c r="U38" s="119"/>
    </row>
    <row r="39" spans="1:21" s="10" customFormat="1" x14ac:dyDescent="0.2">
      <c r="A39" s="8">
        <v>20</v>
      </c>
      <c r="B39" s="8"/>
      <c r="C39" s="8"/>
      <c r="D39" s="8" t="s">
        <v>132</v>
      </c>
      <c r="E39" s="26" t="s">
        <v>123</v>
      </c>
      <c r="F39" s="26"/>
      <c r="G39" s="39" t="s">
        <v>310</v>
      </c>
      <c r="H39" s="39" t="s">
        <v>180</v>
      </c>
      <c r="I39" s="8" t="s">
        <v>162</v>
      </c>
      <c r="J39" s="8" t="s">
        <v>161</v>
      </c>
      <c r="K39" s="8"/>
      <c r="L39" s="8"/>
      <c r="M39" s="8"/>
      <c r="N39" s="8"/>
      <c r="O39" s="8"/>
      <c r="P39" s="8"/>
      <c r="Q39" s="8"/>
      <c r="R39" s="120"/>
      <c r="S39" s="121"/>
      <c r="T39" s="118"/>
      <c r="U39" s="119"/>
    </row>
    <row r="40" spans="1:21" s="10" customFormat="1" x14ac:dyDescent="0.2">
      <c r="A40" s="8">
        <v>20</v>
      </c>
      <c r="B40" s="8"/>
      <c r="C40" s="8"/>
      <c r="D40" s="8" t="s">
        <v>209</v>
      </c>
      <c r="E40" s="26" t="s">
        <v>146</v>
      </c>
      <c r="F40" s="26">
        <v>20</v>
      </c>
      <c r="G40" s="39" t="s">
        <v>311</v>
      </c>
      <c r="H40" s="39" t="s">
        <v>181</v>
      </c>
      <c r="I40" s="8" t="s">
        <v>162</v>
      </c>
      <c r="J40" s="8" t="s">
        <v>161</v>
      </c>
      <c r="K40" s="8"/>
      <c r="L40" s="8"/>
      <c r="M40" s="8"/>
      <c r="N40" s="8"/>
      <c r="O40" s="8"/>
      <c r="P40" s="8"/>
      <c r="Q40" s="8"/>
      <c r="R40" s="48"/>
      <c r="S40" s="49"/>
      <c r="T40" s="50"/>
      <c r="U40" s="51"/>
    </row>
    <row r="41" spans="1:21" s="10" customFormat="1" x14ac:dyDescent="0.2">
      <c r="A41" s="8">
        <v>20</v>
      </c>
      <c r="B41" s="8"/>
      <c r="C41" s="8"/>
      <c r="D41" s="8" t="s">
        <v>210</v>
      </c>
      <c r="E41" s="26" t="s">
        <v>146</v>
      </c>
      <c r="F41" s="26">
        <v>100</v>
      </c>
      <c r="G41" s="39" t="s">
        <v>312</v>
      </c>
      <c r="H41" s="39" t="s">
        <v>182</v>
      </c>
      <c r="I41" s="8" t="s">
        <v>162</v>
      </c>
      <c r="J41" s="8" t="s">
        <v>161</v>
      </c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 x14ac:dyDescent="0.2">
      <c r="A42" s="8">
        <v>20</v>
      </c>
      <c r="B42" s="8"/>
      <c r="C42" s="8"/>
      <c r="D42" s="8" t="s">
        <v>61</v>
      </c>
      <c r="E42" s="26" t="s">
        <v>62</v>
      </c>
      <c r="F42" s="26"/>
      <c r="G42" s="39" t="s">
        <v>313</v>
      </c>
      <c r="H42" s="39" t="s">
        <v>183</v>
      </c>
      <c r="I42" s="8" t="s">
        <v>162</v>
      </c>
      <c r="J42" s="8" t="s">
        <v>161</v>
      </c>
      <c r="K42" s="8"/>
      <c r="L42" s="8"/>
      <c r="M42" s="8"/>
      <c r="N42" s="8"/>
      <c r="O42" s="8"/>
      <c r="P42" s="8"/>
      <c r="Q42" s="8"/>
      <c r="R42" s="120"/>
      <c r="S42" s="121"/>
      <c r="T42" s="118"/>
      <c r="U42" s="119"/>
    </row>
    <row r="43" spans="1:21" s="10" customFormat="1" x14ac:dyDescent="0.2">
      <c r="A43" s="8">
        <v>20</v>
      </c>
      <c r="B43" s="8"/>
      <c r="C43" s="8"/>
      <c r="D43" s="8" t="s">
        <v>63</v>
      </c>
      <c r="E43" s="26" t="s">
        <v>64</v>
      </c>
      <c r="F43" s="26"/>
      <c r="G43" s="39" t="s">
        <v>314</v>
      </c>
      <c r="H43" s="39" t="s">
        <v>184</v>
      </c>
      <c r="I43" s="8" t="s">
        <v>162</v>
      </c>
      <c r="J43" s="8" t="s">
        <v>161</v>
      </c>
      <c r="K43" s="8"/>
      <c r="L43" s="8"/>
      <c r="M43" s="8"/>
      <c r="N43" s="8"/>
      <c r="O43" s="8"/>
      <c r="P43" s="8"/>
      <c r="Q43" s="8"/>
      <c r="R43" s="120"/>
      <c r="S43" s="121"/>
      <c r="T43" s="118"/>
      <c r="U43" s="119"/>
    </row>
    <row r="44" spans="1:21" s="10" customFormat="1" x14ac:dyDescent="0.2">
      <c r="A44" s="8">
        <v>20</v>
      </c>
      <c r="B44" s="8"/>
      <c r="C44" s="8"/>
      <c r="D44" s="8" t="s">
        <v>65</v>
      </c>
      <c r="E44" s="26" t="s">
        <v>66</v>
      </c>
      <c r="F44" s="26"/>
      <c r="G44" s="39" t="s">
        <v>315</v>
      </c>
      <c r="H44" s="39" t="s">
        <v>185</v>
      </c>
      <c r="I44" s="8" t="s">
        <v>162</v>
      </c>
      <c r="J44" s="8" t="s">
        <v>161</v>
      </c>
      <c r="K44" s="8"/>
      <c r="L44" s="8"/>
      <c r="M44" s="8"/>
      <c r="N44" s="8"/>
      <c r="O44" s="8"/>
      <c r="P44" s="8"/>
      <c r="Q44" s="8"/>
      <c r="R44" s="120"/>
      <c r="S44" s="121"/>
      <c r="T44" s="118"/>
      <c r="U44" s="119"/>
    </row>
    <row r="45" spans="1:21" s="10" customFormat="1" x14ac:dyDescent="0.2">
      <c r="A45" s="8">
        <v>20</v>
      </c>
      <c r="B45" s="8"/>
      <c r="C45" s="8"/>
      <c r="D45" s="8" t="s">
        <v>67</v>
      </c>
      <c r="E45" s="26" t="s">
        <v>68</v>
      </c>
      <c r="F45" s="26"/>
      <c r="G45" s="39" t="s">
        <v>316</v>
      </c>
      <c r="H45" s="39" t="s">
        <v>186</v>
      </c>
      <c r="I45" s="8" t="s">
        <v>162</v>
      </c>
      <c r="J45" s="8" t="s">
        <v>161</v>
      </c>
      <c r="K45" s="8"/>
      <c r="L45" s="8"/>
      <c r="M45" s="8"/>
      <c r="N45" s="8"/>
      <c r="O45" s="8"/>
      <c r="P45" s="8"/>
      <c r="Q45" s="8"/>
      <c r="R45" s="120"/>
      <c r="S45" s="121"/>
      <c r="T45" s="118"/>
      <c r="U45" s="119"/>
    </row>
    <row r="46" spans="1:21" s="10" customFormat="1" x14ac:dyDescent="0.2">
      <c r="A46" s="8">
        <v>20</v>
      </c>
      <c r="B46" s="8"/>
      <c r="C46" s="8"/>
      <c r="D46" s="8" t="s">
        <v>69</v>
      </c>
      <c r="E46" s="26" t="s">
        <v>70</v>
      </c>
      <c r="F46" s="26"/>
      <c r="G46" s="39" t="s">
        <v>317</v>
      </c>
      <c r="H46" s="39" t="s">
        <v>187</v>
      </c>
      <c r="I46" s="8" t="s">
        <v>162</v>
      </c>
      <c r="J46" s="8" t="s">
        <v>161</v>
      </c>
      <c r="K46" s="8"/>
      <c r="L46" s="8"/>
      <c r="M46" s="8"/>
      <c r="N46" s="8"/>
      <c r="O46" s="8"/>
      <c r="P46" s="8"/>
      <c r="Q46" s="8"/>
      <c r="R46" s="120"/>
      <c r="S46" s="121"/>
      <c r="T46" s="118"/>
      <c r="U46" s="119"/>
    </row>
    <row r="47" spans="1:21" s="10" customFormat="1" x14ac:dyDescent="0.2">
      <c r="A47" s="8">
        <v>20</v>
      </c>
      <c r="B47" s="8"/>
      <c r="C47" s="8"/>
      <c r="D47" s="8" t="s">
        <v>80</v>
      </c>
      <c r="E47" s="26" t="s">
        <v>81</v>
      </c>
      <c r="F47" s="26"/>
      <c r="G47" s="39" t="s">
        <v>318</v>
      </c>
      <c r="H47" s="39" t="s">
        <v>188</v>
      </c>
      <c r="I47" s="8" t="s">
        <v>162</v>
      </c>
      <c r="J47" s="8" t="s">
        <v>161</v>
      </c>
      <c r="K47" s="8"/>
      <c r="L47" s="8"/>
      <c r="M47" s="8"/>
      <c r="N47" s="8"/>
      <c r="O47" s="8"/>
      <c r="P47" s="8"/>
      <c r="Q47" s="8"/>
      <c r="R47" s="120"/>
      <c r="S47" s="121"/>
      <c r="T47" s="118"/>
      <c r="U47" s="119"/>
    </row>
    <row r="48" spans="1:21" s="10" customFormat="1" x14ac:dyDescent="0.2">
      <c r="A48" s="8">
        <v>20</v>
      </c>
      <c r="B48" s="8"/>
      <c r="C48" s="8"/>
      <c r="D48" s="8" t="s">
        <v>211</v>
      </c>
      <c r="E48" s="26" t="s">
        <v>81</v>
      </c>
      <c r="F48" s="26"/>
      <c r="G48" s="39" t="s">
        <v>319</v>
      </c>
      <c r="H48" s="39" t="s">
        <v>189</v>
      </c>
      <c r="I48" s="8" t="s">
        <v>162</v>
      </c>
      <c r="J48" s="8" t="s">
        <v>161</v>
      </c>
      <c r="K48" s="8"/>
      <c r="L48" s="8"/>
      <c r="M48" s="8"/>
      <c r="N48" s="8"/>
      <c r="O48" s="8"/>
      <c r="P48" s="8"/>
      <c r="Q48" s="8"/>
      <c r="R48" s="48"/>
      <c r="S48" s="49"/>
      <c r="T48" s="50"/>
      <c r="U48" s="51"/>
    </row>
    <row r="49" spans="1:21" s="10" customFormat="1" x14ac:dyDescent="0.2">
      <c r="A49" s="8">
        <v>20</v>
      </c>
      <c r="B49" s="8"/>
      <c r="C49" s="8"/>
      <c r="D49" s="8" t="s">
        <v>212</v>
      </c>
      <c r="E49" s="26" t="s">
        <v>81</v>
      </c>
      <c r="F49" s="26"/>
      <c r="G49" s="39" t="s">
        <v>320</v>
      </c>
      <c r="H49" s="39" t="s">
        <v>190</v>
      </c>
      <c r="I49" s="8" t="s">
        <v>162</v>
      </c>
      <c r="J49" s="8" t="s">
        <v>161</v>
      </c>
      <c r="K49" s="8"/>
      <c r="L49" s="8"/>
      <c r="M49" s="8"/>
      <c r="N49" s="8"/>
      <c r="O49" s="8"/>
      <c r="P49" s="8"/>
      <c r="Q49" s="8"/>
      <c r="R49" s="48"/>
      <c r="S49" s="49"/>
      <c r="T49" s="50"/>
      <c r="U49" s="51"/>
    </row>
    <row r="50" spans="1:21" s="10" customFormat="1" ht="26" x14ac:dyDescent="0.2">
      <c r="A50" s="8">
        <v>20</v>
      </c>
      <c r="B50" s="8"/>
      <c r="C50" s="8"/>
      <c r="D50" s="8" t="s">
        <v>135</v>
      </c>
      <c r="E50" s="26" t="s">
        <v>81</v>
      </c>
      <c r="F50" s="26"/>
      <c r="G50" s="39" t="s">
        <v>321</v>
      </c>
      <c r="H50" s="39" t="s">
        <v>191</v>
      </c>
      <c r="I50" s="8" t="s">
        <v>162</v>
      </c>
      <c r="J50" s="8" t="s">
        <v>161</v>
      </c>
      <c r="K50" s="8"/>
      <c r="L50" s="8"/>
      <c r="M50" s="8"/>
      <c r="N50" s="8"/>
      <c r="O50" s="8"/>
      <c r="P50" s="8"/>
      <c r="Q50" s="8"/>
      <c r="R50" s="48"/>
      <c r="S50" s="49"/>
      <c r="T50" s="50"/>
      <c r="U50" s="51"/>
    </row>
    <row r="51" spans="1:21" s="10" customFormat="1" ht="26" x14ac:dyDescent="0.2">
      <c r="A51" s="8">
        <v>20</v>
      </c>
      <c r="B51" s="8"/>
      <c r="C51" s="8"/>
      <c r="D51" s="8" t="s">
        <v>213</v>
      </c>
      <c r="E51" s="26" t="s">
        <v>81</v>
      </c>
      <c r="F51" s="26"/>
      <c r="G51" s="39" t="s">
        <v>322</v>
      </c>
      <c r="H51" s="39" t="s">
        <v>192</v>
      </c>
      <c r="I51" s="8" t="s">
        <v>162</v>
      </c>
      <c r="J51" s="8" t="s">
        <v>161</v>
      </c>
      <c r="K51" s="8"/>
      <c r="L51" s="8"/>
      <c r="M51" s="8"/>
      <c r="N51" s="8"/>
      <c r="O51" s="8"/>
      <c r="P51" s="8"/>
      <c r="Q51" s="8"/>
      <c r="R51" s="48"/>
      <c r="S51" s="49"/>
      <c r="T51" s="50"/>
      <c r="U51" s="51"/>
    </row>
    <row r="52" spans="1:21" s="10" customFormat="1" x14ac:dyDescent="0.2">
      <c r="A52" s="8">
        <v>20</v>
      </c>
      <c r="B52" s="8"/>
      <c r="C52" s="8"/>
      <c r="D52" s="8" t="s">
        <v>136</v>
      </c>
      <c r="E52" s="26" t="s">
        <v>81</v>
      </c>
      <c r="F52" s="26"/>
      <c r="G52" s="39" t="s">
        <v>323</v>
      </c>
      <c r="H52" s="39" t="s">
        <v>193</v>
      </c>
      <c r="I52" s="8" t="s">
        <v>162</v>
      </c>
      <c r="J52" s="8" t="s">
        <v>161</v>
      </c>
      <c r="K52" s="8"/>
      <c r="L52" s="8"/>
      <c r="M52" s="8"/>
      <c r="N52" s="8"/>
      <c r="O52" s="8"/>
      <c r="P52" s="8"/>
      <c r="Q52" s="8"/>
      <c r="R52" s="48"/>
      <c r="S52" s="49"/>
      <c r="T52" s="50"/>
      <c r="U52" s="51"/>
    </row>
    <row r="53" spans="1:21" s="10" customFormat="1" x14ac:dyDescent="0.2">
      <c r="A53" s="8">
        <v>20</v>
      </c>
      <c r="B53" s="8"/>
      <c r="C53" s="8"/>
      <c r="D53" s="8" t="s">
        <v>82</v>
      </c>
      <c r="E53" s="26" t="s">
        <v>83</v>
      </c>
      <c r="F53" s="26"/>
      <c r="G53" s="39" t="s">
        <v>324</v>
      </c>
      <c r="H53" s="39" t="s">
        <v>194</v>
      </c>
      <c r="I53" s="8" t="s">
        <v>162</v>
      </c>
      <c r="J53" s="8" t="s">
        <v>161</v>
      </c>
      <c r="K53" s="8"/>
      <c r="L53" s="8"/>
      <c r="M53" s="8"/>
      <c r="N53" s="8"/>
      <c r="O53" s="8"/>
      <c r="P53" s="8"/>
      <c r="Q53" s="8"/>
      <c r="R53" s="48"/>
      <c r="S53" s="49"/>
      <c r="T53" s="50"/>
      <c r="U53" s="51"/>
    </row>
    <row r="54" spans="1:21" s="10" customFormat="1" x14ac:dyDescent="0.2">
      <c r="A54" s="8">
        <v>20</v>
      </c>
      <c r="B54" s="8"/>
      <c r="C54" s="8"/>
      <c r="D54" s="8" t="s">
        <v>133</v>
      </c>
      <c r="E54" s="26" t="s">
        <v>134</v>
      </c>
      <c r="F54" s="26"/>
      <c r="G54" s="39" t="s">
        <v>325</v>
      </c>
      <c r="H54" s="39" t="s">
        <v>195</v>
      </c>
      <c r="I54" s="8" t="s">
        <v>162</v>
      </c>
      <c r="J54" s="8" t="s">
        <v>161</v>
      </c>
      <c r="K54" s="8"/>
      <c r="L54" s="8"/>
      <c r="M54" s="8"/>
      <c r="N54" s="8"/>
      <c r="O54" s="8"/>
      <c r="P54" s="8"/>
      <c r="Q54" s="8"/>
      <c r="R54" s="48"/>
      <c r="S54" s="49"/>
      <c r="T54" s="50"/>
      <c r="U54" s="51"/>
    </row>
    <row r="55" spans="1:21" s="10" customFormat="1" x14ac:dyDescent="0.2">
      <c r="A55" s="8">
        <v>20</v>
      </c>
      <c r="B55" s="8"/>
      <c r="C55" s="8"/>
      <c r="D55" s="8" t="s">
        <v>84</v>
      </c>
      <c r="E55" s="26" t="s">
        <v>85</v>
      </c>
      <c r="F55" s="26"/>
      <c r="G55" s="39" t="s">
        <v>326</v>
      </c>
      <c r="H55" s="39" t="s">
        <v>196</v>
      </c>
      <c r="I55" s="8" t="s">
        <v>162</v>
      </c>
      <c r="J55" s="8" t="s">
        <v>161</v>
      </c>
      <c r="K55" s="8"/>
      <c r="L55" s="8"/>
      <c r="M55" s="8"/>
      <c r="N55" s="8"/>
      <c r="O55" s="8"/>
      <c r="P55" s="8"/>
      <c r="Q55" s="8"/>
      <c r="R55" s="48"/>
      <c r="S55" s="49"/>
      <c r="T55" s="50"/>
      <c r="U55" s="51"/>
    </row>
    <row r="56" spans="1:21" s="10" customFormat="1" x14ac:dyDescent="0.2">
      <c r="A56" s="8">
        <v>20</v>
      </c>
      <c r="B56" s="8"/>
      <c r="C56" s="8"/>
      <c r="D56" s="8" t="s">
        <v>88</v>
      </c>
      <c r="E56" s="26" t="s">
        <v>89</v>
      </c>
      <c r="F56" s="26"/>
      <c r="G56" s="39" t="s">
        <v>327</v>
      </c>
      <c r="H56" s="39" t="s">
        <v>197</v>
      </c>
      <c r="I56" s="8" t="s">
        <v>162</v>
      </c>
      <c r="J56" s="8" t="s">
        <v>161</v>
      </c>
      <c r="K56" s="8"/>
      <c r="L56" s="8"/>
      <c r="M56" s="8"/>
      <c r="N56" s="8"/>
      <c r="O56" s="8"/>
      <c r="P56" s="8"/>
      <c r="Q56" s="8"/>
      <c r="R56" s="48"/>
      <c r="S56" s="49"/>
      <c r="T56" s="50"/>
      <c r="U56" s="51"/>
    </row>
    <row r="57" spans="1:21" s="10" customFormat="1" x14ac:dyDescent="0.2">
      <c r="A57" s="8">
        <v>20</v>
      </c>
      <c r="B57" s="8"/>
      <c r="C57" s="8"/>
      <c r="D57" s="8" t="s">
        <v>90</v>
      </c>
      <c r="E57" s="26" t="s">
        <v>91</v>
      </c>
      <c r="F57" s="26"/>
      <c r="G57" s="39" t="s">
        <v>328</v>
      </c>
      <c r="H57" s="39" t="s">
        <v>198</v>
      </c>
      <c r="I57" s="8" t="s">
        <v>162</v>
      </c>
      <c r="J57" s="8" t="s">
        <v>161</v>
      </c>
      <c r="K57" s="8"/>
      <c r="L57" s="8"/>
      <c r="M57" s="8"/>
      <c r="N57" s="8"/>
      <c r="O57" s="8"/>
      <c r="P57" s="8"/>
      <c r="Q57" s="8"/>
      <c r="R57" s="48"/>
      <c r="S57" s="49"/>
      <c r="T57" s="50"/>
      <c r="U57" s="51"/>
    </row>
    <row r="58" spans="1:21" s="10" customFormat="1" x14ac:dyDescent="0.2">
      <c r="A58" s="8">
        <v>20</v>
      </c>
      <c r="B58" s="8"/>
      <c r="C58" s="8"/>
      <c r="D58" s="8" t="s">
        <v>92</v>
      </c>
      <c r="E58" s="26" t="s">
        <v>93</v>
      </c>
      <c r="F58" s="26"/>
      <c r="G58" s="39" t="s">
        <v>329</v>
      </c>
      <c r="H58" s="39" t="s">
        <v>199</v>
      </c>
      <c r="I58" s="8" t="s">
        <v>162</v>
      </c>
      <c r="J58" s="8" t="s">
        <v>161</v>
      </c>
      <c r="K58" s="8"/>
      <c r="L58" s="8"/>
      <c r="M58" s="8"/>
      <c r="N58" s="8"/>
      <c r="O58" s="8"/>
      <c r="P58" s="8"/>
      <c r="Q58" s="8"/>
      <c r="R58" s="48"/>
      <c r="S58" s="49"/>
      <c r="T58" s="50"/>
      <c r="U58" s="51"/>
    </row>
    <row r="59" spans="1:21" s="10" customFormat="1" x14ac:dyDescent="0.2">
      <c r="A59" s="8">
        <v>20</v>
      </c>
      <c r="B59" s="8"/>
      <c r="C59" s="8"/>
      <c r="D59" s="8" t="s">
        <v>94</v>
      </c>
      <c r="E59" s="26" t="s">
        <v>95</v>
      </c>
      <c r="F59" s="26"/>
      <c r="G59" s="39" t="s">
        <v>330</v>
      </c>
      <c r="H59" s="39" t="s">
        <v>200</v>
      </c>
      <c r="I59" s="8" t="s">
        <v>162</v>
      </c>
      <c r="J59" s="8" t="s">
        <v>161</v>
      </c>
      <c r="K59" s="8"/>
      <c r="L59" s="8"/>
      <c r="M59" s="8"/>
      <c r="N59" s="8"/>
      <c r="O59" s="8"/>
      <c r="P59" s="8"/>
      <c r="Q59" s="8"/>
      <c r="R59" s="48"/>
      <c r="S59" s="49"/>
      <c r="T59" s="50"/>
      <c r="U59" s="51"/>
    </row>
    <row r="60" spans="1:21" s="10" customFormat="1" x14ac:dyDescent="0.2">
      <c r="A60" s="8">
        <v>20</v>
      </c>
      <c r="B60" s="8"/>
      <c r="C60" s="8"/>
      <c r="D60" s="8" t="s">
        <v>96</v>
      </c>
      <c r="E60" s="26" t="s">
        <v>97</v>
      </c>
      <c r="F60" s="26"/>
      <c r="G60" s="39" t="s">
        <v>331</v>
      </c>
      <c r="H60" s="39" t="s">
        <v>201</v>
      </c>
      <c r="I60" s="8" t="s">
        <v>162</v>
      </c>
      <c r="J60" s="8" t="s">
        <v>161</v>
      </c>
      <c r="K60" s="8"/>
      <c r="L60" s="8"/>
      <c r="M60" s="8"/>
      <c r="N60" s="8"/>
      <c r="O60" s="8"/>
      <c r="P60" s="8"/>
      <c r="Q60" s="8"/>
      <c r="R60" s="48"/>
      <c r="S60" s="49"/>
      <c r="T60" s="50"/>
      <c r="U60" s="51"/>
    </row>
    <row r="61" spans="1:21" s="10" customFormat="1" x14ac:dyDescent="0.2">
      <c r="A61" s="8">
        <v>20</v>
      </c>
      <c r="B61" s="8"/>
      <c r="C61" s="8"/>
      <c r="D61" s="8" t="s">
        <v>214</v>
      </c>
      <c r="E61" s="26" t="s">
        <v>215</v>
      </c>
      <c r="F61" s="26"/>
      <c r="G61" s="39" t="s">
        <v>332</v>
      </c>
      <c r="H61" s="39" t="s">
        <v>202</v>
      </c>
      <c r="I61" s="8" t="s">
        <v>162</v>
      </c>
      <c r="J61" s="8" t="s">
        <v>162</v>
      </c>
      <c r="K61" s="8"/>
      <c r="L61" s="8"/>
      <c r="M61" s="8"/>
      <c r="N61" s="8"/>
      <c r="O61" s="8"/>
      <c r="P61" s="8"/>
      <c r="Q61" s="8"/>
      <c r="R61" s="48"/>
      <c r="S61" s="49"/>
      <c r="T61" s="50"/>
      <c r="U61" s="51"/>
    </row>
    <row r="62" spans="1:21" s="10" customFormat="1" x14ac:dyDescent="0.2">
      <c r="A62" s="55"/>
      <c r="D62" s="10" t="s">
        <v>106</v>
      </c>
      <c r="U62" s="40"/>
    </row>
    <row r="63" spans="1:21" s="10" customFormat="1" x14ac:dyDescent="0.2">
      <c r="A63" s="55"/>
      <c r="U63" s="40"/>
    </row>
    <row r="64" spans="1:21" s="10" customFormat="1" x14ac:dyDescent="0.2">
      <c r="A64" s="55"/>
      <c r="U64" s="40"/>
    </row>
    <row r="65" spans="1:21" s="10" customFormat="1" x14ac:dyDescent="0.2">
      <c r="A65" s="55"/>
      <c r="U65" s="40"/>
    </row>
    <row r="66" spans="1:21" s="10" customFormat="1" x14ac:dyDescent="0.2">
      <c r="A66" s="55"/>
      <c r="U66" s="40"/>
    </row>
    <row r="67" spans="1:21" s="10" customFormat="1" x14ac:dyDescent="0.2">
      <c r="A67" s="55"/>
      <c r="U67" s="40"/>
    </row>
    <row r="68" spans="1:21" s="10" customFormat="1" x14ac:dyDescent="0.2">
      <c r="A68" s="55"/>
      <c r="U68" s="40"/>
    </row>
    <row r="69" spans="1:21" s="10" customFormat="1" x14ac:dyDescent="0.2">
      <c r="A69" s="62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43"/>
    </row>
  </sheetData>
  <mergeCells count="45">
    <mergeCell ref="R47:S47"/>
    <mergeCell ref="T47:U47"/>
    <mergeCell ref="R29:S29"/>
    <mergeCell ref="T29:U29"/>
    <mergeCell ref="R44:S44"/>
    <mergeCell ref="T44:U44"/>
    <mergeCell ref="R45:S45"/>
    <mergeCell ref="T45:U45"/>
    <mergeCell ref="R46:S46"/>
    <mergeCell ref="T46:U46"/>
    <mergeCell ref="R39:S39"/>
    <mergeCell ref="T39:U39"/>
    <mergeCell ref="R42:S42"/>
    <mergeCell ref="T42:U42"/>
    <mergeCell ref="R43:S43"/>
    <mergeCell ref="T43:U43"/>
    <mergeCell ref="T31:U31"/>
    <mergeCell ref="R32:S32"/>
    <mergeCell ref="T32:U32"/>
    <mergeCell ref="T37:U37"/>
    <mergeCell ref="R38:S38"/>
    <mergeCell ref="T38:U38"/>
    <mergeCell ref="T34:U34"/>
    <mergeCell ref="R35:S35"/>
    <mergeCell ref="R37:S37"/>
    <mergeCell ref="R36:S36"/>
    <mergeCell ref="T36:U36"/>
    <mergeCell ref="T35:U35"/>
    <mergeCell ref="R34:S34"/>
    <mergeCell ref="R31:S31"/>
    <mergeCell ref="T8:U8"/>
    <mergeCell ref="T13:U13"/>
    <mergeCell ref="T14:U14"/>
    <mergeCell ref="R14:S14"/>
    <mergeCell ref="R13:S13"/>
    <mergeCell ref="T9:U9"/>
    <mergeCell ref="R12:S12"/>
    <mergeCell ref="T11:U11"/>
    <mergeCell ref="T12:U12"/>
    <mergeCell ref="R9:S9"/>
    <mergeCell ref="T26:U26"/>
    <mergeCell ref="R27:S27"/>
    <mergeCell ref="T27:U27"/>
    <mergeCell ref="R30:S30"/>
    <mergeCell ref="T30:U3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8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153</v>
      </c>
      <c r="B1" s="53" t="s">
        <v>153</v>
      </c>
      <c r="C1" s="53"/>
      <c r="D1" s="1" t="s">
        <v>127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153</v>
      </c>
      <c r="B2" s="23"/>
      <c r="C2" s="23"/>
      <c r="D2" s="65" t="s">
        <v>276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MSBCL0350</v>
      </c>
      <c r="I2" s="7" t="s">
        <v>154</v>
      </c>
      <c r="J2" s="8" t="s">
        <v>139</v>
      </c>
      <c r="K2" s="7" t="s">
        <v>149</v>
      </c>
      <c r="L2" s="54" t="str">
        <f>IF(LogicCommon!G2="","",LogicCommon!G2)</f>
        <v>MC</v>
      </c>
      <c r="M2" s="5" t="s">
        <v>155</v>
      </c>
      <c r="N2" s="24" t="s">
        <v>273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153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MSBC</v>
      </c>
      <c r="G3" s="7" t="s">
        <v>4</v>
      </c>
      <c r="H3" s="54" t="str">
        <f>IF(LogicCommon!E3="","",LogicCommon!E3)</f>
        <v>MSBCL_MlyRqmtSchdReg</v>
      </c>
      <c r="I3" s="7" t="s">
        <v>156</v>
      </c>
      <c r="J3" s="8" t="s">
        <v>139</v>
      </c>
      <c r="K3" s="7" t="s">
        <v>151</v>
      </c>
      <c r="L3" s="54" t="str">
        <f>IF(LogicCommon!G3="","",LogicCommon!G3)</f>
        <v/>
      </c>
      <c r="M3" s="58"/>
      <c r="N3" s="7"/>
      <c r="O3" s="7" t="s">
        <v>157</v>
      </c>
      <c r="P3" s="8" t="s">
        <v>203</v>
      </c>
      <c r="Q3" s="4"/>
      <c r="R3" s="5"/>
      <c r="S3" s="5"/>
      <c r="T3" s="5"/>
      <c r="U3" s="5"/>
    </row>
    <row r="4" spans="1:21" s="10" customFormat="1" x14ac:dyDescent="0.2">
      <c r="A4" s="55" t="s">
        <v>153</v>
      </c>
      <c r="B4" s="56"/>
      <c r="C4" s="56"/>
      <c r="D4" s="4"/>
      <c r="E4" s="7" t="s">
        <v>12</v>
      </c>
      <c r="F4" s="59" t="s">
        <v>158</v>
      </c>
      <c r="G4" s="7" t="s">
        <v>5</v>
      </c>
      <c r="H4" s="54" t="str">
        <f>IF(LogicCommon!E4="","",LogicCommon!E4)</f>
        <v>月次生産依頼日程登録</v>
      </c>
      <c r="I4" s="7" t="s">
        <v>159</v>
      </c>
      <c r="J4" s="8" t="s">
        <v>105</v>
      </c>
      <c r="K4" s="7" t="s">
        <v>6</v>
      </c>
      <c r="L4" s="54" t="str">
        <f>IF(LogicCommon!G4="","",LogicCommon!G4)</f>
        <v>MS.MSUDL5010</v>
      </c>
      <c r="M4" s="60" t="s">
        <v>204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153</v>
      </c>
      <c r="B5" s="53"/>
      <c r="C5" s="53"/>
      <c r="D5" s="21"/>
      <c r="E5" s="7" t="s">
        <v>160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153</v>
      </c>
      <c r="B6" s="56"/>
      <c r="C6" s="56"/>
      <c r="D6" s="4" t="s">
        <v>15</v>
      </c>
      <c r="E6" s="12" t="s">
        <v>145</v>
      </c>
      <c r="F6" s="12"/>
      <c r="G6" s="12"/>
      <c r="H6" s="12"/>
      <c r="I6" s="12"/>
      <c r="J6" s="12"/>
      <c r="K6" s="12"/>
      <c r="L6" s="64"/>
      <c r="M6" s="15" t="s">
        <v>152</v>
      </c>
      <c r="N6" s="15"/>
      <c r="O6" s="15" t="s">
        <v>152</v>
      </c>
      <c r="P6" s="15"/>
      <c r="Q6" s="15" t="s">
        <v>152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6"/>
      <c r="C8" s="67"/>
      <c r="D8" s="25" t="s">
        <v>277</v>
      </c>
      <c r="E8" s="25" t="s">
        <v>278</v>
      </c>
      <c r="F8" s="64"/>
      <c r="G8" s="25" t="s">
        <v>205</v>
      </c>
      <c r="H8" s="25" t="s">
        <v>279</v>
      </c>
      <c r="I8" s="64"/>
      <c r="J8" s="3"/>
      <c r="K8" s="8" t="s">
        <v>22</v>
      </c>
      <c r="L8" s="25" t="s">
        <v>11</v>
      </c>
      <c r="M8" s="26"/>
      <c r="N8" s="25" t="s">
        <v>206</v>
      </c>
      <c r="O8" s="26"/>
      <c r="P8" s="25" t="s">
        <v>250</v>
      </c>
      <c r="Q8" s="26"/>
      <c r="R8" s="3"/>
      <c r="S8" s="21"/>
      <c r="T8" s="120" t="s">
        <v>280</v>
      </c>
      <c r="U8" s="121"/>
    </row>
    <row r="9" spans="1:21" s="10" customFormat="1" ht="60" customHeight="1" x14ac:dyDescent="0.2">
      <c r="A9" s="8" t="s">
        <v>8</v>
      </c>
      <c r="B9" s="29"/>
      <c r="C9" s="30"/>
      <c r="D9" s="25" t="s">
        <v>333</v>
      </c>
      <c r="E9" s="48" t="s">
        <v>334</v>
      </c>
      <c r="F9" s="25" t="s">
        <v>283</v>
      </c>
      <c r="G9" s="25" t="s">
        <v>284</v>
      </c>
      <c r="H9" s="25" t="s">
        <v>285</v>
      </c>
      <c r="I9" s="49" t="s">
        <v>286</v>
      </c>
      <c r="J9" s="25" t="s">
        <v>287</v>
      </c>
      <c r="K9" s="65"/>
      <c r="L9" s="49"/>
      <c r="M9" s="25"/>
      <c r="N9" s="25"/>
      <c r="O9" s="25"/>
      <c r="P9" s="25"/>
      <c r="Q9" s="25"/>
      <c r="R9" s="120" t="s">
        <v>288</v>
      </c>
      <c r="S9" s="121"/>
      <c r="T9" s="120" t="s">
        <v>289</v>
      </c>
      <c r="U9" s="121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286</v>
      </c>
      <c r="M10" s="25" t="s">
        <v>287</v>
      </c>
      <c r="N10" s="25" t="s">
        <v>286</v>
      </c>
      <c r="O10" s="25" t="s">
        <v>287</v>
      </c>
      <c r="P10" s="25" t="s">
        <v>286</v>
      </c>
      <c r="Q10" s="25" t="s">
        <v>287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137</v>
      </c>
      <c r="E11" s="27" t="s">
        <v>107</v>
      </c>
      <c r="F11" s="37"/>
      <c r="G11" s="24" t="s">
        <v>103</v>
      </c>
      <c r="H11" s="28" t="s">
        <v>216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124</v>
      </c>
      <c r="E12" s="26" t="s">
        <v>60</v>
      </c>
      <c r="F12" s="26"/>
      <c r="G12" s="39" t="s">
        <v>290</v>
      </c>
      <c r="H12" s="39" t="s">
        <v>125</v>
      </c>
      <c r="I12" s="8" t="s">
        <v>161</v>
      </c>
      <c r="J12" s="8" t="s">
        <v>162</v>
      </c>
      <c r="K12" s="8"/>
      <c r="L12" s="8"/>
      <c r="M12" s="8"/>
      <c r="N12" s="8"/>
      <c r="O12" s="8"/>
      <c r="P12" s="8"/>
      <c r="Q12" s="8"/>
      <c r="R12" s="120"/>
      <c r="S12" s="121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108</v>
      </c>
      <c r="E13" s="26" t="s">
        <v>60</v>
      </c>
      <c r="F13" s="26"/>
      <c r="G13" s="39" t="s">
        <v>291</v>
      </c>
      <c r="H13" s="39" t="s">
        <v>217</v>
      </c>
      <c r="I13" s="8" t="s">
        <v>161</v>
      </c>
      <c r="J13" s="8" t="s">
        <v>162</v>
      </c>
      <c r="K13" s="8"/>
      <c r="L13" s="8"/>
      <c r="M13" s="8"/>
      <c r="N13" s="8"/>
      <c r="O13" s="8"/>
      <c r="P13" s="8"/>
      <c r="Q13" s="8"/>
      <c r="R13" s="120"/>
      <c r="S13" s="121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109</v>
      </c>
      <c r="E14" s="26" t="s">
        <v>60</v>
      </c>
      <c r="F14" s="26"/>
      <c r="G14" s="39" t="s">
        <v>292</v>
      </c>
      <c r="H14" s="39" t="s">
        <v>218</v>
      </c>
      <c r="I14" s="8" t="s">
        <v>161</v>
      </c>
      <c r="J14" s="8" t="s">
        <v>162</v>
      </c>
      <c r="K14" s="8"/>
      <c r="L14" s="8"/>
      <c r="M14" s="8"/>
      <c r="N14" s="8"/>
      <c r="O14" s="8"/>
      <c r="P14" s="8"/>
      <c r="Q14" s="8"/>
      <c r="R14" s="120"/>
      <c r="S14" s="121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71</v>
      </c>
      <c r="E15" s="26" t="s">
        <v>72</v>
      </c>
      <c r="F15" s="26"/>
      <c r="G15" s="39" t="s">
        <v>293</v>
      </c>
      <c r="H15" s="39" t="s">
        <v>126</v>
      </c>
      <c r="I15" s="8" t="s">
        <v>161</v>
      </c>
      <c r="J15" s="8" t="s">
        <v>162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110</v>
      </c>
      <c r="E16" s="26" t="s">
        <v>111</v>
      </c>
      <c r="F16" s="26"/>
      <c r="G16" s="39" t="s">
        <v>294</v>
      </c>
      <c r="H16" s="39" t="s">
        <v>165</v>
      </c>
      <c r="I16" s="8" t="s">
        <v>161</v>
      </c>
      <c r="J16" s="8" t="s">
        <v>162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86</v>
      </c>
      <c r="E17" s="26" t="s">
        <v>87</v>
      </c>
      <c r="F17" s="26"/>
      <c r="G17" s="39" t="s">
        <v>295</v>
      </c>
      <c r="H17" s="39" t="s">
        <v>219</v>
      </c>
      <c r="I17" s="8" t="s">
        <v>161</v>
      </c>
      <c r="J17" s="8" t="s">
        <v>162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116</v>
      </c>
      <c r="E18" s="26" t="s">
        <v>117</v>
      </c>
      <c r="F18" s="26"/>
      <c r="G18" s="39" t="s">
        <v>296</v>
      </c>
      <c r="H18" s="39" t="s">
        <v>220</v>
      </c>
      <c r="I18" s="8" t="s">
        <v>161</v>
      </c>
      <c r="J18" s="8" t="s">
        <v>162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ht="26" x14ac:dyDescent="0.2">
      <c r="A19" s="8">
        <v>10</v>
      </c>
      <c r="B19" s="8"/>
      <c r="C19" s="8"/>
      <c r="D19" s="8" t="s">
        <v>112</v>
      </c>
      <c r="E19" s="26" t="s">
        <v>113</v>
      </c>
      <c r="F19" s="26"/>
      <c r="G19" s="39" t="s">
        <v>297</v>
      </c>
      <c r="H19" s="39" t="s">
        <v>221</v>
      </c>
      <c r="I19" s="8" t="s">
        <v>161</v>
      </c>
      <c r="J19" s="8" t="s">
        <v>162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ht="26" x14ac:dyDescent="0.2">
      <c r="A20" s="8">
        <v>10</v>
      </c>
      <c r="B20" s="8"/>
      <c r="C20" s="8"/>
      <c r="D20" s="8" t="s">
        <v>114</v>
      </c>
      <c r="E20" s="26" t="s">
        <v>115</v>
      </c>
      <c r="F20" s="26"/>
      <c r="G20" s="39" t="s">
        <v>298</v>
      </c>
      <c r="H20" s="39" t="s">
        <v>222</v>
      </c>
      <c r="I20" s="8" t="s">
        <v>161</v>
      </c>
      <c r="J20" s="8" t="s">
        <v>162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ht="26" x14ac:dyDescent="0.2">
      <c r="A21" s="8">
        <v>10</v>
      </c>
      <c r="B21" s="8"/>
      <c r="C21" s="8"/>
      <c r="D21" s="8" t="s">
        <v>118</v>
      </c>
      <c r="E21" s="26" t="s">
        <v>119</v>
      </c>
      <c r="F21" s="26"/>
      <c r="G21" s="39" t="s">
        <v>299</v>
      </c>
      <c r="H21" s="39" t="s">
        <v>223</v>
      </c>
      <c r="I21" s="8" t="s">
        <v>161</v>
      </c>
      <c r="J21" s="8" t="s">
        <v>162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ht="26" x14ac:dyDescent="0.2">
      <c r="A22" s="8">
        <v>10</v>
      </c>
      <c r="B22" s="8"/>
      <c r="C22" s="8"/>
      <c r="D22" s="8" t="s">
        <v>120</v>
      </c>
      <c r="E22" s="26" t="s">
        <v>121</v>
      </c>
      <c r="F22" s="26"/>
      <c r="G22" s="39" t="s">
        <v>300</v>
      </c>
      <c r="H22" s="39" t="s">
        <v>224</v>
      </c>
      <c r="I22" s="8" t="s">
        <v>161</v>
      </c>
      <c r="J22" s="8" t="s">
        <v>162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73</v>
      </c>
      <c r="E23" s="26" t="s">
        <v>74</v>
      </c>
      <c r="F23" s="26"/>
      <c r="G23" s="39" t="s">
        <v>301</v>
      </c>
      <c r="H23" s="39" t="s">
        <v>225</v>
      </c>
      <c r="I23" s="8" t="s">
        <v>161</v>
      </c>
      <c r="J23" s="8" t="s">
        <v>162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x14ac:dyDescent="0.2">
      <c r="A24" s="8">
        <v>10</v>
      </c>
      <c r="B24" s="8"/>
      <c r="C24" s="8"/>
      <c r="D24" s="8" t="s">
        <v>122</v>
      </c>
      <c r="E24" s="26" t="s">
        <v>123</v>
      </c>
      <c r="F24" s="26"/>
      <c r="G24" s="39" t="s">
        <v>302</v>
      </c>
      <c r="H24" s="39" t="s">
        <v>226</v>
      </c>
      <c r="I24" s="8" t="s">
        <v>161</v>
      </c>
      <c r="J24" s="8" t="s">
        <v>162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ht="39" x14ac:dyDescent="0.2">
      <c r="A25" s="55"/>
      <c r="L25" s="10" t="s">
        <v>286</v>
      </c>
      <c r="M25" s="10" t="s">
        <v>287</v>
      </c>
      <c r="N25" s="10" t="s">
        <v>286</v>
      </c>
      <c r="O25" s="10" t="s">
        <v>287</v>
      </c>
      <c r="P25" s="10" t="s">
        <v>286</v>
      </c>
      <c r="Q25" s="10" t="s">
        <v>287</v>
      </c>
      <c r="U25" s="40"/>
    </row>
    <row r="26" spans="1:21" s="10" customFormat="1" x14ac:dyDescent="0.2">
      <c r="A26" s="8">
        <v>20</v>
      </c>
      <c r="B26" s="29" t="s">
        <v>0</v>
      </c>
      <c r="C26" s="30"/>
      <c r="D26" s="41" t="s">
        <v>138</v>
      </c>
      <c r="E26" s="27" t="s">
        <v>127</v>
      </c>
      <c r="F26" s="42"/>
      <c r="G26" s="24" t="s">
        <v>103</v>
      </c>
      <c r="H26" s="28" t="s">
        <v>227</v>
      </c>
      <c r="I26" s="15"/>
      <c r="J26" s="15"/>
      <c r="K26" s="15"/>
      <c r="L26" s="27"/>
      <c r="M26" s="27"/>
      <c r="N26" s="27"/>
      <c r="O26" s="27"/>
      <c r="P26" s="27"/>
      <c r="Q26" s="27"/>
      <c r="R26" s="48"/>
      <c r="S26" s="49"/>
      <c r="T26" s="118"/>
      <c r="U26" s="119"/>
    </row>
    <row r="27" spans="1:21" s="10" customFormat="1" x14ac:dyDescent="0.2">
      <c r="A27" s="8">
        <v>20</v>
      </c>
      <c r="B27" s="8"/>
      <c r="C27" s="8"/>
      <c r="D27" s="8" t="s">
        <v>59</v>
      </c>
      <c r="E27" s="26" t="s">
        <v>60</v>
      </c>
      <c r="F27" s="26"/>
      <c r="G27" s="39" t="s">
        <v>290</v>
      </c>
      <c r="H27" s="39" t="s">
        <v>228</v>
      </c>
      <c r="I27" s="8" t="s">
        <v>229</v>
      </c>
      <c r="J27" s="8" t="s">
        <v>230</v>
      </c>
      <c r="K27" s="8"/>
      <c r="L27" s="8"/>
      <c r="M27" s="8"/>
      <c r="N27" s="8"/>
      <c r="O27" s="8"/>
      <c r="P27" s="8"/>
      <c r="Q27" s="8"/>
      <c r="R27" s="120"/>
      <c r="S27" s="121"/>
      <c r="T27" s="118"/>
      <c r="U27" s="119"/>
    </row>
    <row r="28" spans="1:21" s="10" customFormat="1" x14ac:dyDescent="0.2">
      <c r="A28" s="8">
        <v>20</v>
      </c>
      <c r="B28" s="8"/>
      <c r="C28" s="8"/>
      <c r="D28" s="8" t="s">
        <v>79</v>
      </c>
      <c r="E28" s="26" t="s">
        <v>60</v>
      </c>
      <c r="F28" s="26"/>
      <c r="G28" s="39" t="s">
        <v>303</v>
      </c>
      <c r="H28" s="39" t="s">
        <v>231</v>
      </c>
      <c r="I28" s="8" t="s">
        <v>229</v>
      </c>
      <c r="J28" s="8" t="s">
        <v>230</v>
      </c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20</v>
      </c>
      <c r="B29" s="8"/>
      <c r="C29" s="8"/>
      <c r="D29" s="8" t="s">
        <v>71</v>
      </c>
      <c r="E29" s="26" t="s">
        <v>72</v>
      </c>
      <c r="F29" s="26"/>
      <c r="G29" s="39" t="s">
        <v>293</v>
      </c>
      <c r="H29" s="39" t="s">
        <v>232</v>
      </c>
      <c r="I29" s="8" t="s">
        <v>229</v>
      </c>
      <c r="J29" s="8" t="s">
        <v>230</v>
      </c>
      <c r="K29" s="8"/>
      <c r="L29" s="8"/>
      <c r="M29" s="8"/>
      <c r="N29" s="8"/>
      <c r="O29" s="8"/>
      <c r="P29" s="8"/>
      <c r="Q29" s="8"/>
      <c r="R29" s="120"/>
      <c r="S29" s="121"/>
      <c r="T29" s="118"/>
      <c r="U29" s="119"/>
    </row>
    <row r="30" spans="1:21" s="10" customFormat="1" x14ac:dyDescent="0.2">
      <c r="A30" s="8">
        <v>20</v>
      </c>
      <c r="B30" s="8"/>
      <c r="C30" s="8"/>
      <c r="D30" s="8" t="s">
        <v>110</v>
      </c>
      <c r="E30" s="26" t="s">
        <v>111</v>
      </c>
      <c r="F30" s="26"/>
      <c r="G30" s="39" t="s">
        <v>304</v>
      </c>
      <c r="H30" s="39" t="s">
        <v>233</v>
      </c>
      <c r="I30" s="8" t="s">
        <v>229</v>
      </c>
      <c r="J30" s="8" t="s">
        <v>230</v>
      </c>
      <c r="K30" s="8"/>
      <c r="L30" s="8"/>
      <c r="M30" s="8"/>
      <c r="N30" s="8"/>
      <c r="O30" s="8"/>
      <c r="P30" s="8"/>
      <c r="Q30" s="8"/>
      <c r="R30" s="120"/>
      <c r="S30" s="121"/>
      <c r="T30" s="118"/>
      <c r="U30" s="119"/>
    </row>
    <row r="31" spans="1:21" s="10" customFormat="1" x14ac:dyDescent="0.2">
      <c r="A31" s="8">
        <v>20</v>
      </c>
      <c r="B31" s="8"/>
      <c r="C31" s="8"/>
      <c r="D31" s="8" t="s">
        <v>73</v>
      </c>
      <c r="E31" s="26" t="s">
        <v>74</v>
      </c>
      <c r="F31" s="26"/>
      <c r="G31" s="39" t="s">
        <v>301</v>
      </c>
      <c r="H31" s="39" t="s">
        <v>225</v>
      </c>
      <c r="I31" s="8" t="s">
        <v>229</v>
      </c>
      <c r="J31" s="8" t="s">
        <v>230</v>
      </c>
      <c r="K31" s="8"/>
      <c r="L31" s="8"/>
      <c r="M31" s="8"/>
      <c r="N31" s="8"/>
      <c r="O31" s="8"/>
      <c r="P31" s="8"/>
      <c r="Q31" s="8"/>
      <c r="R31" s="120"/>
      <c r="S31" s="121"/>
      <c r="T31" s="118"/>
      <c r="U31" s="119"/>
    </row>
    <row r="32" spans="1:21" s="10" customFormat="1" x14ac:dyDescent="0.2">
      <c r="A32" s="8">
        <v>20</v>
      </c>
      <c r="B32" s="8"/>
      <c r="C32" s="8"/>
      <c r="D32" s="8" t="s">
        <v>122</v>
      </c>
      <c r="E32" s="26" t="s">
        <v>123</v>
      </c>
      <c r="F32" s="26"/>
      <c r="G32" s="39" t="s">
        <v>302</v>
      </c>
      <c r="H32" s="39" t="s">
        <v>226</v>
      </c>
      <c r="I32" s="8" t="s">
        <v>229</v>
      </c>
      <c r="J32" s="8" t="s">
        <v>230</v>
      </c>
      <c r="K32" s="8"/>
      <c r="L32" s="8"/>
      <c r="M32" s="8"/>
      <c r="N32" s="8"/>
      <c r="O32" s="8"/>
      <c r="P32" s="8"/>
      <c r="Q32" s="8"/>
      <c r="R32" s="120"/>
      <c r="S32" s="121"/>
      <c r="T32" s="118"/>
      <c r="U32" s="119"/>
    </row>
    <row r="33" spans="1:21" s="10" customFormat="1" x14ac:dyDescent="0.2">
      <c r="A33" s="8">
        <v>20</v>
      </c>
      <c r="B33" s="8"/>
      <c r="C33" s="8"/>
      <c r="D33" s="8" t="s">
        <v>251</v>
      </c>
      <c r="E33" s="26" t="s">
        <v>252</v>
      </c>
      <c r="F33" s="26"/>
      <c r="G33" s="39" t="s">
        <v>295</v>
      </c>
      <c r="H33" s="39" t="s">
        <v>142</v>
      </c>
      <c r="I33" s="8" t="s">
        <v>162</v>
      </c>
      <c r="J33" s="8" t="s">
        <v>161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20</v>
      </c>
      <c r="B34" s="8"/>
      <c r="C34" s="8"/>
      <c r="D34" s="8" t="s">
        <v>75</v>
      </c>
      <c r="E34" s="26" t="s">
        <v>74</v>
      </c>
      <c r="F34" s="26"/>
      <c r="G34" s="39" t="s">
        <v>305</v>
      </c>
      <c r="H34" s="39" t="s">
        <v>234</v>
      </c>
      <c r="I34" s="8" t="s">
        <v>229</v>
      </c>
      <c r="J34" s="8" t="s">
        <v>230</v>
      </c>
      <c r="K34" s="8"/>
      <c r="L34" s="8"/>
      <c r="M34" s="8"/>
      <c r="N34" s="8"/>
      <c r="O34" s="8"/>
      <c r="P34" s="8"/>
      <c r="Q34" s="8"/>
      <c r="R34" s="120"/>
      <c r="S34" s="121"/>
      <c r="T34" s="118"/>
      <c r="U34" s="119"/>
    </row>
    <row r="35" spans="1:21" s="10" customFormat="1" x14ac:dyDescent="0.2">
      <c r="A35" s="8">
        <v>20</v>
      </c>
      <c r="B35" s="8"/>
      <c r="C35" s="8"/>
      <c r="D35" s="8" t="s">
        <v>129</v>
      </c>
      <c r="E35" s="26" t="s">
        <v>123</v>
      </c>
      <c r="F35" s="26"/>
      <c r="G35" s="39" t="s">
        <v>306</v>
      </c>
      <c r="H35" s="39" t="s">
        <v>235</v>
      </c>
      <c r="I35" s="8" t="s">
        <v>229</v>
      </c>
      <c r="J35" s="8" t="s">
        <v>230</v>
      </c>
      <c r="K35" s="8"/>
      <c r="L35" s="8"/>
      <c r="M35" s="8"/>
      <c r="N35" s="8"/>
      <c r="O35" s="8"/>
      <c r="P35" s="8"/>
      <c r="Q35" s="8"/>
      <c r="R35" s="120"/>
      <c r="S35" s="121"/>
      <c r="T35" s="118"/>
      <c r="U35" s="119"/>
    </row>
    <row r="36" spans="1:21" s="10" customFormat="1" x14ac:dyDescent="0.2">
      <c r="A36" s="8">
        <v>20</v>
      </c>
      <c r="B36" s="8"/>
      <c r="C36" s="8"/>
      <c r="D36" s="8" t="s">
        <v>76</v>
      </c>
      <c r="E36" s="26" t="s">
        <v>77</v>
      </c>
      <c r="F36" s="26"/>
      <c r="G36" s="39" t="s">
        <v>307</v>
      </c>
      <c r="H36" s="39" t="s">
        <v>236</v>
      </c>
      <c r="I36" s="8" t="s">
        <v>229</v>
      </c>
      <c r="J36" s="8" t="s">
        <v>230</v>
      </c>
      <c r="K36" s="8"/>
      <c r="L36" s="8"/>
      <c r="M36" s="8"/>
      <c r="N36" s="8"/>
      <c r="O36" s="8"/>
      <c r="P36" s="8"/>
      <c r="Q36" s="8"/>
      <c r="R36" s="120"/>
      <c r="S36" s="121"/>
      <c r="T36" s="118"/>
      <c r="U36" s="119"/>
    </row>
    <row r="37" spans="1:21" s="10" customFormat="1" x14ac:dyDescent="0.2">
      <c r="A37" s="8">
        <v>20</v>
      </c>
      <c r="B37" s="8"/>
      <c r="C37" s="8"/>
      <c r="D37" s="8" t="s">
        <v>130</v>
      </c>
      <c r="E37" s="26" t="s">
        <v>131</v>
      </c>
      <c r="F37" s="26"/>
      <c r="G37" s="39" t="s">
        <v>308</v>
      </c>
      <c r="H37" s="39" t="s">
        <v>237</v>
      </c>
      <c r="I37" s="8" t="s">
        <v>229</v>
      </c>
      <c r="J37" s="8" t="s">
        <v>230</v>
      </c>
      <c r="K37" s="8"/>
      <c r="L37" s="8"/>
      <c r="M37" s="8"/>
      <c r="N37" s="8"/>
      <c r="O37" s="8"/>
      <c r="P37" s="8"/>
      <c r="Q37" s="8"/>
      <c r="R37" s="120"/>
      <c r="S37" s="121"/>
      <c r="T37" s="118"/>
      <c r="U37" s="119"/>
    </row>
    <row r="38" spans="1:21" s="10" customFormat="1" x14ac:dyDescent="0.2">
      <c r="A38" s="8">
        <v>20</v>
      </c>
      <c r="B38" s="8"/>
      <c r="C38" s="8"/>
      <c r="D38" s="8" t="s">
        <v>78</v>
      </c>
      <c r="E38" s="26" t="s">
        <v>74</v>
      </c>
      <c r="F38" s="26"/>
      <c r="G38" s="39" t="s">
        <v>309</v>
      </c>
      <c r="H38" s="39" t="s">
        <v>238</v>
      </c>
      <c r="I38" s="8" t="s">
        <v>229</v>
      </c>
      <c r="J38" s="8" t="s">
        <v>230</v>
      </c>
      <c r="K38" s="8"/>
      <c r="L38" s="8"/>
      <c r="M38" s="8"/>
      <c r="N38" s="8"/>
      <c r="O38" s="8"/>
      <c r="P38" s="8"/>
      <c r="Q38" s="8"/>
      <c r="R38" s="120"/>
      <c r="S38" s="121"/>
      <c r="T38" s="118"/>
      <c r="U38" s="119"/>
    </row>
    <row r="39" spans="1:21" s="10" customFormat="1" x14ac:dyDescent="0.2">
      <c r="A39" s="8">
        <v>20</v>
      </c>
      <c r="B39" s="8"/>
      <c r="C39" s="8"/>
      <c r="D39" s="8" t="s">
        <v>132</v>
      </c>
      <c r="E39" s="26" t="s">
        <v>123</v>
      </c>
      <c r="F39" s="26"/>
      <c r="G39" s="39" t="s">
        <v>310</v>
      </c>
      <c r="H39" s="39" t="s">
        <v>239</v>
      </c>
      <c r="I39" s="8" t="s">
        <v>229</v>
      </c>
      <c r="J39" s="8" t="s">
        <v>230</v>
      </c>
      <c r="K39" s="8"/>
      <c r="L39" s="8"/>
      <c r="M39" s="8"/>
      <c r="N39" s="8"/>
      <c r="O39" s="8"/>
      <c r="P39" s="8"/>
      <c r="Q39" s="8"/>
      <c r="R39" s="120"/>
      <c r="S39" s="121"/>
      <c r="T39" s="118"/>
      <c r="U39" s="119"/>
    </row>
    <row r="40" spans="1:21" s="10" customFormat="1" x14ac:dyDescent="0.2">
      <c r="A40" s="8">
        <v>20</v>
      </c>
      <c r="B40" s="8"/>
      <c r="C40" s="8"/>
      <c r="D40" s="8" t="s">
        <v>253</v>
      </c>
      <c r="E40" s="26" t="s">
        <v>146</v>
      </c>
      <c r="F40" s="26">
        <v>20</v>
      </c>
      <c r="G40" s="39" t="s">
        <v>311</v>
      </c>
      <c r="H40" s="39" t="s">
        <v>181</v>
      </c>
      <c r="I40" s="8" t="s">
        <v>229</v>
      </c>
      <c r="J40" s="8" t="s">
        <v>230</v>
      </c>
      <c r="K40" s="8"/>
      <c r="L40" s="8"/>
      <c r="M40" s="8"/>
      <c r="N40" s="8"/>
      <c r="O40" s="8"/>
      <c r="P40" s="8"/>
      <c r="Q40" s="8"/>
      <c r="R40" s="48"/>
      <c r="S40" s="49"/>
      <c r="T40" s="50"/>
      <c r="U40" s="51"/>
    </row>
    <row r="41" spans="1:21" s="10" customFormat="1" x14ac:dyDescent="0.2">
      <c r="A41" s="8">
        <v>20</v>
      </c>
      <c r="B41" s="8"/>
      <c r="C41" s="8"/>
      <c r="D41" s="8" t="s">
        <v>254</v>
      </c>
      <c r="E41" s="26" t="s">
        <v>146</v>
      </c>
      <c r="F41" s="26">
        <v>100</v>
      </c>
      <c r="G41" s="39" t="s">
        <v>312</v>
      </c>
      <c r="H41" s="39" t="s">
        <v>182</v>
      </c>
      <c r="I41" s="8" t="s">
        <v>229</v>
      </c>
      <c r="J41" s="8" t="s">
        <v>230</v>
      </c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 x14ac:dyDescent="0.2">
      <c r="A42" s="8">
        <v>20</v>
      </c>
      <c r="B42" s="8"/>
      <c r="C42" s="8"/>
      <c r="D42" s="8" t="s">
        <v>61</v>
      </c>
      <c r="E42" s="26" t="s">
        <v>62</v>
      </c>
      <c r="F42" s="26"/>
      <c r="G42" s="39" t="s">
        <v>313</v>
      </c>
      <c r="H42" s="39" t="s">
        <v>240</v>
      </c>
      <c r="I42" s="8" t="s">
        <v>229</v>
      </c>
      <c r="J42" s="8" t="s">
        <v>230</v>
      </c>
      <c r="K42" s="8"/>
      <c r="L42" s="8"/>
      <c r="M42" s="8"/>
      <c r="N42" s="8"/>
      <c r="O42" s="8"/>
      <c r="P42" s="8"/>
      <c r="Q42" s="8"/>
      <c r="R42" s="120"/>
      <c r="S42" s="121"/>
      <c r="T42" s="118"/>
      <c r="U42" s="119"/>
    </row>
    <row r="43" spans="1:21" s="10" customFormat="1" x14ac:dyDescent="0.2">
      <c r="A43" s="8">
        <v>20</v>
      </c>
      <c r="B43" s="8"/>
      <c r="C43" s="8"/>
      <c r="D43" s="8" t="s">
        <v>63</v>
      </c>
      <c r="E43" s="26" t="s">
        <v>64</v>
      </c>
      <c r="F43" s="26"/>
      <c r="G43" s="39" t="s">
        <v>314</v>
      </c>
      <c r="H43" s="39" t="s">
        <v>241</v>
      </c>
      <c r="I43" s="8" t="s">
        <v>229</v>
      </c>
      <c r="J43" s="8" t="s">
        <v>230</v>
      </c>
      <c r="K43" s="8"/>
      <c r="L43" s="8"/>
      <c r="M43" s="8"/>
      <c r="N43" s="8"/>
      <c r="O43" s="8"/>
      <c r="P43" s="8"/>
      <c r="Q43" s="8"/>
      <c r="R43" s="120"/>
      <c r="S43" s="121"/>
      <c r="T43" s="118"/>
      <c r="U43" s="119"/>
    </row>
    <row r="44" spans="1:21" s="10" customFormat="1" x14ac:dyDescent="0.2">
      <c r="A44" s="8">
        <v>20</v>
      </c>
      <c r="B44" s="8"/>
      <c r="C44" s="8"/>
      <c r="D44" s="8" t="s">
        <v>65</v>
      </c>
      <c r="E44" s="26" t="s">
        <v>66</v>
      </c>
      <c r="F44" s="26"/>
      <c r="G44" s="39" t="s">
        <v>315</v>
      </c>
      <c r="H44" s="39" t="s">
        <v>242</v>
      </c>
      <c r="I44" s="8" t="s">
        <v>229</v>
      </c>
      <c r="J44" s="8" t="s">
        <v>230</v>
      </c>
      <c r="K44" s="8"/>
      <c r="L44" s="8"/>
      <c r="M44" s="8"/>
      <c r="N44" s="8"/>
      <c r="O44" s="8"/>
      <c r="P44" s="8"/>
      <c r="Q44" s="8"/>
      <c r="R44" s="120"/>
      <c r="S44" s="121"/>
      <c r="T44" s="118"/>
      <c r="U44" s="119"/>
    </row>
    <row r="45" spans="1:21" s="10" customFormat="1" x14ac:dyDescent="0.2">
      <c r="A45" s="8">
        <v>20</v>
      </c>
      <c r="B45" s="8"/>
      <c r="C45" s="8"/>
      <c r="D45" s="8" t="s">
        <v>67</v>
      </c>
      <c r="E45" s="26" t="s">
        <v>68</v>
      </c>
      <c r="F45" s="26"/>
      <c r="G45" s="39" t="s">
        <v>316</v>
      </c>
      <c r="H45" s="39" t="s">
        <v>243</v>
      </c>
      <c r="I45" s="8" t="s">
        <v>229</v>
      </c>
      <c r="J45" s="8" t="s">
        <v>230</v>
      </c>
      <c r="K45" s="8"/>
      <c r="L45" s="8"/>
      <c r="M45" s="8"/>
      <c r="N45" s="8"/>
      <c r="O45" s="8"/>
      <c r="P45" s="8"/>
      <c r="Q45" s="8"/>
      <c r="R45" s="120"/>
      <c r="S45" s="121"/>
      <c r="T45" s="118"/>
      <c r="U45" s="119"/>
    </row>
    <row r="46" spans="1:21" s="10" customFormat="1" x14ac:dyDescent="0.2">
      <c r="A46" s="8">
        <v>20</v>
      </c>
      <c r="B46" s="8"/>
      <c r="C46" s="8"/>
      <c r="D46" s="8" t="s">
        <v>69</v>
      </c>
      <c r="E46" s="26" t="s">
        <v>70</v>
      </c>
      <c r="F46" s="26"/>
      <c r="G46" s="39" t="s">
        <v>317</v>
      </c>
      <c r="H46" s="39" t="s">
        <v>244</v>
      </c>
      <c r="I46" s="8" t="s">
        <v>229</v>
      </c>
      <c r="J46" s="8" t="s">
        <v>230</v>
      </c>
      <c r="K46" s="8"/>
      <c r="L46" s="8"/>
      <c r="M46" s="8"/>
      <c r="N46" s="8"/>
      <c r="O46" s="8"/>
      <c r="P46" s="8"/>
      <c r="Q46" s="8"/>
      <c r="R46" s="120"/>
      <c r="S46" s="121"/>
      <c r="T46" s="118"/>
      <c r="U46" s="119"/>
    </row>
    <row r="47" spans="1:21" s="10" customFormat="1" x14ac:dyDescent="0.2">
      <c r="A47" s="8">
        <v>20</v>
      </c>
      <c r="B47" s="8"/>
      <c r="C47" s="8"/>
      <c r="D47" s="8" t="s">
        <v>80</v>
      </c>
      <c r="E47" s="26" t="s">
        <v>81</v>
      </c>
      <c r="F47" s="26"/>
      <c r="G47" s="39" t="s">
        <v>318</v>
      </c>
      <c r="H47" s="39" t="s">
        <v>245</v>
      </c>
      <c r="I47" s="8" t="s">
        <v>229</v>
      </c>
      <c r="J47" s="8" t="s">
        <v>230</v>
      </c>
      <c r="K47" s="8"/>
      <c r="L47" s="8"/>
      <c r="M47" s="8"/>
      <c r="N47" s="8"/>
      <c r="O47" s="8"/>
      <c r="P47" s="8"/>
      <c r="Q47" s="8"/>
      <c r="R47" s="120"/>
      <c r="S47" s="121"/>
      <c r="T47" s="118"/>
      <c r="U47" s="119"/>
    </row>
    <row r="48" spans="1:21" s="10" customFormat="1" x14ac:dyDescent="0.2">
      <c r="A48" s="8">
        <v>20</v>
      </c>
      <c r="B48" s="8"/>
      <c r="C48" s="8"/>
      <c r="D48" s="8" t="s">
        <v>255</v>
      </c>
      <c r="E48" s="26" t="s">
        <v>81</v>
      </c>
      <c r="F48" s="26"/>
      <c r="G48" s="39" t="s">
        <v>319</v>
      </c>
      <c r="H48" s="39" t="s">
        <v>189</v>
      </c>
      <c r="I48" s="8" t="s">
        <v>229</v>
      </c>
      <c r="J48" s="8" t="s">
        <v>230</v>
      </c>
      <c r="K48" s="8"/>
      <c r="L48" s="8"/>
      <c r="M48" s="8"/>
      <c r="N48" s="8"/>
      <c r="O48" s="8"/>
      <c r="P48" s="8"/>
      <c r="Q48" s="8"/>
      <c r="R48" s="48"/>
      <c r="S48" s="49"/>
      <c r="T48" s="50"/>
      <c r="U48" s="51"/>
    </row>
    <row r="49" spans="1:21" s="10" customFormat="1" x14ac:dyDescent="0.2">
      <c r="A49" s="8">
        <v>20</v>
      </c>
      <c r="B49" s="8"/>
      <c r="C49" s="8"/>
      <c r="D49" s="8" t="s">
        <v>256</v>
      </c>
      <c r="E49" s="26" t="s">
        <v>81</v>
      </c>
      <c r="F49" s="26"/>
      <c r="G49" s="39" t="s">
        <v>320</v>
      </c>
      <c r="H49" s="39" t="s">
        <v>190</v>
      </c>
      <c r="I49" s="8" t="s">
        <v>229</v>
      </c>
      <c r="J49" s="8" t="s">
        <v>230</v>
      </c>
      <c r="K49" s="8"/>
      <c r="L49" s="8"/>
      <c r="M49" s="8"/>
      <c r="N49" s="8"/>
      <c r="O49" s="8"/>
      <c r="P49" s="8"/>
      <c r="Q49" s="8"/>
      <c r="R49" s="48"/>
      <c r="S49" s="49"/>
      <c r="T49" s="50"/>
      <c r="U49" s="51"/>
    </row>
    <row r="50" spans="1:21" s="10" customFormat="1" ht="26" x14ac:dyDescent="0.2">
      <c r="A50" s="8">
        <v>20</v>
      </c>
      <c r="B50" s="8"/>
      <c r="C50" s="8"/>
      <c r="D50" s="8" t="s">
        <v>135</v>
      </c>
      <c r="E50" s="26" t="s">
        <v>81</v>
      </c>
      <c r="F50" s="26"/>
      <c r="G50" s="39" t="s">
        <v>321</v>
      </c>
      <c r="H50" s="39" t="s">
        <v>191</v>
      </c>
      <c r="I50" s="8" t="s">
        <v>229</v>
      </c>
      <c r="J50" s="8" t="s">
        <v>230</v>
      </c>
      <c r="K50" s="8"/>
      <c r="L50" s="8"/>
      <c r="M50" s="8"/>
      <c r="N50" s="8"/>
      <c r="O50" s="8"/>
      <c r="P50" s="8"/>
      <c r="Q50" s="8"/>
      <c r="R50" s="48"/>
      <c r="S50" s="49"/>
      <c r="T50" s="50"/>
      <c r="U50" s="51"/>
    </row>
    <row r="51" spans="1:21" s="10" customFormat="1" ht="26" x14ac:dyDescent="0.2">
      <c r="A51" s="8">
        <v>20</v>
      </c>
      <c r="B51" s="8"/>
      <c r="C51" s="8"/>
      <c r="D51" s="8" t="s">
        <v>257</v>
      </c>
      <c r="E51" s="26" t="s">
        <v>81</v>
      </c>
      <c r="F51" s="26"/>
      <c r="G51" s="39" t="s">
        <v>322</v>
      </c>
      <c r="H51" s="39" t="s">
        <v>192</v>
      </c>
      <c r="I51" s="8" t="s">
        <v>229</v>
      </c>
      <c r="J51" s="8" t="s">
        <v>230</v>
      </c>
      <c r="K51" s="8"/>
      <c r="L51" s="8"/>
      <c r="M51" s="8"/>
      <c r="N51" s="8"/>
      <c r="O51" s="8"/>
      <c r="P51" s="8"/>
      <c r="Q51" s="8"/>
      <c r="R51" s="48"/>
      <c r="S51" s="49"/>
      <c r="T51" s="50"/>
      <c r="U51" s="51"/>
    </row>
    <row r="52" spans="1:21" s="10" customFormat="1" x14ac:dyDescent="0.2">
      <c r="A52" s="8">
        <v>20</v>
      </c>
      <c r="B52" s="8"/>
      <c r="C52" s="8"/>
      <c r="D52" s="8" t="s">
        <v>136</v>
      </c>
      <c r="E52" s="26" t="s">
        <v>81</v>
      </c>
      <c r="F52" s="26"/>
      <c r="G52" s="39" t="s">
        <v>323</v>
      </c>
      <c r="H52" s="39" t="s">
        <v>193</v>
      </c>
      <c r="I52" s="8" t="s">
        <v>229</v>
      </c>
      <c r="J52" s="8" t="s">
        <v>230</v>
      </c>
      <c r="K52" s="8"/>
      <c r="L52" s="8"/>
      <c r="M52" s="8"/>
      <c r="N52" s="8"/>
      <c r="O52" s="8"/>
      <c r="P52" s="8"/>
      <c r="Q52" s="8"/>
      <c r="R52" s="48"/>
      <c r="S52" s="49"/>
      <c r="T52" s="50"/>
      <c r="U52" s="51"/>
    </row>
    <row r="53" spans="1:21" s="10" customFormat="1" x14ac:dyDescent="0.2">
      <c r="A53" s="8">
        <v>20</v>
      </c>
      <c r="B53" s="8"/>
      <c r="C53" s="8"/>
      <c r="D53" s="8" t="s">
        <v>82</v>
      </c>
      <c r="E53" s="26" t="s">
        <v>83</v>
      </c>
      <c r="F53" s="26"/>
      <c r="G53" s="39" t="s">
        <v>324</v>
      </c>
      <c r="H53" s="39" t="s">
        <v>246</v>
      </c>
      <c r="I53" s="8" t="s">
        <v>229</v>
      </c>
      <c r="J53" s="8" t="s">
        <v>230</v>
      </c>
      <c r="K53" s="8"/>
      <c r="L53" s="8"/>
      <c r="M53" s="8"/>
      <c r="N53" s="8"/>
      <c r="O53" s="8"/>
      <c r="P53" s="8"/>
      <c r="Q53" s="8"/>
      <c r="R53" s="48"/>
      <c r="S53" s="49"/>
      <c r="T53" s="50"/>
      <c r="U53" s="51"/>
    </row>
    <row r="54" spans="1:21" s="10" customFormat="1" x14ac:dyDescent="0.2">
      <c r="A54" s="8">
        <v>20</v>
      </c>
      <c r="B54" s="8"/>
      <c r="C54" s="8"/>
      <c r="D54" s="8" t="s">
        <v>133</v>
      </c>
      <c r="E54" s="26" t="s">
        <v>134</v>
      </c>
      <c r="F54" s="26"/>
      <c r="G54" s="39" t="s">
        <v>325</v>
      </c>
      <c r="H54" s="39" t="s">
        <v>247</v>
      </c>
      <c r="I54" s="8" t="s">
        <v>229</v>
      </c>
      <c r="J54" s="8" t="s">
        <v>230</v>
      </c>
      <c r="K54" s="8"/>
      <c r="L54" s="8"/>
      <c r="M54" s="8"/>
      <c r="N54" s="8"/>
      <c r="O54" s="8"/>
      <c r="P54" s="8"/>
      <c r="Q54" s="8"/>
      <c r="R54" s="48"/>
      <c r="S54" s="49"/>
      <c r="T54" s="50"/>
      <c r="U54" s="51"/>
    </row>
    <row r="55" spans="1:21" s="10" customFormat="1" x14ac:dyDescent="0.2">
      <c r="A55" s="8">
        <v>20</v>
      </c>
      <c r="B55" s="8"/>
      <c r="C55" s="8"/>
      <c r="D55" s="8" t="s">
        <v>84</v>
      </c>
      <c r="E55" s="26" t="s">
        <v>85</v>
      </c>
      <c r="F55" s="26"/>
      <c r="G55" s="39" t="s">
        <v>326</v>
      </c>
      <c r="H55" s="39" t="s">
        <v>248</v>
      </c>
      <c r="I55" s="8" t="s">
        <v>229</v>
      </c>
      <c r="J55" s="8" t="s">
        <v>230</v>
      </c>
      <c r="K55" s="8"/>
      <c r="L55" s="8"/>
      <c r="M55" s="8"/>
      <c r="N55" s="8"/>
      <c r="O55" s="8"/>
      <c r="P55" s="8"/>
      <c r="Q55" s="8"/>
      <c r="R55" s="48"/>
      <c r="S55" s="49"/>
      <c r="T55" s="50"/>
      <c r="U55" s="51"/>
    </row>
    <row r="56" spans="1:21" s="10" customFormat="1" x14ac:dyDescent="0.2">
      <c r="A56" s="8">
        <v>20</v>
      </c>
      <c r="B56" s="8"/>
      <c r="C56" s="8"/>
      <c r="D56" s="8" t="s">
        <v>96</v>
      </c>
      <c r="E56" s="26" t="s">
        <v>97</v>
      </c>
      <c r="F56" s="26"/>
      <c r="G56" s="39" t="s">
        <v>331</v>
      </c>
      <c r="H56" s="39" t="s">
        <v>249</v>
      </c>
      <c r="I56" s="8" t="s">
        <v>229</v>
      </c>
      <c r="J56" s="8" t="s">
        <v>230</v>
      </c>
      <c r="K56" s="8"/>
      <c r="L56" s="8"/>
      <c r="M56" s="8"/>
      <c r="N56" s="8"/>
      <c r="O56" s="8"/>
      <c r="P56" s="8"/>
      <c r="Q56" s="8"/>
      <c r="R56" s="48"/>
      <c r="S56" s="49"/>
      <c r="T56" s="50"/>
      <c r="U56" s="51"/>
    </row>
    <row r="57" spans="1:21" s="10" customFormat="1" x14ac:dyDescent="0.2">
      <c r="A57" s="8">
        <v>20</v>
      </c>
      <c r="B57" s="8"/>
      <c r="C57" s="8"/>
      <c r="D57" s="8" t="s">
        <v>258</v>
      </c>
      <c r="E57" s="26" t="s">
        <v>259</v>
      </c>
      <c r="F57" s="26"/>
      <c r="G57" s="39" t="s">
        <v>332</v>
      </c>
      <c r="H57" s="39" t="s">
        <v>202</v>
      </c>
      <c r="I57" s="8" t="s">
        <v>229</v>
      </c>
      <c r="J57" s="8" t="s">
        <v>229</v>
      </c>
      <c r="K57" s="8"/>
      <c r="L57" s="8"/>
      <c r="M57" s="8"/>
      <c r="N57" s="8"/>
      <c r="O57" s="8"/>
      <c r="P57" s="8"/>
      <c r="Q57" s="8"/>
      <c r="R57" s="48"/>
      <c r="S57" s="49"/>
      <c r="T57" s="50"/>
      <c r="U57" s="51"/>
    </row>
    <row r="58" spans="1:21" s="10" customFormat="1" x14ac:dyDescent="0.2">
      <c r="A58" s="55"/>
      <c r="D58" s="10" t="s">
        <v>106</v>
      </c>
      <c r="U58" s="40"/>
    </row>
    <row r="59" spans="1:21" s="10" customFormat="1" x14ac:dyDescent="0.2">
      <c r="A59" s="55"/>
      <c r="U59" s="40"/>
    </row>
    <row r="60" spans="1:21" s="10" customFormat="1" x14ac:dyDescent="0.2">
      <c r="A60" s="55"/>
      <c r="U60" s="40"/>
    </row>
    <row r="61" spans="1:21" s="10" customFormat="1" x14ac:dyDescent="0.2">
      <c r="A61" s="55"/>
      <c r="U61" s="40"/>
    </row>
    <row r="62" spans="1:21" s="10" customFormat="1" x14ac:dyDescent="0.2">
      <c r="A62" s="55"/>
      <c r="U62" s="40"/>
    </row>
    <row r="63" spans="1:21" s="10" customFormat="1" x14ac:dyDescent="0.2">
      <c r="A63" s="55"/>
      <c r="U63" s="40"/>
    </row>
    <row r="64" spans="1:21" s="10" customFormat="1" x14ac:dyDescent="0.2">
      <c r="A64" s="62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43"/>
    </row>
  </sheetData>
  <mergeCells count="45">
    <mergeCell ref="R47:S47"/>
    <mergeCell ref="T47:U47"/>
    <mergeCell ref="R44:S44"/>
    <mergeCell ref="T44:U44"/>
    <mergeCell ref="R45:S45"/>
    <mergeCell ref="T45:U45"/>
    <mergeCell ref="R46:S46"/>
    <mergeCell ref="T46:U46"/>
    <mergeCell ref="R39:S39"/>
    <mergeCell ref="T39:U39"/>
    <mergeCell ref="R42:S42"/>
    <mergeCell ref="T42:U42"/>
    <mergeCell ref="R43:S43"/>
    <mergeCell ref="T43:U43"/>
    <mergeCell ref="R36:S36"/>
    <mergeCell ref="T36:U36"/>
    <mergeCell ref="R37:S37"/>
    <mergeCell ref="T37:U37"/>
    <mergeCell ref="R38:S38"/>
    <mergeCell ref="T38:U38"/>
    <mergeCell ref="R32:S32"/>
    <mergeCell ref="T32:U32"/>
    <mergeCell ref="R34:S34"/>
    <mergeCell ref="T34:U34"/>
    <mergeCell ref="R35:S35"/>
    <mergeCell ref="T35:U35"/>
    <mergeCell ref="R29:S29"/>
    <mergeCell ref="T29:U29"/>
    <mergeCell ref="R30:S30"/>
    <mergeCell ref="T30:U30"/>
    <mergeCell ref="R31:S31"/>
    <mergeCell ref="T31:U31"/>
    <mergeCell ref="R27:S27"/>
    <mergeCell ref="T27:U2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T26:U2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36328125" style="4" customWidth="1"/>
    <col min="9" max="10" width="15.81640625" style="4" customWidth="1"/>
    <col min="11" max="11" width="22" style="4" customWidth="1"/>
    <col min="12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153</v>
      </c>
      <c r="B1" s="53" t="s">
        <v>153</v>
      </c>
      <c r="C1" s="53"/>
      <c r="D1" s="1" t="s">
        <v>127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153</v>
      </c>
      <c r="B2" s="23"/>
      <c r="C2" s="23"/>
      <c r="D2" s="65" t="s">
        <v>276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MSBCL0350</v>
      </c>
      <c r="I2" s="7" t="s">
        <v>154</v>
      </c>
      <c r="J2" s="8" t="s">
        <v>47</v>
      </c>
      <c r="K2" s="7" t="s">
        <v>149</v>
      </c>
      <c r="L2" s="54" t="str">
        <f>IF(LogicCommon!G2="","",LogicCommon!G2)</f>
        <v>MC</v>
      </c>
      <c r="M2" s="5" t="s">
        <v>155</v>
      </c>
      <c r="N2" s="24" t="s">
        <v>274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153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MSBC</v>
      </c>
      <c r="G3" s="7" t="s">
        <v>4</v>
      </c>
      <c r="H3" s="54" t="str">
        <f>IF(LogicCommon!E3="","",LogicCommon!E3)</f>
        <v>MSBCL_MlyRqmtSchdReg</v>
      </c>
      <c r="I3" s="7" t="s">
        <v>156</v>
      </c>
      <c r="J3" s="8" t="s">
        <v>47</v>
      </c>
      <c r="K3" s="7" t="s">
        <v>151</v>
      </c>
      <c r="L3" s="54" t="str">
        <f>IF(LogicCommon!G3="","",LogicCommon!G3)</f>
        <v/>
      </c>
      <c r="M3" s="58"/>
      <c r="N3" s="7"/>
      <c r="O3" s="7" t="s">
        <v>157</v>
      </c>
      <c r="P3" s="8" t="s">
        <v>203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153</v>
      </c>
      <c r="B4" s="56"/>
      <c r="C4" s="56"/>
      <c r="D4" s="4"/>
      <c r="E4" s="7" t="s">
        <v>12</v>
      </c>
      <c r="F4" s="59" t="s">
        <v>158</v>
      </c>
      <c r="G4" s="7" t="s">
        <v>5</v>
      </c>
      <c r="H4" s="54" t="str">
        <f>IF(LogicCommon!E4="","",LogicCommon!E4)</f>
        <v>月次生産依頼日程登録</v>
      </c>
      <c r="I4" s="7" t="s">
        <v>159</v>
      </c>
      <c r="J4" s="8" t="s">
        <v>48</v>
      </c>
      <c r="K4" s="7" t="s">
        <v>6</v>
      </c>
      <c r="L4" s="54" t="str">
        <f>IF(LogicCommon!G4="","",LogicCommon!G4)</f>
        <v>MS.MSUDL5010</v>
      </c>
      <c r="M4" s="60" t="s">
        <v>204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153</v>
      </c>
      <c r="B5" s="53"/>
      <c r="C5" s="53"/>
      <c r="D5" s="21"/>
      <c r="E5" s="7" t="s">
        <v>160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153</v>
      </c>
      <c r="B6" s="56"/>
      <c r="C6" s="56"/>
      <c r="D6" s="4" t="s">
        <v>15</v>
      </c>
      <c r="E6" s="12"/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152</v>
      </c>
      <c r="AE6" s="15"/>
      <c r="AF6" s="15" t="s">
        <v>152</v>
      </c>
      <c r="AG6" s="15"/>
      <c r="AH6" s="15" t="s">
        <v>152</v>
      </c>
      <c r="AI6" s="4"/>
      <c r="AJ6" s="4"/>
      <c r="AK6" s="4"/>
      <c r="AL6" s="4"/>
    </row>
    <row r="7" spans="1:38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8" t="s">
        <v>14</v>
      </c>
      <c r="M7" s="8" t="s">
        <v>14</v>
      </c>
      <c r="N7" s="8" t="s">
        <v>14</v>
      </c>
      <c r="O7" s="8" t="s">
        <v>14</v>
      </c>
      <c r="P7" s="8" t="s">
        <v>14</v>
      </c>
      <c r="Q7" s="8" t="s">
        <v>14</v>
      </c>
      <c r="R7" s="8" t="s">
        <v>14</v>
      </c>
      <c r="S7" s="8" t="s">
        <v>14</v>
      </c>
      <c r="T7" s="8" t="s">
        <v>14</v>
      </c>
      <c r="U7" s="8" t="s">
        <v>14</v>
      </c>
      <c r="V7" s="8" t="s">
        <v>14</v>
      </c>
      <c r="W7" s="8" t="s">
        <v>14</v>
      </c>
      <c r="X7" s="8" t="s">
        <v>14</v>
      </c>
      <c r="Y7" s="8" t="s">
        <v>14</v>
      </c>
      <c r="Z7" s="8" t="s">
        <v>14</v>
      </c>
      <c r="AA7" s="8" t="s">
        <v>14</v>
      </c>
      <c r="AB7" s="8" t="s">
        <v>14</v>
      </c>
      <c r="AC7" s="25" t="s">
        <v>10</v>
      </c>
      <c r="AD7" s="26"/>
      <c r="AE7" s="25" t="s">
        <v>10</v>
      </c>
      <c r="AF7" s="26"/>
      <c r="AG7" s="25" t="s">
        <v>10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8</v>
      </c>
      <c r="B8" s="66"/>
      <c r="C8" s="67"/>
      <c r="D8" s="25" t="s">
        <v>277</v>
      </c>
      <c r="E8" s="25" t="s">
        <v>278</v>
      </c>
      <c r="F8" s="64"/>
      <c r="G8" s="25" t="s">
        <v>205</v>
      </c>
      <c r="H8" s="25" t="s">
        <v>279</v>
      </c>
      <c r="I8" s="64"/>
      <c r="J8" s="3"/>
      <c r="K8" s="8" t="s">
        <v>23</v>
      </c>
      <c r="L8" s="8" t="s">
        <v>24</v>
      </c>
      <c r="M8" s="8" t="s">
        <v>25</v>
      </c>
      <c r="N8" s="8" t="s">
        <v>26</v>
      </c>
      <c r="O8" s="8" t="s">
        <v>27</v>
      </c>
      <c r="P8" s="8" t="s">
        <v>28</v>
      </c>
      <c r="Q8" s="8" t="s">
        <v>29</v>
      </c>
      <c r="R8" s="8" t="s">
        <v>30</v>
      </c>
      <c r="S8" s="8" t="s">
        <v>31</v>
      </c>
      <c r="T8" s="8" t="s">
        <v>32</v>
      </c>
      <c r="U8" s="8" t="s">
        <v>33</v>
      </c>
      <c r="V8" s="8" t="s">
        <v>34</v>
      </c>
      <c r="W8" s="8" t="s">
        <v>35</v>
      </c>
      <c r="X8" s="8" t="s">
        <v>36</v>
      </c>
      <c r="Y8" s="8" t="s">
        <v>37</v>
      </c>
      <c r="Z8" s="8" t="s">
        <v>38</v>
      </c>
      <c r="AA8" s="8" t="s">
        <v>39</v>
      </c>
      <c r="AB8" s="8" t="s">
        <v>40</v>
      </c>
      <c r="AC8" s="25" t="s">
        <v>11</v>
      </c>
      <c r="AD8" s="26"/>
      <c r="AE8" s="25" t="s">
        <v>206</v>
      </c>
      <c r="AF8" s="26"/>
      <c r="AG8" s="25" t="s">
        <v>206</v>
      </c>
      <c r="AH8" s="26"/>
      <c r="AI8" s="3"/>
      <c r="AJ8" s="21"/>
      <c r="AK8" s="120" t="s">
        <v>280</v>
      </c>
      <c r="AL8" s="121"/>
    </row>
    <row r="9" spans="1:38" s="10" customFormat="1" ht="60" customHeight="1" x14ac:dyDescent="0.2">
      <c r="A9" s="8" t="s">
        <v>8</v>
      </c>
      <c r="B9" s="29"/>
      <c r="C9" s="30"/>
      <c r="D9" s="25" t="s">
        <v>281</v>
      </c>
      <c r="E9" s="48" t="s">
        <v>282</v>
      </c>
      <c r="F9" s="25" t="s">
        <v>283</v>
      </c>
      <c r="G9" s="25" t="s">
        <v>284</v>
      </c>
      <c r="H9" s="25" t="s">
        <v>285</v>
      </c>
      <c r="I9" s="49" t="s">
        <v>286</v>
      </c>
      <c r="J9" s="25" t="s">
        <v>287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49"/>
      <c r="AD9" s="25"/>
      <c r="AE9" s="25"/>
      <c r="AF9" s="25"/>
      <c r="AG9" s="25"/>
      <c r="AH9" s="25"/>
      <c r="AI9" s="120" t="s">
        <v>288</v>
      </c>
      <c r="AJ9" s="121"/>
      <c r="AK9" s="120" t="s">
        <v>289</v>
      </c>
      <c r="AL9" s="121"/>
    </row>
    <row r="10" spans="1:38" s="10" customFormat="1" ht="52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286</v>
      </c>
      <c r="AD10" s="25" t="s">
        <v>287</v>
      </c>
      <c r="AE10" s="25" t="s">
        <v>286</v>
      </c>
      <c r="AF10" s="25" t="s">
        <v>287</v>
      </c>
      <c r="AG10" s="25" t="s">
        <v>286</v>
      </c>
      <c r="AH10" s="25" t="s">
        <v>287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98</v>
      </c>
      <c r="C11" s="30"/>
      <c r="D11" s="24" t="s">
        <v>49</v>
      </c>
      <c r="E11" s="27" t="s">
        <v>50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18"/>
      <c r="AL11" s="119"/>
    </row>
    <row r="12" spans="1:38" s="10" customFormat="1" x14ac:dyDescent="0.2">
      <c r="A12" s="8">
        <v>10</v>
      </c>
      <c r="B12" s="8"/>
      <c r="C12" s="8"/>
      <c r="D12" s="8" t="s">
        <v>51</v>
      </c>
      <c r="E12" s="26" t="s">
        <v>52</v>
      </c>
      <c r="F12" s="26"/>
      <c r="G12" s="39" t="s">
        <v>335</v>
      </c>
      <c r="H12" s="39" t="s">
        <v>260</v>
      </c>
      <c r="I12" s="8" t="s">
        <v>161</v>
      </c>
      <c r="J12" s="8" t="s">
        <v>161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0"/>
      <c r="AJ12" s="121"/>
      <c r="AK12" s="118"/>
      <c r="AL12" s="119"/>
    </row>
    <row r="13" spans="1:38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39" t="s">
        <v>336</v>
      </c>
      <c r="H13" s="39" t="s">
        <v>147</v>
      </c>
      <c r="I13" s="8" t="s">
        <v>162</v>
      </c>
      <c r="J13" s="8" t="s">
        <v>161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0"/>
      <c r="AJ13" s="121"/>
      <c r="AK13" s="118"/>
      <c r="AL13" s="119"/>
    </row>
    <row r="14" spans="1:38" s="10" customFormat="1" x14ac:dyDescent="0.2">
      <c r="A14" s="8">
        <v>10</v>
      </c>
      <c r="B14" s="8"/>
      <c r="C14" s="8"/>
      <c r="D14" s="8" t="s">
        <v>55</v>
      </c>
      <c r="E14" s="26" t="s">
        <v>56</v>
      </c>
      <c r="F14" s="26"/>
      <c r="G14" s="39" t="s">
        <v>337</v>
      </c>
      <c r="H14" s="39" t="s">
        <v>261</v>
      </c>
      <c r="I14" s="8" t="s">
        <v>161</v>
      </c>
      <c r="J14" s="8" t="s">
        <v>161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0"/>
      <c r="AJ14" s="121"/>
      <c r="AK14" s="118"/>
      <c r="AL14" s="119"/>
    </row>
    <row r="15" spans="1:38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338</v>
      </c>
      <c r="H15" s="39" t="s">
        <v>262</v>
      </c>
      <c r="I15" s="8" t="s">
        <v>162</v>
      </c>
      <c r="J15" s="8" t="s">
        <v>162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8"/>
      <c r="AJ15" s="49"/>
      <c r="AK15" s="50"/>
      <c r="AL15" s="51"/>
    </row>
    <row r="16" spans="1:38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290</v>
      </c>
      <c r="H16" s="39" t="s">
        <v>125</v>
      </c>
      <c r="I16" s="8" t="s">
        <v>161</v>
      </c>
      <c r="J16" s="8" t="s">
        <v>161</v>
      </c>
      <c r="K16" s="8" t="s">
        <v>161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8"/>
      <c r="AJ16" s="49"/>
      <c r="AK16" s="50"/>
      <c r="AL16" s="51"/>
    </row>
    <row r="17" spans="1:38" s="10" customFormat="1" x14ac:dyDescent="0.2">
      <c r="A17" s="8">
        <v>10</v>
      </c>
      <c r="B17" s="8"/>
      <c r="C17" s="8"/>
      <c r="D17" s="8" t="s">
        <v>61</v>
      </c>
      <c r="E17" s="26" t="s">
        <v>62</v>
      </c>
      <c r="F17" s="26"/>
      <c r="G17" s="39" t="s">
        <v>313</v>
      </c>
      <c r="H17" s="39" t="s">
        <v>183</v>
      </c>
      <c r="I17" s="8" t="s">
        <v>161</v>
      </c>
      <c r="J17" s="8" t="s">
        <v>161</v>
      </c>
      <c r="K17" s="8" t="s">
        <v>161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8"/>
      <c r="AJ17" s="49"/>
      <c r="AK17" s="50"/>
      <c r="AL17" s="51"/>
    </row>
    <row r="18" spans="1:38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314</v>
      </c>
      <c r="H18" s="39" t="s">
        <v>184</v>
      </c>
      <c r="I18" s="8" t="s">
        <v>161</v>
      </c>
      <c r="J18" s="8" t="s">
        <v>161</v>
      </c>
      <c r="K18" s="8" t="s">
        <v>161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8"/>
      <c r="AJ18" s="49"/>
      <c r="AK18" s="50"/>
      <c r="AL18" s="51"/>
    </row>
    <row r="19" spans="1:38" s="10" customFormat="1" x14ac:dyDescent="0.2">
      <c r="A19" s="8">
        <v>10</v>
      </c>
      <c r="B19" s="8"/>
      <c r="C19" s="8"/>
      <c r="D19" s="8" t="s">
        <v>65</v>
      </c>
      <c r="E19" s="26" t="s">
        <v>66</v>
      </c>
      <c r="F19" s="26"/>
      <c r="G19" s="39" t="s">
        <v>315</v>
      </c>
      <c r="H19" s="39" t="s">
        <v>185</v>
      </c>
      <c r="I19" s="8" t="s">
        <v>161</v>
      </c>
      <c r="J19" s="8" t="s">
        <v>161</v>
      </c>
      <c r="K19" s="8" t="s">
        <v>161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8"/>
      <c r="AJ19" s="49"/>
      <c r="AK19" s="50"/>
      <c r="AL19" s="51"/>
    </row>
    <row r="20" spans="1:38" s="10" customFormat="1" x14ac:dyDescent="0.2">
      <c r="A20" s="8">
        <v>10</v>
      </c>
      <c r="B20" s="8"/>
      <c r="C20" s="8"/>
      <c r="D20" s="8" t="s">
        <v>67</v>
      </c>
      <c r="E20" s="26" t="s">
        <v>68</v>
      </c>
      <c r="F20" s="26"/>
      <c r="G20" s="39" t="s">
        <v>316</v>
      </c>
      <c r="H20" s="39" t="s">
        <v>186</v>
      </c>
      <c r="I20" s="8" t="s">
        <v>161</v>
      </c>
      <c r="J20" s="8" t="s">
        <v>161</v>
      </c>
      <c r="K20" s="8" t="s">
        <v>161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8"/>
      <c r="AJ20" s="49"/>
      <c r="AK20" s="50"/>
      <c r="AL20" s="51"/>
    </row>
    <row r="21" spans="1:38" s="10" customFormat="1" x14ac:dyDescent="0.2">
      <c r="A21" s="8">
        <v>10</v>
      </c>
      <c r="B21" s="8"/>
      <c r="C21" s="8"/>
      <c r="D21" s="8" t="s">
        <v>69</v>
      </c>
      <c r="E21" s="26" t="s">
        <v>70</v>
      </c>
      <c r="F21" s="26"/>
      <c r="G21" s="39" t="s">
        <v>317</v>
      </c>
      <c r="H21" s="39" t="s">
        <v>187</v>
      </c>
      <c r="I21" s="8" t="s">
        <v>162</v>
      </c>
      <c r="J21" s="8" t="s">
        <v>161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8"/>
      <c r="AJ21" s="49"/>
      <c r="AK21" s="50"/>
      <c r="AL21" s="51"/>
    </row>
    <row r="22" spans="1:38" s="10" customFormat="1" x14ac:dyDescent="0.2">
      <c r="A22" s="8">
        <v>10</v>
      </c>
      <c r="B22" s="8"/>
      <c r="C22" s="8"/>
      <c r="D22" s="8" t="s">
        <v>71</v>
      </c>
      <c r="E22" s="26" t="s">
        <v>72</v>
      </c>
      <c r="F22" s="26"/>
      <c r="G22" s="39" t="s">
        <v>293</v>
      </c>
      <c r="H22" s="39" t="s">
        <v>126</v>
      </c>
      <c r="I22" s="8" t="s">
        <v>161</v>
      </c>
      <c r="J22" s="8" t="s">
        <v>161</v>
      </c>
      <c r="K22" s="8" t="s">
        <v>161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8"/>
      <c r="AJ22" s="49"/>
      <c r="AK22" s="50"/>
      <c r="AL22" s="51"/>
    </row>
    <row r="23" spans="1:38" s="10" customFormat="1" x14ac:dyDescent="0.2">
      <c r="A23" s="8">
        <v>10</v>
      </c>
      <c r="B23" s="8"/>
      <c r="C23" s="8"/>
      <c r="D23" s="8" t="s">
        <v>73</v>
      </c>
      <c r="E23" s="26" t="s">
        <v>74</v>
      </c>
      <c r="F23" s="26"/>
      <c r="G23" s="39" t="s">
        <v>301</v>
      </c>
      <c r="H23" s="39" t="s">
        <v>171</v>
      </c>
      <c r="I23" s="8" t="s">
        <v>161</v>
      </c>
      <c r="J23" s="8" t="s">
        <v>161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8"/>
      <c r="AJ23" s="49"/>
      <c r="AK23" s="50"/>
      <c r="AL23" s="51"/>
    </row>
    <row r="24" spans="1:38" s="10" customFormat="1" x14ac:dyDescent="0.2">
      <c r="A24" s="8">
        <v>10</v>
      </c>
      <c r="B24" s="8"/>
      <c r="C24" s="8"/>
      <c r="D24" s="8" t="s">
        <v>143</v>
      </c>
      <c r="E24" s="26" t="s">
        <v>208</v>
      </c>
      <c r="F24" s="26"/>
      <c r="G24" s="39" t="s">
        <v>295</v>
      </c>
      <c r="H24" s="39" t="s">
        <v>142</v>
      </c>
      <c r="I24" s="8" t="s">
        <v>230</v>
      </c>
      <c r="J24" s="8" t="s">
        <v>230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8"/>
      <c r="AJ24" s="49"/>
      <c r="AK24" s="50"/>
      <c r="AL24" s="51"/>
    </row>
    <row r="25" spans="1:38" s="10" customFormat="1" x14ac:dyDescent="0.2">
      <c r="A25" s="8">
        <v>10</v>
      </c>
      <c r="B25" s="8"/>
      <c r="C25" s="8"/>
      <c r="D25" s="8" t="s">
        <v>75</v>
      </c>
      <c r="E25" s="26" t="s">
        <v>74</v>
      </c>
      <c r="F25" s="26"/>
      <c r="G25" s="39" t="s">
        <v>305</v>
      </c>
      <c r="H25" s="39" t="s">
        <v>175</v>
      </c>
      <c r="I25" s="8" t="s">
        <v>161</v>
      </c>
      <c r="J25" s="8" t="s">
        <v>161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8"/>
      <c r="AJ25" s="49"/>
      <c r="AK25" s="50"/>
      <c r="AL25" s="51"/>
    </row>
    <row r="26" spans="1:38" s="10" customFormat="1" x14ac:dyDescent="0.2">
      <c r="A26" s="8">
        <v>10</v>
      </c>
      <c r="B26" s="8"/>
      <c r="C26" s="8"/>
      <c r="D26" s="8" t="s">
        <v>76</v>
      </c>
      <c r="E26" s="26" t="s">
        <v>77</v>
      </c>
      <c r="F26" s="26"/>
      <c r="G26" s="39" t="s">
        <v>307</v>
      </c>
      <c r="H26" s="39" t="s">
        <v>177</v>
      </c>
      <c r="I26" s="8" t="s">
        <v>161</v>
      </c>
      <c r="J26" s="8" t="s">
        <v>161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8"/>
      <c r="AJ26" s="49"/>
      <c r="AK26" s="50"/>
      <c r="AL26" s="51"/>
    </row>
    <row r="27" spans="1:38" s="10" customFormat="1" x14ac:dyDescent="0.2">
      <c r="A27" s="8">
        <v>10</v>
      </c>
      <c r="B27" s="8"/>
      <c r="C27" s="8"/>
      <c r="D27" s="8" t="s">
        <v>78</v>
      </c>
      <c r="E27" s="26" t="s">
        <v>74</v>
      </c>
      <c r="F27" s="26"/>
      <c r="G27" s="39" t="s">
        <v>309</v>
      </c>
      <c r="H27" s="39" t="s">
        <v>179</v>
      </c>
      <c r="I27" s="8" t="s">
        <v>161</v>
      </c>
      <c r="J27" s="8" t="s">
        <v>161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8"/>
      <c r="AJ27" s="49"/>
      <c r="AK27" s="50"/>
      <c r="AL27" s="51"/>
    </row>
    <row r="28" spans="1:38" s="10" customFormat="1" x14ac:dyDescent="0.2">
      <c r="A28" s="8">
        <v>10</v>
      </c>
      <c r="B28" s="8"/>
      <c r="C28" s="8"/>
      <c r="D28" s="8" t="s">
        <v>79</v>
      </c>
      <c r="E28" s="26" t="s">
        <v>60</v>
      </c>
      <c r="F28" s="26"/>
      <c r="G28" s="39" t="s">
        <v>303</v>
      </c>
      <c r="H28" s="39" t="s">
        <v>173</v>
      </c>
      <c r="I28" s="8" t="s">
        <v>161</v>
      </c>
      <c r="J28" s="8" t="s">
        <v>161</v>
      </c>
      <c r="K28" s="8" t="s">
        <v>161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8"/>
      <c r="AJ28" s="49"/>
      <c r="AK28" s="50"/>
      <c r="AL28" s="51"/>
    </row>
    <row r="29" spans="1:38" s="10" customFormat="1" x14ac:dyDescent="0.2">
      <c r="A29" s="8">
        <v>10</v>
      </c>
      <c r="B29" s="8"/>
      <c r="C29" s="8"/>
      <c r="D29" s="8" t="s">
        <v>80</v>
      </c>
      <c r="E29" s="26" t="s">
        <v>81</v>
      </c>
      <c r="F29" s="26"/>
      <c r="G29" s="39" t="s">
        <v>318</v>
      </c>
      <c r="H29" s="39" t="s">
        <v>188</v>
      </c>
      <c r="I29" s="8" t="s">
        <v>161</v>
      </c>
      <c r="J29" s="8" t="s">
        <v>161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8"/>
      <c r="AJ29" s="49"/>
      <c r="AK29" s="50"/>
      <c r="AL29" s="51"/>
    </row>
    <row r="30" spans="1:38" s="10" customFormat="1" x14ac:dyDescent="0.2">
      <c r="A30" s="8">
        <v>10</v>
      </c>
      <c r="B30" s="8"/>
      <c r="C30" s="8"/>
      <c r="D30" s="8" t="s">
        <v>82</v>
      </c>
      <c r="E30" s="26" t="s">
        <v>83</v>
      </c>
      <c r="F30" s="26"/>
      <c r="G30" s="39" t="s">
        <v>324</v>
      </c>
      <c r="H30" s="39" t="s">
        <v>246</v>
      </c>
      <c r="I30" s="8" t="s">
        <v>162</v>
      </c>
      <c r="J30" s="8" t="s">
        <v>161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8"/>
      <c r="AJ30" s="49"/>
      <c r="AK30" s="50"/>
      <c r="AL30" s="51"/>
    </row>
    <row r="31" spans="1:38" s="10" customFormat="1" x14ac:dyDescent="0.2">
      <c r="A31" s="8">
        <v>10</v>
      </c>
      <c r="B31" s="8"/>
      <c r="C31" s="8"/>
      <c r="D31" s="8" t="s">
        <v>84</v>
      </c>
      <c r="E31" s="26" t="s">
        <v>85</v>
      </c>
      <c r="F31" s="26"/>
      <c r="G31" s="39" t="s">
        <v>326</v>
      </c>
      <c r="H31" s="39" t="s">
        <v>196</v>
      </c>
      <c r="I31" s="8" t="s">
        <v>162</v>
      </c>
      <c r="J31" s="8" t="s">
        <v>161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8"/>
      <c r="AJ31" s="49"/>
      <c r="AK31" s="50"/>
      <c r="AL31" s="51"/>
    </row>
    <row r="32" spans="1:38" s="10" customFormat="1" x14ac:dyDescent="0.2">
      <c r="A32" s="8">
        <v>10</v>
      </c>
      <c r="B32" s="8"/>
      <c r="C32" s="8"/>
      <c r="D32" s="8" t="s">
        <v>88</v>
      </c>
      <c r="E32" s="26" t="s">
        <v>89</v>
      </c>
      <c r="F32" s="26"/>
      <c r="G32" s="39" t="s">
        <v>327</v>
      </c>
      <c r="H32" s="39" t="s">
        <v>197</v>
      </c>
      <c r="I32" s="8" t="s">
        <v>161</v>
      </c>
      <c r="J32" s="8" t="s">
        <v>162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8"/>
      <c r="AJ32" s="49"/>
      <c r="AK32" s="50"/>
      <c r="AL32" s="51"/>
    </row>
    <row r="33" spans="1:38" s="10" customFormat="1" x14ac:dyDescent="0.2">
      <c r="A33" s="8">
        <v>10</v>
      </c>
      <c r="B33" s="8"/>
      <c r="C33" s="8"/>
      <c r="D33" s="8" t="s">
        <v>90</v>
      </c>
      <c r="E33" s="26" t="s">
        <v>91</v>
      </c>
      <c r="F33" s="26"/>
      <c r="G33" s="39" t="s">
        <v>328</v>
      </c>
      <c r="H33" s="39" t="s">
        <v>198</v>
      </c>
      <c r="I33" s="8" t="s">
        <v>161</v>
      </c>
      <c r="J33" s="8" t="s">
        <v>162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8"/>
      <c r="AJ33" s="49"/>
      <c r="AK33" s="50"/>
      <c r="AL33" s="51"/>
    </row>
    <row r="34" spans="1:38" s="10" customFormat="1" x14ac:dyDescent="0.2">
      <c r="A34" s="8">
        <v>10</v>
      </c>
      <c r="B34" s="8"/>
      <c r="C34" s="8"/>
      <c r="D34" s="8" t="s">
        <v>92</v>
      </c>
      <c r="E34" s="26" t="s">
        <v>93</v>
      </c>
      <c r="F34" s="26"/>
      <c r="G34" s="39" t="s">
        <v>329</v>
      </c>
      <c r="H34" s="39" t="s">
        <v>199</v>
      </c>
      <c r="I34" s="8" t="s">
        <v>161</v>
      </c>
      <c r="J34" s="8" t="s">
        <v>162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8"/>
      <c r="AJ34" s="49"/>
      <c r="AK34" s="50"/>
      <c r="AL34" s="51"/>
    </row>
    <row r="35" spans="1:38" s="10" customFormat="1" x14ac:dyDescent="0.2">
      <c r="A35" s="8">
        <v>10</v>
      </c>
      <c r="B35" s="8"/>
      <c r="C35" s="8"/>
      <c r="D35" s="8" t="s">
        <v>94</v>
      </c>
      <c r="E35" s="26" t="s">
        <v>95</v>
      </c>
      <c r="F35" s="26"/>
      <c r="G35" s="39" t="s">
        <v>330</v>
      </c>
      <c r="H35" s="39" t="s">
        <v>200</v>
      </c>
      <c r="I35" s="8" t="s">
        <v>161</v>
      </c>
      <c r="J35" s="8" t="s">
        <v>162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8"/>
      <c r="AJ35" s="49"/>
      <c r="AK35" s="50"/>
      <c r="AL35" s="51"/>
    </row>
    <row r="36" spans="1:38" s="10" customFormat="1" x14ac:dyDescent="0.2">
      <c r="A36" s="8">
        <v>10</v>
      </c>
      <c r="B36" s="8"/>
      <c r="C36" s="8"/>
      <c r="D36" s="8" t="s">
        <v>96</v>
      </c>
      <c r="E36" s="26" t="s">
        <v>97</v>
      </c>
      <c r="F36" s="26"/>
      <c r="G36" s="39" t="s">
        <v>331</v>
      </c>
      <c r="H36" s="39" t="s">
        <v>201</v>
      </c>
      <c r="I36" s="8" t="s">
        <v>161</v>
      </c>
      <c r="J36" s="8" t="s">
        <v>161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8"/>
      <c r="AJ36" s="49"/>
      <c r="AK36" s="50"/>
      <c r="AL36" s="51"/>
    </row>
    <row r="37" spans="1:38" s="10" customFormat="1" ht="52" x14ac:dyDescent="0.2">
      <c r="A37" s="55"/>
      <c r="AC37" s="10" t="s">
        <v>286</v>
      </c>
      <c r="AD37" s="10" t="s">
        <v>287</v>
      </c>
      <c r="AE37" s="10" t="s">
        <v>286</v>
      </c>
      <c r="AF37" s="10" t="s">
        <v>287</v>
      </c>
      <c r="AG37" s="10" t="s">
        <v>286</v>
      </c>
      <c r="AH37" s="10" t="s">
        <v>287</v>
      </c>
      <c r="AL37" s="40"/>
    </row>
    <row r="38" spans="1:38" s="10" customFormat="1" x14ac:dyDescent="0.2">
      <c r="A38" s="8">
        <v>20</v>
      </c>
      <c r="B38" s="29" t="s">
        <v>0</v>
      </c>
      <c r="C38" s="30"/>
      <c r="D38" s="41" t="s">
        <v>99</v>
      </c>
      <c r="E38" s="27" t="s">
        <v>100</v>
      </c>
      <c r="F38" s="42"/>
      <c r="G38" s="24"/>
      <c r="H38" s="26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27"/>
      <c r="AD38" s="27"/>
      <c r="AE38" s="27"/>
      <c r="AF38" s="27"/>
      <c r="AG38" s="27"/>
      <c r="AH38" s="27"/>
      <c r="AI38" s="48"/>
      <c r="AJ38" s="49"/>
      <c r="AK38" s="118"/>
      <c r="AL38" s="119"/>
    </row>
    <row r="39" spans="1:38" s="10" customFormat="1" x14ac:dyDescent="0.2">
      <c r="A39" s="8">
        <v>20</v>
      </c>
      <c r="B39" s="8"/>
      <c r="C39" s="8"/>
      <c r="D39" s="8" t="s">
        <v>101</v>
      </c>
      <c r="E39" s="26" t="s">
        <v>54</v>
      </c>
      <c r="F39" s="26"/>
      <c r="G39" s="39" t="s">
        <v>339</v>
      </c>
      <c r="H39" s="39" t="s">
        <v>263</v>
      </c>
      <c r="I39" s="8" t="s">
        <v>161</v>
      </c>
      <c r="J39" s="8" t="s">
        <v>162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0"/>
      <c r="AJ39" s="121"/>
      <c r="AK39" s="118"/>
      <c r="AL39" s="119"/>
    </row>
    <row r="40" spans="1:38" s="10" customFormat="1" x14ac:dyDescent="0.2">
      <c r="A40" s="22"/>
      <c r="B40" s="23"/>
      <c r="C40" s="23"/>
      <c r="D40" s="16" t="s">
        <v>7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44"/>
    </row>
    <row r="41" spans="1:38" s="10" customFormat="1" x14ac:dyDescent="0.2">
      <c r="A41" s="55"/>
      <c r="AL41" s="40"/>
    </row>
    <row r="42" spans="1:38" s="10" customFormat="1" x14ac:dyDescent="0.2">
      <c r="A42" s="55"/>
      <c r="AL42" s="40"/>
    </row>
    <row r="43" spans="1:38" s="10" customFormat="1" x14ac:dyDescent="0.2">
      <c r="A43" s="55"/>
      <c r="AL43" s="40"/>
    </row>
    <row r="44" spans="1:38" s="10" customFormat="1" x14ac:dyDescent="0.2">
      <c r="A44" s="55"/>
      <c r="AL44" s="40"/>
    </row>
    <row r="45" spans="1:38" s="10" customFormat="1" x14ac:dyDescent="0.2">
      <c r="A45" s="55"/>
      <c r="AL45" s="40"/>
    </row>
    <row r="46" spans="1:38" s="10" customFormat="1" x14ac:dyDescent="0.2">
      <c r="A46" s="55"/>
      <c r="AL46" s="40"/>
    </row>
    <row r="47" spans="1:38" s="10" customFormat="1" x14ac:dyDescent="0.2">
      <c r="A47" s="55"/>
      <c r="AL47" s="40"/>
    </row>
    <row r="48" spans="1:38" s="10" customFormat="1" x14ac:dyDescent="0.2">
      <c r="A48" s="55"/>
      <c r="AL48" s="40"/>
    </row>
    <row r="49" spans="1:38" s="10" customFormat="1" x14ac:dyDescent="0.2">
      <c r="A49" s="55"/>
      <c r="AL49" s="40"/>
    </row>
    <row r="50" spans="1:38" s="10" customFormat="1" x14ac:dyDescent="0.2">
      <c r="A50" s="55"/>
      <c r="AL50" s="40"/>
    </row>
    <row r="51" spans="1:38" s="10" customFormat="1" x14ac:dyDescent="0.2">
      <c r="A51" s="55"/>
      <c r="AL51" s="40"/>
    </row>
    <row r="52" spans="1:38" s="10" customFormat="1" x14ac:dyDescent="0.2">
      <c r="A52" s="55"/>
      <c r="AL52" s="40"/>
    </row>
    <row r="53" spans="1:38" s="10" customFormat="1" x14ac:dyDescent="0.2">
      <c r="A53" s="55"/>
      <c r="AL53" s="40"/>
    </row>
    <row r="54" spans="1:38" s="10" customFormat="1" x14ac:dyDescent="0.2">
      <c r="A54" s="62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43"/>
    </row>
  </sheetData>
  <mergeCells count="13">
    <mergeCell ref="AI39:AJ39"/>
    <mergeCell ref="AK39:AL39"/>
    <mergeCell ref="AI13:AJ13"/>
    <mergeCell ref="AK13:AL13"/>
    <mergeCell ref="AI14:AJ14"/>
    <mergeCell ref="AK14:AL14"/>
    <mergeCell ref="AK38:AL38"/>
    <mergeCell ref="AK8:AL8"/>
    <mergeCell ref="AI9:AJ9"/>
    <mergeCell ref="AK9:AL9"/>
    <mergeCell ref="AK11:AL11"/>
    <mergeCell ref="AI12:AJ12"/>
    <mergeCell ref="AK12:AL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153</v>
      </c>
      <c r="B1" s="53" t="s">
        <v>153</v>
      </c>
      <c r="C1" s="53"/>
      <c r="D1" s="1" t="s">
        <v>127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153</v>
      </c>
      <c r="B2" s="23"/>
      <c r="C2" s="23"/>
      <c r="D2" s="65" t="s">
        <v>276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MSBCL0350</v>
      </c>
      <c r="I2" s="7" t="s">
        <v>154</v>
      </c>
      <c r="J2" s="8" t="s">
        <v>45</v>
      </c>
      <c r="K2" s="7" t="s">
        <v>149</v>
      </c>
      <c r="L2" s="54" t="str">
        <f>IF(LogicCommon!G2="","",LogicCommon!G2)</f>
        <v>MC</v>
      </c>
      <c r="M2" s="5" t="s">
        <v>155</v>
      </c>
      <c r="N2" s="24" t="s">
        <v>275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153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MSBC</v>
      </c>
      <c r="G3" s="7" t="s">
        <v>4</v>
      </c>
      <c r="H3" s="54" t="str">
        <f>IF(LogicCommon!E3="","",LogicCommon!E3)</f>
        <v>MSBCL_MlyRqmtSchdReg</v>
      </c>
      <c r="I3" s="7" t="s">
        <v>156</v>
      </c>
      <c r="J3" s="8" t="s">
        <v>45</v>
      </c>
      <c r="K3" s="7" t="s">
        <v>151</v>
      </c>
      <c r="L3" s="54" t="str">
        <f>IF(LogicCommon!G3="","",LogicCommon!G3)</f>
        <v/>
      </c>
      <c r="M3" s="58"/>
      <c r="N3" s="7"/>
      <c r="O3" s="7" t="s">
        <v>157</v>
      </c>
      <c r="P3" s="8" t="s">
        <v>203</v>
      </c>
      <c r="Q3" s="4"/>
      <c r="R3" s="5"/>
      <c r="S3" s="5"/>
      <c r="T3" s="5"/>
      <c r="U3" s="5"/>
    </row>
    <row r="4" spans="1:21" s="10" customFormat="1" x14ac:dyDescent="0.2">
      <c r="A4" s="55" t="s">
        <v>153</v>
      </c>
      <c r="B4" s="56"/>
      <c r="C4" s="56"/>
      <c r="D4" s="4"/>
      <c r="E4" s="7" t="s">
        <v>12</v>
      </c>
      <c r="F4" s="59" t="s">
        <v>158</v>
      </c>
      <c r="G4" s="7" t="s">
        <v>5</v>
      </c>
      <c r="H4" s="54" t="str">
        <f>IF(LogicCommon!E4="","",LogicCommon!E4)</f>
        <v>月次生産依頼日程登録</v>
      </c>
      <c r="I4" s="7" t="s">
        <v>159</v>
      </c>
      <c r="J4" s="8" t="s">
        <v>46</v>
      </c>
      <c r="K4" s="7" t="s">
        <v>6</v>
      </c>
      <c r="L4" s="54" t="str">
        <f>IF(LogicCommon!G4="","",LogicCommon!G4)</f>
        <v>MS.MSUDL5010</v>
      </c>
      <c r="M4" s="60" t="s">
        <v>204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153</v>
      </c>
      <c r="B5" s="53"/>
      <c r="C5" s="53"/>
      <c r="D5" s="21"/>
      <c r="E5" s="7" t="s">
        <v>160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153</v>
      </c>
      <c r="B6" s="56"/>
      <c r="C6" s="56"/>
      <c r="D6" s="4" t="s">
        <v>15</v>
      </c>
      <c r="E6" s="12"/>
      <c r="F6" s="12"/>
      <c r="G6" s="12"/>
      <c r="H6" s="12"/>
      <c r="I6" s="12"/>
      <c r="J6" s="12"/>
      <c r="K6" s="12"/>
      <c r="L6" s="64"/>
      <c r="M6" s="15" t="s">
        <v>152</v>
      </c>
      <c r="N6" s="15"/>
      <c r="O6" s="15" t="s">
        <v>152</v>
      </c>
      <c r="P6" s="15"/>
      <c r="Q6" s="15" t="s">
        <v>152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6"/>
      <c r="C8" s="67"/>
      <c r="D8" s="25" t="s">
        <v>277</v>
      </c>
      <c r="E8" s="25" t="s">
        <v>278</v>
      </c>
      <c r="F8" s="64"/>
      <c r="G8" s="25" t="s">
        <v>205</v>
      </c>
      <c r="H8" s="25" t="s">
        <v>279</v>
      </c>
      <c r="I8" s="64"/>
      <c r="J8" s="3"/>
      <c r="K8" s="8"/>
      <c r="L8" s="25" t="s">
        <v>11</v>
      </c>
      <c r="M8" s="26"/>
      <c r="N8" s="25" t="s">
        <v>206</v>
      </c>
      <c r="O8" s="26"/>
      <c r="P8" s="25" t="s">
        <v>206</v>
      </c>
      <c r="Q8" s="26"/>
      <c r="R8" s="3"/>
      <c r="S8" s="21"/>
      <c r="T8" s="120" t="s">
        <v>280</v>
      </c>
      <c r="U8" s="121"/>
    </row>
    <row r="9" spans="1:21" s="10" customFormat="1" ht="60" customHeight="1" x14ac:dyDescent="0.2">
      <c r="A9" s="8" t="s">
        <v>8</v>
      </c>
      <c r="B9" s="29"/>
      <c r="C9" s="30"/>
      <c r="D9" s="25" t="s">
        <v>333</v>
      </c>
      <c r="E9" s="48" t="s">
        <v>334</v>
      </c>
      <c r="F9" s="25" t="s">
        <v>283</v>
      </c>
      <c r="G9" s="25" t="s">
        <v>284</v>
      </c>
      <c r="H9" s="25" t="s">
        <v>285</v>
      </c>
      <c r="I9" s="49" t="s">
        <v>286</v>
      </c>
      <c r="J9" s="25" t="s">
        <v>287</v>
      </c>
      <c r="K9" s="65"/>
      <c r="L9" s="49"/>
      <c r="M9" s="25"/>
      <c r="N9" s="25"/>
      <c r="O9" s="25"/>
      <c r="P9" s="25"/>
      <c r="Q9" s="25"/>
      <c r="R9" s="120" t="s">
        <v>288</v>
      </c>
      <c r="S9" s="121"/>
      <c r="T9" s="120" t="s">
        <v>289</v>
      </c>
      <c r="U9" s="121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286</v>
      </c>
      <c r="M10" s="25" t="s">
        <v>287</v>
      </c>
      <c r="N10" s="25" t="s">
        <v>286</v>
      </c>
      <c r="O10" s="25" t="s">
        <v>287</v>
      </c>
      <c r="P10" s="25" t="s">
        <v>286</v>
      </c>
      <c r="Q10" s="25" t="s">
        <v>287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102</v>
      </c>
      <c r="E11" s="27" t="s">
        <v>50</v>
      </c>
      <c r="F11" s="37"/>
      <c r="G11" s="24" t="s">
        <v>103</v>
      </c>
      <c r="H11" s="28" t="s">
        <v>264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51</v>
      </c>
      <c r="E12" s="26" t="s">
        <v>52</v>
      </c>
      <c r="F12" s="26"/>
      <c r="G12" s="39" t="s">
        <v>335</v>
      </c>
      <c r="H12" s="39" t="s">
        <v>265</v>
      </c>
      <c r="I12" s="8" t="s">
        <v>229</v>
      </c>
      <c r="J12" s="8" t="s">
        <v>229</v>
      </c>
      <c r="K12" s="8"/>
      <c r="L12" s="8"/>
      <c r="M12" s="8"/>
      <c r="N12" s="8"/>
      <c r="O12" s="8"/>
      <c r="P12" s="8"/>
      <c r="Q12" s="8"/>
      <c r="R12" s="120"/>
      <c r="S12" s="121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39" t="s">
        <v>336</v>
      </c>
      <c r="H13" s="39" t="s">
        <v>147</v>
      </c>
      <c r="I13" s="8" t="s">
        <v>229</v>
      </c>
      <c r="J13" s="8" t="s">
        <v>229</v>
      </c>
      <c r="K13" s="8"/>
      <c r="L13" s="8"/>
      <c r="M13" s="8"/>
      <c r="N13" s="8"/>
      <c r="O13" s="8"/>
      <c r="P13" s="8"/>
      <c r="Q13" s="8"/>
      <c r="R13" s="120"/>
      <c r="S13" s="121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55</v>
      </c>
      <c r="E14" s="26" t="s">
        <v>56</v>
      </c>
      <c r="F14" s="26"/>
      <c r="G14" s="39" t="s">
        <v>337</v>
      </c>
      <c r="H14" s="39" t="s">
        <v>266</v>
      </c>
      <c r="I14" s="8" t="s">
        <v>229</v>
      </c>
      <c r="J14" s="8" t="s">
        <v>229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338</v>
      </c>
      <c r="H15" s="39" t="s">
        <v>267</v>
      </c>
      <c r="I15" s="8" t="s">
        <v>229</v>
      </c>
      <c r="J15" s="8" t="s">
        <v>229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290</v>
      </c>
      <c r="H16" s="39" t="s">
        <v>228</v>
      </c>
      <c r="I16" s="8" t="s">
        <v>230</v>
      </c>
      <c r="J16" s="8" t="s">
        <v>229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61</v>
      </c>
      <c r="E17" s="26" t="s">
        <v>62</v>
      </c>
      <c r="F17" s="26"/>
      <c r="G17" s="39" t="s">
        <v>313</v>
      </c>
      <c r="H17" s="39" t="s">
        <v>240</v>
      </c>
      <c r="I17" s="8" t="s">
        <v>230</v>
      </c>
      <c r="J17" s="8" t="s">
        <v>229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314</v>
      </c>
      <c r="H18" s="39" t="s">
        <v>241</v>
      </c>
      <c r="I18" s="8" t="s">
        <v>230</v>
      </c>
      <c r="J18" s="8" t="s">
        <v>229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8">
        <v>10</v>
      </c>
      <c r="B19" s="8"/>
      <c r="C19" s="8"/>
      <c r="D19" s="8" t="s">
        <v>65</v>
      </c>
      <c r="E19" s="26" t="s">
        <v>66</v>
      </c>
      <c r="F19" s="26"/>
      <c r="G19" s="39" t="s">
        <v>315</v>
      </c>
      <c r="H19" s="39" t="s">
        <v>242</v>
      </c>
      <c r="I19" s="8" t="s">
        <v>230</v>
      </c>
      <c r="J19" s="8" t="s">
        <v>229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67</v>
      </c>
      <c r="E20" s="26" t="s">
        <v>68</v>
      </c>
      <c r="F20" s="26"/>
      <c r="G20" s="39" t="s">
        <v>316</v>
      </c>
      <c r="H20" s="39" t="s">
        <v>243</v>
      </c>
      <c r="I20" s="8" t="s">
        <v>230</v>
      </c>
      <c r="J20" s="8" t="s">
        <v>229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71</v>
      </c>
      <c r="E21" s="26" t="s">
        <v>72</v>
      </c>
      <c r="F21" s="26"/>
      <c r="G21" s="39" t="s">
        <v>293</v>
      </c>
      <c r="H21" s="39" t="s">
        <v>232</v>
      </c>
      <c r="I21" s="8" t="s">
        <v>230</v>
      </c>
      <c r="J21" s="8" t="s">
        <v>229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73</v>
      </c>
      <c r="E22" s="26" t="s">
        <v>74</v>
      </c>
      <c r="F22" s="26"/>
      <c r="G22" s="39" t="s">
        <v>301</v>
      </c>
      <c r="H22" s="39" t="s">
        <v>225</v>
      </c>
      <c r="I22" s="8" t="s">
        <v>230</v>
      </c>
      <c r="J22" s="8" t="s">
        <v>229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143</v>
      </c>
      <c r="E23" s="26" t="s">
        <v>208</v>
      </c>
      <c r="F23" s="26"/>
      <c r="G23" s="39" t="s">
        <v>295</v>
      </c>
      <c r="H23" s="39" t="s">
        <v>142</v>
      </c>
      <c r="I23" s="8" t="s">
        <v>230</v>
      </c>
      <c r="J23" s="8" t="s">
        <v>229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x14ac:dyDescent="0.2">
      <c r="A24" s="8">
        <v>10</v>
      </c>
      <c r="B24" s="8"/>
      <c r="C24" s="8"/>
      <c r="D24" s="8" t="s">
        <v>75</v>
      </c>
      <c r="E24" s="26" t="s">
        <v>74</v>
      </c>
      <c r="F24" s="26"/>
      <c r="G24" s="39" t="s">
        <v>305</v>
      </c>
      <c r="H24" s="39" t="s">
        <v>234</v>
      </c>
      <c r="I24" s="8" t="s">
        <v>230</v>
      </c>
      <c r="J24" s="8" t="s">
        <v>229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x14ac:dyDescent="0.2">
      <c r="A25" s="8">
        <v>10</v>
      </c>
      <c r="B25" s="8"/>
      <c r="C25" s="8"/>
      <c r="D25" s="8" t="s">
        <v>76</v>
      </c>
      <c r="E25" s="26" t="s">
        <v>77</v>
      </c>
      <c r="F25" s="26"/>
      <c r="G25" s="39" t="s">
        <v>307</v>
      </c>
      <c r="H25" s="39" t="s">
        <v>236</v>
      </c>
      <c r="I25" s="8" t="s">
        <v>230</v>
      </c>
      <c r="J25" s="8" t="s">
        <v>229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78</v>
      </c>
      <c r="E26" s="26" t="s">
        <v>74</v>
      </c>
      <c r="F26" s="26"/>
      <c r="G26" s="39" t="s">
        <v>309</v>
      </c>
      <c r="H26" s="39" t="s">
        <v>238</v>
      </c>
      <c r="I26" s="8" t="s">
        <v>230</v>
      </c>
      <c r="J26" s="8" t="s">
        <v>229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79</v>
      </c>
      <c r="E27" s="26" t="s">
        <v>60</v>
      </c>
      <c r="F27" s="26"/>
      <c r="G27" s="39" t="s">
        <v>303</v>
      </c>
      <c r="H27" s="39" t="s">
        <v>231</v>
      </c>
      <c r="I27" s="8" t="s">
        <v>230</v>
      </c>
      <c r="J27" s="8" t="s">
        <v>229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80</v>
      </c>
      <c r="E28" s="26" t="s">
        <v>81</v>
      </c>
      <c r="F28" s="26"/>
      <c r="G28" s="39" t="s">
        <v>318</v>
      </c>
      <c r="H28" s="39" t="s">
        <v>245</v>
      </c>
      <c r="I28" s="8" t="s">
        <v>230</v>
      </c>
      <c r="J28" s="8" t="s">
        <v>229</v>
      </c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10</v>
      </c>
      <c r="B29" s="8"/>
      <c r="C29" s="8"/>
      <c r="D29" s="8" t="s">
        <v>84</v>
      </c>
      <c r="E29" s="26" t="s">
        <v>85</v>
      </c>
      <c r="F29" s="26"/>
      <c r="G29" s="39" t="s">
        <v>326</v>
      </c>
      <c r="H29" s="39" t="s">
        <v>248</v>
      </c>
      <c r="I29" s="8" t="s">
        <v>229</v>
      </c>
      <c r="J29" s="8" t="s">
        <v>229</v>
      </c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x14ac:dyDescent="0.2">
      <c r="A30" s="8">
        <v>10</v>
      </c>
      <c r="B30" s="8"/>
      <c r="C30" s="8"/>
      <c r="D30" s="8" t="s">
        <v>82</v>
      </c>
      <c r="E30" s="26" t="s">
        <v>83</v>
      </c>
      <c r="F30" s="26"/>
      <c r="G30" s="39" t="s">
        <v>324</v>
      </c>
      <c r="H30" s="39" t="s">
        <v>246</v>
      </c>
      <c r="I30" s="8" t="s">
        <v>229</v>
      </c>
      <c r="J30" s="8" t="s">
        <v>229</v>
      </c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x14ac:dyDescent="0.2">
      <c r="A31" s="8">
        <v>10</v>
      </c>
      <c r="B31" s="8"/>
      <c r="C31" s="8"/>
      <c r="D31" s="8" t="s">
        <v>88</v>
      </c>
      <c r="E31" s="26" t="s">
        <v>89</v>
      </c>
      <c r="F31" s="26"/>
      <c r="G31" s="39" t="s">
        <v>327</v>
      </c>
      <c r="H31" s="39" t="s">
        <v>268</v>
      </c>
      <c r="I31" s="8" t="s">
        <v>230</v>
      </c>
      <c r="J31" s="8" t="s">
        <v>229</v>
      </c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 x14ac:dyDescent="0.2">
      <c r="A32" s="8">
        <v>10</v>
      </c>
      <c r="B32" s="8"/>
      <c r="C32" s="8"/>
      <c r="D32" s="8" t="s">
        <v>90</v>
      </c>
      <c r="E32" s="26" t="s">
        <v>91</v>
      </c>
      <c r="F32" s="26"/>
      <c r="G32" s="39" t="s">
        <v>328</v>
      </c>
      <c r="H32" s="39" t="s">
        <v>269</v>
      </c>
      <c r="I32" s="8" t="s">
        <v>230</v>
      </c>
      <c r="J32" s="8" t="s">
        <v>229</v>
      </c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8">
        <v>10</v>
      </c>
      <c r="B33" s="8"/>
      <c r="C33" s="8"/>
      <c r="D33" s="8" t="s">
        <v>92</v>
      </c>
      <c r="E33" s="26" t="s">
        <v>93</v>
      </c>
      <c r="F33" s="26"/>
      <c r="G33" s="39" t="s">
        <v>329</v>
      </c>
      <c r="H33" s="39" t="s">
        <v>270</v>
      </c>
      <c r="I33" s="8" t="s">
        <v>230</v>
      </c>
      <c r="J33" s="8" t="s">
        <v>229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10</v>
      </c>
      <c r="B34" s="8"/>
      <c r="C34" s="8"/>
      <c r="D34" s="8" t="s">
        <v>94</v>
      </c>
      <c r="E34" s="26" t="s">
        <v>95</v>
      </c>
      <c r="F34" s="26"/>
      <c r="G34" s="39" t="s">
        <v>330</v>
      </c>
      <c r="H34" s="39" t="s">
        <v>271</v>
      </c>
      <c r="I34" s="8" t="s">
        <v>230</v>
      </c>
      <c r="J34" s="8" t="s">
        <v>229</v>
      </c>
      <c r="K34" s="8"/>
      <c r="L34" s="8"/>
      <c r="M34" s="8"/>
      <c r="N34" s="8"/>
      <c r="O34" s="8"/>
      <c r="P34" s="8"/>
      <c r="Q34" s="8"/>
      <c r="R34" s="48"/>
      <c r="S34" s="49"/>
      <c r="T34" s="50"/>
      <c r="U34" s="51"/>
    </row>
    <row r="35" spans="1:21" s="10" customFormat="1" x14ac:dyDescent="0.2">
      <c r="A35" s="8">
        <v>10</v>
      </c>
      <c r="B35" s="8"/>
      <c r="C35" s="8"/>
      <c r="D35" s="8" t="s">
        <v>96</v>
      </c>
      <c r="E35" s="26" t="s">
        <v>97</v>
      </c>
      <c r="F35" s="26"/>
      <c r="G35" s="39" t="s">
        <v>331</v>
      </c>
      <c r="H35" s="39" t="s">
        <v>249</v>
      </c>
      <c r="I35" s="8" t="s">
        <v>230</v>
      </c>
      <c r="J35" s="8" t="s">
        <v>229</v>
      </c>
      <c r="K35" s="8"/>
      <c r="L35" s="8"/>
      <c r="M35" s="8"/>
      <c r="N35" s="8"/>
      <c r="O35" s="8"/>
      <c r="P35" s="8"/>
      <c r="Q35" s="8"/>
      <c r="R35" s="48"/>
      <c r="S35" s="49"/>
      <c r="T35" s="50"/>
      <c r="U35" s="51"/>
    </row>
    <row r="36" spans="1:21" s="10" customFormat="1" x14ac:dyDescent="0.2">
      <c r="A36" s="22"/>
      <c r="B36" s="23"/>
      <c r="C36" s="23"/>
      <c r="D36" s="16" t="s">
        <v>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8"/>
    </row>
    <row r="37" spans="1:21" s="10" customFormat="1" x14ac:dyDescent="0.2">
      <c r="A37" s="55"/>
      <c r="U37" s="40"/>
    </row>
    <row r="38" spans="1:21" s="10" customFormat="1" x14ac:dyDescent="0.2">
      <c r="A38" s="55"/>
      <c r="U38" s="40"/>
    </row>
    <row r="39" spans="1:21" s="10" customFormat="1" x14ac:dyDescent="0.2">
      <c r="A39" s="55"/>
      <c r="U39" s="40"/>
    </row>
    <row r="40" spans="1:21" s="10" customFormat="1" x14ac:dyDescent="0.2">
      <c r="A40" s="55"/>
      <c r="U40" s="40"/>
    </row>
    <row r="41" spans="1:21" s="10" customFormat="1" x14ac:dyDescent="0.2">
      <c r="A41" s="55"/>
      <c r="U41" s="40"/>
    </row>
    <row r="42" spans="1:21" s="10" customFormat="1" x14ac:dyDescent="0.2">
      <c r="A42" s="55"/>
      <c r="U42" s="40"/>
    </row>
    <row r="43" spans="1:21" s="10" customFormat="1" x14ac:dyDescent="0.2">
      <c r="A43" s="55"/>
      <c r="U43" s="40"/>
    </row>
    <row r="44" spans="1:21" s="10" customFormat="1" x14ac:dyDescent="0.2">
      <c r="A44" s="55"/>
      <c r="U44" s="40"/>
    </row>
    <row r="45" spans="1:21" s="10" customFormat="1" x14ac:dyDescent="0.2">
      <c r="A45" s="55"/>
      <c r="U45" s="40"/>
    </row>
    <row r="46" spans="1:21" s="10" customFormat="1" x14ac:dyDescent="0.2">
      <c r="A46" s="55"/>
      <c r="U46" s="40"/>
    </row>
    <row r="47" spans="1:21" s="10" customFormat="1" x14ac:dyDescent="0.2">
      <c r="A47" s="55"/>
      <c r="U47" s="40"/>
    </row>
    <row r="48" spans="1:21" s="10" customFormat="1" x14ac:dyDescent="0.2">
      <c r="A48" s="55"/>
      <c r="U48" s="40"/>
    </row>
    <row r="49" spans="1:21" s="10" customFormat="1" x14ac:dyDescent="0.2">
      <c r="A49" s="55"/>
      <c r="U49" s="40"/>
    </row>
    <row r="50" spans="1:21" s="10" customFormat="1" x14ac:dyDescent="0.2">
      <c r="A50" s="62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43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7" t="s">
        <v>16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0" t="s">
        <v>17</v>
      </c>
      <c r="B3" s="101"/>
      <c r="C3" s="101"/>
      <c r="D3" s="101"/>
      <c r="E3" s="101"/>
      <c r="F3" s="101"/>
      <c r="G3" s="102"/>
      <c r="H3" s="103" t="s">
        <v>18</v>
      </c>
      <c r="I3" s="101"/>
      <c r="J3" s="101"/>
      <c r="K3" s="101"/>
      <c r="L3" s="101"/>
      <c r="M3" s="101"/>
      <c r="N3" s="102"/>
      <c r="O3" s="103" t="s">
        <v>19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20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21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340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341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Srch01</vt:lpstr>
      <vt:lpstr>Srch02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2026-03-27T05:56:58Z</dcterms:modified>
  <cp:category/>
</cp:coreProperties>
</file>