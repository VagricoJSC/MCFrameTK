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3119AFF9-65AD-4BD7-B21F-623187A0B30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LPC" sheetId="6" r:id="rId2"/>
    <sheet name="StrLnUtil_Srch01" sheetId="10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 l="1"/>
  <c r="L3" i="10"/>
  <c r="H3" i="10"/>
  <c r="F3" i="10"/>
  <c r="D3" i="10"/>
  <c r="L2" i="10"/>
  <c r="H2" i="10"/>
  <c r="F2" i="10"/>
  <c r="H4" i="6" l="1"/>
  <c r="H3" i="6"/>
  <c r="H2" i="6"/>
  <c r="L4" i="6"/>
  <c r="L3" i="6"/>
  <c r="F3" i="6"/>
  <c r="D3" i="6"/>
  <c r="L2" i="6"/>
  <c r="F2" i="6"/>
</calcChain>
</file>

<file path=xl/sharedStrings.xml><?xml version="1.0" encoding="utf-8"?>
<sst xmlns="http://schemas.openxmlformats.org/spreadsheetml/2006/main" count="214" uniqueCount="106">
  <si>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</si>
  <si>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</si>
  <si>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</si>
  <si>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</si>
  <si>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</si>
  <si>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</si>
  <si>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 xml:space="preserve">Ope.Name : </t>
    <phoneticPr fontId="1"/>
  </si>
  <si>
    <t>概要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</si>
  <si>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</si>
  <si>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</si>
  <si>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</si>
  <si>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ID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</si>
  <si>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</si>
  <si>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</si>
  <si>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</si>
  <si>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</si>
  <si>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</si>
  <si>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</si>
  <si>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</si>
  <si>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</si>
  <si>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</si>
  <si>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</si>
  <si>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</si>
  <si>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</si>
  <si>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</si>
  <si>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</si>
  <si>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D</t>
    <phoneticPr fontId="2"/>
  </si>
  <si>
    <t>ダミー</t>
    <phoneticPr fontId="2"/>
  </si>
  <si>
    <t>*</t>
    <phoneticPr fontId="1"/>
  </si>
  <si>
    <t>#MA.INT</t>
  </si>
  <si>
    <t>peg_no</t>
    <phoneticPr fontId="2"/>
  </si>
  <si>
    <t>*</t>
    <phoneticPr fontId="2"/>
  </si>
  <si>
    <t>L</t>
    <phoneticPr fontId="2"/>
  </si>
  <si>
    <t>@</t>
    <phoneticPr fontId="2"/>
  </si>
  <si>
    <t>MS</t>
    <phoneticPr fontId="2"/>
  </si>
  <si>
    <t>Pj.ID :</t>
    <phoneticPr fontId="1"/>
  </si>
  <si>
    <t>MSUC</t>
    <phoneticPr fontId="2"/>
  </si>
  <si>
    <t>SuperClassPj.ID :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</si>
  <si>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</si>
  <si>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</si>
  <si>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</si>
  <si>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</si>
  <si>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LPC</t>
    <phoneticPr fontId="1"/>
  </si>
  <si>
    <t>000000</t>
    <phoneticPr fontId="1"/>
  </si>
  <si>
    <t>ACType :</t>
    <phoneticPr fontId="1"/>
  </si>
  <si>
    <t>ImplOpe.ID:</t>
    <phoneticPr fontId="1"/>
  </si>
  <si>
    <t>super/share</t>
    <phoneticPr fontId="1"/>
  </si>
  <si>
    <t>ALL</t>
    <phoneticPr fontId="1"/>
  </si>
  <si>
    <t>紐付けＮＯ</t>
    <phoneticPr fontId="2"/>
  </si>
  <si>
    <t>E</t>
    <phoneticPr fontId="2"/>
  </si>
  <si>
    <t>-</t>
    <phoneticPr fontId="2"/>
  </si>
  <si>
    <t>itm_cd</t>
  </si>
  <si>
    <t>itm_sub1</t>
  </si>
  <si>
    <t>itm_sub2</t>
  </si>
  <si>
    <t>itm_sub3</t>
  </si>
  <si>
    <t>#MA.LOC_CD</t>
  </si>
  <si>
    <t>#MA.ITM_CD</t>
  </si>
  <si>
    <t>#MA.ITM_SUB1</t>
  </si>
  <si>
    <t>#MA.ITM_SUB2</t>
  </si>
  <si>
    <t>loc_cd</t>
    <phoneticPr fontId="2"/>
  </si>
  <si>
    <t>場所ＣＤ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</si>
  <si>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</si>
  <si>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</si>
  <si>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</si>
  <si>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</si>
  <si>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MSUCL_StrLnUtil</t>
    <phoneticPr fontId="2"/>
  </si>
  <si>
    <t>MSUCL0110</t>
    <phoneticPr fontId="2"/>
  </si>
  <si>
    <t>棚・ラインユーティリティ</t>
    <rPh sb="0" eb="1">
      <t>タナ</t>
    </rPh>
    <phoneticPr fontId="2"/>
  </si>
  <si>
    <t>棚・ラインに関するユーティリティを提供します。</t>
    <rPh sb="0" eb="1">
      <t>タナ</t>
    </rPh>
    <rPh sb="6" eb="7">
      <t>カン</t>
    </rPh>
    <rPh sb="17" eb="19">
      <t>テイキョウ</t>
    </rPh>
    <phoneticPr fontId="2"/>
  </si>
  <si>
    <t>品目と場所から標準棚・ラインCDを取得する</t>
    <rPh sb="0" eb="2">
      <t>ヒンモク</t>
    </rPh>
    <rPh sb="3" eb="5">
      <t>バショ</t>
    </rPh>
    <rPh sb="7" eb="9">
      <t>ヒョウジュン</t>
    </rPh>
    <rPh sb="9" eb="10">
      <t>タナ</t>
    </rPh>
    <rPh sb="17" eb="19">
      <t>シュトク</t>
    </rPh>
    <phoneticPr fontId="2"/>
  </si>
  <si>
    <t>StrLnUtil_Srch01_Cnd</t>
    <phoneticPr fontId="2"/>
  </si>
  <si>
    <t>str_ln_cd</t>
    <phoneticPr fontId="2"/>
  </si>
  <si>
    <t>#MA.ITM_SUB3</t>
    <phoneticPr fontId="2"/>
  </si>
  <si>
    <t>標準棚・ラインＣＤ取得</t>
    <rPh sb="0" eb="2">
      <t>ヒョウジュン</t>
    </rPh>
    <rPh sb="2" eb="3">
      <t>タナ</t>
    </rPh>
    <rPh sb="9" eb="11">
      <t>シュトク</t>
    </rPh>
    <phoneticPr fontId="2"/>
  </si>
  <si>
    <t>#MA.STR_LN_CD</t>
    <phoneticPr fontId="2"/>
  </si>
  <si>
    <t>StrLnUtil_Srch01</t>
  </si>
  <si>
    <t>str_ln_nm</t>
    <phoneticPr fontId="2"/>
  </si>
  <si>
    <t>#MA.STR_LN_NM</t>
    <phoneticPr fontId="2"/>
  </si>
  <si>
    <t>MS.MSUDL5010</t>
    <phoneticPr fontId="2"/>
  </si>
  <si>
    <t>"mcframe.serverMAUD.MAUDL5010.MAUDL_Operation"</t>
    <phoneticPr fontId="2"/>
  </si>
  <si>
    <t>棚・ラインＣＤ</t>
    <phoneticPr fontId="2"/>
  </si>
  <si>
    <t>棚・ライン名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</si>
  <si>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</si>
  <si>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</si>
  <si>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</si>
  <si>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</si>
  <si>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</si>
  <si>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</si>
  <si>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</si>
  <si>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</si>
  <si>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</si>
  <si>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</si>
  <si>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</si>
  <si>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</si>
  <si>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</si>
  <si>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</si>
  <si>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</si>
  <si>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Item cd.</t>
  </si>
  <si>
    <t>Branch No. 1</t>
  </si>
  <si>
    <t>Branch No. 2</t>
  </si>
  <si>
    <t>Branch No. 3</t>
  </si>
  <si>
    <t>Location cd.</t>
  </si>
  <si>
    <t>Rack/Line cd.</t>
  </si>
  <si>
    <t>Rack/Line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</si>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</sst>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3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44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horizontal="left"/>
    </xf>
    <xf numFmtId="0" fontId="14" fillId="0" borderId="15">
      <alignment horizont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6" fillId="18" borderId="33" applyNumberFormat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9" fillId="7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7" fillId="0" borderId="0"/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20" fillId="20" borderId="3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5" fillId="20" borderId="4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27" fillId="10" borderId="36" applyNumberFormat="0" applyAlignment="0" applyProtection="0">
      <alignment vertical="center"/>
    </xf>
    <xf numFmtId="0" fontId="11" fillId="0" borderId="0">
      <alignment vertical="center"/>
    </xf>
    <xf numFmtId="0" fontId="9" fillId="0" borderId="0"/>
    <xf numFmtId="0" fontId="28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left" vertical="top"/>
    </xf>
    <xf numFmtId="0" fontId="31" fillId="0" borderId="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4" xfId="0" applyFont="1" applyBorder="1" applyAlignment="1">
      <alignment vertical="top"/>
    </xf>
    <xf numFmtId="0" fontId="31" fillId="0" borderId="5" xfId="0" applyFont="1" applyBorder="1" applyAlignment="1">
      <alignment vertical="top"/>
    </xf>
    <xf numFmtId="0" fontId="31" fillId="2" borderId="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3" borderId="5" xfId="0" applyFont="1" applyFill="1" applyBorder="1" applyAlignment="1">
      <alignment vertical="top"/>
    </xf>
    <xf numFmtId="0" fontId="31" fillId="3" borderId="2" xfId="0" applyFont="1" applyFill="1" applyBorder="1" applyAlignment="1">
      <alignment vertical="top"/>
    </xf>
    <xf numFmtId="0" fontId="31" fillId="3" borderId="2" xfId="0" applyFont="1" applyFill="1" applyBorder="1" applyAlignment="1">
      <alignment horizontal="left" vertical="top"/>
    </xf>
    <xf numFmtId="0" fontId="31" fillId="3" borderId="12" xfId="0" applyFont="1" applyFill="1" applyBorder="1" applyAlignment="1">
      <alignment vertical="top"/>
    </xf>
    <xf numFmtId="0" fontId="31" fillId="0" borderId="3" xfId="0" applyFont="1" applyBorder="1">
      <alignment vertical="top" wrapText="1"/>
    </xf>
    <xf numFmtId="0" fontId="31" fillId="0" borderId="4" xfId="0" applyFont="1" applyBorder="1" applyAlignment="1">
      <alignment vertical="center"/>
    </xf>
    <xf numFmtId="0" fontId="31" fillId="0" borderId="4" xfId="0" applyFont="1" applyBorder="1" applyAlignment="1">
      <alignment horizontal="left" vertical="top"/>
    </xf>
    <xf numFmtId="0" fontId="31" fillId="0" borderId="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7" xfId="0" applyFont="1" applyBorder="1" applyAlignment="1">
      <alignment vertical="top"/>
    </xf>
    <xf numFmtId="0" fontId="31" fillId="2" borderId="8" xfId="0" applyFont="1" applyFill="1" applyBorder="1" applyAlignment="1">
      <alignment vertical="top"/>
    </xf>
    <xf numFmtId="0" fontId="31" fillId="2" borderId="4" xfId="0" applyFont="1" applyFill="1" applyBorder="1" applyAlignment="1">
      <alignment vertical="top"/>
    </xf>
    <xf numFmtId="0" fontId="31" fillId="2" borderId="5" xfId="0" applyFont="1" applyFill="1" applyBorder="1" applyAlignment="1">
      <alignment vertical="center"/>
    </xf>
    <xf numFmtId="0" fontId="31" fillId="0" borderId="5" xfId="0" applyFont="1" applyBorder="1">
      <alignment vertical="top" wrapText="1"/>
    </xf>
    <xf numFmtId="0" fontId="31" fillId="2" borderId="5" xfId="0" applyFont="1" applyFill="1" applyBorder="1">
      <alignment vertical="top" wrapText="1"/>
    </xf>
    <xf numFmtId="0" fontId="31" fillId="2" borderId="5" xfId="0" applyFont="1" applyFill="1" applyBorder="1" applyAlignment="1">
      <alignment wrapText="1"/>
    </xf>
    <xf numFmtId="0" fontId="31" fillId="2" borderId="12" xfId="0" applyFont="1" applyFill="1" applyBorder="1" applyAlignment="1">
      <alignment wrapText="1"/>
    </xf>
    <xf numFmtId="0" fontId="31" fillId="2" borderId="11" xfId="0" applyFont="1" applyFill="1" applyBorder="1" applyAlignment="1">
      <alignment vertical="top"/>
    </xf>
    <xf numFmtId="0" fontId="31" fillId="2" borderId="12" xfId="0" applyFont="1" applyFill="1" applyBorder="1" applyAlignment="1">
      <alignment vertical="top"/>
    </xf>
    <xf numFmtId="0" fontId="31" fillId="0" borderId="4" xfId="0" applyFont="1" applyBorder="1" applyAlignment="1">
      <alignment wrapText="1"/>
    </xf>
    <xf numFmtId="0" fontId="31" fillId="2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2" xfId="0" applyFont="1" applyBorder="1" applyAlignment="1">
      <alignment wrapText="1"/>
    </xf>
    <xf numFmtId="0" fontId="31" fillId="0" borderId="0" xfId="0" applyFont="1" applyAlignment="1">
      <alignment wrapText="1"/>
    </xf>
    <xf numFmtId="0" fontId="31" fillId="0" borderId="2" xfId="0" applyFont="1" applyBorder="1" applyAlignment="1"/>
    <xf numFmtId="0" fontId="31" fillId="0" borderId="13" xfId="0" applyFont="1" applyBorder="1">
      <alignment vertical="top" wrapText="1"/>
    </xf>
    <xf numFmtId="0" fontId="31" fillId="0" borderId="7" xfId="0" applyFont="1" applyBorder="1">
      <alignment vertical="top" wrapText="1"/>
    </xf>
    <xf numFmtId="0" fontId="31" fillId="0" borderId="12" xfId="0" applyFont="1" applyBorder="1" applyAlignment="1">
      <alignment wrapText="1"/>
    </xf>
    <xf numFmtId="0" fontId="31" fillId="0" borderId="11" xfId="0" applyFont="1" applyBorder="1" applyAlignment="1">
      <alignment wrapText="1"/>
    </xf>
    <xf numFmtId="0" fontId="31" fillId="3" borderId="5" xfId="0" applyFont="1" applyFill="1" applyBorder="1">
      <alignment vertical="top" wrapText="1"/>
    </xf>
    <xf numFmtId="0" fontId="34" fillId="0" borderId="0" xfId="6" applyFont="1"/>
    <xf numFmtId="0" fontId="34" fillId="0" borderId="0" xfId="6" applyFont="1" applyAlignment="1">
      <alignment horizontal="center" vertical="center"/>
    </xf>
    <xf numFmtId="0" fontId="34" fillId="0" borderId="0" xfId="6" applyFont="1" applyAlignment="1">
      <alignment horizontal="center"/>
    </xf>
    <xf numFmtId="0" fontId="34" fillId="0" borderId="0" xfId="8" applyFont="1"/>
    <xf numFmtId="0" fontId="34" fillId="0" borderId="0" xfId="8" applyFont="1" applyAlignment="1">
      <alignment horizontal="center"/>
    </xf>
    <xf numFmtId="0" fontId="31" fillId="0" borderId="12" xfId="0" applyFont="1" applyBorder="1" applyAlignment="1"/>
    <xf numFmtId="0" fontId="31" fillId="2" borderId="3" xfId="0" applyFont="1" applyFill="1" applyBorder="1" applyAlignment="1">
      <alignment vertical="top"/>
    </xf>
    <xf numFmtId="0" fontId="31" fillId="4" borderId="5" xfId="0" applyFont="1" applyFill="1" applyBorder="1" applyAlignment="1">
      <alignment vertical="top"/>
    </xf>
    <xf numFmtId="0" fontId="31" fillId="2" borderId="9" xfId="0" applyFont="1" applyFill="1" applyBorder="1" applyAlignment="1">
      <alignment vertical="top"/>
    </xf>
    <xf numFmtId="0" fontId="31" fillId="2" borderId="0" xfId="0" applyFont="1" applyFill="1" applyAlignment="1">
      <alignment vertical="top"/>
    </xf>
    <xf numFmtId="0" fontId="31" fillId="4" borderId="0" xfId="0" applyFont="1" applyFill="1">
      <alignment vertical="top" wrapText="1"/>
    </xf>
    <xf numFmtId="0" fontId="31" fillId="0" borderId="11" xfId="0" applyFont="1" applyBorder="1" applyAlignment="1">
      <alignment vertical="top"/>
    </xf>
    <xf numFmtId="0" fontId="31" fillId="2" borderId="5" xfId="0" quotePrefix="1" applyFont="1" applyFill="1" applyBorder="1" applyAlignment="1">
      <alignment vertical="top"/>
    </xf>
    <xf numFmtId="0" fontId="31" fillId="0" borderId="5" xfId="0" applyFont="1" applyBorder="1" applyAlignment="1">
      <alignment vertical="center"/>
    </xf>
    <xf numFmtId="0" fontId="31" fillId="0" borderId="0" xfId="0" applyFont="1" applyAlignment="1"/>
    <xf numFmtId="0" fontId="31" fillId="2" borderId="10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10" xfId="0" applyFont="1" applyBorder="1" applyAlignment="1">
      <alignment vertical="top"/>
    </xf>
    <xf numFmtId="0" fontId="31" fillId="0" borderId="4" xfId="0" applyFont="1" applyBorder="1">
      <alignment vertical="top" wrapText="1"/>
    </xf>
    <xf numFmtId="0" fontId="31" fillId="2" borderId="11" xfId="0" applyFont="1" applyFill="1" applyBorder="1">
      <alignment vertical="top" wrapText="1"/>
    </xf>
    <xf numFmtId="0" fontId="31" fillId="2" borderId="12" xfId="0" applyFont="1" applyFill="1" applyBorder="1">
      <alignment vertical="top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177" fontId="33" fillId="0" borderId="28" xfId="8" applyNumberFormat="1" applyFont="1" applyBorder="1" applyAlignment="1">
      <alignment horizontal="center" vertical="center"/>
    </xf>
    <xf numFmtId="177" fontId="33" fillId="0" borderId="29" xfId="7" applyNumberFormat="1" applyFont="1" applyBorder="1" applyAlignment="1">
      <alignment horizontal="center" vertical="center"/>
    </xf>
    <xf numFmtId="177" fontId="33" fillId="0" borderId="30" xfId="7" applyNumberFormat="1" applyFont="1" applyBorder="1" applyAlignment="1">
      <alignment horizontal="center" vertical="center"/>
    </xf>
    <xf numFmtId="0" fontId="33" fillId="0" borderId="31" xfId="8" applyFont="1" applyBorder="1" applyAlignment="1">
      <alignment horizontal="left" vertical="center" wrapText="1"/>
    </xf>
    <xf numFmtId="0" fontId="33" fillId="0" borderId="29" xfId="7" applyFont="1" applyBorder="1" applyAlignment="1">
      <alignment horizontal="left" vertical="center" wrapText="1"/>
    </xf>
    <xf numFmtId="0" fontId="33" fillId="0" borderId="30" xfId="7" applyFont="1" applyBorder="1" applyAlignment="1">
      <alignment horizontal="left" vertical="center" wrapText="1"/>
    </xf>
    <xf numFmtId="0" fontId="33" fillId="0" borderId="29" xfId="7" applyFont="1" applyBorder="1" applyAlignment="1">
      <alignment vertical="center" wrapText="1"/>
    </xf>
    <xf numFmtId="0" fontId="33" fillId="0" borderId="30" xfId="7" applyFont="1" applyBorder="1" applyAlignment="1">
      <alignment vertical="center" wrapText="1"/>
    </xf>
    <xf numFmtId="0" fontId="33" fillId="0" borderId="31" xfId="8" applyFont="1" applyBorder="1" applyAlignment="1">
      <alignment vertical="center" wrapText="1"/>
    </xf>
    <xf numFmtId="0" fontId="33" fillId="0" borderId="32" xfId="7" applyFont="1" applyBorder="1" applyAlignment="1">
      <alignment vertical="center" wrapText="1"/>
    </xf>
    <xf numFmtId="177" fontId="33" fillId="0" borderId="26" xfId="8" applyNumberFormat="1" applyFont="1" applyBorder="1" applyAlignment="1">
      <alignment horizontal="center" vertical="center"/>
    </xf>
    <xf numFmtId="177" fontId="33" fillId="0" borderId="2" xfId="7" applyNumberFormat="1" applyFont="1" applyBorder="1" applyAlignment="1">
      <alignment horizontal="center" vertical="center"/>
    </xf>
    <xf numFmtId="177" fontId="33" fillId="0" borderId="12" xfId="7" applyNumberFormat="1" applyFont="1" applyBorder="1" applyAlignment="1">
      <alignment horizontal="center" vertical="center"/>
    </xf>
    <xf numFmtId="0" fontId="33" fillId="0" borderId="11" xfId="8" applyFont="1" applyBorder="1" applyAlignment="1">
      <alignment horizontal="left" vertical="center" wrapText="1"/>
    </xf>
    <xf numFmtId="0" fontId="33" fillId="0" borderId="2" xfId="7" applyFont="1" applyBorder="1" applyAlignment="1">
      <alignment horizontal="left" vertical="center" wrapText="1"/>
    </xf>
    <xf numFmtId="0" fontId="33" fillId="0" borderId="12" xfId="7" applyFont="1" applyBorder="1" applyAlignment="1">
      <alignment horizontal="left" vertical="center" wrapText="1"/>
    </xf>
    <xf numFmtId="0" fontId="33" fillId="0" borderId="2" xfId="7" applyFont="1" applyBorder="1" applyAlignment="1">
      <alignment vertical="center" wrapText="1"/>
    </xf>
    <xf numFmtId="0" fontId="33" fillId="0" borderId="12" xfId="7" applyFont="1" applyBorder="1" applyAlignment="1">
      <alignment vertical="center" wrapText="1"/>
    </xf>
    <xf numFmtId="0" fontId="33" fillId="0" borderId="11" xfId="8" applyFont="1" applyBorder="1" applyAlignment="1">
      <alignment vertical="center" wrapText="1"/>
    </xf>
    <xf numFmtId="0" fontId="33" fillId="0" borderId="27" xfId="7" applyFont="1" applyBorder="1" applyAlignment="1">
      <alignment vertical="center" wrapText="1"/>
    </xf>
    <xf numFmtId="0" fontId="33" fillId="0" borderId="11" xfId="8" applyFont="1" applyBorder="1" applyAlignment="1">
      <alignment horizontal="center" vertical="center" wrapText="1"/>
    </xf>
    <xf numFmtId="0" fontId="33" fillId="0" borderId="2" xfId="7" applyFont="1" applyBorder="1" applyAlignment="1">
      <alignment horizontal="center" vertical="center" wrapText="1"/>
    </xf>
    <xf numFmtId="0" fontId="33" fillId="0" borderId="12" xfId="7" applyFont="1" applyBorder="1" applyAlignment="1">
      <alignment horizontal="center" vertical="center" wrapText="1"/>
    </xf>
    <xf numFmtId="0" fontId="33" fillId="0" borderId="2" xfId="8" applyFont="1" applyBorder="1" applyAlignment="1">
      <alignment horizontal="left" vertical="center" wrapText="1"/>
    </xf>
    <xf numFmtId="0" fontId="33" fillId="0" borderId="12" xfId="8" applyFont="1" applyBorder="1" applyAlignment="1">
      <alignment horizontal="left" vertical="center" wrapText="1"/>
    </xf>
    <xf numFmtId="0" fontId="33" fillId="0" borderId="2" xfId="8" applyFont="1" applyBorder="1" applyAlignment="1">
      <alignment vertical="center" wrapText="1"/>
    </xf>
    <xf numFmtId="0" fontId="33" fillId="0" borderId="27" xfId="8" applyFont="1" applyBorder="1" applyAlignment="1">
      <alignment vertical="center" wrapText="1"/>
    </xf>
    <xf numFmtId="0" fontId="33" fillId="0" borderId="11" xfId="8" applyFont="1" applyBorder="1" applyAlignment="1">
      <alignment horizontal="left" vertical="center"/>
    </xf>
    <xf numFmtId="0" fontId="33" fillId="0" borderId="2" xfId="7" applyFont="1" applyBorder="1" applyAlignment="1">
      <alignment horizontal="left" vertical="center"/>
    </xf>
    <xf numFmtId="0" fontId="33" fillId="0" borderId="12" xfId="7" applyFont="1" applyBorder="1" applyAlignment="1">
      <alignment horizontal="left" vertical="center"/>
    </xf>
    <xf numFmtId="0" fontId="33" fillId="0" borderId="11" xfId="8" applyFont="1" applyBorder="1" applyAlignment="1">
      <alignment vertical="center"/>
    </xf>
    <xf numFmtId="0" fontId="33" fillId="0" borderId="2" xfId="7" applyFont="1" applyBorder="1" applyAlignment="1">
      <alignment vertical="center"/>
    </xf>
    <xf numFmtId="0" fontId="33" fillId="0" borderId="27" xfId="7" applyFont="1" applyBorder="1" applyAlignment="1">
      <alignment vertical="center"/>
    </xf>
    <xf numFmtId="0" fontId="32" fillId="3" borderId="14" xfId="6" applyFont="1" applyFill="1" applyBorder="1" applyAlignment="1">
      <alignment horizontal="center" vertical="center"/>
    </xf>
    <xf numFmtId="0" fontId="33" fillId="0" borderId="15" xfId="7" applyFont="1" applyBorder="1" applyAlignment="1">
      <alignment vertical="center"/>
    </xf>
    <xf numFmtId="0" fontId="33" fillId="0" borderId="16" xfId="7" applyFont="1" applyBorder="1" applyAlignment="1">
      <alignment vertical="center"/>
    </xf>
    <xf numFmtId="0" fontId="34" fillId="3" borderId="17" xfId="8" applyFont="1" applyFill="1" applyBorder="1" applyAlignment="1">
      <alignment horizontal="center" vertical="center"/>
    </xf>
    <xf numFmtId="0" fontId="33" fillId="0" borderId="1" xfId="7" applyFont="1" applyBorder="1" applyAlignment="1">
      <alignment horizontal="center" vertical="center"/>
    </xf>
    <xf numFmtId="0" fontId="33" fillId="0" borderId="18" xfId="7" applyFont="1" applyBorder="1" applyAlignment="1">
      <alignment horizontal="center" vertical="center"/>
    </xf>
    <xf numFmtId="0" fontId="34" fillId="3" borderId="19" xfId="8" applyFont="1" applyFill="1" applyBorder="1" applyAlignment="1">
      <alignment horizontal="center" vertical="center"/>
    </xf>
    <xf numFmtId="0" fontId="34" fillId="3" borderId="1" xfId="8" applyFont="1" applyFill="1" applyBorder="1" applyAlignment="1">
      <alignment horizontal="center" vertical="center"/>
    </xf>
    <xf numFmtId="0" fontId="34" fillId="3" borderId="18" xfId="8" applyFont="1" applyFill="1" applyBorder="1" applyAlignment="1">
      <alignment horizontal="center" vertical="center"/>
    </xf>
    <xf numFmtId="0" fontId="34" fillId="3" borderId="19" xfId="7" applyFont="1" applyFill="1" applyBorder="1" applyAlignment="1">
      <alignment horizontal="center" vertical="center"/>
    </xf>
    <xf numFmtId="0" fontId="34" fillId="0" borderId="1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177" fontId="33" fillId="0" borderId="21" xfId="8" applyNumberFormat="1" applyFont="1" applyBorder="1" applyAlignment="1">
      <alignment horizontal="center" vertical="center"/>
    </xf>
    <xf numFmtId="177" fontId="33" fillId="0" borderId="22" xfId="7" applyNumberFormat="1" applyFont="1" applyBorder="1" applyAlignment="1">
      <alignment horizontal="center" vertical="center"/>
    </xf>
    <xf numFmtId="177" fontId="33" fillId="0" borderId="23" xfId="7" applyNumberFormat="1" applyFont="1" applyBorder="1" applyAlignment="1">
      <alignment horizontal="center" vertical="center"/>
    </xf>
    <xf numFmtId="0" fontId="33" fillId="0" borderId="24" xfId="8" applyFont="1" applyBorder="1" applyAlignment="1">
      <alignment horizontal="left" vertical="center" wrapText="1"/>
    </xf>
    <xf numFmtId="0" fontId="33" fillId="0" borderId="22" xfId="7" applyFont="1" applyBorder="1" applyAlignment="1">
      <alignment horizontal="left" vertical="center" wrapText="1"/>
    </xf>
    <xf numFmtId="0" fontId="33" fillId="0" borderId="23" xfId="7" applyFont="1" applyBorder="1" applyAlignment="1">
      <alignment horizontal="left" vertical="center" wrapText="1"/>
    </xf>
    <xf numFmtId="0" fontId="33" fillId="0" borderId="22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33" fillId="0" borderId="24" xfId="8" applyFont="1" applyBorder="1" applyAlignment="1">
      <alignment vertical="center" wrapText="1"/>
    </xf>
    <xf numFmtId="0" fontId="33" fillId="0" borderId="25" xfId="7" applyFont="1" applyBorder="1" applyAlignment="1">
      <alignment vertical="center" wrapText="1"/>
    </xf>
    <xf numFmtId="0" fontId="31" fillId="0" borderId="11" xfId="0" applyFont="1" applyBorder="1">
      <alignment vertical="top" wrapText="1"/>
    </xf>
    <xf numFmtId="0" fontId="31" fillId="0" borderId="12" xfId="0" applyFont="1" applyBorder="1">
      <alignment vertical="top" wrapText="1"/>
    </xf>
    <xf numFmtId="0" fontId="31" fillId="3" borderId="11" xfId="0" applyFont="1" applyFill="1" applyBorder="1" applyAlignment="1">
      <alignment wrapText="1"/>
    </xf>
    <xf numFmtId="0" fontId="31" fillId="3" borderId="12" xfId="0" applyFont="1" applyFill="1" applyBorder="1" applyAlignment="1">
      <alignment wrapText="1"/>
    </xf>
  </cellXfs>
  <cellStyles count="144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2 2" xfId="14" xr:uid="{00000000-0005-0000-0000-000005000000}"/>
    <cellStyle name="20% - アクセント 2 3" xfId="15" xr:uid="{00000000-0005-0000-0000-000006000000}"/>
    <cellStyle name="20% - アクセント 2 4" xfId="16" xr:uid="{00000000-0005-0000-0000-000007000000}"/>
    <cellStyle name="20% - アクセント 3 2" xfId="17" xr:uid="{00000000-0005-0000-0000-000008000000}"/>
    <cellStyle name="20% - アクセント 3 3" xfId="18" xr:uid="{00000000-0005-0000-0000-000009000000}"/>
    <cellStyle name="20% - アクセント 3 4" xfId="19" xr:uid="{00000000-0005-0000-0000-00000A000000}"/>
    <cellStyle name="20% - アクセント 4 2" xfId="20" xr:uid="{00000000-0005-0000-0000-00000B000000}"/>
    <cellStyle name="20% - アクセント 4 3" xfId="21" xr:uid="{00000000-0005-0000-0000-00000C000000}"/>
    <cellStyle name="20% - アクセント 4 4" xfId="22" xr:uid="{00000000-0005-0000-0000-00000D000000}"/>
    <cellStyle name="20% - アクセント 5 2" xfId="23" xr:uid="{00000000-0005-0000-0000-00000E000000}"/>
    <cellStyle name="20% - アクセント 5 3" xfId="24" xr:uid="{00000000-0005-0000-0000-00000F000000}"/>
    <cellStyle name="20% - アクセント 5 4" xfId="25" xr:uid="{00000000-0005-0000-0000-000010000000}"/>
    <cellStyle name="20% - アクセント 6 2" xfId="26" xr:uid="{00000000-0005-0000-0000-000011000000}"/>
    <cellStyle name="20% - アクセント 6 3" xfId="27" xr:uid="{00000000-0005-0000-0000-000012000000}"/>
    <cellStyle name="20% - アクセント 6 4" xfId="28" xr:uid="{00000000-0005-0000-0000-000013000000}"/>
    <cellStyle name="40% - アクセント 1 2" xfId="29" xr:uid="{00000000-0005-0000-0000-000014000000}"/>
    <cellStyle name="40% - アクセント 1 3" xfId="30" xr:uid="{00000000-0005-0000-0000-000015000000}"/>
    <cellStyle name="40% - アクセント 1 4" xfId="31" xr:uid="{00000000-0005-0000-0000-000016000000}"/>
    <cellStyle name="40% - アクセント 2 2" xfId="32" xr:uid="{00000000-0005-0000-0000-000017000000}"/>
    <cellStyle name="40% - アクセント 2 3" xfId="33" xr:uid="{00000000-0005-0000-0000-000018000000}"/>
    <cellStyle name="40% - アクセント 2 4" xfId="34" xr:uid="{00000000-0005-0000-0000-000019000000}"/>
    <cellStyle name="40% - アクセント 3 2" xfId="35" xr:uid="{00000000-0005-0000-0000-00001A000000}"/>
    <cellStyle name="40% - アクセント 3 3" xfId="36" xr:uid="{00000000-0005-0000-0000-00001B000000}"/>
    <cellStyle name="40% - アクセント 3 4" xfId="37" xr:uid="{00000000-0005-0000-0000-00001C000000}"/>
    <cellStyle name="40% - アクセント 4 2" xfId="38" xr:uid="{00000000-0005-0000-0000-00001D000000}"/>
    <cellStyle name="40% - アクセント 4 3" xfId="39" xr:uid="{00000000-0005-0000-0000-00001E000000}"/>
    <cellStyle name="40% - アクセント 4 4" xfId="40" xr:uid="{00000000-0005-0000-0000-00001F000000}"/>
    <cellStyle name="40% - アクセント 5 2" xfId="41" xr:uid="{00000000-0005-0000-0000-000020000000}"/>
    <cellStyle name="40% - アクセント 5 3" xfId="42" xr:uid="{00000000-0005-0000-0000-000021000000}"/>
    <cellStyle name="40% - アクセント 5 4" xfId="43" xr:uid="{00000000-0005-0000-0000-000022000000}"/>
    <cellStyle name="40% - アクセント 6 2" xfId="44" xr:uid="{00000000-0005-0000-0000-000023000000}"/>
    <cellStyle name="40% - アクセント 6 3" xfId="45" xr:uid="{00000000-0005-0000-0000-000024000000}"/>
    <cellStyle name="40% - アクセント 6 4" xfId="46" xr:uid="{00000000-0005-0000-0000-000025000000}"/>
    <cellStyle name="60% - アクセント 1 2" xfId="47" xr:uid="{00000000-0005-0000-0000-000026000000}"/>
    <cellStyle name="60% - アクセント 1 3" xfId="48" xr:uid="{00000000-0005-0000-0000-000027000000}"/>
    <cellStyle name="60% - アクセント 1 4" xfId="49" xr:uid="{00000000-0005-0000-0000-000028000000}"/>
    <cellStyle name="60% - アクセント 2 2" xfId="50" xr:uid="{00000000-0005-0000-0000-000029000000}"/>
    <cellStyle name="60% - アクセント 2 3" xfId="51" xr:uid="{00000000-0005-0000-0000-00002A000000}"/>
    <cellStyle name="60% - アクセント 2 4" xfId="52" xr:uid="{00000000-0005-0000-0000-00002B000000}"/>
    <cellStyle name="60% - アクセント 3 2" xfId="53" xr:uid="{00000000-0005-0000-0000-00002C000000}"/>
    <cellStyle name="60% - アクセント 3 3" xfId="54" xr:uid="{00000000-0005-0000-0000-00002D000000}"/>
    <cellStyle name="60% - アクセント 3 4" xfId="55" xr:uid="{00000000-0005-0000-0000-00002E000000}"/>
    <cellStyle name="60% - アクセント 4 2" xfId="56" xr:uid="{00000000-0005-0000-0000-00002F000000}"/>
    <cellStyle name="60% - アクセント 4 3" xfId="57" xr:uid="{00000000-0005-0000-0000-000030000000}"/>
    <cellStyle name="60% - アクセント 4 4" xfId="58" xr:uid="{00000000-0005-0000-0000-000031000000}"/>
    <cellStyle name="60% - アクセント 5 2" xfId="59" xr:uid="{00000000-0005-0000-0000-000032000000}"/>
    <cellStyle name="60% - アクセント 5 3" xfId="60" xr:uid="{00000000-0005-0000-0000-000033000000}"/>
    <cellStyle name="60% - アクセント 5 4" xfId="61" xr:uid="{00000000-0005-0000-0000-000034000000}"/>
    <cellStyle name="60% - アクセント 6 2" xfId="62" xr:uid="{00000000-0005-0000-0000-000035000000}"/>
    <cellStyle name="60% - アクセント 6 3" xfId="63" xr:uid="{00000000-0005-0000-0000-000036000000}"/>
    <cellStyle name="60% - アクセント 6 4" xfId="64" xr:uid="{00000000-0005-0000-0000-000037000000}"/>
    <cellStyle name="Calc Currency (0)" xfId="1" xr:uid="{00000000-0005-0000-0000-000038000000}"/>
    <cellStyle name="Header1" xfId="2" xr:uid="{00000000-0005-0000-0000-000039000000}"/>
    <cellStyle name="Header2" xfId="3" xr:uid="{00000000-0005-0000-0000-00003A000000}"/>
    <cellStyle name="Normal_#18-Internet" xfId="4" xr:uid="{00000000-0005-0000-0000-00003B000000}"/>
    <cellStyle name="PSChar" xfId="65" xr:uid="{00000000-0005-0000-0000-00003C000000}"/>
    <cellStyle name="PSHeading" xfId="66" xr:uid="{00000000-0005-0000-0000-00003D000000}"/>
    <cellStyle name="u" xfId="5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7" xr:uid="{00000000-0005-0000-0000-000089000000}"/>
    <cellStyle name="標準_A00200 オーダー状況" xfId="6" xr:uid="{00000000-0005-0000-0000-00008A000000}"/>
    <cellStyle name="標準_変更来歴_1" xfId="8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28.453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0</v>
      </c>
      <c r="C2" s="8" t="s">
        <v>34</v>
      </c>
      <c r="D2" s="7" t="s">
        <v>1</v>
      </c>
      <c r="E2" s="8" t="s">
        <v>66</v>
      </c>
      <c r="F2" s="7" t="s">
        <v>35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36</v>
      </c>
      <c r="D3" s="7" t="s">
        <v>3</v>
      </c>
      <c r="E3" s="8" t="s">
        <v>65</v>
      </c>
      <c r="F3" s="7" t="s">
        <v>37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67</v>
      </c>
      <c r="F4" s="7" t="s">
        <v>5</v>
      </c>
      <c r="G4" s="8" t="s">
        <v>78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28</v>
      </c>
      <c r="B1" s="48" t="s">
        <v>28</v>
      </c>
      <c r="C1" s="4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82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MSUCL0110</v>
      </c>
      <c r="I2" s="7" t="s">
        <v>39</v>
      </c>
      <c r="J2" s="8" t="s">
        <v>26</v>
      </c>
      <c r="K2" s="7" t="s">
        <v>35</v>
      </c>
      <c r="L2" s="49" t="str">
        <f>IF(LogicCommon!G2="","",LogicCommon!G2)</f>
        <v>MC</v>
      </c>
      <c r="M2" s="5" t="s">
        <v>14</v>
      </c>
      <c r="N2" s="24"/>
      <c r="O2" s="7"/>
      <c r="P2" s="7"/>
      <c r="Q2" s="4"/>
      <c r="R2" s="5"/>
      <c r="S2" s="5"/>
      <c r="T2" s="5"/>
      <c r="U2" s="5"/>
    </row>
    <row r="3" spans="1:21" s="10" customFormat="1">
      <c r="A3" s="50" t="s">
        <v>28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MSUC</v>
      </c>
      <c r="G3" s="7" t="s">
        <v>3</v>
      </c>
      <c r="H3" s="49" t="str">
        <f>IF(LogicCommon!E3="","",LogicCommon!E3)</f>
        <v>MSUCL_StrLnUtil</v>
      </c>
      <c r="I3" s="7" t="s">
        <v>40</v>
      </c>
      <c r="J3" s="8" t="s">
        <v>26</v>
      </c>
      <c r="K3" s="7" t="s">
        <v>37</v>
      </c>
      <c r="L3" s="49" t="str">
        <f>IF(LogicCommon!G3="","",LogicCommon!G3)</f>
        <v/>
      </c>
      <c r="M3" s="53"/>
      <c r="N3" s="7"/>
      <c r="O3" s="7" t="s">
        <v>41</v>
      </c>
      <c r="P3" s="8" t="s">
        <v>42</v>
      </c>
      <c r="Q3" s="4"/>
      <c r="R3" s="5"/>
      <c r="S3" s="5"/>
      <c r="T3" s="5"/>
      <c r="U3" s="5"/>
    </row>
    <row r="4" spans="1:21" s="10" customFormat="1">
      <c r="A4" s="50" t="s">
        <v>28</v>
      </c>
      <c r="B4" s="51"/>
      <c r="C4" s="51"/>
      <c r="D4" s="4"/>
      <c r="E4" s="7" t="s">
        <v>15</v>
      </c>
      <c r="F4" s="54" t="s">
        <v>43</v>
      </c>
      <c r="G4" s="7" t="s">
        <v>4</v>
      </c>
      <c r="H4" s="49" t="str">
        <f>IF(LogicCommon!E4="","",LogicCommon!E4)</f>
        <v>棚・ラインユーティリティ</v>
      </c>
      <c r="I4" s="7" t="s">
        <v>6</v>
      </c>
      <c r="J4" s="8" t="s">
        <v>27</v>
      </c>
      <c r="K4" s="7" t="s">
        <v>5</v>
      </c>
      <c r="L4" s="49" t="str">
        <f>IF(LogicCommon!G4="","",LogicCommon!G4)</f>
        <v>MS.MSUDL5010</v>
      </c>
      <c r="M4" s="55" t="s">
        <v>45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28</v>
      </c>
      <c r="B5" s="48"/>
      <c r="C5" s="48"/>
      <c r="D5" s="21"/>
      <c r="E5" s="7" t="s">
        <v>44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28</v>
      </c>
      <c r="B6" s="51"/>
      <c r="C6" s="51"/>
      <c r="D6" s="4" t="s">
        <v>7</v>
      </c>
      <c r="E6" s="12" t="s">
        <v>68</v>
      </c>
      <c r="F6" s="12"/>
      <c r="G6" s="12"/>
      <c r="H6" s="12"/>
      <c r="I6" s="12"/>
      <c r="J6" s="12"/>
      <c r="K6" s="12"/>
      <c r="L6" s="5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83</v>
      </c>
      <c r="E8" s="25" t="s">
        <v>84</v>
      </c>
      <c r="F8" s="59"/>
      <c r="G8" s="25" t="s">
        <v>46</v>
      </c>
      <c r="H8" s="25" t="s">
        <v>85</v>
      </c>
      <c r="I8" s="5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0" t="s">
        <v>86</v>
      </c>
      <c r="U8" s="121"/>
    </row>
    <row r="9" spans="1:21" s="10" customFormat="1" ht="60" customHeight="1">
      <c r="A9" s="8" t="s">
        <v>9</v>
      </c>
      <c r="B9" s="29"/>
      <c r="C9" s="30"/>
      <c r="D9" s="25" t="s">
        <v>87</v>
      </c>
      <c r="E9" s="63" t="s">
        <v>88</v>
      </c>
      <c r="F9" s="25" t="s">
        <v>89</v>
      </c>
      <c r="G9" s="25" t="s">
        <v>90</v>
      </c>
      <c r="H9" s="25" t="s">
        <v>91</v>
      </c>
      <c r="I9" s="64" t="s">
        <v>92</v>
      </c>
      <c r="J9" s="25" t="s">
        <v>93</v>
      </c>
      <c r="K9" s="60"/>
      <c r="L9" s="64"/>
      <c r="M9" s="25"/>
      <c r="N9" s="64"/>
      <c r="O9" s="25"/>
      <c r="P9" s="64"/>
      <c r="Q9" s="25"/>
      <c r="R9" s="120" t="s">
        <v>94</v>
      </c>
      <c r="S9" s="121"/>
      <c r="T9" s="120" t="s">
        <v>95</v>
      </c>
      <c r="U9" s="121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</v>
      </c>
      <c r="M10" s="25" t="s">
        <v>93</v>
      </c>
      <c r="N10" s="25" t="s">
        <v>92</v>
      </c>
      <c r="O10" s="25" t="s">
        <v>93</v>
      </c>
      <c r="P10" s="25" t="s">
        <v>92</v>
      </c>
      <c r="Q10" s="25" t="s">
        <v>93</v>
      </c>
      <c r="R10" s="31"/>
      <c r="S10" s="31"/>
      <c r="T10" s="36"/>
      <c r="U10" s="47"/>
    </row>
    <row r="11" spans="1:21" s="10" customFormat="1">
      <c r="A11" s="22"/>
      <c r="B11" s="23"/>
      <c r="C11" s="23"/>
      <c r="D11" s="16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18"/>
    </row>
    <row r="12" spans="1:21" s="10" customFormat="1">
      <c r="A12" s="50"/>
      <c r="U12" s="37"/>
    </row>
    <row r="13" spans="1:21" s="10" customFormat="1">
      <c r="A13" s="50"/>
      <c r="U13" s="37"/>
    </row>
    <row r="14" spans="1:21" s="10" customFormat="1">
      <c r="A14" s="50"/>
      <c r="U14" s="37"/>
    </row>
    <row r="15" spans="1:21" s="10" customFormat="1">
      <c r="A15" s="50"/>
      <c r="U15" s="37"/>
    </row>
    <row r="16" spans="1:21" s="10" customFormat="1">
      <c r="A16" s="50"/>
      <c r="U16" s="37"/>
    </row>
    <row r="17" spans="1:21" s="10" customFormat="1">
      <c r="A17" s="50"/>
      <c r="U17" s="37"/>
    </row>
    <row r="18" spans="1:21" s="10" customFormat="1">
      <c r="A18" s="50"/>
      <c r="U18" s="37"/>
    </row>
    <row r="19" spans="1:21" s="10" customFormat="1">
      <c r="A19" s="50"/>
      <c r="U19" s="37"/>
    </row>
    <row r="20" spans="1:21" s="10" customFormat="1">
      <c r="A20" s="50"/>
      <c r="U20" s="37"/>
    </row>
    <row r="21" spans="1:21" s="10" customFormat="1">
      <c r="A21" s="50"/>
      <c r="U21" s="37"/>
    </row>
    <row r="22" spans="1:21" s="10" customFormat="1">
      <c r="A22" s="50"/>
      <c r="U22" s="37"/>
    </row>
    <row r="23" spans="1:21" s="10" customFormat="1">
      <c r="A23" s="50"/>
      <c r="U23" s="37"/>
    </row>
    <row r="24" spans="1:21" s="10" customFormat="1">
      <c r="A24" s="50"/>
      <c r="U24" s="37"/>
    </row>
    <row r="25" spans="1:21" s="10" customFormat="1">
      <c r="A25" s="50"/>
      <c r="U25" s="37"/>
    </row>
    <row r="26" spans="1:21" s="10" customFormat="1">
      <c r="A26" s="50"/>
      <c r="U26" s="37"/>
    </row>
    <row r="27" spans="1:21" s="10" customFormat="1">
      <c r="A27" s="50"/>
      <c r="U27" s="37"/>
    </row>
    <row r="28" spans="1:21" s="10" customFormat="1">
      <c r="A28" s="50"/>
      <c r="U28" s="37"/>
    </row>
    <row r="29" spans="1:21" s="10" customFormat="1">
      <c r="A29" s="50"/>
      <c r="U29" s="37"/>
    </row>
    <row r="30" spans="1:21" s="10" customFormat="1">
      <c r="A30" s="50"/>
      <c r="U30" s="37"/>
    </row>
    <row r="31" spans="1:21" s="10" customFormat="1">
      <c r="A31" s="50"/>
      <c r="U31" s="37"/>
    </row>
    <row r="32" spans="1:21" s="10" customFormat="1">
      <c r="A32" s="50"/>
      <c r="U32" s="37"/>
    </row>
    <row r="33" spans="1:21" s="10" customFormat="1">
      <c r="A33" s="50"/>
      <c r="U33" s="37"/>
    </row>
    <row r="34" spans="1:21" s="10" customFormat="1">
      <c r="A34" s="50"/>
      <c r="U34" s="37"/>
    </row>
    <row r="35" spans="1:21" s="10" customFormat="1">
      <c r="A35" s="50"/>
      <c r="U35" s="37"/>
    </row>
    <row r="36" spans="1:21" s="10" customFormat="1">
      <c r="A36" s="50"/>
      <c r="U36" s="37"/>
    </row>
    <row r="37" spans="1:21" s="10" customFormat="1">
      <c r="A37" s="57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38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5"/>
  <sheetViews>
    <sheetView topLeftCell="J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8.453125" style="5" bestFit="1" customWidth="1"/>
    <col min="5" max="5" width="25.81640625" style="5" customWidth="1"/>
    <col min="6" max="6" width="7.81640625" style="4" bestFit="1" customWidth="1"/>
    <col min="7" max="7" width="30.81640625" style="4" customWidth="1"/>
    <col min="8" max="8" width="27.8164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28</v>
      </c>
      <c r="B1" s="48" t="s">
        <v>28</v>
      </c>
      <c r="C1" s="48"/>
      <c r="D1" s="1" t="s">
        <v>38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28</v>
      </c>
      <c r="B2" s="23"/>
      <c r="C2" s="23"/>
      <c r="D2" s="60" t="s">
        <v>82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MSUCL0110</v>
      </c>
      <c r="I2" s="7" t="s">
        <v>39</v>
      </c>
      <c r="J2" s="8" t="s">
        <v>75</v>
      </c>
      <c r="K2" s="7" t="s">
        <v>35</v>
      </c>
      <c r="L2" s="49" t="str">
        <f>IF(LogicCommon!G2="","",LogicCommon!G2)</f>
        <v>MC</v>
      </c>
      <c r="M2" s="5" t="s">
        <v>14</v>
      </c>
      <c r="N2" s="24" t="s">
        <v>79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28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MSUC</v>
      </c>
      <c r="G3" s="7" t="s">
        <v>3</v>
      </c>
      <c r="H3" s="49" t="str">
        <f>IF(LogicCommon!E3="","",LogicCommon!E3)</f>
        <v>MSUCL_StrLnUtil</v>
      </c>
      <c r="I3" s="7" t="s">
        <v>40</v>
      </c>
      <c r="J3" s="8" t="s">
        <v>33</v>
      </c>
      <c r="K3" s="7" t="s">
        <v>37</v>
      </c>
      <c r="L3" s="49" t="str">
        <f>IF(LogicCommon!G3="","",LogicCommon!G3)</f>
        <v/>
      </c>
      <c r="M3" s="53"/>
      <c r="N3" s="7"/>
      <c r="O3" s="7" t="s">
        <v>41</v>
      </c>
      <c r="P3" s="8" t="s">
        <v>47</v>
      </c>
      <c r="Q3" s="4"/>
      <c r="R3" s="5"/>
      <c r="S3" s="5"/>
      <c r="T3" s="5"/>
      <c r="U3" s="5"/>
    </row>
    <row r="4" spans="1:21" s="10" customFormat="1">
      <c r="A4" s="50" t="s">
        <v>28</v>
      </c>
      <c r="B4" s="51"/>
      <c r="C4" s="51"/>
      <c r="D4" s="4"/>
      <c r="E4" s="7" t="s">
        <v>15</v>
      </c>
      <c r="F4" s="54" t="s">
        <v>43</v>
      </c>
      <c r="G4" s="7" t="s">
        <v>4</v>
      </c>
      <c r="H4" s="49" t="str">
        <f>IF(LogicCommon!E4="","",LogicCommon!E4)</f>
        <v>棚・ラインユーティリティ</v>
      </c>
      <c r="I4" s="7" t="s">
        <v>6</v>
      </c>
      <c r="J4" s="8" t="s">
        <v>73</v>
      </c>
      <c r="K4" s="7" t="s">
        <v>5</v>
      </c>
      <c r="L4" s="49" t="str">
        <f>IF(LogicCommon!G4="","",LogicCommon!G4)</f>
        <v>MS.MSUDL5010</v>
      </c>
      <c r="M4" s="55" t="s">
        <v>45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28</v>
      </c>
      <c r="B5" s="48"/>
      <c r="C5" s="48"/>
      <c r="D5" s="21"/>
      <c r="E5" s="7" t="s">
        <v>44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28</v>
      </c>
      <c r="B6" s="51"/>
      <c r="C6" s="51"/>
      <c r="D6" s="4" t="s">
        <v>7</v>
      </c>
      <c r="E6" s="12" t="s">
        <v>69</v>
      </c>
      <c r="F6" s="12"/>
      <c r="G6" s="12"/>
      <c r="H6" s="12"/>
      <c r="I6" s="12"/>
      <c r="J6" s="12"/>
      <c r="K6" s="12"/>
      <c r="L6" s="59"/>
      <c r="M6" s="15" t="s">
        <v>11</v>
      </c>
      <c r="N6" s="15"/>
      <c r="O6" s="15" t="s">
        <v>11</v>
      </c>
      <c r="P6" s="15"/>
      <c r="Q6" s="15" t="s">
        <v>11</v>
      </c>
      <c r="R6" s="4"/>
      <c r="S6" s="4"/>
      <c r="T6" s="4"/>
      <c r="U6" s="4"/>
    </row>
    <row r="7" spans="1:21" s="10" customFormat="1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9</v>
      </c>
      <c r="B8" s="61"/>
      <c r="C8" s="62"/>
      <c r="D8" s="25" t="s">
        <v>83</v>
      </c>
      <c r="E8" s="25" t="s">
        <v>84</v>
      </c>
      <c r="F8" s="59"/>
      <c r="G8" s="25" t="s">
        <v>46</v>
      </c>
      <c r="H8" s="25" t="s">
        <v>85</v>
      </c>
      <c r="I8" s="59"/>
      <c r="J8" s="3"/>
      <c r="K8" s="8"/>
      <c r="L8" s="25" t="s">
        <v>13</v>
      </c>
      <c r="M8" s="26"/>
      <c r="N8" s="25" t="s">
        <v>13</v>
      </c>
      <c r="O8" s="26"/>
      <c r="P8" s="25" t="s">
        <v>13</v>
      </c>
      <c r="Q8" s="26"/>
      <c r="R8" s="3"/>
      <c r="S8" s="21"/>
      <c r="T8" s="120" t="s">
        <v>86</v>
      </c>
      <c r="U8" s="121"/>
    </row>
    <row r="9" spans="1:21" s="10" customFormat="1" ht="60" customHeight="1">
      <c r="A9" s="8" t="s">
        <v>9</v>
      </c>
      <c r="B9" s="29"/>
      <c r="C9" s="30"/>
      <c r="D9" s="25" t="s">
        <v>87</v>
      </c>
      <c r="E9" s="63" t="s">
        <v>88</v>
      </c>
      <c r="F9" s="25" t="s">
        <v>89</v>
      </c>
      <c r="G9" s="25" t="s">
        <v>90</v>
      </c>
      <c r="H9" s="25" t="s">
        <v>91</v>
      </c>
      <c r="I9" s="64" t="s">
        <v>92</v>
      </c>
      <c r="J9" s="25" t="s">
        <v>93</v>
      </c>
      <c r="K9" s="60"/>
      <c r="L9" s="64"/>
      <c r="M9" s="25"/>
      <c r="N9" s="64"/>
      <c r="O9" s="25"/>
      <c r="P9" s="64"/>
      <c r="Q9" s="25"/>
      <c r="R9" s="120" t="s">
        <v>94</v>
      </c>
      <c r="S9" s="121"/>
      <c r="T9" s="120" t="s">
        <v>95</v>
      </c>
      <c r="U9" s="121"/>
    </row>
    <row r="10" spans="1:21" s="10" customFormat="1" ht="39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92</v>
      </c>
      <c r="M10" s="25" t="s">
        <v>93</v>
      </c>
      <c r="N10" s="25" t="s">
        <v>92</v>
      </c>
      <c r="O10" s="25" t="s">
        <v>93</v>
      </c>
      <c r="P10" s="25" t="s">
        <v>92</v>
      </c>
      <c r="Q10" s="25" t="s">
        <v>93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31</v>
      </c>
      <c r="C11" s="30"/>
      <c r="D11" s="24" t="s">
        <v>70</v>
      </c>
      <c r="E11" s="27" t="s">
        <v>32</v>
      </c>
      <c r="F11" s="39"/>
      <c r="G11" s="24"/>
      <c r="H11" s="28"/>
      <c r="I11" s="40"/>
      <c r="J11" s="34"/>
      <c r="K11" s="34"/>
      <c r="L11" s="27"/>
      <c r="M11" s="27"/>
      <c r="N11" s="27"/>
      <c r="O11" s="27"/>
      <c r="P11" s="27"/>
      <c r="Q11" s="27"/>
      <c r="R11" s="40"/>
      <c r="S11" s="39"/>
      <c r="T11" s="122"/>
      <c r="U11" s="123"/>
    </row>
    <row r="12" spans="1:21" s="10" customFormat="1">
      <c r="A12" s="8">
        <v>10</v>
      </c>
      <c r="B12" s="8"/>
      <c r="C12" s="8"/>
      <c r="D12" s="8" t="s">
        <v>30</v>
      </c>
      <c r="E12" s="26" t="s">
        <v>29</v>
      </c>
      <c r="F12" s="26"/>
      <c r="G12" s="41" t="s">
        <v>96</v>
      </c>
      <c r="H12" s="41" t="s">
        <v>48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51</v>
      </c>
      <c r="E13" s="26" t="s">
        <v>56</v>
      </c>
      <c r="F13" s="26"/>
      <c r="G13" s="41" t="s">
        <v>97</v>
      </c>
      <c r="H13" s="41" t="s">
        <v>61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52</v>
      </c>
      <c r="E14" s="26" t="s">
        <v>57</v>
      </c>
      <c r="F14" s="26"/>
      <c r="G14" s="41" t="s">
        <v>98</v>
      </c>
      <c r="H14" s="41" t="s">
        <v>62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53</v>
      </c>
      <c r="E15" s="26" t="s">
        <v>58</v>
      </c>
      <c r="F15" s="26"/>
      <c r="G15" s="41" t="s">
        <v>99</v>
      </c>
      <c r="H15" s="41" t="s">
        <v>63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54</v>
      </c>
      <c r="E16" s="26" t="s">
        <v>72</v>
      </c>
      <c r="F16" s="26"/>
      <c r="G16" s="41" t="s">
        <v>100</v>
      </c>
      <c r="H16" s="41" t="s">
        <v>64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59</v>
      </c>
      <c r="E17" s="26" t="s">
        <v>55</v>
      </c>
      <c r="F17" s="26"/>
      <c r="G17" s="41" t="s">
        <v>101</v>
      </c>
      <c r="H17" s="41" t="s">
        <v>60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71</v>
      </c>
      <c r="E18" s="26" t="s">
        <v>74</v>
      </c>
      <c r="F18" s="26"/>
      <c r="G18" s="41" t="s">
        <v>102</v>
      </c>
      <c r="H18" s="41" t="s">
        <v>80</v>
      </c>
      <c r="I18" s="8" t="s">
        <v>50</v>
      </c>
      <c r="J18" s="8" t="s">
        <v>49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76</v>
      </c>
      <c r="E19" s="26" t="s">
        <v>77</v>
      </c>
      <c r="F19" s="26"/>
      <c r="G19" s="41" t="s">
        <v>103</v>
      </c>
      <c r="H19" s="41" t="s">
        <v>81</v>
      </c>
      <c r="I19" s="8" t="s">
        <v>50</v>
      </c>
      <c r="J19" s="8" t="s">
        <v>49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22"/>
      <c r="B20" s="23"/>
      <c r="C20" s="23"/>
      <c r="D20" s="16" t="s">
        <v>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>
      <c r="A21" s="50"/>
      <c r="U21" s="37"/>
    </row>
    <row r="22" spans="1:21" s="10" customFormat="1">
      <c r="A22" s="50"/>
      <c r="U22" s="37"/>
    </row>
    <row r="23" spans="1:21" s="10" customFormat="1">
      <c r="A23" s="50"/>
      <c r="U23" s="37"/>
    </row>
    <row r="24" spans="1:21" s="10" customFormat="1">
      <c r="A24" s="50"/>
      <c r="U24" s="37"/>
    </row>
    <row r="25" spans="1:21" s="10" customFormat="1">
      <c r="A25" s="50"/>
      <c r="U25" s="37"/>
    </row>
    <row r="26" spans="1:21" s="10" customFormat="1">
      <c r="A26" s="50"/>
      <c r="U26" s="37"/>
    </row>
    <row r="27" spans="1:21" s="10" customFormat="1">
      <c r="A27" s="50"/>
      <c r="U27" s="37"/>
    </row>
    <row r="28" spans="1:21" s="10" customFormat="1">
      <c r="A28" s="50"/>
      <c r="U28" s="37"/>
    </row>
    <row r="29" spans="1:21" s="10" customFormat="1">
      <c r="A29" s="50"/>
      <c r="U29" s="37"/>
    </row>
    <row r="30" spans="1:21" s="10" customFormat="1">
      <c r="A30" s="50"/>
      <c r="U30" s="37"/>
    </row>
    <row r="31" spans="1:21" s="10" customFormat="1">
      <c r="A31" s="50"/>
      <c r="U31" s="37"/>
    </row>
    <row r="32" spans="1:21" s="10" customFormat="1">
      <c r="A32" s="50"/>
      <c r="U32" s="37"/>
    </row>
    <row r="33" spans="1:21" s="10" customFormat="1">
      <c r="A33" s="50"/>
      <c r="U33" s="37"/>
    </row>
    <row r="34" spans="1:21" s="10" customFormat="1">
      <c r="A34" s="50"/>
      <c r="U34" s="37"/>
    </row>
    <row r="35" spans="1:21" s="10" customFormat="1">
      <c r="A35" s="5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38"/>
    </row>
  </sheetData>
  <mergeCells count="20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9:S19"/>
    <mergeCell ref="T19:U19"/>
    <mergeCell ref="R18:S18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98" t="s">
        <v>19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101" t="s">
        <v>20</v>
      </c>
      <c r="B3" s="102"/>
      <c r="C3" s="102"/>
      <c r="D3" s="102"/>
      <c r="E3" s="102"/>
      <c r="F3" s="102"/>
      <c r="G3" s="103"/>
      <c r="H3" s="104" t="s">
        <v>21</v>
      </c>
      <c r="I3" s="102"/>
      <c r="J3" s="102"/>
      <c r="K3" s="102"/>
      <c r="L3" s="102"/>
      <c r="M3" s="102"/>
      <c r="N3" s="103"/>
      <c r="O3" s="104" t="s">
        <v>22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23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24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92" t="s">
        <v>104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105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83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1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LPC</vt:lpstr>
      <vt:lpstr>StrLnUtil_Srch01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2026-03-27T06:02:24Z</dcterms:modified>
  <cp:category/>
</cp:coreProperties>
</file>