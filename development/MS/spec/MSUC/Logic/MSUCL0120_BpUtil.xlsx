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71494721-EB60-4269-A27F-13B0CEA1862F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LPC" sheetId="6" r:id="rId2"/>
    <sheet name="BpUtil_Sprt01" sheetId="10" r:id="rId3"/>
    <sheet name="来歴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 l="1"/>
  <c r="L3" i="10"/>
  <c r="H3" i="10"/>
  <c r="F3" i="10"/>
  <c r="D3" i="10"/>
  <c r="L2" i="10"/>
  <c r="H2" i="10"/>
  <c r="F2" i="10"/>
  <c r="H4" i="6" l="1"/>
  <c r="H3" i="6"/>
  <c r="H2" i="6"/>
  <c r="L4" i="6"/>
  <c r="L3" i="6"/>
  <c r="F3" i="6"/>
  <c r="D3" i="6"/>
  <c r="L2" i="6"/>
  <c r="F2" i="6"/>
</calcChain>
</file>

<file path=xl/sharedStrings.xml><?xml version="1.0" encoding="utf-8"?>
<sst xmlns="http://schemas.openxmlformats.org/spreadsheetml/2006/main" count="187" uniqueCount="88">
  <si>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</si>
  <si>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</si>
  <si>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</si>
  <si>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</si>
  <si>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</si>
  <si>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</si>
  <si>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</si>
  <si>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</si>
  <si>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</si>
  <si>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</si>
  <si>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</si>
  <si>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</si>
  <si>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</si>
  <si>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</si>
  <si>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</si>
  <si>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</si>
  <si>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</si>
  <si>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</si>
  <si>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</si>
  <si>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</si>
  <si>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</si>
  <si>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</si>
  <si>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</si>
  <si>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</si>
  <si>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</si>
  <si>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</si>
  <si>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D</t>
    <phoneticPr fontId="2"/>
  </si>
  <si>
    <t>ダミー</t>
    <phoneticPr fontId="2"/>
  </si>
  <si>
    <t>*</t>
    <phoneticPr fontId="1"/>
  </si>
  <si>
    <t>*</t>
    <phoneticPr fontId="2"/>
  </si>
  <si>
    <t>L</t>
    <phoneticPr fontId="2"/>
  </si>
  <si>
    <t>@</t>
    <phoneticPr fontId="2"/>
  </si>
  <si>
    <t>MS</t>
    <phoneticPr fontId="2"/>
  </si>
  <si>
    <t>Pj.ID :</t>
    <phoneticPr fontId="1"/>
  </si>
  <si>
    <t>MSUC</t>
    <phoneticPr fontId="2"/>
  </si>
  <si>
    <t>SuperClassPj.ID :</t>
    <phoneticPr fontId="1"/>
  </si>
  <si>
    <t>L</t>
    <phoneticPr fontId="1"/>
  </si>
  <si>
    <t>Ope.ID :</t>
    <phoneticPr fontId="1"/>
  </si>
  <si>
    <t>Ope.Method :</t>
    <phoneticPr fontId="1"/>
  </si>
  <si>
    <t>Gene.Type :</t>
    <phoneticPr fontId="1"/>
  </si>
  <si>
    <t>LPC</t>
    <phoneticPr fontId="1"/>
  </si>
  <si>
    <t>000000</t>
    <phoneticPr fontId="1"/>
  </si>
  <si>
    <t>ACType :</t>
    <phoneticPr fontId="1"/>
  </si>
  <si>
    <t>ImplOpe.ID:</t>
    <phoneticPr fontId="1"/>
  </si>
  <si>
    <t>super/share</t>
    <phoneticPr fontId="1"/>
  </si>
  <si>
    <t>ALL</t>
    <phoneticPr fontId="1"/>
  </si>
  <si>
    <t>E</t>
    <phoneticPr fontId="2"/>
  </si>
  <si>
    <t>-</t>
    <phoneticPr fontId="2"/>
  </si>
  <si>
    <t>MS.MSUDL5010</t>
    <phoneticPr fontId="2"/>
  </si>
  <si>
    <t>"mcframe.serverMAUD.MAUDL5010.MAUDL_Operation"</t>
    <phoneticPr fontId="2"/>
  </si>
  <si>
    <t>MSUCL0120</t>
    <phoneticPr fontId="2"/>
  </si>
  <si>
    <t>MSUCL_BpUtil</t>
    <phoneticPr fontId="2"/>
  </si>
  <si>
    <t>個別発行に関するユーティリティを提供します。</t>
    <rPh sb="0" eb="2">
      <t>コベツ</t>
    </rPh>
    <rPh sb="2" eb="4">
      <t>ハッコウ</t>
    </rPh>
    <rPh sb="5" eb="6">
      <t>カン</t>
    </rPh>
    <rPh sb="16" eb="18">
      <t>テイキョウ</t>
    </rPh>
    <phoneticPr fontId="2"/>
  </si>
  <si>
    <t>取引先から個別発行フラグを取得する</t>
    <rPh sb="0" eb="3">
      <t>トリヒキサキ</t>
    </rPh>
    <rPh sb="5" eb="9">
      <t>コベツハッコウ</t>
    </rPh>
    <rPh sb="13" eb="15">
      <t>シュトク</t>
    </rPh>
    <phoneticPr fontId="2"/>
  </si>
  <si>
    <t>#MA.BP_IS_SRCH_TYP</t>
    <phoneticPr fontId="2"/>
  </si>
  <si>
    <t>#MA.FLG</t>
    <phoneticPr fontId="2"/>
  </si>
  <si>
    <t>#MA.BP_CD</t>
    <phoneticPr fontId="2"/>
  </si>
  <si>
    <t>bp_cd</t>
  </si>
  <si>
    <t>indiv_prnt_flg</t>
    <phoneticPr fontId="2"/>
  </si>
  <si>
    <t>R</t>
    <phoneticPr fontId="2"/>
  </si>
  <si>
    <t>bp_typ</t>
    <phoneticPr fontId="2"/>
  </si>
  <si>
    <t>取引先ユーティリティ</t>
    <rPh sb="0" eb="2">
      <t>トリヒキ</t>
    </rPh>
    <rPh sb="2" eb="3">
      <t>サキ</t>
    </rPh>
    <phoneticPr fontId="2"/>
  </si>
  <si>
    <t>個別発行取得</t>
    <rPh sb="0" eb="2">
      <t>コベツ</t>
    </rPh>
    <rPh sb="2" eb="4">
      <t>ハッコウ</t>
    </rPh>
    <rPh sb="4" eb="6">
      <t>シュトク</t>
    </rPh>
    <phoneticPr fontId="2"/>
  </si>
  <si>
    <t>BpUtil_Sprt01</t>
    <phoneticPr fontId="2"/>
  </si>
  <si>
    <t>BpUtil_Sprt01_Cnd</t>
    <phoneticPr fontId="2"/>
  </si>
  <si>
    <t>BpUtil_Sprt01_Dtl</t>
    <phoneticPr fontId="2"/>
  </si>
  <si>
    <t>取引先区分</t>
    <phoneticPr fontId="2"/>
  </si>
  <si>
    <t>取引先ＣＤ</t>
    <phoneticPr fontId="2"/>
  </si>
  <si>
    <t>個別発行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</si>
  <si>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</si>
  <si>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</si>
  <si>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</si>
  <si>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</si>
  <si>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</si>
  <si>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</si>
  <si>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</si>
  <si>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</si>
  <si>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</si>
  <si>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</si>
  <si>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</si>
  <si>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</si>
  <si>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</si>
  <si>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</si>
  <si>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BP type</t>
  </si>
  <si>
    <t>BP cd.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</si>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</sst>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5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12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5" xfId="0" applyFont="1" applyFill="1" applyBorder="1" applyAlignment="1">
      <alignment wrapText="1"/>
    </xf>
    <xf numFmtId="0" fontId="31" fillId="2" borderId="12" xfId="0" applyFont="1" applyFill="1" applyBorder="1" applyAlignment="1">
      <alignment wrapText="1"/>
    </xf>
    <xf numFmtId="0" fontId="31" fillId="2" borderId="11" xfId="0" applyFont="1" applyFill="1" applyBorder="1" applyAlignment="1">
      <alignment vertical="top"/>
    </xf>
    <xf numFmtId="0" fontId="31" fillId="2" borderId="12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13" xfId="0" applyFont="1" applyBorder="1">
      <alignment vertical="top" wrapText="1"/>
    </xf>
    <xf numFmtId="0" fontId="31" fillId="0" borderId="7" xfId="0" applyFont="1" applyBorder="1">
      <alignment vertical="top" wrapText="1"/>
    </xf>
    <xf numFmtId="0" fontId="31" fillId="0" borderId="12" xfId="0" applyFont="1" applyBorder="1" applyAlignment="1">
      <alignment wrapText="1"/>
    </xf>
    <xf numFmtId="0" fontId="31" fillId="0" borderId="11" xfId="0" applyFont="1" applyBorder="1" applyAlignment="1">
      <alignment wrapText="1"/>
    </xf>
    <xf numFmtId="0" fontId="31" fillId="2" borderId="3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9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11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10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31" fillId="0" borderId="12" xfId="0" applyFont="1" applyBorder="1" applyAlignment="1"/>
    <xf numFmtId="0" fontId="31" fillId="3" borderId="5" xfId="0" applyFont="1" applyFill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1" fillId="0" borderId="4" xfId="0" applyFont="1" applyBorder="1">
      <alignment vertical="top" wrapText="1"/>
    </xf>
    <xf numFmtId="0" fontId="31" fillId="2" borderId="11" xfId="0" applyFont="1" applyFill="1" applyBorder="1">
      <alignment vertical="top" wrapText="1"/>
    </xf>
    <xf numFmtId="0" fontId="31" fillId="2" borderId="12" xfId="0" applyFont="1" applyFill="1" applyBorder="1">
      <alignment vertical="top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177" fontId="33" fillId="0" borderId="28" xfId="8" applyNumberFormat="1" applyFont="1" applyBorder="1" applyAlignment="1">
      <alignment horizontal="center" vertical="center"/>
    </xf>
    <xf numFmtId="177" fontId="33" fillId="0" borderId="29" xfId="7" applyNumberFormat="1" applyFont="1" applyBorder="1" applyAlignment="1">
      <alignment horizontal="center" vertical="center"/>
    </xf>
    <xf numFmtId="177" fontId="33" fillId="0" borderId="30" xfId="7" applyNumberFormat="1" applyFont="1" applyBorder="1" applyAlignment="1">
      <alignment horizontal="center" vertical="center"/>
    </xf>
    <xf numFmtId="0" fontId="33" fillId="0" borderId="31" xfId="8" applyFont="1" applyBorder="1" applyAlignment="1">
      <alignment horizontal="center" vertical="center" wrapText="1"/>
    </xf>
    <xf numFmtId="0" fontId="33" fillId="0" borderId="29" xfId="7" applyFont="1" applyBorder="1" applyAlignment="1">
      <alignment horizontal="center" vertical="center" wrapText="1"/>
    </xf>
    <xf numFmtId="0" fontId="33" fillId="0" borderId="30" xfId="7" applyFont="1" applyBorder="1" applyAlignment="1">
      <alignment horizontal="center" vertical="center" wrapText="1"/>
    </xf>
    <xf numFmtId="0" fontId="33" fillId="0" borderId="31" xfId="8" applyFont="1" applyBorder="1" applyAlignment="1">
      <alignment horizontal="left" vertical="center" wrapText="1"/>
    </xf>
    <xf numFmtId="0" fontId="33" fillId="0" borderId="29" xfId="7" applyFont="1" applyBorder="1" applyAlignment="1">
      <alignment vertical="center" wrapText="1"/>
    </xf>
    <xf numFmtId="0" fontId="33" fillId="0" borderId="30" xfId="7" applyFont="1" applyBorder="1" applyAlignment="1">
      <alignment vertical="center" wrapText="1"/>
    </xf>
    <xf numFmtId="0" fontId="33" fillId="0" borderId="31" xfId="8" applyFont="1" applyBorder="1" applyAlignment="1">
      <alignment vertical="center" wrapText="1"/>
    </xf>
    <xf numFmtId="0" fontId="33" fillId="0" borderId="32" xfId="7" applyFont="1" applyBorder="1" applyAlignment="1">
      <alignment vertical="center" wrapText="1"/>
    </xf>
    <xf numFmtId="177" fontId="33" fillId="0" borderId="26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12" xfId="7" applyNumberFormat="1" applyFont="1" applyBorder="1" applyAlignment="1">
      <alignment horizontal="center" vertical="center"/>
    </xf>
    <xf numFmtId="0" fontId="33" fillId="0" borderId="11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12" xfId="7" applyFont="1" applyBorder="1" applyAlignment="1">
      <alignment horizontal="center" vertical="center" wrapText="1"/>
    </xf>
    <xf numFmtId="0" fontId="33" fillId="0" borderId="11" xfId="8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12" xfId="7" applyFont="1" applyBorder="1" applyAlignment="1">
      <alignment vertical="center" wrapText="1"/>
    </xf>
    <xf numFmtId="0" fontId="33" fillId="0" borderId="11" xfId="8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11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12" xfId="7" applyFont="1" applyBorder="1" applyAlignment="1">
      <alignment horizontal="left" vertical="center"/>
    </xf>
    <xf numFmtId="0" fontId="33" fillId="0" borderId="11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7" xfId="7" applyFont="1" applyBorder="1" applyAlignment="1">
      <alignment vertical="center"/>
    </xf>
    <xf numFmtId="0" fontId="32" fillId="3" borderId="14" xfId="6" applyFont="1" applyFill="1" applyBorder="1" applyAlignment="1">
      <alignment horizontal="center" vertical="center"/>
    </xf>
    <xf numFmtId="0" fontId="33" fillId="0" borderId="15" xfId="7" applyFont="1" applyBorder="1" applyAlignment="1">
      <alignment vertical="center"/>
    </xf>
    <xf numFmtId="0" fontId="33" fillId="0" borderId="16" xfId="7" applyFont="1" applyBorder="1" applyAlignment="1">
      <alignment vertical="center"/>
    </xf>
    <xf numFmtId="0" fontId="34" fillId="3" borderId="17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8" xfId="7" applyFont="1" applyBorder="1" applyAlignment="1">
      <alignment horizontal="center" vertical="center"/>
    </xf>
    <xf numFmtId="0" fontId="34" fillId="3" borderId="19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8" xfId="8" applyFont="1" applyFill="1" applyBorder="1" applyAlignment="1">
      <alignment horizontal="center" vertical="center"/>
    </xf>
    <xf numFmtId="0" fontId="34" fillId="3" borderId="19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177" fontId="33" fillId="0" borderId="21" xfId="8" applyNumberFormat="1" applyFont="1" applyBorder="1" applyAlignment="1">
      <alignment horizontal="center" vertical="center"/>
    </xf>
    <xf numFmtId="177" fontId="33" fillId="0" borderId="22" xfId="7" applyNumberFormat="1" applyFont="1" applyBorder="1" applyAlignment="1">
      <alignment horizontal="center" vertical="center"/>
    </xf>
    <xf numFmtId="177" fontId="33" fillId="0" borderId="23" xfId="7" applyNumberFormat="1" applyFont="1" applyBorder="1" applyAlignment="1">
      <alignment horizontal="center" vertical="center"/>
    </xf>
    <xf numFmtId="0" fontId="33" fillId="0" borderId="24" xfId="8" applyFont="1" applyBorder="1" applyAlignment="1">
      <alignment horizontal="center" vertical="center" wrapText="1"/>
    </xf>
    <xf numFmtId="0" fontId="33" fillId="0" borderId="22" xfId="7" applyFont="1" applyBorder="1" applyAlignment="1">
      <alignment horizontal="center" vertical="center" wrapText="1"/>
    </xf>
    <xf numFmtId="0" fontId="33" fillId="0" borderId="23" xfId="7" applyFont="1" applyBorder="1" applyAlignment="1">
      <alignment horizontal="center" vertical="center" wrapText="1"/>
    </xf>
    <xf numFmtId="0" fontId="33" fillId="0" borderId="24" xfId="8" applyFont="1" applyBorder="1" applyAlignment="1">
      <alignment horizontal="left" vertical="center" wrapText="1"/>
    </xf>
    <xf numFmtId="0" fontId="33" fillId="0" borderId="22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33" fillId="0" borderId="24" xfId="8" applyFont="1" applyBorder="1" applyAlignment="1">
      <alignment vertical="center" wrapText="1"/>
    </xf>
    <xf numFmtId="0" fontId="33" fillId="0" borderId="25" xfId="7" applyFont="1" applyBorder="1" applyAlignment="1">
      <alignment vertical="center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0" fontId="31" fillId="3" borderId="11" xfId="0" applyFont="1" applyFill="1" applyBorder="1" applyAlignment="1">
      <alignment wrapText="1"/>
    </xf>
    <xf numFmtId="0" fontId="31" fillId="3" borderId="12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0</v>
      </c>
      <c r="C2" s="8" t="s">
        <v>32</v>
      </c>
      <c r="D2" s="7" t="s">
        <v>1</v>
      </c>
      <c r="E2" s="8" t="s">
        <v>50</v>
      </c>
      <c r="F2" s="7" t="s">
        <v>33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34</v>
      </c>
      <c r="D3" s="7" t="s">
        <v>3</v>
      </c>
      <c r="E3" s="8" t="s">
        <v>51</v>
      </c>
      <c r="F3" s="7" t="s">
        <v>35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61</v>
      </c>
      <c r="F4" s="7" t="s">
        <v>5</v>
      </c>
      <c r="G4" s="8" t="s">
        <v>48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63281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28</v>
      </c>
      <c r="B1" s="41" t="s">
        <v>28</v>
      </c>
      <c r="C1" s="41"/>
      <c r="D1" s="1" t="s">
        <v>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</v>
      </c>
      <c r="B2" s="23"/>
      <c r="C2" s="23"/>
      <c r="D2" s="60" t="s">
        <v>69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MSUCL0120</v>
      </c>
      <c r="I2" s="7" t="s">
        <v>37</v>
      </c>
      <c r="J2" s="8" t="s">
        <v>26</v>
      </c>
      <c r="K2" s="7" t="s">
        <v>33</v>
      </c>
      <c r="L2" s="42" t="str">
        <f>IF(LogicCommon!G2="","",LogicCommon!G2)</f>
        <v>MC</v>
      </c>
      <c r="M2" s="5" t="s">
        <v>14</v>
      </c>
      <c r="N2" s="24"/>
      <c r="O2" s="7"/>
      <c r="P2" s="7"/>
      <c r="Q2" s="4"/>
      <c r="R2" s="5"/>
      <c r="S2" s="5"/>
      <c r="T2" s="5"/>
      <c r="U2" s="5"/>
    </row>
    <row r="3" spans="1:21" s="10" customFormat="1">
      <c r="A3" s="43" t="s">
        <v>28</v>
      </c>
      <c r="B3" s="44"/>
      <c r="C3" s="44"/>
      <c r="D3" s="45" t="str">
        <f>IF(LogicCommon!A3="","",LogicCommon!A3)</f>
        <v/>
      </c>
      <c r="E3" s="7" t="s">
        <v>2</v>
      </c>
      <c r="F3" s="42" t="str">
        <f>IF(LogicCommon!C3="","",LogicCommon!C3)</f>
        <v>MSUC</v>
      </c>
      <c r="G3" s="7" t="s">
        <v>3</v>
      </c>
      <c r="H3" s="42" t="str">
        <f>IF(LogicCommon!E3="","",LogicCommon!E3)</f>
        <v>MSUCL_BpUtil</v>
      </c>
      <c r="I3" s="7" t="s">
        <v>38</v>
      </c>
      <c r="J3" s="8" t="s">
        <v>26</v>
      </c>
      <c r="K3" s="7" t="s">
        <v>35</v>
      </c>
      <c r="L3" s="42" t="str">
        <f>IF(LogicCommon!G3="","",LogicCommon!G3)</f>
        <v/>
      </c>
      <c r="M3" s="46"/>
      <c r="N3" s="7"/>
      <c r="O3" s="7" t="s">
        <v>39</v>
      </c>
      <c r="P3" s="8" t="s">
        <v>40</v>
      </c>
      <c r="Q3" s="4"/>
      <c r="R3" s="5"/>
      <c r="S3" s="5"/>
      <c r="T3" s="5"/>
      <c r="U3" s="5"/>
    </row>
    <row r="4" spans="1:21" s="10" customFormat="1">
      <c r="A4" s="43" t="s">
        <v>28</v>
      </c>
      <c r="B4" s="44"/>
      <c r="C4" s="44"/>
      <c r="D4" s="4"/>
      <c r="E4" s="7" t="s">
        <v>15</v>
      </c>
      <c r="F4" s="47" t="s">
        <v>41</v>
      </c>
      <c r="G4" s="7" t="s">
        <v>4</v>
      </c>
      <c r="H4" s="42" t="str">
        <f>IF(LogicCommon!E4="","",LogicCommon!E4)</f>
        <v>取引先ユーティリティ</v>
      </c>
      <c r="I4" s="7" t="s">
        <v>6</v>
      </c>
      <c r="J4" s="8" t="s">
        <v>27</v>
      </c>
      <c r="K4" s="7" t="s">
        <v>5</v>
      </c>
      <c r="L4" s="42" t="str">
        <f>IF(LogicCommon!G4="","",LogicCommon!G4)</f>
        <v>MS.MSUDL5010</v>
      </c>
      <c r="M4" s="48" t="s">
        <v>43</v>
      </c>
      <c r="N4" s="24"/>
      <c r="O4" s="49"/>
      <c r="P4" s="4"/>
      <c r="Q4" s="4"/>
      <c r="R4" s="5"/>
      <c r="S4" s="5"/>
      <c r="T4" s="5"/>
      <c r="U4" s="5"/>
    </row>
    <row r="5" spans="1:21" s="10" customFormat="1">
      <c r="A5" s="50" t="s">
        <v>28</v>
      </c>
      <c r="B5" s="41"/>
      <c r="C5" s="41"/>
      <c r="D5" s="21"/>
      <c r="E5" s="7" t="s">
        <v>42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>
      <c r="A6" s="43" t="s">
        <v>28</v>
      </c>
      <c r="B6" s="44"/>
      <c r="C6" s="44"/>
      <c r="D6" s="4" t="s">
        <v>7</v>
      </c>
      <c r="E6" s="12" t="s">
        <v>52</v>
      </c>
      <c r="F6" s="12"/>
      <c r="G6" s="12"/>
      <c r="H6" s="12"/>
      <c r="I6" s="12"/>
      <c r="J6" s="12"/>
      <c r="K6" s="12"/>
      <c r="L6" s="52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1"/>
      <c r="C8" s="62"/>
      <c r="D8" s="25" t="s">
        <v>70</v>
      </c>
      <c r="E8" s="25" t="s">
        <v>71</v>
      </c>
      <c r="F8" s="52"/>
      <c r="G8" s="25" t="s">
        <v>44</v>
      </c>
      <c r="H8" s="25" t="s">
        <v>72</v>
      </c>
      <c r="I8" s="52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16" t="s">
        <v>73</v>
      </c>
      <c r="U8" s="117"/>
    </row>
    <row r="9" spans="1:21" s="10" customFormat="1" ht="60" customHeight="1">
      <c r="A9" s="8" t="s">
        <v>9</v>
      </c>
      <c r="B9" s="29"/>
      <c r="C9" s="30"/>
      <c r="D9" s="25" t="s">
        <v>74</v>
      </c>
      <c r="E9" s="63" t="s">
        <v>75</v>
      </c>
      <c r="F9" s="25" t="s">
        <v>76</v>
      </c>
      <c r="G9" s="25" t="s">
        <v>77</v>
      </c>
      <c r="H9" s="25" t="s">
        <v>78</v>
      </c>
      <c r="I9" s="64" t="s">
        <v>79</v>
      </c>
      <c r="J9" s="25" t="s">
        <v>80</v>
      </c>
      <c r="K9" s="60"/>
      <c r="L9" s="64"/>
      <c r="M9" s="25"/>
      <c r="N9" s="64"/>
      <c r="O9" s="25"/>
      <c r="P9" s="64"/>
      <c r="Q9" s="25"/>
      <c r="R9" s="116" t="s">
        <v>81</v>
      </c>
      <c r="S9" s="117"/>
      <c r="T9" s="116" t="s">
        <v>82</v>
      </c>
      <c r="U9" s="11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79</v>
      </c>
      <c r="M10" s="25" t="s">
        <v>80</v>
      </c>
      <c r="N10" s="25" t="s">
        <v>79</v>
      </c>
      <c r="O10" s="25" t="s">
        <v>80</v>
      </c>
      <c r="P10" s="25" t="s">
        <v>79</v>
      </c>
      <c r="Q10" s="25" t="s">
        <v>80</v>
      </c>
      <c r="R10" s="31"/>
      <c r="S10" s="31"/>
      <c r="T10" s="36"/>
      <c r="U10" s="53"/>
    </row>
    <row r="11" spans="1:21" s="10" customFormat="1">
      <c r="A11" s="22"/>
      <c r="B11" s="23"/>
      <c r="C11" s="23"/>
      <c r="D11" s="16" t="s">
        <v>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8"/>
    </row>
    <row r="12" spans="1:21" s="10" customFormat="1">
      <c r="A12" s="43"/>
      <c r="U12" s="37"/>
    </row>
    <row r="13" spans="1:21" s="10" customFormat="1">
      <c r="A13" s="43"/>
      <c r="U13" s="37"/>
    </row>
    <row r="14" spans="1:21" s="10" customFormat="1">
      <c r="A14" s="43"/>
      <c r="U14" s="37"/>
    </row>
    <row r="15" spans="1:21" s="10" customFormat="1">
      <c r="A15" s="43"/>
      <c r="U15" s="37"/>
    </row>
    <row r="16" spans="1:21" s="10" customFormat="1">
      <c r="A16" s="43"/>
      <c r="U16" s="37"/>
    </row>
    <row r="17" spans="1:21" s="10" customFormat="1">
      <c r="A17" s="43"/>
      <c r="U17" s="37"/>
    </row>
    <row r="18" spans="1:21" s="10" customFormat="1">
      <c r="A18" s="43"/>
      <c r="U18" s="37"/>
    </row>
    <row r="19" spans="1:21" s="10" customFormat="1">
      <c r="A19" s="43"/>
      <c r="U19" s="37"/>
    </row>
    <row r="20" spans="1:21" s="10" customFormat="1">
      <c r="A20" s="43"/>
      <c r="U20" s="37"/>
    </row>
    <row r="21" spans="1:21" s="10" customFormat="1">
      <c r="A21" s="43"/>
      <c r="U21" s="37"/>
    </row>
    <row r="22" spans="1:21" s="10" customFormat="1">
      <c r="A22" s="43"/>
      <c r="U22" s="37"/>
    </row>
    <row r="23" spans="1:21" s="10" customFormat="1">
      <c r="A23" s="43"/>
      <c r="U23" s="37"/>
    </row>
    <row r="24" spans="1:21" s="10" customFormat="1">
      <c r="A24" s="43"/>
      <c r="U24" s="37"/>
    </row>
    <row r="25" spans="1:21" s="10" customFormat="1">
      <c r="A25" s="43"/>
      <c r="U25" s="37"/>
    </row>
    <row r="26" spans="1:21" s="10" customFormat="1">
      <c r="A26" s="43"/>
      <c r="U26" s="37"/>
    </row>
    <row r="27" spans="1:21" s="10" customFormat="1">
      <c r="A27" s="43"/>
      <c r="U27" s="37"/>
    </row>
    <row r="28" spans="1:21" s="10" customFormat="1">
      <c r="A28" s="43"/>
      <c r="U28" s="37"/>
    </row>
    <row r="29" spans="1:21" s="10" customFormat="1">
      <c r="A29" s="43"/>
      <c r="U29" s="37"/>
    </row>
    <row r="30" spans="1:21" s="10" customFormat="1">
      <c r="A30" s="43"/>
      <c r="U30" s="37"/>
    </row>
    <row r="31" spans="1:21" s="10" customFormat="1">
      <c r="A31" s="43"/>
      <c r="U31" s="37"/>
    </row>
    <row r="32" spans="1:21" s="10" customFormat="1">
      <c r="A32" s="43"/>
      <c r="U32" s="37"/>
    </row>
    <row r="33" spans="1:21" s="10" customFormat="1">
      <c r="A33" s="43"/>
      <c r="U33" s="37"/>
    </row>
    <row r="34" spans="1:21" s="10" customFormat="1">
      <c r="A34" s="43"/>
      <c r="U34" s="37"/>
    </row>
    <row r="35" spans="1:21" s="10" customFormat="1">
      <c r="A35" s="43"/>
      <c r="U35" s="37"/>
    </row>
    <row r="36" spans="1:21" s="10" customFormat="1">
      <c r="A36" s="43"/>
      <c r="U36" s="37"/>
    </row>
    <row r="37" spans="1:21" s="10" customFormat="1">
      <c r="A37" s="50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8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63281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28</v>
      </c>
      <c r="B1" s="41" t="s">
        <v>28</v>
      </c>
      <c r="C1" s="41"/>
      <c r="D1" s="1" t="s">
        <v>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</v>
      </c>
      <c r="B2" s="23"/>
      <c r="C2" s="23"/>
      <c r="D2" s="60" t="s">
        <v>69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MSUCL0120</v>
      </c>
      <c r="I2" s="7" t="s">
        <v>37</v>
      </c>
      <c r="J2" s="8" t="s">
        <v>63</v>
      </c>
      <c r="K2" s="7" t="s">
        <v>33</v>
      </c>
      <c r="L2" s="42" t="str">
        <f>IF(LogicCommon!G2="","",LogicCommon!G2)</f>
        <v>MC</v>
      </c>
      <c r="M2" s="5" t="s">
        <v>14</v>
      </c>
      <c r="N2" s="24" t="s">
        <v>49</v>
      </c>
      <c r="O2" s="7"/>
      <c r="P2" s="7"/>
      <c r="Q2" s="4"/>
      <c r="R2" s="5"/>
      <c r="S2" s="5"/>
      <c r="T2" s="5"/>
      <c r="U2" s="5"/>
    </row>
    <row r="3" spans="1:21" s="10" customFormat="1">
      <c r="A3" s="43" t="s">
        <v>28</v>
      </c>
      <c r="B3" s="44"/>
      <c r="C3" s="44"/>
      <c r="D3" s="45" t="str">
        <f>IF(LogicCommon!A3="","",LogicCommon!A3)</f>
        <v/>
      </c>
      <c r="E3" s="7" t="s">
        <v>2</v>
      </c>
      <c r="F3" s="42" t="str">
        <f>IF(LogicCommon!C3="","",LogicCommon!C3)</f>
        <v>MSUC</v>
      </c>
      <c r="G3" s="7" t="s">
        <v>3</v>
      </c>
      <c r="H3" s="42" t="str">
        <f>IF(LogicCommon!E3="","",LogicCommon!E3)</f>
        <v>MSUCL_BpUtil</v>
      </c>
      <c r="I3" s="7" t="s">
        <v>38</v>
      </c>
      <c r="J3" s="8" t="s">
        <v>31</v>
      </c>
      <c r="K3" s="7" t="s">
        <v>35</v>
      </c>
      <c r="L3" s="42" t="str">
        <f>IF(LogicCommon!G3="","",LogicCommon!G3)</f>
        <v/>
      </c>
      <c r="M3" s="46"/>
      <c r="N3" s="7"/>
      <c r="O3" s="7" t="s">
        <v>39</v>
      </c>
      <c r="P3" s="8" t="s">
        <v>45</v>
      </c>
      <c r="Q3" s="4"/>
      <c r="R3" s="5"/>
      <c r="S3" s="5"/>
      <c r="T3" s="5"/>
      <c r="U3" s="5"/>
    </row>
    <row r="4" spans="1:21" s="10" customFormat="1">
      <c r="A4" s="43" t="s">
        <v>28</v>
      </c>
      <c r="B4" s="44"/>
      <c r="C4" s="44"/>
      <c r="D4" s="4"/>
      <c r="E4" s="7" t="s">
        <v>15</v>
      </c>
      <c r="F4" s="47" t="s">
        <v>41</v>
      </c>
      <c r="G4" s="7" t="s">
        <v>4</v>
      </c>
      <c r="H4" s="42" t="str">
        <f>IF(LogicCommon!E4="","",LogicCommon!E4)</f>
        <v>取引先ユーティリティ</v>
      </c>
      <c r="I4" s="7" t="s">
        <v>6</v>
      </c>
      <c r="J4" s="8" t="s">
        <v>62</v>
      </c>
      <c r="K4" s="7" t="s">
        <v>5</v>
      </c>
      <c r="L4" s="42" t="str">
        <f>IF(LogicCommon!G4="","",LogicCommon!G4)</f>
        <v>MS.MSUDL5010</v>
      </c>
      <c r="M4" s="48" t="s">
        <v>43</v>
      </c>
      <c r="N4" s="24"/>
      <c r="O4" s="49"/>
      <c r="P4" s="4"/>
      <c r="Q4" s="4"/>
      <c r="R4" s="5"/>
      <c r="S4" s="5"/>
      <c r="T4" s="5"/>
      <c r="U4" s="5"/>
    </row>
    <row r="5" spans="1:21" s="10" customFormat="1">
      <c r="A5" s="50" t="s">
        <v>28</v>
      </c>
      <c r="B5" s="41"/>
      <c r="C5" s="41"/>
      <c r="D5" s="21"/>
      <c r="E5" s="7" t="s">
        <v>42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>
      <c r="A6" s="43" t="s">
        <v>28</v>
      </c>
      <c r="B6" s="44"/>
      <c r="C6" s="44"/>
      <c r="D6" s="4" t="s">
        <v>7</v>
      </c>
      <c r="E6" s="12" t="s">
        <v>53</v>
      </c>
      <c r="F6" s="12"/>
      <c r="G6" s="12"/>
      <c r="H6" s="12"/>
      <c r="I6" s="12"/>
      <c r="J6" s="12"/>
      <c r="K6" s="12"/>
      <c r="L6" s="52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1"/>
      <c r="C8" s="62"/>
      <c r="D8" s="25" t="s">
        <v>70</v>
      </c>
      <c r="E8" s="25" t="s">
        <v>71</v>
      </c>
      <c r="F8" s="52"/>
      <c r="G8" s="25" t="s">
        <v>44</v>
      </c>
      <c r="H8" s="25" t="s">
        <v>72</v>
      </c>
      <c r="I8" s="52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16" t="s">
        <v>73</v>
      </c>
      <c r="U8" s="117"/>
    </row>
    <row r="9" spans="1:21" s="10" customFormat="1" ht="60" customHeight="1">
      <c r="A9" s="8" t="s">
        <v>9</v>
      </c>
      <c r="B9" s="29"/>
      <c r="C9" s="30"/>
      <c r="D9" s="25" t="s">
        <v>74</v>
      </c>
      <c r="E9" s="63" t="s">
        <v>75</v>
      </c>
      <c r="F9" s="25" t="s">
        <v>76</v>
      </c>
      <c r="G9" s="25" t="s">
        <v>77</v>
      </c>
      <c r="H9" s="25" t="s">
        <v>78</v>
      </c>
      <c r="I9" s="64" t="s">
        <v>79</v>
      </c>
      <c r="J9" s="25" t="s">
        <v>80</v>
      </c>
      <c r="K9" s="60"/>
      <c r="L9" s="64"/>
      <c r="M9" s="25"/>
      <c r="N9" s="64"/>
      <c r="O9" s="25"/>
      <c r="P9" s="64"/>
      <c r="Q9" s="25"/>
      <c r="R9" s="116" t="s">
        <v>81</v>
      </c>
      <c r="S9" s="117"/>
      <c r="T9" s="116" t="s">
        <v>82</v>
      </c>
      <c r="U9" s="11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79</v>
      </c>
      <c r="M10" s="25" t="s">
        <v>80</v>
      </c>
      <c r="N10" s="25" t="s">
        <v>79</v>
      </c>
      <c r="O10" s="25" t="s">
        <v>80</v>
      </c>
      <c r="P10" s="25" t="s">
        <v>79</v>
      </c>
      <c r="Q10" s="25" t="s">
        <v>80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29</v>
      </c>
      <c r="C11" s="30"/>
      <c r="D11" s="24" t="s">
        <v>64</v>
      </c>
      <c r="E11" s="27" t="s">
        <v>59</v>
      </c>
      <c r="F11" s="39"/>
      <c r="G11" s="24"/>
      <c r="H11" s="28"/>
      <c r="I11" s="40"/>
      <c r="J11" s="34"/>
      <c r="K11" s="34"/>
      <c r="L11" s="27"/>
      <c r="M11" s="27"/>
      <c r="N11" s="27"/>
      <c r="O11" s="27"/>
      <c r="P11" s="27"/>
      <c r="Q11" s="27"/>
      <c r="R11" s="40"/>
      <c r="S11" s="39"/>
      <c r="T11" s="118"/>
      <c r="U11" s="119"/>
    </row>
    <row r="12" spans="1:21" s="10" customFormat="1">
      <c r="A12" s="8">
        <v>10</v>
      </c>
      <c r="B12" s="8"/>
      <c r="C12" s="8"/>
      <c r="D12" s="8" t="s">
        <v>60</v>
      </c>
      <c r="E12" s="26" t="s">
        <v>54</v>
      </c>
      <c r="F12" s="26"/>
      <c r="G12" s="54" t="s">
        <v>83</v>
      </c>
      <c r="H12" s="54" t="s">
        <v>66</v>
      </c>
      <c r="I12" s="8" t="s">
        <v>46</v>
      </c>
      <c r="J12" s="8" t="s">
        <v>47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>
      <c r="A13" s="43"/>
      <c r="U13" s="37"/>
    </row>
    <row r="14" spans="1:21" s="10" customFormat="1">
      <c r="A14" s="8">
        <v>20</v>
      </c>
      <c r="B14" s="29" t="s">
        <v>29</v>
      </c>
      <c r="C14" s="30"/>
      <c r="D14" s="24" t="s">
        <v>65</v>
      </c>
      <c r="E14" s="27" t="s">
        <v>30</v>
      </c>
      <c r="F14" s="39"/>
      <c r="G14" s="24"/>
      <c r="H14" s="28"/>
      <c r="I14" s="40"/>
      <c r="J14" s="34"/>
      <c r="K14" s="34"/>
      <c r="L14" s="27"/>
      <c r="M14" s="27"/>
      <c r="N14" s="27"/>
      <c r="O14" s="27"/>
      <c r="P14" s="27"/>
      <c r="Q14" s="27"/>
      <c r="R14" s="40"/>
      <c r="S14" s="39"/>
      <c r="T14" s="118"/>
      <c r="U14" s="119"/>
    </row>
    <row r="15" spans="1:21" s="10" customFormat="1">
      <c r="A15" s="8">
        <v>20</v>
      </c>
      <c r="B15" s="8"/>
      <c r="C15" s="8"/>
      <c r="D15" s="8" t="s">
        <v>57</v>
      </c>
      <c r="E15" s="26" t="s">
        <v>56</v>
      </c>
      <c r="F15" s="26"/>
      <c r="G15" s="54" t="s">
        <v>84</v>
      </c>
      <c r="H15" s="54" t="s">
        <v>67</v>
      </c>
      <c r="I15" s="8" t="s">
        <v>46</v>
      </c>
      <c r="J15" s="8" t="s">
        <v>46</v>
      </c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>
      <c r="A16" s="8">
        <v>20</v>
      </c>
      <c r="B16" s="8"/>
      <c r="C16" s="8"/>
      <c r="D16" s="8" t="s">
        <v>58</v>
      </c>
      <c r="E16" s="26" t="s">
        <v>55</v>
      </c>
      <c r="F16" s="26"/>
      <c r="G16" s="54" t="s">
        <v>85</v>
      </c>
      <c r="H16" s="54" t="s">
        <v>68</v>
      </c>
      <c r="I16" s="8" t="s">
        <v>47</v>
      </c>
      <c r="J16" s="8" t="s">
        <v>46</v>
      </c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>
      <c r="A17" s="22"/>
      <c r="B17" s="23"/>
      <c r="C17" s="23"/>
      <c r="D17" s="16" t="s">
        <v>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>
      <c r="A18" s="43"/>
      <c r="U18" s="37"/>
    </row>
    <row r="19" spans="1:21" s="10" customFormat="1">
      <c r="A19" s="43"/>
      <c r="U19" s="37"/>
    </row>
    <row r="20" spans="1:21" s="10" customFormat="1">
      <c r="A20" s="43"/>
      <c r="U20" s="37"/>
    </row>
    <row r="21" spans="1:21" s="10" customFormat="1">
      <c r="A21" s="43"/>
      <c r="U21" s="37"/>
    </row>
    <row r="22" spans="1:21" s="10" customFormat="1">
      <c r="A22" s="43"/>
      <c r="U22" s="37"/>
    </row>
    <row r="23" spans="1:21" s="10" customFormat="1">
      <c r="A23" s="43"/>
      <c r="U23" s="37"/>
    </row>
    <row r="24" spans="1:21" s="10" customFormat="1">
      <c r="A24" s="43"/>
      <c r="U24" s="37"/>
    </row>
    <row r="25" spans="1:21" s="10" customFormat="1">
      <c r="A25" s="43"/>
      <c r="U25" s="37"/>
    </row>
    <row r="26" spans="1:21" s="10" customFormat="1">
      <c r="A26" s="43"/>
      <c r="U26" s="37"/>
    </row>
    <row r="27" spans="1:21" s="10" customFormat="1">
      <c r="A27" s="43"/>
      <c r="U27" s="37"/>
    </row>
    <row r="28" spans="1:21" s="10" customFormat="1">
      <c r="A28" s="43"/>
      <c r="U28" s="37"/>
    </row>
    <row r="29" spans="1:21" s="10" customFormat="1">
      <c r="A29" s="43"/>
      <c r="U29" s="37"/>
    </row>
    <row r="30" spans="1:21" s="10" customFormat="1">
      <c r="A30" s="43"/>
      <c r="U30" s="37"/>
    </row>
    <row r="31" spans="1:21" s="10" customFormat="1">
      <c r="A31" s="43"/>
      <c r="U31" s="37"/>
    </row>
    <row r="32" spans="1:21" s="10" customFormat="1">
      <c r="A32" s="5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38"/>
    </row>
  </sheetData>
  <mergeCells count="11"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451F-4EC6-485E-98B1-65D764D7AE43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8" customWidth="1"/>
    <col min="43" max="44" width="2.08984375" style="59" customWidth="1"/>
    <col min="45" max="71" width="2.08984375" style="58" customWidth="1"/>
    <col min="72" max="256" width="8.81640625" style="58"/>
    <col min="257" max="327" width="2.08984375" style="58" customWidth="1"/>
    <col min="328" max="512" width="8.81640625" style="58"/>
    <col min="513" max="583" width="2.08984375" style="58" customWidth="1"/>
    <col min="584" max="768" width="8.81640625" style="58"/>
    <col min="769" max="839" width="2.08984375" style="58" customWidth="1"/>
    <col min="840" max="1024" width="8.81640625" style="58"/>
    <col min="1025" max="1095" width="2.08984375" style="58" customWidth="1"/>
    <col min="1096" max="1280" width="8.81640625" style="58"/>
    <col min="1281" max="1351" width="2.08984375" style="58" customWidth="1"/>
    <col min="1352" max="1536" width="8.81640625" style="58"/>
    <col min="1537" max="1607" width="2.08984375" style="58" customWidth="1"/>
    <col min="1608" max="1792" width="8.81640625" style="58"/>
    <col min="1793" max="1863" width="2.08984375" style="58" customWidth="1"/>
    <col min="1864" max="2048" width="8.81640625" style="58"/>
    <col min="2049" max="2119" width="2.08984375" style="58" customWidth="1"/>
    <col min="2120" max="2304" width="8.81640625" style="58"/>
    <col min="2305" max="2375" width="2.08984375" style="58" customWidth="1"/>
    <col min="2376" max="2560" width="8.81640625" style="58"/>
    <col min="2561" max="2631" width="2.08984375" style="58" customWidth="1"/>
    <col min="2632" max="2816" width="8.81640625" style="58"/>
    <col min="2817" max="2887" width="2.08984375" style="58" customWidth="1"/>
    <col min="2888" max="3072" width="8.81640625" style="58"/>
    <col min="3073" max="3143" width="2.08984375" style="58" customWidth="1"/>
    <col min="3144" max="3328" width="8.81640625" style="58"/>
    <col min="3329" max="3399" width="2.08984375" style="58" customWidth="1"/>
    <col min="3400" max="3584" width="8.81640625" style="58"/>
    <col min="3585" max="3655" width="2.08984375" style="58" customWidth="1"/>
    <col min="3656" max="3840" width="8.81640625" style="58"/>
    <col min="3841" max="3911" width="2.08984375" style="58" customWidth="1"/>
    <col min="3912" max="4096" width="8.81640625" style="58"/>
    <col min="4097" max="4167" width="2.08984375" style="58" customWidth="1"/>
    <col min="4168" max="4352" width="8.81640625" style="58"/>
    <col min="4353" max="4423" width="2.08984375" style="58" customWidth="1"/>
    <col min="4424" max="4608" width="8.81640625" style="58"/>
    <col min="4609" max="4679" width="2.08984375" style="58" customWidth="1"/>
    <col min="4680" max="4864" width="8.81640625" style="58"/>
    <col min="4865" max="4935" width="2.08984375" style="58" customWidth="1"/>
    <col min="4936" max="5120" width="8.81640625" style="58"/>
    <col min="5121" max="5191" width="2.08984375" style="58" customWidth="1"/>
    <col min="5192" max="5376" width="8.81640625" style="58"/>
    <col min="5377" max="5447" width="2.08984375" style="58" customWidth="1"/>
    <col min="5448" max="5632" width="8.81640625" style="58"/>
    <col min="5633" max="5703" width="2.08984375" style="58" customWidth="1"/>
    <col min="5704" max="5888" width="8.81640625" style="58"/>
    <col min="5889" max="5959" width="2.08984375" style="58" customWidth="1"/>
    <col min="5960" max="6144" width="8.81640625" style="58"/>
    <col min="6145" max="6215" width="2.08984375" style="58" customWidth="1"/>
    <col min="6216" max="6400" width="8.81640625" style="58"/>
    <col min="6401" max="6471" width="2.08984375" style="58" customWidth="1"/>
    <col min="6472" max="6656" width="8.81640625" style="58"/>
    <col min="6657" max="6727" width="2.08984375" style="58" customWidth="1"/>
    <col min="6728" max="6912" width="8.81640625" style="58"/>
    <col min="6913" max="6983" width="2.08984375" style="58" customWidth="1"/>
    <col min="6984" max="7168" width="8.81640625" style="58"/>
    <col min="7169" max="7239" width="2.08984375" style="58" customWidth="1"/>
    <col min="7240" max="7424" width="8.81640625" style="58"/>
    <col min="7425" max="7495" width="2.08984375" style="58" customWidth="1"/>
    <col min="7496" max="7680" width="8.81640625" style="58"/>
    <col min="7681" max="7751" width="2.08984375" style="58" customWidth="1"/>
    <col min="7752" max="7936" width="8.81640625" style="58"/>
    <col min="7937" max="8007" width="2.08984375" style="58" customWidth="1"/>
    <col min="8008" max="8192" width="8.81640625" style="58"/>
    <col min="8193" max="8263" width="2.08984375" style="58" customWidth="1"/>
    <col min="8264" max="8448" width="8.81640625" style="58"/>
    <col min="8449" max="8519" width="2.08984375" style="58" customWidth="1"/>
    <col min="8520" max="8704" width="8.81640625" style="58"/>
    <col min="8705" max="8775" width="2.08984375" style="58" customWidth="1"/>
    <col min="8776" max="8960" width="8.81640625" style="58"/>
    <col min="8961" max="9031" width="2.08984375" style="58" customWidth="1"/>
    <col min="9032" max="9216" width="8.81640625" style="58"/>
    <col min="9217" max="9287" width="2.08984375" style="58" customWidth="1"/>
    <col min="9288" max="9472" width="8.81640625" style="58"/>
    <col min="9473" max="9543" width="2.08984375" style="58" customWidth="1"/>
    <col min="9544" max="9728" width="8.81640625" style="58"/>
    <col min="9729" max="9799" width="2.08984375" style="58" customWidth="1"/>
    <col min="9800" max="9984" width="8.81640625" style="58"/>
    <col min="9985" max="10055" width="2.08984375" style="58" customWidth="1"/>
    <col min="10056" max="10240" width="8.81640625" style="58"/>
    <col min="10241" max="10311" width="2.08984375" style="58" customWidth="1"/>
    <col min="10312" max="10496" width="8.81640625" style="58"/>
    <col min="10497" max="10567" width="2.08984375" style="58" customWidth="1"/>
    <col min="10568" max="10752" width="8.81640625" style="58"/>
    <col min="10753" max="10823" width="2.08984375" style="58" customWidth="1"/>
    <col min="10824" max="11008" width="8.81640625" style="58"/>
    <col min="11009" max="11079" width="2.08984375" style="58" customWidth="1"/>
    <col min="11080" max="11264" width="8.81640625" style="58"/>
    <col min="11265" max="11335" width="2.08984375" style="58" customWidth="1"/>
    <col min="11336" max="11520" width="8.81640625" style="58"/>
    <col min="11521" max="11591" width="2.08984375" style="58" customWidth="1"/>
    <col min="11592" max="11776" width="8.81640625" style="58"/>
    <col min="11777" max="11847" width="2.08984375" style="58" customWidth="1"/>
    <col min="11848" max="12032" width="8.81640625" style="58"/>
    <col min="12033" max="12103" width="2.08984375" style="58" customWidth="1"/>
    <col min="12104" max="12288" width="8.81640625" style="58"/>
    <col min="12289" max="12359" width="2.08984375" style="58" customWidth="1"/>
    <col min="12360" max="12544" width="8.81640625" style="58"/>
    <col min="12545" max="12615" width="2.08984375" style="58" customWidth="1"/>
    <col min="12616" max="12800" width="8.81640625" style="58"/>
    <col min="12801" max="12871" width="2.08984375" style="58" customWidth="1"/>
    <col min="12872" max="13056" width="8.81640625" style="58"/>
    <col min="13057" max="13127" width="2.08984375" style="58" customWidth="1"/>
    <col min="13128" max="13312" width="8.81640625" style="58"/>
    <col min="13313" max="13383" width="2.08984375" style="58" customWidth="1"/>
    <col min="13384" max="13568" width="8.81640625" style="58"/>
    <col min="13569" max="13639" width="2.08984375" style="58" customWidth="1"/>
    <col min="13640" max="13824" width="8.81640625" style="58"/>
    <col min="13825" max="13895" width="2.08984375" style="58" customWidth="1"/>
    <col min="13896" max="14080" width="8.81640625" style="58"/>
    <col min="14081" max="14151" width="2.08984375" style="58" customWidth="1"/>
    <col min="14152" max="14336" width="8.81640625" style="58"/>
    <col min="14337" max="14407" width="2.08984375" style="58" customWidth="1"/>
    <col min="14408" max="14592" width="8.81640625" style="58"/>
    <col min="14593" max="14663" width="2.08984375" style="58" customWidth="1"/>
    <col min="14664" max="14848" width="8.81640625" style="58"/>
    <col min="14849" max="14919" width="2.08984375" style="58" customWidth="1"/>
    <col min="14920" max="15104" width="8.81640625" style="58"/>
    <col min="15105" max="15175" width="2.08984375" style="58" customWidth="1"/>
    <col min="15176" max="15360" width="8.81640625" style="58"/>
    <col min="15361" max="15431" width="2.08984375" style="58" customWidth="1"/>
    <col min="15432" max="15616" width="8.81640625" style="58"/>
    <col min="15617" max="15687" width="2.08984375" style="58" customWidth="1"/>
    <col min="15688" max="15872" width="8.81640625" style="58"/>
    <col min="15873" max="15943" width="2.08984375" style="58" customWidth="1"/>
    <col min="15944" max="16128" width="8.81640625" style="58"/>
    <col min="16129" max="16199" width="2.08984375" style="58" customWidth="1"/>
    <col min="16200" max="16384" width="8.81640625" style="58"/>
  </cols>
  <sheetData>
    <row r="1" spans="1:57" s="55" customFormat="1" ht="38.25" customHeight="1" thickBot="1">
      <c r="A1" s="93" t="s">
        <v>19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55" customFormat="1" ht="12" customHeight="1" thickBo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7"/>
      <c r="AR2" s="57"/>
    </row>
    <row r="3" spans="1:57" ht="15" customHeight="1" thickBot="1">
      <c r="A3" s="96" t="s">
        <v>20</v>
      </c>
      <c r="B3" s="97"/>
      <c r="C3" s="97"/>
      <c r="D3" s="97"/>
      <c r="E3" s="97"/>
      <c r="F3" s="97"/>
      <c r="G3" s="98"/>
      <c r="H3" s="99" t="s">
        <v>21</v>
      </c>
      <c r="I3" s="97"/>
      <c r="J3" s="97"/>
      <c r="K3" s="97"/>
      <c r="L3" s="97"/>
      <c r="M3" s="97"/>
      <c r="N3" s="98"/>
      <c r="O3" s="99" t="s">
        <v>22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23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11" t="s">
        <v>24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87" t="s">
        <v>86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87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82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82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82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82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82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82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82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82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82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82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82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82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82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82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82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82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82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82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82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82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82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82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82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82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8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71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LPC</vt:lpstr>
      <vt:lpstr>BpUtil_Sprt01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2026-03-27T06:02:24Z</dcterms:modified>
  <cp:category/>
</cp:coreProperties>
</file>