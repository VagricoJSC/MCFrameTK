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C\Logic\"/>
    </mc:Choice>
  </mc:AlternateContent>
  <xr:revisionPtr revIDLastSave="0" documentId="13_ncr:1_{D67FA7C9-65A5-4973-90AC-EB427BE599FF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Upd01" sheetId="5" r:id="rId2"/>
    <sheet name="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<sst xmlns="http://schemas.openxmlformats.org/spreadsheetml/2006/main" count="280" uniqueCount="144">
  <si>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</si>
  <si>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</si>
  <si>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</si>
  <si>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</si>
  <si>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</si>
  <si>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</si>
  <si>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</si>
  <si>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</si>
  <si>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</si>
  <si>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</si>
  <si>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</si>
  <si>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</si>
  <si>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</si>
  <si>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</si>
  <si>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</si>
  <si>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</si>
  <si>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</si>
  <si>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</si>
  <si>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</si>
  <si>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</si>
  <si>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</si>
  <si>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</si>
  <si>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</si>
  <si>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</si>
  <si>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</si>
  <si>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</si>
  <si>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</si>
  <si>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</si>
  <si>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</si>
  <si>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</si>
  <si>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</si>
  <si>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</si>
  <si>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</si>
  <si>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</si>
  <si>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</si>
  <si>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</si>
  <si>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</si>
  <si>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</si>
  <si>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</si>
  <si>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</si>
  <si>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</si>
  <si>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</si>
  <si>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</si>
  <si>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</si>
  <si>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</si>
  <si>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</si>
  <si>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</si>
  <si>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</si>
  <si>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</si>
  <si>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</si>
  <si>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</si>
  <si>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Upd01_Dtl</t>
    <phoneticPr fontId="4"/>
  </si>
  <si>
    <t>if_proc_typ</t>
    <phoneticPr fontId="2"/>
  </si>
  <si>
    <t>ext_sys_cd</t>
    <phoneticPr fontId="1"/>
  </si>
  <si>
    <t>co_cd</t>
    <phoneticPr fontId="1"/>
  </si>
  <si>
    <t>#MA.IF_PROC_TYP</t>
  </si>
  <si>
    <t>#MA.CO_CD</t>
  </si>
  <si>
    <t>#MA.DT</t>
  </si>
  <si>
    <t>MSLCL5010</t>
    <phoneticPr fontId="4"/>
  </si>
  <si>
    <t>MSLCL_MlyStkSendIfService</t>
    <phoneticPr fontId="4"/>
  </si>
  <si>
    <t>MSLC</t>
    <phoneticPr fontId="4"/>
  </si>
  <si>
    <t>BILinkレコード登録</t>
  </si>
  <si>
    <t>ＩＦテーブルの登録処理を実行するオペレーションの基底クラスの実装</t>
    <phoneticPr fontId="2"/>
  </si>
  <si>
    <t>メイン処理</t>
  </si>
  <si>
    <t>ＩＦテーブルにレコードを登録する処理の流れを定義したオペレーションの基底クラスの実装</t>
  </si>
  <si>
    <t>Upd02_Dtl</t>
    <phoneticPr fontId="4"/>
  </si>
  <si>
    <t>dt_fr</t>
    <phoneticPr fontId="2"/>
  </si>
  <si>
    <t>dt_to</t>
    <phoneticPr fontId="1"/>
  </si>
  <si>
    <t>#MA.EXT_SYS_CD</t>
  </si>
  <si>
    <t>"mcframe.serverMAUD.MAUDL1030.MAUDL_LogicBase_MC.Upd01"</t>
    <phoneticPr fontId="2"/>
  </si>
  <si>
    <t>"mcframe.serverMAUD.MAUDL1030.MAUDL_LogicBase_MC.Upd02"</t>
    <phoneticPr fontId="2"/>
  </si>
  <si>
    <t>MA.MAUDL1030</t>
    <phoneticPr fontId="2"/>
  </si>
  <si>
    <t>R</t>
    <phoneticPr fontId="2"/>
  </si>
  <si>
    <t>R</t>
    <phoneticPr fontId="4"/>
  </si>
  <si>
    <t>MA.MAUDL1030.Upd02.Upd02_Dtl</t>
    <phoneticPr fontId="4"/>
  </si>
  <si>
    <t>MA.MAUDL1030.Upd01.Upd01_Dtl</t>
    <phoneticPr fontId="4"/>
  </si>
  <si>
    <t>Upd01</t>
    <phoneticPr fontId="4"/>
  </si>
  <si>
    <t>Upd02</t>
    <phoneticPr fontId="4"/>
  </si>
  <si>
    <t>data_no</t>
    <phoneticPr fontId="4"/>
  </si>
  <si>
    <t>#MA.IF_DATA_NO</t>
    <phoneticPr fontId="4"/>
  </si>
  <si>
    <t>データＮＯ</t>
    <phoneticPr fontId="4"/>
  </si>
  <si>
    <t>Upd02_Rslt</t>
    <phoneticPr fontId="4"/>
  </si>
  <si>
    <t>MA.MAUDL1030.Upd02.Upd02_Rslt</t>
    <phoneticPr fontId="2"/>
  </si>
  <si>
    <t>total_num</t>
  </si>
  <si>
    <t>#MA.INT</t>
    <phoneticPr fontId="4"/>
  </si>
  <si>
    <t>処理対象件数</t>
    <phoneticPr fontId="4"/>
  </si>
  <si>
    <t>E</t>
    <phoneticPr fontId="4"/>
  </si>
  <si>
    <t>ok_num</t>
  </si>
  <si>
    <t>#MA.INT</t>
  </si>
  <si>
    <t>err_num</t>
  </si>
  <si>
    <t>skip_num</t>
  </si>
  <si>
    <t>$super$</t>
    <phoneticPr fontId="2"/>
  </si>
  <si>
    <t>exec_co_cd</t>
    <phoneticPr fontId="4"/>
  </si>
  <si>
    <t>月末在庫送信IFサービス</t>
    <rPh sb="0" eb="2">
      <t>ゲツマツ</t>
    </rPh>
    <rPh sb="2" eb="4">
      <t>ザイコ</t>
    </rPh>
    <rPh sb="4" eb="6">
      <t>ソウシン</t>
    </rPh>
    <phoneticPr fontId="1"/>
  </si>
  <si>
    <t>cancel_num</t>
  </si>
  <si>
    <t>ＩＦ処理区分</t>
    <phoneticPr fontId="2"/>
  </si>
  <si>
    <t>E</t>
    <phoneticPr fontId="2"/>
  </si>
  <si>
    <t>-</t>
    <phoneticPr fontId="2"/>
  </si>
  <si>
    <t>外部システムＣＤ</t>
    <phoneticPr fontId="2"/>
  </si>
  <si>
    <t>抽出年月日ＦＲＯＭ</t>
    <phoneticPr fontId="2"/>
  </si>
  <si>
    <t>抽出年月日ＴＯ</t>
    <phoneticPr fontId="2"/>
  </si>
  <si>
    <t>会社ＣＤ</t>
    <phoneticPr fontId="2"/>
  </si>
  <si>
    <t>ＩＦ処理区分</t>
    <phoneticPr fontId="4"/>
  </si>
  <si>
    <t>E</t>
    <phoneticPr fontId="4"/>
  </si>
  <si>
    <t>-</t>
    <phoneticPr fontId="4"/>
  </si>
  <si>
    <t>外部システムＣＤ</t>
    <phoneticPr fontId="4"/>
  </si>
  <si>
    <t>抽出年月日ＦＲＯＭ</t>
    <phoneticPr fontId="4"/>
  </si>
  <si>
    <t>抽出年月日ＴＯ</t>
    <phoneticPr fontId="4"/>
  </si>
  <si>
    <t>会社ＣＤ</t>
    <phoneticPr fontId="4"/>
  </si>
  <si>
    <t>実行会社ＣＤ</t>
    <phoneticPr fontId="4"/>
  </si>
  <si>
    <t>登録件数</t>
    <phoneticPr fontId="4"/>
  </si>
  <si>
    <t>エラー件数</t>
    <phoneticPr fontId="4"/>
  </si>
  <si>
    <t>スキップ件数</t>
    <phoneticPr fontId="4"/>
  </si>
  <si>
    <t>削除レコード登録件数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</si>
  <si>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</si>
  <si>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</si>
  <si>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</si>
  <si>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</si>
  <si>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</si>
  <si>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</si>
  <si>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</si>
  <si>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</si>
  <si>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</si>
  <si>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</si>
  <si>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</si>
  <si>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</si>
  <si>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</si>
  <si>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</si>
  <si>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</si>
  <si>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</si>
  <si>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Extraction date FROM</t>
  </si>
  <si>
    <t>Extraction date TO</t>
  </si>
  <si>
    <t>Company cd.</t>
  </si>
  <si>
    <t>項目名
Field Name</t>
    <phoneticPr fontId="4"/>
  </si>
  <si>
    <t>型
Type</t>
    <phoneticPr fontId="4"/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</si>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</sst>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2" borderId="9" xfId="0" applyFont="1" applyFill="1" applyBorder="1" applyAlignment="1"/>
    <xf numFmtId="0" fontId="7" fillId="2" borderId="9" xfId="0" applyFont="1" applyFill="1" applyBorder="1" applyAlignment="1">
      <alignment wrapText="1"/>
    </xf>
    <xf numFmtId="0" fontId="7" fillId="2" borderId="30" xfId="0" applyFont="1" applyFill="1" applyBorder="1" applyAlignment="1">
      <alignment vertical="top"/>
    </xf>
    <xf numFmtId="0" fontId="7" fillId="0" borderId="9" xfId="0" applyFont="1" applyBorder="1" applyAlignment="1"/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43</v>
      </c>
      <c r="E2" s="8" t="s">
        <v>58</v>
      </c>
      <c r="F2" s="7" t="s">
        <v>44</v>
      </c>
      <c r="G2" s="8" t="s">
        <v>45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60</v>
      </c>
      <c r="D3" s="7" t="s">
        <v>46</v>
      </c>
      <c r="E3" s="8" t="s">
        <v>59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93</v>
      </c>
      <c r="F4" s="7" t="s">
        <v>49</v>
      </c>
      <c r="G4" s="8" t="s">
        <v>71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114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MSLCL5010</v>
      </c>
      <c r="I2" s="7" t="s">
        <v>31</v>
      </c>
      <c r="J2" s="8" t="s">
        <v>76</v>
      </c>
      <c r="K2" s="7" t="s">
        <v>32</v>
      </c>
      <c r="L2" s="50" t="str">
        <f>IF(LogicCommon!G2="","",LogicCommon!G2)</f>
        <v>MC</v>
      </c>
      <c r="M2" s="5" t="s">
        <v>33</v>
      </c>
      <c r="N2" s="23" t="s">
        <v>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MSLCL_MlyStkSendIfService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月末在庫送信IFサービス</v>
      </c>
      <c r="I4" s="7" t="s">
        <v>38</v>
      </c>
      <c r="J4" s="8" t="s">
        <v>61</v>
      </c>
      <c r="K4" s="7" t="s">
        <v>39</v>
      </c>
      <c r="L4" s="50" t="str">
        <f>IF(LogicCommon!G4="","",LogicCommon!G4)</f>
        <v>MA.MAUDL1030</v>
      </c>
      <c r="M4" s="56" t="s">
        <v>40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62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115</v>
      </c>
      <c r="E8" s="24" t="s">
        <v>116</v>
      </c>
      <c r="F8" s="60"/>
      <c r="G8" s="24" t="s">
        <v>42</v>
      </c>
      <c r="H8" s="24" t="s">
        <v>117</v>
      </c>
      <c r="I8" s="60"/>
      <c r="J8" s="3"/>
      <c r="K8" s="8"/>
      <c r="L8" s="24" t="s">
        <v>19</v>
      </c>
      <c r="M8" s="25"/>
      <c r="N8" s="24" t="s">
        <v>27</v>
      </c>
      <c r="O8" s="25"/>
      <c r="P8" s="24" t="s">
        <v>28</v>
      </c>
      <c r="Q8" s="25"/>
      <c r="R8" s="3"/>
      <c r="S8" s="21"/>
      <c r="T8" s="117" t="s">
        <v>118</v>
      </c>
      <c r="U8" s="118"/>
    </row>
    <row r="9" spans="1:21" s="10" customFormat="1" ht="60" customHeight="1" x14ac:dyDescent="0.2">
      <c r="A9" s="8" t="s">
        <v>13</v>
      </c>
      <c r="B9" s="27"/>
      <c r="C9" s="28"/>
      <c r="D9" s="24" t="s">
        <v>119</v>
      </c>
      <c r="E9" s="41" t="s">
        <v>120</v>
      </c>
      <c r="F9" s="24" t="s">
        <v>121</v>
      </c>
      <c r="G9" s="24" t="s">
        <v>122</v>
      </c>
      <c r="H9" s="24" t="s">
        <v>123</v>
      </c>
      <c r="I9" s="42" t="s">
        <v>124</v>
      </c>
      <c r="J9" s="24" t="s">
        <v>125</v>
      </c>
      <c r="K9" s="64"/>
      <c r="L9" s="42"/>
      <c r="M9" s="24"/>
      <c r="N9" s="24"/>
      <c r="O9" s="24"/>
      <c r="P9" s="24"/>
      <c r="Q9" s="24"/>
      <c r="R9" s="117" t="s">
        <v>126</v>
      </c>
      <c r="S9" s="118"/>
      <c r="T9" s="117" t="s">
        <v>127</v>
      </c>
      <c r="U9" s="118"/>
    </row>
    <row r="10" spans="1:21" s="10" customFormat="1" ht="52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124</v>
      </c>
      <c r="M10" s="24" t="s">
        <v>125</v>
      </c>
      <c r="N10" s="24" t="s">
        <v>124</v>
      </c>
      <c r="O10" s="24" t="s">
        <v>125</v>
      </c>
      <c r="P10" s="24" t="s">
        <v>124</v>
      </c>
      <c r="Q10" s="24" t="s">
        <v>125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21</v>
      </c>
      <c r="C11" s="28"/>
      <c r="D11" s="23" t="s">
        <v>51</v>
      </c>
      <c r="E11" s="26" t="s">
        <v>72</v>
      </c>
      <c r="F11" s="35"/>
      <c r="G11" s="23" t="s">
        <v>91</v>
      </c>
      <c r="H11" s="43" t="s">
        <v>75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5" t="s">
        <v>55</v>
      </c>
      <c r="F12" s="25"/>
      <c r="G12" s="37" t="s">
        <v>128</v>
      </c>
      <c r="H12" s="37" t="s">
        <v>95</v>
      </c>
      <c r="I12" s="8" t="s">
        <v>96</v>
      </c>
      <c r="J12" s="8" t="s">
        <v>97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53</v>
      </c>
      <c r="E13" s="25" t="s">
        <v>68</v>
      </c>
      <c r="F13" s="25"/>
      <c r="G13" s="37" t="s">
        <v>129</v>
      </c>
      <c r="H13" s="37" t="s">
        <v>98</v>
      </c>
      <c r="I13" s="8" t="s">
        <v>96</v>
      </c>
      <c r="J13" s="8" t="s">
        <v>97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66</v>
      </c>
      <c r="E14" s="25" t="s">
        <v>57</v>
      </c>
      <c r="F14" s="25"/>
      <c r="G14" s="37" t="s">
        <v>130</v>
      </c>
      <c r="H14" s="37" t="s">
        <v>99</v>
      </c>
      <c r="I14" s="8" t="s">
        <v>96</v>
      </c>
      <c r="J14" s="8" t="s">
        <v>97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67</v>
      </c>
      <c r="E15" s="25" t="s">
        <v>57</v>
      </c>
      <c r="F15" s="25"/>
      <c r="G15" s="37" t="s">
        <v>131</v>
      </c>
      <c r="H15" s="37" t="s">
        <v>100</v>
      </c>
      <c r="I15" s="8" t="s">
        <v>96</v>
      </c>
      <c r="J15" s="8" t="s">
        <v>97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54</v>
      </c>
      <c r="E16" s="25" t="s">
        <v>56</v>
      </c>
      <c r="F16" s="25"/>
      <c r="G16" s="37" t="s">
        <v>132</v>
      </c>
      <c r="H16" s="37" t="s">
        <v>101</v>
      </c>
      <c r="I16" s="8" t="s">
        <v>96</v>
      </c>
      <c r="J16" s="8" t="s">
        <v>97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</sheetData>
  <mergeCells count="4"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A8-67EE-44A7-84C5-C271F06C879C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114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MSLCL5010</v>
      </c>
      <c r="I2" s="7" t="s">
        <v>31</v>
      </c>
      <c r="J2" s="8" t="s">
        <v>77</v>
      </c>
      <c r="K2" s="7" t="s">
        <v>32</v>
      </c>
      <c r="L2" s="50" t="str">
        <f>IF(LogicCommon!G2="","",LogicCommon!G2)</f>
        <v>MC</v>
      </c>
      <c r="M2" s="5" t="s">
        <v>33</v>
      </c>
      <c r="N2" s="23" t="s">
        <v>70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MSLCL_MlyStkSendIfService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月末在庫送信IFサービス</v>
      </c>
      <c r="I4" s="7" t="s">
        <v>38</v>
      </c>
      <c r="J4" s="8" t="s">
        <v>63</v>
      </c>
      <c r="K4" s="7" t="s">
        <v>39</v>
      </c>
      <c r="L4" s="50" t="str">
        <f>IF(LogicCommon!G4="","",LogicCommon!G4)</f>
        <v>MA.MAUDL1030</v>
      </c>
      <c r="M4" s="56" t="s">
        <v>40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64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115</v>
      </c>
      <c r="E8" s="24" t="s">
        <v>116</v>
      </c>
      <c r="F8" s="60"/>
      <c r="G8" s="24" t="s">
        <v>42</v>
      </c>
      <c r="H8" s="24" t="s">
        <v>117</v>
      </c>
      <c r="I8" s="60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7" t="s">
        <v>118</v>
      </c>
      <c r="U8" s="118"/>
    </row>
    <row r="9" spans="1:21" s="10" customFormat="1" ht="60" customHeight="1" x14ac:dyDescent="0.2">
      <c r="A9" s="8" t="s">
        <v>13</v>
      </c>
      <c r="B9" s="27"/>
      <c r="C9" s="28"/>
      <c r="D9" s="24" t="s">
        <v>133</v>
      </c>
      <c r="E9" s="41" t="s">
        <v>134</v>
      </c>
      <c r="F9" s="24" t="s">
        <v>121</v>
      </c>
      <c r="G9" s="24" t="s">
        <v>122</v>
      </c>
      <c r="H9" s="24" t="s">
        <v>123</v>
      </c>
      <c r="I9" s="42" t="s">
        <v>124</v>
      </c>
      <c r="J9" s="24" t="s">
        <v>125</v>
      </c>
      <c r="K9" s="64"/>
      <c r="L9" s="42"/>
      <c r="M9" s="24"/>
      <c r="N9" s="24"/>
      <c r="O9" s="24"/>
      <c r="P9" s="24"/>
      <c r="Q9" s="24"/>
      <c r="R9" s="117" t="s">
        <v>126</v>
      </c>
      <c r="S9" s="118"/>
      <c r="T9" s="117" t="s">
        <v>127</v>
      </c>
      <c r="U9" s="118"/>
    </row>
    <row r="10" spans="1:21" s="10" customFormat="1" ht="52" x14ac:dyDescent="0.2">
      <c r="A10" s="27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124</v>
      </c>
      <c r="M10" s="24" t="s">
        <v>125</v>
      </c>
      <c r="N10" s="24" t="s">
        <v>124</v>
      </c>
      <c r="O10" s="24" t="s">
        <v>125</v>
      </c>
      <c r="P10" s="24" t="s">
        <v>124</v>
      </c>
      <c r="Q10" s="24" t="s">
        <v>125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21</v>
      </c>
      <c r="C11" s="28"/>
      <c r="D11" s="23" t="s">
        <v>65</v>
      </c>
      <c r="E11" s="26" t="s">
        <v>73</v>
      </c>
      <c r="F11" s="35"/>
      <c r="G11" s="23" t="s">
        <v>91</v>
      </c>
      <c r="H11" s="43" t="s">
        <v>74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5" t="s">
        <v>55</v>
      </c>
      <c r="F12" s="25"/>
      <c r="G12" s="37" t="s">
        <v>128</v>
      </c>
      <c r="H12" s="37" t="s">
        <v>102</v>
      </c>
      <c r="I12" s="8" t="s">
        <v>103</v>
      </c>
      <c r="J12" s="8" t="s">
        <v>104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53</v>
      </c>
      <c r="E13" s="25" t="s">
        <v>68</v>
      </c>
      <c r="F13" s="25"/>
      <c r="G13" s="37" t="s">
        <v>129</v>
      </c>
      <c r="H13" s="37" t="s">
        <v>105</v>
      </c>
      <c r="I13" s="8" t="s">
        <v>103</v>
      </c>
      <c r="J13" s="8" t="s">
        <v>104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66</v>
      </c>
      <c r="E14" s="25" t="s">
        <v>57</v>
      </c>
      <c r="F14" s="25"/>
      <c r="G14" s="37" t="s">
        <v>130</v>
      </c>
      <c r="H14" s="37" t="s">
        <v>106</v>
      </c>
      <c r="I14" s="8" t="s">
        <v>103</v>
      </c>
      <c r="J14" s="8" t="s">
        <v>104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67</v>
      </c>
      <c r="E15" s="25" t="s">
        <v>57</v>
      </c>
      <c r="F15" s="25"/>
      <c r="G15" s="37" t="s">
        <v>131</v>
      </c>
      <c r="H15" s="37" t="s">
        <v>107</v>
      </c>
      <c r="I15" s="8" t="s">
        <v>103</v>
      </c>
      <c r="J15" s="8" t="s">
        <v>104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54</v>
      </c>
      <c r="E16" s="25" t="s">
        <v>56</v>
      </c>
      <c r="F16" s="25"/>
      <c r="G16" s="37" t="s">
        <v>132</v>
      </c>
      <c r="H16" s="37" t="s">
        <v>108</v>
      </c>
      <c r="I16" s="8" t="s">
        <v>103</v>
      </c>
      <c r="J16" s="8" t="s">
        <v>104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78</v>
      </c>
      <c r="E17" s="25" t="s">
        <v>79</v>
      </c>
      <c r="F17" s="25"/>
      <c r="G17" s="37" t="s">
        <v>135</v>
      </c>
      <c r="H17" s="37" t="s">
        <v>80</v>
      </c>
      <c r="I17" s="8" t="s">
        <v>103</v>
      </c>
      <c r="J17" s="8" t="s">
        <v>104</v>
      </c>
      <c r="K17" s="8"/>
      <c r="L17" s="8"/>
      <c r="M17" s="8"/>
      <c r="N17" s="8"/>
      <c r="O17" s="8"/>
      <c r="P17" s="8"/>
      <c r="Q17" s="8"/>
      <c r="R17" s="41"/>
      <c r="S17" s="42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92</v>
      </c>
      <c r="E18" s="25" t="s">
        <v>56</v>
      </c>
      <c r="F18" s="25"/>
      <c r="G18" s="37" t="s">
        <v>136</v>
      </c>
      <c r="H18" s="37" t="s">
        <v>109</v>
      </c>
      <c r="I18" s="8" t="s">
        <v>86</v>
      </c>
      <c r="J18" s="8" t="s">
        <v>104</v>
      </c>
      <c r="K18" s="8"/>
      <c r="L18" s="8"/>
      <c r="M18" s="8"/>
      <c r="N18" s="8"/>
      <c r="O18" s="8"/>
      <c r="P18" s="8"/>
      <c r="Q18" s="8"/>
      <c r="R18" s="41"/>
      <c r="S18" s="42"/>
      <c r="T18" s="47"/>
      <c r="U18" s="48"/>
    </row>
    <row r="19" spans="1:21" s="10" customFormat="1" x14ac:dyDescent="0.2">
      <c r="A19" s="51"/>
      <c r="U19" s="63"/>
    </row>
    <row r="20" spans="1:21" s="10" customFormat="1" x14ac:dyDescent="0.2">
      <c r="A20" s="8">
        <v>20</v>
      </c>
      <c r="B20" s="27" t="s">
        <v>21</v>
      </c>
      <c r="C20" s="28"/>
      <c r="D20" s="23" t="s">
        <v>81</v>
      </c>
      <c r="E20" s="26" t="s">
        <v>72</v>
      </c>
      <c r="F20" s="35"/>
      <c r="G20" s="23" t="s">
        <v>91</v>
      </c>
      <c r="H20" s="44" t="s">
        <v>82</v>
      </c>
      <c r="I20" s="36"/>
      <c r="J20" s="32"/>
      <c r="K20" s="32"/>
      <c r="L20" s="26"/>
      <c r="M20" s="26"/>
      <c r="N20" s="26"/>
      <c r="O20" s="26"/>
      <c r="P20" s="26"/>
      <c r="Q20" s="26"/>
      <c r="R20" s="36"/>
      <c r="S20" s="35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83</v>
      </c>
      <c r="E21" s="25" t="s">
        <v>84</v>
      </c>
      <c r="F21" s="25"/>
      <c r="G21" s="37" t="s">
        <v>137</v>
      </c>
      <c r="H21" s="37" t="s">
        <v>85</v>
      </c>
      <c r="I21" s="8" t="s">
        <v>104</v>
      </c>
      <c r="J21" s="8" t="s">
        <v>86</v>
      </c>
      <c r="K21" s="8"/>
      <c r="L21" s="8"/>
      <c r="M21" s="8"/>
      <c r="N21" s="8"/>
      <c r="O21" s="8"/>
      <c r="P21" s="8"/>
      <c r="Q21" s="8"/>
      <c r="R21" s="36"/>
      <c r="S21" s="35"/>
      <c r="T21" s="47"/>
      <c r="U21" s="48"/>
    </row>
    <row r="22" spans="1:21" s="10" customFormat="1" x14ac:dyDescent="0.2">
      <c r="A22" s="8">
        <v>20</v>
      </c>
      <c r="B22" s="8"/>
      <c r="C22" s="8"/>
      <c r="D22" s="8" t="s">
        <v>87</v>
      </c>
      <c r="E22" s="25" t="s">
        <v>88</v>
      </c>
      <c r="F22" s="25"/>
      <c r="G22" s="37" t="s">
        <v>138</v>
      </c>
      <c r="H22" s="37" t="s">
        <v>110</v>
      </c>
      <c r="I22" s="8" t="s">
        <v>104</v>
      </c>
      <c r="J22" s="8" t="s">
        <v>86</v>
      </c>
      <c r="K22" s="8"/>
      <c r="L22" s="8"/>
      <c r="M22" s="8"/>
      <c r="N22" s="8"/>
      <c r="O22" s="8"/>
      <c r="P22" s="8"/>
      <c r="Q22" s="8"/>
      <c r="R22" s="36"/>
      <c r="S22" s="35"/>
      <c r="T22" s="47"/>
      <c r="U22" s="48"/>
    </row>
    <row r="23" spans="1:21" s="10" customFormat="1" x14ac:dyDescent="0.2">
      <c r="A23" s="8">
        <v>20</v>
      </c>
      <c r="B23" s="8"/>
      <c r="C23" s="8"/>
      <c r="D23" s="8" t="s">
        <v>89</v>
      </c>
      <c r="E23" s="25" t="s">
        <v>88</v>
      </c>
      <c r="F23" s="25"/>
      <c r="G23" s="37" t="s">
        <v>139</v>
      </c>
      <c r="H23" s="37" t="s">
        <v>111</v>
      </c>
      <c r="I23" s="8" t="s">
        <v>104</v>
      </c>
      <c r="J23" s="8" t="s">
        <v>86</v>
      </c>
      <c r="K23" s="8"/>
      <c r="L23" s="8"/>
      <c r="M23" s="8"/>
      <c r="N23" s="8"/>
      <c r="O23" s="8"/>
      <c r="P23" s="8"/>
      <c r="Q23" s="8"/>
      <c r="R23" s="36"/>
      <c r="S23" s="35"/>
      <c r="T23" s="47"/>
      <c r="U23" s="48"/>
    </row>
    <row r="24" spans="1:21" s="10" customFormat="1" x14ac:dyDescent="0.2">
      <c r="A24" s="8">
        <v>20</v>
      </c>
      <c r="B24" s="8"/>
      <c r="C24" s="8"/>
      <c r="D24" s="8" t="s">
        <v>90</v>
      </c>
      <c r="E24" s="25" t="s">
        <v>88</v>
      </c>
      <c r="F24" s="25"/>
      <c r="G24" s="37" t="s">
        <v>140</v>
      </c>
      <c r="H24" s="37" t="s">
        <v>112</v>
      </c>
      <c r="I24" s="8" t="s">
        <v>104</v>
      </c>
      <c r="J24" s="8" t="s">
        <v>86</v>
      </c>
      <c r="K24" s="8"/>
      <c r="L24" s="8"/>
      <c r="M24" s="8"/>
      <c r="N24" s="8"/>
      <c r="O24" s="8"/>
      <c r="P24" s="8"/>
      <c r="Q24" s="8"/>
      <c r="R24" s="36"/>
      <c r="S24" s="35"/>
      <c r="T24" s="47"/>
      <c r="U24" s="48"/>
    </row>
    <row r="25" spans="1:21" s="10" customFormat="1" ht="26" x14ac:dyDescent="0.2">
      <c r="A25" s="8">
        <v>20</v>
      </c>
      <c r="B25" s="8"/>
      <c r="C25" s="8"/>
      <c r="D25" s="8" t="s">
        <v>94</v>
      </c>
      <c r="E25" s="25" t="s">
        <v>88</v>
      </c>
      <c r="F25" s="25"/>
      <c r="G25" s="37" t="s">
        <v>141</v>
      </c>
      <c r="H25" s="37" t="s">
        <v>113</v>
      </c>
      <c r="I25" s="8" t="s">
        <v>104</v>
      </c>
      <c r="J25" s="8" t="s">
        <v>103</v>
      </c>
      <c r="K25" s="8"/>
      <c r="L25" s="8"/>
      <c r="M25" s="8"/>
      <c r="N25" s="8"/>
      <c r="O25" s="8"/>
      <c r="P25" s="8"/>
      <c r="Q25" s="8"/>
      <c r="R25" s="36"/>
      <c r="S25" s="35"/>
      <c r="T25" s="47"/>
      <c r="U25" s="48"/>
    </row>
    <row r="26" spans="1:21" s="10" customFormat="1" x14ac:dyDescent="0.2">
      <c r="A26" s="27"/>
      <c r="B26" s="30"/>
      <c r="C26" s="30"/>
      <c r="D26" s="61" t="s">
        <v>2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62"/>
    </row>
  </sheetData>
  <mergeCells count="5">
    <mergeCell ref="T8:U8"/>
    <mergeCell ref="R9:S9"/>
    <mergeCell ref="T9:U9"/>
    <mergeCell ref="T11:U11"/>
    <mergeCell ref="T20:U2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142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143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2026-03-27T06:02:06Z</dcterms:modified>
  <cp:category/>
</cp:coreProperties>
</file>