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53FEB41E-CAF3-4324-8766-46BE5CCB1EAD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BillCl_Upd01" sheetId="5" r:id="rId2"/>
    <sheet name="BillCl_Upd02" sheetId="6" r:id="rId3"/>
    <sheet name="BillCl_Upd03" sheetId="7" r:id="rId4"/>
    <sheet name="BillCl_Del01" sheetId="8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<sst xmlns="http://schemas.openxmlformats.org/spreadsheetml/2006/main" count="417" uniqueCount="159">
  <si>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</si>
  <si>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</si>
  <si>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</si>
  <si>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</si>
  <si>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</si>
  <si>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</si>
  <si>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</si>
  <si>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</si>
  <si>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2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</si>
  <si>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</si>
  <si>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</si>
  <si>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</si>
  <si>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</si>
  <si>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</si>
  <si>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</si>
  <si>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</si>
  <si>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</si>
  <si>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</si>
  <si>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MSBG</t>
  </si>
  <si>
    <t>MSBGL5030</t>
  </si>
  <si>
    <t xml:space="preserve">Ope.Body : 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</si>
  <si>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</si>
  <si>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</si>
  <si>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</si>
  <si>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</si>
  <si>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</si>
  <si>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</si>
  <si>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TargetName</t>
    <phoneticPr fontId="1"/>
  </si>
  <si>
    <t>TargetName</t>
    <phoneticPr fontId="1"/>
  </si>
  <si>
    <t>#</t>
    <phoneticPr fontId="1"/>
  </si>
  <si>
    <t>*</t>
  </si>
  <si>
    <t>BillCl_Upd01</t>
  </si>
  <si>
    <t>請求締（バッチ）</t>
  </si>
  <si>
    <t>BillCl_Upd01_Cnd</t>
  </si>
  <si>
    <t>tgt_dt</t>
  </si>
  <si>
    <t>#</t>
    <phoneticPr fontId="1"/>
  </si>
  <si>
    <t>BillCl_Upd02</t>
  </si>
  <si>
    <t>請求締（画面）</t>
  </si>
  <si>
    <t>bcst_cd</t>
  </si>
  <si>
    <t>bill_dpt_cd</t>
  </si>
  <si>
    <t>iv_no</t>
  </si>
  <si>
    <t>trd_cur_cd</t>
  </si>
  <si>
    <t>wrk_no</t>
  </si>
  <si>
    <t>bill_no</t>
  </si>
  <si>
    <t>bill_mng_no</t>
  </si>
  <si>
    <t>rcv_schd_dt</t>
  </si>
  <si>
    <t>o</t>
    <phoneticPr fontId="1"/>
  </si>
  <si>
    <t>BillCl_Upd03</t>
  </si>
  <si>
    <t>請求締（バッチメイン）</t>
  </si>
  <si>
    <t>BillCl_Upd03_Cnd</t>
  </si>
  <si>
    <t>bill_cl_dt</t>
  </si>
  <si>
    <t>BillCl_Upd03_Rslt</t>
    <phoneticPr fontId="2"/>
  </si>
  <si>
    <t>o</t>
    <phoneticPr fontId="1"/>
  </si>
  <si>
    <t>BillCl_Del01</t>
  </si>
  <si>
    <t>請求締解除</t>
  </si>
  <si>
    <t>BillCl_Del01_Cnd</t>
  </si>
  <si>
    <t>請求締サービス</t>
    <rPh sb="0" eb="2">
      <t>セイキュウ</t>
    </rPh>
    <rPh sb="2" eb="3">
      <t>シ</t>
    </rPh>
    <phoneticPr fontId="2"/>
  </si>
  <si>
    <t>請求締処理、請求締解除処理を行う。</t>
    <rPh sb="0" eb="2">
      <t>セイキュウ</t>
    </rPh>
    <rPh sb="2" eb="3">
      <t>シ</t>
    </rPh>
    <rPh sb="3" eb="5">
      <t>ショリ</t>
    </rPh>
    <rPh sb="6" eb="8">
      <t>セイキュウ</t>
    </rPh>
    <rPh sb="8" eb="9">
      <t>シ</t>
    </rPh>
    <rPh sb="9" eb="11">
      <t>カイジョ</t>
    </rPh>
    <rPh sb="11" eb="13">
      <t>ショリ</t>
    </rPh>
    <rPh sb="14" eb="15">
      <t>オコナ</t>
    </rPh>
    <phoneticPr fontId="2"/>
  </si>
  <si>
    <t>@</t>
    <phoneticPr fontId="2"/>
  </si>
  <si>
    <t>バッチ用の請求締処理</t>
    <rPh sb="3" eb="4">
      <t>ヨウ</t>
    </rPh>
    <rPh sb="5" eb="7">
      <t>セイキュウ</t>
    </rPh>
    <rPh sb="7" eb="8">
      <t>シ</t>
    </rPh>
    <rPh sb="8" eb="10">
      <t>ショリ</t>
    </rPh>
    <phoneticPr fontId="2"/>
  </si>
  <si>
    <t>画面用の請求締処理</t>
    <rPh sb="0" eb="2">
      <t>ガメン</t>
    </rPh>
    <rPh sb="2" eb="3">
      <t>ヨウ</t>
    </rPh>
    <rPh sb="4" eb="6">
      <t>セイキュウ</t>
    </rPh>
    <rPh sb="6" eb="7">
      <t>シ</t>
    </rPh>
    <rPh sb="7" eb="9">
      <t>ショリ</t>
    </rPh>
    <phoneticPr fontId="2"/>
  </si>
  <si>
    <t>バッチ用の請求締処理(BillCl_Upd03)を起動する</t>
    <rPh sb="3" eb="4">
      <t>ヨウ</t>
    </rPh>
    <rPh sb="5" eb="7">
      <t>セイキュウ</t>
    </rPh>
    <rPh sb="7" eb="8">
      <t>シ</t>
    </rPh>
    <rPh sb="8" eb="10">
      <t>ショリ</t>
    </rPh>
    <rPh sb="25" eb="27">
      <t>キドウ</t>
    </rPh>
    <phoneticPr fontId="2"/>
  </si>
  <si>
    <t>請求締解除を行う</t>
    <rPh sb="0" eb="2">
      <t>セイキュウ</t>
    </rPh>
    <rPh sb="2" eb="3">
      <t>シ</t>
    </rPh>
    <rPh sb="3" eb="5">
      <t>カイジョ</t>
    </rPh>
    <rPh sb="6" eb="7">
      <t>オコナ</t>
    </rPh>
    <phoneticPr fontId="2"/>
  </si>
  <si>
    <t>L</t>
    <phoneticPr fontId="2"/>
  </si>
  <si>
    <t>error_cnt</t>
    <phoneticPr fontId="2"/>
  </si>
  <si>
    <t>success_cnt</t>
    <phoneticPr fontId="2"/>
  </si>
  <si>
    <t>BillCl_Upd02_Hdr</t>
    <phoneticPr fontId="2"/>
  </si>
  <si>
    <t>AddBillInfo</t>
    <phoneticPr fontId="2"/>
  </si>
  <si>
    <t>add_bill</t>
  </si>
  <si>
    <t>add_not_bill</t>
  </si>
  <si>
    <t>prnt_typ</t>
  </si>
  <si>
    <t>DBC:MS.MST_BILL_ACST</t>
    <phoneticPr fontId="2"/>
  </si>
  <si>
    <t>R</t>
    <phoneticPr fontId="2"/>
  </si>
  <si>
    <t>R</t>
    <phoneticPr fontId="2"/>
  </si>
  <si>
    <t>#MA.INT</t>
    <phoneticPr fontId="2"/>
  </si>
  <si>
    <t>total_cnt</t>
    <phoneticPr fontId="2"/>
  </si>
  <si>
    <t>Pj.ID :</t>
    <phoneticPr fontId="1"/>
  </si>
  <si>
    <t>MSBGL_BillClService</t>
    <phoneticPr fontId="2"/>
  </si>
  <si>
    <t>SuperClassPj.ID :</t>
    <phoneticPr fontId="1"/>
  </si>
  <si>
    <t>TargetName</t>
    <phoneticPr fontId="1"/>
  </si>
  <si>
    <t>#MA.DT</t>
    <phoneticPr fontId="2"/>
  </si>
  <si>
    <t xml:space="preserve">Ope.Name : </t>
    <phoneticPr fontId="1"/>
  </si>
  <si>
    <t>請求部門ＣＤ</t>
    <phoneticPr fontId="2"/>
  </si>
  <si>
    <t>取引通貨ＣＤ</t>
    <phoneticPr fontId="2"/>
  </si>
  <si>
    <t>案件ＮＯ</t>
    <phoneticPr fontId="2"/>
  </si>
  <si>
    <t>請求書ＮＯ</t>
    <phoneticPr fontId="2"/>
  </si>
  <si>
    <t>E</t>
    <phoneticPr fontId="2"/>
  </si>
  <si>
    <t>請求管理ＮＯ</t>
    <phoneticPr fontId="2"/>
  </si>
  <si>
    <t>super/share</t>
    <phoneticPr fontId="1"/>
  </si>
  <si>
    <t>#MA.BP_CD</t>
    <phoneticPr fontId="2"/>
  </si>
  <si>
    <t>#MA.DPT_CD</t>
    <phoneticPr fontId="2"/>
  </si>
  <si>
    <t>#MA.IV_NO</t>
    <phoneticPr fontId="2"/>
  </si>
  <si>
    <t>#MA.CUR_CD</t>
    <phoneticPr fontId="2"/>
  </si>
  <si>
    <t>#MA.WRK_NO</t>
    <phoneticPr fontId="2"/>
  </si>
  <si>
    <t>#MA.BILL_NO</t>
    <phoneticPr fontId="2"/>
  </si>
  <si>
    <t>#MA.BILL_MNG_NO</t>
    <phoneticPr fontId="2"/>
  </si>
  <si>
    <t>請求締年月日</t>
    <phoneticPr fontId="2"/>
  </si>
  <si>
    <t>tgt_dt</t>
    <phoneticPr fontId="2"/>
  </si>
  <si>
    <t>#MA.INT</t>
    <phoneticPr fontId="2"/>
  </si>
  <si>
    <t>ALL</t>
    <phoneticPr fontId="1"/>
  </si>
  <si>
    <t>#MA.BILL_MNG_NO</t>
    <phoneticPr fontId="2"/>
  </si>
  <si>
    <t>ID</t>
    <phoneticPr fontId="1"/>
  </si>
  <si>
    <t>*</t>
    <phoneticPr fontId="1"/>
  </si>
  <si>
    <t>L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</si>
  <si>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</si>
  <si>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</si>
  <si>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</si>
  <si>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</si>
  <si>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>ImplOpe.ID:</t>
    <phoneticPr fontId="1"/>
  </si>
  <si>
    <t>ACType :</t>
    <phoneticPr fontId="1"/>
  </si>
  <si>
    <t>対象日</t>
    <phoneticPr fontId="2"/>
  </si>
  <si>
    <t>E</t>
    <phoneticPr fontId="1"/>
  </si>
  <si>
    <t>請求先ＣＤ</t>
    <phoneticPr fontId="2"/>
  </si>
  <si>
    <t>インボイスＮＯ</t>
    <phoneticPr fontId="2"/>
  </si>
  <si>
    <t>入金予定日</t>
    <phoneticPr fontId="2"/>
  </si>
  <si>
    <t>請求額</t>
    <phoneticPr fontId="1"/>
  </si>
  <si>
    <t>未請求額</t>
    <phoneticPr fontId="1"/>
  </si>
  <si>
    <t>発行区分</t>
    <phoneticPr fontId="2"/>
  </si>
  <si>
    <t>全処理件数</t>
    <phoneticPr fontId="2"/>
  </si>
  <si>
    <t>正常終了件数</t>
    <phoneticPr fontId="2"/>
  </si>
  <si>
    <t>エラー件数</t>
    <phoneticPr fontId="2"/>
  </si>
  <si>
    <t>MS.MSUDL5010</t>
    <phoneticPr fontId="1"/>
  </si>
  <si>
    <t>"mcframe.serverMAUD.MAUDL5010.MAUDL_Operation"</t>
    <phoneticPr fontId="2"/>
  </si>
  <si>
    <t>・BillCl_Upd02_Hdrブロックに以下の項目を追加
　・bill_d_sel_flg</t>
    <phoneticPr fontId="2"/>
  </si>
  <si>
    <t>BillCl_Upd02</t>
    <phoneticPr fontId="2"/>
  </si>
  <si>
    <t>bill_d_sel_flg</t>
    <phoneticPr fontId="2"/>
  </si>
  <si>
    <t>#MA.FLG</t>
  </si>
  <si>
    <t>MS7031#245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</si>
  <si>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</si>
  <si>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</si>
  <si>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</si>
  <si>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</si>
  <si>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</si>
  <si>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</si>
  <si>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</si>
  <si>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</si>
  <si>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</si>
  <si>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</si>
  <si>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</si>
  <si>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</si>
  <si>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</si>
  <si>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</si>
  <si>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Date</t>
  </si>
  <si>
    <t>Billing customer cd.</t>
  </si>
  <si>
    <t>Billing dept. cd.</t>
  </si>
  <si>
    <t>Invoice No.</t>
  </si>
  <si>
    <t>Transaction currency cd.</t>
  </si>
  <si>
    <t>Sales project No.</t>
  </si>
  <si>
    <t>Billing management No.</t>
  </si>
  <si>
    <t>Scheduled payment receipt date</t>
  </si>
  <si>
    <t>Billing amount</t>
  </si>
  <si>
    <t>Unbilled amount</t>
  </si>
  <si>
    <t>Issue type</t>
  </si>
  <si>
    <t>Billing closing day</t>
  </si>
  <si>
    <t>Total number of processes</t>
  </si>
  <si>
    <t>Number of successful completion</t>
  </si>
  <si>
    <t>Error count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</si>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</sst>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7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20" fillId="0" borderId="0"/>
    <xf numFmtId="0" fontId="2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0" borderId="0" applyNumberFormat="0" applyFont="0" applyFill="0" applyBorder="0" applyAlignment="0" applyProtection="0">
      <alignment horizontal="left"/>
    </xf>
    <xf numFmtId="0" fontId="22" fillId="0" borderId="12">
      <alignment horizont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30" fillId="0" borderId="0"/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9" fillId="0" borderId="0">
      <alignment vertical="center"/>
    </xf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137">
    <xf numFmtId="0" fontId="0" fillId="0" borderId="0" xfId="0">
      <alignment vertical="top" wrapText="1"/>
    </xf>
    <xf numFmtId="0" fontId="32" fillId="0" borderId="3" xfId="0" applyFont="1" applyBorder="1" applyAlignment="1">
      <alignment vertical="center"/>
    </xf>
    <xf numFmtId="0" fontId="32" fillId="0" borderId="3" xfId="0" applyFont="1" applyBorder="1" applyAlignment="1">
      <alignment horizontal="left" vertical="top"/>
    </xf>
    <xf numFmtId="0" fontId="32" fillId="0" borderId="3" xfId="0" applyFont="1" applyBorder="1" applyAlignment="1">
      <alignment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/>
    </xf>
    <xf numFmtId="0" fontId="32" fillId="0" borderId="4" xfId="0" applyFont="1" applyBorder="1" applyAlignment="1">
      <alignment vertical="top"/>
    </xf>
    <xf numFmtId="0" fontId="32" fillId="0" borderId="5" xfId="0" applyFont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0" borderId="0" xfId="0" applyFont="1" applyAlignment="1">
      <alignment vertical="center" wrapText="1"/>
    </xf>
    <xf numFmtId="0" fontId="32" fillId="0" borderId="0" xfId="0" applyFont="1">
      <alignment vertical="top" wrapText="1"/>
    </xf>
    <xf numFmtId="0" fontId="32" fillId="3" borderId="5" xfId="0" applyFont="1" applyFill="1" applyBorder="1" applyAlignment="1">
      <alignment vertical="top"/>
    </xf>
    <xf numFmtId="0" fontId="32" fillId="3" borderId="2" xfId="0" applyFont="1" applyFill="1" applyBorder="1" applyAlignment="1">
      <alignment vertical="top"/>
    </xf>
    <xf numFmtId="0" fontId="32" fillId="3" borderId="2" xfId="0" applyFont="1" applyFill="1" applyBorder="1" applyAlignment="1">
      <alignment horizontal="left" vertical="top"/>
    </xf>
    <xf numFmtId="0" fontId="32" fillId="3" borderId="9" xfId="0" applyFont="1" applyFill="1" applyBorder="1" applyAlignment="1">
      <alignment vertical="top"/>
    </xf>
    <xf numFmtId="0" fontId="32" fillId="0" borderId="3" xfId="0" applyFont="1" applyBorder="1">
      <alignment vertical="top" wrapText="1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left" vertical="top"/>
    </xf>
    <xf numFmtId="0" fontId="32" fillId="0" borderId="6" xfId="0" applyFont="1" applyBorder="1" applyAlignment="1">
      <alignment vertical="top"/>
    </xf>
    <xf numFmtId="0" fontId="32" fillId="0" borderId="0" xfId="0" applyFont="1" applyAlignment="1">
      <alignment horizontal="left" vertical="top"/>
    </xf>
    <xf numFmtId="0" fontId="32" fillId="0" borderId="10" xfId="0" applyFont="1" applyBorder="1" applyAlignment="1">
      <alignment vertical="top"/>
    </xf>
    <xf numFmtId="0" fontId="32" fillId="0" borderId="7" xfId="0" applyFont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center"/>
    </xf>
    <xf numFmtId="0" fontId="32" fillId="0" borderId="5" xfId="0" applyFont="1" applyBorder="1">
      <alignment vertical="top" wrapText="1"/>
    </xf>
    <xf numFmtId="0" fontId="32" fillId="2" borderId="5" xfId="0" applyFont="1" applyFill="1" applyBorder="1">
      <alignment vertical="top" wrapText="1"/>
    </xf>
    <xf numFmtId="0" fontId="32" fillId="2" borderId="5" xfId="0" applyFont="1" applyFill="1" applyBorder="1" applyAlignment="1">
      <alignment wrapText="1"/>
    </xf>
    <xf numFmtId="0" fontId="32" fillId="2" borderId="9" xfId="0" applyFont="1" applyFill="1" applyBorder="1" applyAlignment="1">
      <alignment wrapText="1"/>
    </xf>
    <xf numFmtId="0" fontId="32" fillId="2" borderId="8" xfId="0" applyFont="1" applyFill="1" applyBorder="1" applyAlignment="1">
      <alignment vertical="top"/>
    </xf>
    <xf numFmtId="0" fontId="32" fillId="2" borderId="9" xfId="0" applyFont="1" applyFill="1" applyBorder="1" applyAlignment="1">
      <alignment vertical="top"/>
    </xf>
    <xf numFmtId="0" fontId="32" fillId="0" borderId="4" xfId="0" applyFont="1" applyBorder="1" applyAlignment="1">
      <alignment wrapText="1"/>
    </xf>
    <xf numFmtId="0" fontId="32" fillId="2" borderId="2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0" borderId="2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2" xfId="0" applyFont="1" applyBorder="1" applyAlignment="1"/>
    <xf numFmtId="0" fontId="32" fillId="0" borderId="9" xfId="0" applyFont="1" applyBorder="1" applyAlignment="1">
      <alignment wrapText="1"/>
    </xf>
    <xf numFmtId="0" fontId="32" fillId="0" borderId="8" xfId="0" applyFont="1" applyBorder="1" applyAlignment="1">
      <alignment wrapText="1"/>
    </xf>
    <xf numFmtId="0" fontId="32" fillId="3" borderId="5" xfId="0" applyFont="1" applyFill="1" applyBorder="1">
      <alignment vertical="top" wrapText="1"/>
    </xf>
    <xf numFmtId="0" fontId="32" fillId="0" borderId="10" xfId="0" applyFont="1" applyBorder="1">
      <alignment vertical="top" wrapText="1"/>
    </xf>
    <xf numFmtId="0" fontId="32" fillId="0" borderId="7" xfId="0" applyFont="1" applyBorder="1">
      <alignment vertical="top" wrapText="1"/>
    </xf>
    <xf numFmtId="0" fontId="32" fillId="0" borderId="7" xfId="0" applyFont="1" applyBorder="1" applyAlignment="1">
      <alignment wrapText="1"/>
    </xf>
    <xf numFmtId="0" fontId="32" fillId="0" borderId="32" xfId="0" applyFont="1" applyBorder="1" applyAlignment="1">
      <alignment wrapText="1"/>
    </xf>
    <xf numFmtId="0" fontId="32" fillId="0" borderId="3" xfId="0" applyFont="1" applyBorder="1" applyAlignment="1">
      <alignment wrapText="1"/>
    </xf>
    <xf numFmtId="0" fontId="35" fillId="0" borderId="0" xfId="6" applyFont="1"/>
    <xf numFmtId="0" fontId="35" fillId="0" borderId="0" xfId="6" applyFont="1" applyAlignment="1">
      <alignment horizontal="center" vertical="center"/>
    </xf>
    <xf numFmtId="0" fontId="35" fillId="0" borderId="0" xfId="6" applyFont="1" applyAlignment="1">
      <alignment horizontal="center"/>
    </xf>
    <xf numFmtId="0" fontId="35" fillId="0" borderId="0" xfId="8" applyFont="1"/>
    <xf numFmtId="0" fontId="35" fillId="0" borderId="0" xfId="8" applyFont="1" applyAlignment="1">
      <alignment horizontal="center"/>
    </xf>
    <xf numFmtId="0" fontId="32" fillId="0" borderId="9" xfId="0" applyFont="1" applyBorder="1" applyAlignment="1"/>
    <xf numFmtId="0" fontId="32" fillId="2" borderId="3" xfId="0" applyFont="1" applyFill="1" applyBorder="1" applyAlignment="1">
      <alignment vertical="top"/>
    </xf>
    <xf numFmtId="0" fontId="32" fillId="2" borderId="30" xfId="0" applyFont="1" applyFill="1" applyBorder="1" applyAlignment="1">
      <alignment vertical="top"/>
    </xf>
    <xf numFmtId="0" fontId="32" fillId="4" borderId="5" xfId="0" applyFont="1" applyFill="1" applyBorder="1" applyAlignment="1">
      <alignment vertical="top"/>
    </xf>
    <xf numFmtId="0" fontId="32" fillId="2" borderId="31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4" borderId="0" xfId="0" applyFont="1" applyFill="1">
      <alignment vertical="top" wrapText="1"/>
    </xf>
    <xf numFmtId="0" fontId="32" fillId="0" borderId="8" xfId="0" applyFont="1" applyBorder="1" applyAlignment="1">
      <alignment vertical="top"/>
    </xf>
    <xf numFmtId="0" fontId="32" fillId="2" borderId="5" xfId="0" quotePrefix="1" applyFont="1" applyFill="1" applyBorder="1" applyAlignment="1">
      <alignment vertical="top"/>
    </xf>
    <xf numFmtId="0" fontId="32" fillId="0" borderId="5" xfId="0" applyFont="1" applyBorder="1" applyAlignment="1">
      <alignment vertical="center"/>
    </xf>
    <xf numFmtId="0" fontId="32" fillId="0" borderId="0" xfId="0" applyFont="1" applyAlignment="1"/>
    <xf numFmtId="0" fontId="32" fillId="2" borderId="32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32" xfId="0" applyFont="1" applyBorder="1" applyAlignment="1">
      <alignment vertical="top"/>
    </xf>
    <xf numFmtId="0" fontId="32" fillId="21" borderId="5" xfId="0" applyFont="1" applyFill="1" applyBorder="1" applyAlignment="1">
      <alignment vertical="top"/>
    </xf>
    <xf numFmtId="0" fontId="32" fillId="21" borderId="8" xfId="0" applyFont="1" applyFill="1" applyBorder="1" applyAlignment="1">
      <alignment vertical="top"/>
    </xf>
    <xf numFmtId="0" fontId="32" fillId="21" borderId="9" xfId="0" applyFont="1" applyFill="1" applyBorder="1" applyAlignment="1">
      <alignment vertical="top"/>
    </xf>
    <xf numFmtId="0" fontId="36" fillId="22" borderId="5" xfId="0" applyFont="1" applyFill="1" applyBorder="1" applyAlignment="1">
      <alignment vertical="top"/>
    </xf>
    <xf numFmtId="0" fontId="36" fillId="22" borderId="5" xfId="0" applyFont="1" applyFill="1" applyBorder="1">
      <alignment vertical="top" wrapText="1"/>
    </xf>
    <xf numFmtId="0" fontId="32" fillId="0" borderId="4" xfId="0" applyFont="1" applyBorder="1">
      <alignment vertical="top" wrapText="1"/>
    </xf>
    <xf numFmtId="0" fontId="32" fillId="2" borderId="8" xfId="0" applyFont="1" applyFill="1" applyBorder="1">
      <alignment vertical="top" wrapText="1"/>
    </xf>
    <xf numFmtId="0" fontId="32" fillId="2" borderId="9" xfId="0" applyFont="1" applyFill="1" applyBorder="1">
      <alignment vertical="top" wrapText="1"/>
    </xf>
    <xf numFmtId="0" fontId="32" fillId="0" borderId="8" xfId="0" applyFont="1" applyBorder="1">
      <alignment vertical="top" wrapText="1"/>
    </xf>
    <xf numFmtId="0" fontId="32" fillId="0" borderId="9" xfId="0" applyFont="1" applyBorder="1">
      <alignment vertical="top" wrapText="1"/>
    </xf>
    <xf numFmtId="0" fontId="32" fillId="21" borderId="5" xfId="0" applyFont="1" applyFill="1" applyBorder="1">
      <alignment vertical="top" wrapText="1"/>
    </xf>
    <xf numFmtId="177" fontId="34" fillId="0" borderId="25" xfId="8" applyNumberFormat="1" applyFont="1" applyBorder="1" applyAlignment="1">
      <alignment horizontal="center" vertical="center"/>
    </xf>
    <xf numFmtId="177" fontId="34" fillId="0" borderId="26" xfId="7" applyNumberFormat="1" applyFont="1" applyBorder="1" applyAlignment="1">
      <alignment horizontal="center" vertical="center"/>
    </xf>
    <xf numFmtId="177" fontId="34" fillId="0" borderId="27" xfId="7" applyNumberFormat="1" applyFont="1" applyBorder="1" applyAlignment="1">
      <alignment horizontal="center" vertical="center"/>
    </xf>
    <xf numFmtId="0" fontId="34" fillId="0" borderId="28" xfId="8" applyFont="1" applyBorder="1" applyAlignment="1">
      <alignment horizontal="left" vertical="center" wrapText="1"/>
    </xf>
    <xf numFmtId="0" fontId="34" fillId="0" borderId="26" xfId="7" applyFont="1" applyBorder="1" applyAlignment="1">
      <alignment horizontal="left" vertical="center" wrapText="1"/>
    </xf>
    <xf numFmtId="0" fontId="34" fillId="0" borderId="27" xfId="7" applyFont="1" applyBorder="1" applyAlignment="1">
      <alignment horizontal="left" vertical="center" wrapText="1"/>
    </xf>
    <xf numFmtId="0" fontId="34" fillId="0" borderId="26" xfId="7" applyFont="1" applyBorder="1" applyAlignment="1">
      <alignment vertical="center" wrapText="1"/>
    </xf>
    <xf numFmtId="0" fontId="34" fillId="0" borderId="27" xfId="7" applyFont="1" applyBorder="1" applyAlignment="1">
      <alignment vertical="center" wrapText="1"/>
    </xf>
    <xf numFmtId="0" fontId="34" fillId="0" borderId="28" xfId="8" applyFont="1" applyBorder="1" applyAlignment="1">
      <alignment vertical="center" wrapText="1"/>
    </xf>
    <xf numFmtId="0" fontId="34" fillId="0" borderId="29" xfId="7" applyFont="1" applyBorder="1" applyAlignment="1">
      <alignment vertical="center" wrapText="1"/>
    </xf>
    <xf numFmtId="177" fontId="34" fillId="0" borderId="23" xfId="8" applyNumberFormat="1" applyFont="1" applyBorder="1" applyAlignment="1">
      <alignment horizontal="center" vertical="center"/>
    </xf>
    <xf numFmtId="177" fontId="34" fillId="0" borderId="2" xfId="7" applyNumberFormat="1" applyFont="1" applyBorder="1" applyAlignment="1">
      <alignment horizontal="center" vertical="center"/>
    </xf>
    <xf numFmtId="177" fontId="34" fillId="0" borderId="9" xfId="7" applyNumberFormat="1" applyFont="1" applyBorder="1" applyAlignment="1">
      <alignment horizontal="center" vertical="center"/>
    </xf>
    <xf numFmtId="0" fontId="34" fillId="0" borderId="8" xfId="8" applyFont="1" applyBorder="1" applyAlignment="1">
      <alignment horizontal="left" vertical="center" wrapText="1"/>
    </xf>
    <xf numFmtId="0" fontId="34" fillId="0" borderId="2" xfId="7" applyFont="1" applyBorder="1" applyAlignment="1">
      <alignment horizontal="left" vertical="center" wrapText="1"/>
    </xf>
    <xf numFmtId="0" fontId="34" fillId="0" borderId="9" xfId="7" applyFont="1" applyBorder="1" applyAlignment="1">
      <alignment horizontal="left" vertical="center" wrapText="1"/>
    </xf>
    <xf numFmtId="0" fontId="34" fillId="0" borderId="2" xfId="7" applyFont="1" applyBorder="1" applyAlignment="1">
      <alignment vertical="center" wrapText="1"/>
    </xf>
    <xf numFmtId="0" fontId="34" fillId="0" borderId="9" xfId="7" applyFont="1" applyBorder="1" applyAlignment="1">
      <alignment vertical="center" wrapText="1"/>
    </xf>
    <xf numFmtId="0" fontId="34" fillId="0" borderId="8" xfId="8" applyFont="1" applyBorder="1" applyAlignment="1">
      <alignment vertical="center" wrapText="1"/>
    </xf>
    <xf numFmtId="0" fontId="34" fillId="0" borderId="24" xfId="7" applyFont="1" applyBorder="1" applyAlignment="1">
      <alignment vertical="center" wrapText="1"/>
    </xf>
    <xf numFmtId="0" fontId="34" fillId="0" borderId="8" xfId="8" applyFont="1" applyBorder="1" applyAlignment="1">
      <alignment horizontal="center" vertical="center" wrapText="1"/>
    </xf>
    <xf numFmtId="0" fontId="34" fillId="0" borderId="2" xfId="7" applyFont="1" applyBorder="1" applyAlignment="1">
      <alignment horizontal="center" vertical="center" wrapText="1"/>
    </xf>
    <xf numFmtId="0" fontId="34" fillId="0" borderId="9" xfId="7" applyFont="1" applyBorder="1" applyAlignment="1">
      <alignment horizontal="center" vertical="center" wrapText="1"/>
    </xf>
    <xf numFmtId="0" fontId="34" fillId="0" borderId="2" xfId="8" applyFont="1" applyBorder="1" applyAlignment="1">
      <alignment horizontal="left" vertical="center" wrapText="1"/>
    </xf>
    <xf numFmtId="0" fontId="34" fillId="0" borderId="9" xfId="8" applyFont="1" applyBorder="1" applyAlignment="1">
      <alignment horizontal="left" vertical="center" wrapText="1"/>
    </xf>
    <xf numFmtId="0" fontId="34" fillId="0" borderId="2" xfId="8" applyFont="1" applyBorder="1" applyAlignment="1">
      <alignment vertical="center" wrapText="1"/>
    </xf>
    <xf numFmtId="0" fontId="34" fillId="0" borderId="24" xfId="8" applyFont="1" applyBorder="1" applyAlignment="1">
      <alignment vertical="center" wrapText="1"/>
    </xf>
    <xf numFmtId="0" fontId="34" fillId="0" borderId="8" xfId="8" applyFont="1" applyBorder="1" applyAlignment="1">
      <alignment horizontal="left" vertical="center"/>
    </xf>
    <xf numFmtId="0" fontId="34" fillId="0" borderId="2" xfId="7" applyFont="1" applyBorder="1" applyAlignment="1">
      <alignment horizontal="left" vertical="center"/>
    </xf>
    <xf numFmtId="0" fontId="34" fillId="0" borderId="9" xfId="7" applyFont="1" applyBorder="1" applyAlignment="1">
      <alignment horizontal="left" vertical="center"/>
    </xf>
    <xf numFmtId="0" fontId="34" fillId="0" borderId="8" xfId="8" applyFont="1" applyBorder="1" applyAlignment="1">
      <alignment vertical="center"/>
    </xf>
    <xf numFmtId="0" fontId="34" fillId="0" borderId="2" xfId="7" applyFont="1" applyBorder="1" applyAlignment="1">
      <alignment vertical="center"/>
    </xf>
    <xf numFmtId="0" fontId="34" fillId="0" borderId="24" xfId="7" applyFont="1" applyBorder="1" applyAlignment="1">
      <alignment vertical="center"/>
    </xf>
    <xf numFmtId="0" fontId="33" fillId="3" borderId="11" xfId="6" applyFont="1" applyFill="1" applyBorder="1" applyAlignment="1">
      <alignment horizontal="center" vertical="center"/>
    </xf>
    <xf numFmtId="0" fontId="34" fillId="0" borderId="12" xfId="7" applyFont="1" applyBorder="1" applyAlignment="1">
      <alignment vertical="center"/>
    </xf>
    <xf numFmtId="0" fontId="34" fillId="0" borderId="13" xfId="7" applyFont="1" applyBorder="1" applyAlignment="1">
      <alignment vertical="center"/>
    </xf>
    <xf numFmtId="0" fontId="35" fillId="3" borderId="14" xfId="8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15" xfId="7" applyFont="1" applyBorder="1" applyAlignment="1">
      <alignment horizontal="center" vertical="center"/>
    </xf>
    <xf numFmtId="0" fontId="35" fillId="3" borderId="16" xfId="8" applyFont="1" applyFill="1" applyBorder="1" applyAlignment="1">
      <alignment horizontal="center" vertical="center"/>
    </xf>
    <xf numFmtId="0" fontId="35" fillId="3" borderId="1" xfId="8" applyFont="1" applyFill="1" applyBorder="1" applyAlignment="1">
      <alignment horizontal="center" vertical="center"/>
    </xf>
    <xf numFmtId="0" fontId="35" fillId="3" borderId="15" xfId="8" applyFont="1" applyFill="1" applyBorder="1" applyAlignment="1">
      <alignment horizontal="center" vertical="center"/>
    </xf>
    <xf numFmtId="0" fontId="35" fillId="3" borderId="16" xfId="7" applyFont="1" applyFill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17" xfId="7" applyFont="1" applyBorder="1" applyAlignment="1">
      <alignment horizontal="center" vertical="center"/>
    </xf>
    <xf numFmtId="177" fontId="34" fillId="0" borderId="18" xfId="8" applyNumberFormat="1" applyFont="1" applyBorder="1" applyAlignment="1">
      <alignment horizontal="center" vertical="center"/>
    </xf>
    <xf numFmtId="177" fontId="34" fillId="0" borderId="19" xfId="7" applyNumberFormat="1" applyFont="1" applyBorder="1" applyAlignment="1">
      <alignment horizontal="center" vertical="center"/>
    </xf>
    <xf numFmtId="177" fontId="34" fillId="0" borderId="20" xfId="7" applyNumberFormat="1" applyFont="1" applyBorder="1" applyAlignment="1">
      <alignment horizontal="center" vertical="center"/>
    </xf>
    <xf numFmtId="0" fontId="34" fillId="0" borderId="21" xfId="8" applyFont="1" applyBorder="1" applyAlignment="1">
      <alignment horizontal="left" vertical="center" wrapText="1"/>
    </xf>
    <xf numFmtId="0" fontId="34" fillId="0" borderId="19" xfId="7" applyFont="1" applyBorder="1" applyAlignment="1">
      <alignment horizontal="left" vertical="center" wrapText="1"/>
    </xf>
    <xf numFmtId="0" fontId="34" fillId="0" borderId="20" xfId="7" applyFont="1" applyBorder="1" applyAlignment="1">
      <alignment horizontal="left" vertical="center" wrapText="1"/>
    </xf>
    <xf numFmtId="0" fontId="34" fillId="0" borderId="19" xfId="7" applyFont="1" applyBorder="1" applyAlignment="1">
      <alignment vertical="center" wrapText="1"/>
    </xf>
    <xf numFmtId="0" fontId="34" fillId="0" borderId="20" xfId="7" applyFont="1" applyBorder="1" applyAlignment="1">
      <alignment vertical="center" wrapText="1"/>
    </xf>
    <xf numFmtId="0" fontId="34" fillId="0" borderId="21" xfId="8" applyFont="1" applyBorder="1" applyAlignment="1">
      <alignment vertical="center" wrapText="1"/>
    </xf>
    <xf numFmtId="0" fontId="34" fillId="0" borderId="22" xfId="7" applyFont="1" applyBorder="1" applyAlignment="1">
      <alignment vertical="center" wrapText="1"/>
    </xf>
    <xf numFmtId="0" fontId="32" fillId="0" borderId="8" xfId="0" applyFont="1" applyBorder="1">
      <alignment vertical="top" wrapText="1"/>
    </xf>
    <xf numFmtId="0" fontId="32" fillId="0" borderId="9" xfId="0" applyFont="1" applyBorder="1">
      <alignment vertical="top" wrapText="1"/>
    </xf>
    <xf numFmtId="0" fontId="32" fillId="3" borderId="8" xfId="0" applyFont="1" applyFill="1" applyBorder="1" applyAlignment="1">
      <alignment wrapText="1"/>
    </xf>
    <xf numFmtId="0" fontId="32" fillId="3" borderId="9" xfId="0" applyFont="1" applyFill="1" applyBorder="1" applyAlignment="1">
      <alignment wrapText="1"/>
    </xf>
    <xf numFmtId="0" fontId="36" fillId="22" borderId="8" xfId="0" applyFont="1" applyFill="1" applyBorder="1">
      <alignment vertical="top" wrapText="1"/>
    </xf>
    <xf numFmtId="0" fontId="36" fillId="22" borderId="9" xfId="0" applyFont="1" applyFill="1" applyBorder="1">
      <alignment vertical="top" wrapText="1"/>
    </xf>
    <xf numFmtId="0" fontId="36" fillId="22" borderId="8" xfId="0" applyFont="1" applyFill="1" applyBorder="1" applyAlignment="1">
      <alignment wrapText="1"/>
    </xf>
    <xf numFmtId="0" fontId="36" fillId="22" borderId="9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816406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19</v>
      </c>
      <c r="F2" s="7" t="s">
        <v>76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18</v>
      </c>
      <c r="D3" s="7" t="s">
        <v>3</v>
      </c>
      <c r="E3" s="8" t="s">
        <v>77</v>
      </c>
      <c r="F3" s="7" t="s">
        <v>78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56</v>
      </c>
      <c r="F4" s="7" t="s">
        <v>5</v>
      </c>
      <c r="G4" s="8" t="s">
        <v>121</v>
      </c>
      <c r="I4" s="5"/>
      <c r="J4" s="4"/>
    </row>
    <row r="5" spans="1:13">
      <c r="A5" s="6" t="s">
        <v>9</v>
      </c>
      <c r="B5" s="12" t="s">
        <v>57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0" t="s">
        <v>102</v>
      </c>
      <c r="B1" s="50" t="s">
        <v>102</v>
      </c>
      <c r="C1" s="50"/>
      <c r="D1" s="1" t="s">
        <v>103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1" t="s">
        <v>102</v>
      </c>
      <c r="B2" s="22"/>
      <c r="C2" s="22"/>
      <c r="D2" s="68" t="s">
        <v>128</v>
      </c>
      <c r="E2" s="7" t="s">
        <v>0</v>
      </c>
      <c r="F2" s="52" t="str">
        <f>IF(LogicCommon!C2="","",LogicCommon!C2)</f>
        <v>MS</v>
      </c>
      <c r="G2" s="7" t="s">
        <v>1</v>
      </c>
      <c r="H2" s="52" t="str">
        <f>IF(LogicCommon!E2="","",LogicCommon!E2)</f>
        <v>MSBGL5030</v>
      </c>
      <c r="I2" s="7" t="s">
        <v>104</v>
      </c>
      <c r="J2" s="8" t="s">
        <v>31</v>
      </c>
      <c r="K2" s="7" t="s">
        <v>76</v>
      </c>
      <c r="L2" s="52" t="str">
        <f>IF(LogicCommon!G2="","",LogicCommon!G2)</f>
        <v>MC</v>
      </c>
      <c r="M2" s="5" t="s">
        <v>20</v>
      </c>
      <c r="N2" s="23" t="s">
        <v>122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102</v>
      </c>
      <c r="B3" s="54"/>
      <c r="C3" s="54"/>
      <c r="D3" s="55" t="str">
        <f>IF(LogicCommon!A3="","",LogicCommon!A3)</f>
        <v/>
      </c>
      <c r="E3" s="7" t="s">
        <v>2</v>
      </c>
      <c r="F3" s="52" t="str">
        <f>IF(LogicCommon!C3="","",LogicCommon!C3)</f>
        <v>MSBG</v>
      </c>
      <c r="G3" s="7" t="s">
        <v>3</v>
      </c>
      <c r="H3" s="52" t="str">
        <f>IF(LogicCommon!E3="","",LogicCommon!E3)</f>
        <v>MSBGL_BillClService</v>
      </c>
      <c r="I3" s="7" t="s">
        <v>105</v>
      </c>
      <c r="J3" s="8" t="s">
        <v>58</v>
      </c>
      <c r="K3" s="7" t="s">
        <v>78</v>
      </c>
      <c r="L3" s="52" t="str">
        <f>IF(LogicCommon!G3="","",LogicCommon!G3)</f>
        <v/>
      </c>
      <c r="M3" s="56"/>
      <c r="N3" s="7"/>
      <c r="O3" s="7" t="s">
        <v>106</v>
      </c>
      <c r="P3" s="8" t="s">
        <v>99</v>
      </c>
      <c r="Q3" s="4"/>
      <c r="R3" s="5"/>
      <c r="S3" s="5"/>
      <c r="T3" s="5"/>
      <c r="U3" s="5"/>
    </row>
    <row r="4" spans="1:21" s="10" customFormat="1">
      <c r="A4" s="53" t="s">
        <v>102</v>
      </c>
      <c r="B4" s="54"/>
      <c r="C4" s="54"/>
      <c r="D4" s="4"/>
      <c r="E4" s="7" t="s">
        <v>21</v>
      </c>
      <c r="F4" s="57" t="s">
        <v>107</v>
      </c>
      <c r="G4" s="7" t="s">
        <v>4</v>
      </c>
      <c r="H4" s="52" t="str">
        <f>IF(LogicCommon!E4="","",LogicCommon!E4)</f>
        <v>請求締サービス</v>
      </c>
      <c r="I4" s="7" t="s">
        <v>81</v>
      </c>
      <c r="J4" s="8" t="s">
        <v>32</v>
      </c>
      <c r="K4" s="7" t="s">
        <v>5</v>
      </c>
      <c r="L4" s="52" t="str">
        <f>IF(LogicCommon!G4="","",LogicCommon!G4)</f>
        <v>MS.MSUDL5010</v>
      </c>
      <c r="M4" s="58" t="s">
        <v>108</v>
      </c>
      <c r="N4" s="23"/>
      <c r="O4" s="59"/>
      <c r="P4" s="4"/>
      <c r="Q4" s="4"/>
      <c r="R4" s="5"/>
      <c r="S4" s="5"/>
      <c r="T4" s="5"/>
      <c r="U4" s="5"/>
    </row>
    <row r="5" spans="1:21" s="10" customFormat="1">
      <c r="A5" s="60" t="s">
        <v>102</v>
      </c>
      <c r="B5" s="50"/>
      <c r="C5" s="50"/>
      <c r="D5" s="21"/>
      <c r="E5" s="7" t="s">
        <v>109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>
      <c r="A6" s="53" t="s">
        <v>102</v>
      </c>
      <c r="B6" s="54"/>
      <c r="C6" s="54"/>
      <c r="D6" s="4" t="s">
        <v>9</v>
      </c>
      <c r="E6" s="12" t="s">
        <v>61</v>
      </c>
      <c r="F6" s="12"/>
      <c r="G6" s="12"/>
      <c r="H6" s="12"/>
      <c r="I6" s="12"/>
      <c r="J6" s="12"/>
      <c r="K6" s="12"/>
      <c r="L6" s="62"/>
      <c r="M6" s="15" t="s">
        <v>101</v>
      </c>
      <c r="N6" s="15"/>
      <c r="O6" s="15" t="s">
        <v>101</v>
      </c>
      <c r="P6" s="15"/>
      <c r="Q6" s="15" t="s">
        <v>101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26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69"/>
      <c r="C8" s="70"/>
      <c r="D8" s="24" t="s">
        <v>129</v>
      </c>
      <c r="E8" s="24" t="s">
        <v>130</v>
      </c>
      <c r="F8" s="62"/>
      <c r="G8" s="24" t="s">
        <v>88</v>
      </c>
      <c r="H8" s="24" t="s">
        <v>131</v>
      </c>
      <c r="I8" s="62"/>
      <c r="J8" s="3"/>
      <c r="K8" s="8"/>
      <c r="L8" s="24" t="s">
        <v>28</v>
      </c>
      <c r="M8" s="25"/>
      <c r="N8" s="24" t="s">
        <v>79</v>
      </c>
      <c r="O8" s="25"/>
      <c r="P8" s="24" t="s">
        <v>79</v>
      </c>
      <c r="Q8" s="25"/>
      <c r="R8" s="3"/>
      <c r="S8" s="21"/>
      <c r="T8" s="129" t="s">
        <v>132</v>
      </c>
      <c r="U8" s="130"/>
    </row>
    <row r="9" spans="1:21" s="10" customFormat="1" ht="60" customHeight="1">
      <c r="A9" s="8" t="s">
        <v>22</v>
      </c>
      <c r="B9" s="28"/>
      <c r="C9" s="29"/>
      <c r="D9" s="24" t="s">
        <v>133</v>
      </c>
      <c r="E9" s="71" t="s">
        <v>134</v>
      </c>
      <c r="F9" s="24" t="s">
        <v>135</v>
      </c>
      <c r="G9" s="24" t="s">
        <v>136</v>
      </c>
      <c r="H9" s="24" t="s">
        <v>137</v>
      </c>
      <c r="I9" s="72" t="s">
        <v>138</v>
      </c>
      <c r="J9" s="24" t="s">
        <v>139</v>
      </c>
      <c r="K9" s="68"/>
      <c r="L9" s="72"/>
      <c r="M9" s="24"/>
      <c r="N9" s="24"/>
      <c r="O9" s="24"/>
      <c r="P9" s="24"/>
      <c r="Q9" s="24"/>
      <c r="R9" s="129" t="s">
        <v>140</v>
      </c>
      <c r="S9" s="130"/>
      <c r="T9" s="129" t="s">
        <v>141</v>
      </c>
      <c r="U9" s="130"/>
    </row>
    <row r="10" spans="1:21" s="10" customFormat="1" ht="39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138</v>
      </c>
      <c r="M10" s="24" t="s">
        <v>139</v>
      </c>
      <c r="N10" s="24" t="s">
        <v>138</v>
      </c>
      <c r="O10" s="24" t="s">
        <v>139</v>
      </c>
      <c r="P10" s="24" t="s">
        <v>138</v>
      </c>
      <c r="Q10" s="24" t="s">
        <v>139</v>
      </c>
      <c r="R10" s="30"/>
      <c r="S10" s="30"/>
      <c r="T10" s="35"/>
      <c r="U10" s="49"/>
    </row>
    <row r="11" spans="1:21" s="10" customFormat="1">
      <c r="A11" s="8">
        <v>10</v>
      </c>
      <c r="B11" s="28" t="s">
        <v>30</v>
      </c>
      <c r="C11" s="29"/>
      <c r="D11" s="23" t="s">
        <v>33</v>
      </c>
      <c r="E11" s="26" t="s">
        <v>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34</v>
      </c>
      <c r="E12" s="25" t="s">
        <v>80</v>
      </c>
      <c r="F12" s="25"/>
      <c r="G12" s="38" t="s">
        <v>142</v>
      </c>
      <c r="H12" s="38" t="s">
        <v>110</v>
      </c>
      <c r="I12" s="8" t="s">
        <v>111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53"/>
      <c r="U13" s="39"/>
    </row>
    <row r="14" spans="1:21" s="10" customFormat="1">
      <c r="A14" s="53"/>
      <c r="U14" s="39"/>
    </row>
    <row r="15" spans="1:21" s="10" customFormat="1">
      <c r="A15" s="53"/>
      <c r="U15" s="39"/>
    </row>
    <row r="16" spans="1:21" s="10" customFormat="1">
      <c r="A16" s="53"/>
      <c r="U16" s="39"/>
    </row>
    <row r="17" spans="1:21" s="10" customFormat="1">
      <c r="A17" s="53"/>
      <c r="U17" s="39"/>
    </row>
    <row r="18" spans="1:21" s="10" customFormat="1">
      <c r="A18" s="53"/>
      <c r="U18" s="39"/>
    </row>
    <row r="19" spans="1:21" s="10" customFormat="1">
      <c r="A19" s="53"/>
      <c r="U19" s="39"/>
    </row>
    <row r="20" spans="1:21" s="10" customFormat="1">
      <c r="A20" s="53"/>
      <c r="U20" s="39"/>
    </row>
    <row r="21" spans="1:21" s="10" customFormat="1">
      <c r="A21" s="53"/>
      <c r="U21" s="39"/>
    </row>
    <row r="22" spans="1:21" s="10" customFormat="1">
      <c r="A22" s="53"/>
      <c r="U22" s="39"/>
    </row>
    <row r="23" spans="1:21" s="10" customFormat="1">
      <c r="A23" s="53"/>
      <c r="U23" s="39"/>
    </row>
    <row r="24" spans="1:21" s="10" customFormat="1">
      <c r="A24" s="53"/>
      <c r="U24" s="39"/>
    </row>
    <row r="25" spans="1:21" s="10" customFormat="1">
      <c r="A25" s="53"/>
      <c r="U25" s="39"/>
    </row>
    <row r="26" spans="1:21" s="10" customFormat="1">
      <c r="A26" s="60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0"/>
    </row>
  </sheetData>
  <mergeCells count="6">
    <mergeCell ref="R12:S12"/>
    <mergeCell ref="T12:U12"/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34"/>
  <sheetViews>
    <sheetView topLeftCell="A7" zoomScale="85" zoomScaleNormal="85" zoomScaleSheetLayoutView="85" workbookViewId="0">
      <selection activeCell="D17" sqref="D17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3.6328125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0" t="s">
        <v>102</v>
      </c>
      <c r="B1" s="50" t="s">
        <v>102</v>
      </c>
      <c r="C1" s="50"/>
      <c r="D1" s="1" t="s">
        <v>103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1" t="s">
        <v>102</v>
      </c>
      <c r="B2" s="22"/>
      <c r="C2" s="22"/>
      <c r="D2" s="68" t="s">
        <v>128</v>
      </c>
      <c r="E2" s="7" t="s">
        <v>0</v>
      </c>
      <c r="F2" s="52" t="str">
        <f>IF(LogicCommon!C2="","",LogicCommon!C2)</f>
        <v>MS</v>
      </c>
      <c r="G2" s="7" t="s">
        <v>1</v>
      </c>
      <c r="H2" s="52" t="str">
        <f>IF(LogicCommon!E2="","",LogicCommon!E2)</f>
        <v>MSBGL5030</v>
      </c>
      <c r="I2" s="7" t="s">
        <v>104</v>
      </c>
      <c r="J2" s="8" t="s">
        <v>36</v>
      </c>
      <c r="K2" s="7" t="s">
        <v>76</v>
      </c>
      <c r="L2" s="52" t="str">
        <f>IF(LogicCommon!G2="","",LogicCommon!G2)</f>
        <v>MC</v>
      </c>
      <c r="M2" s="5" t="s">
        <v>20</v>
      </c>
      <c r="N2" s="23" t="s">
        <v>122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102</v>
      </c>
      <c r="B3" s="54"/>
      <c r="C3" s="54"/>
      <c r="D3" s="55" t="str">
        <f>IF(LogicCommon!A3="","",LogicCommon!A3)</f>
        <v/>
      </c>
      <c r="E3" s="7" t="s">
        <v>2</v>
      </c>
      <c r="F3" s="52" t="str">
        <f>IF(LogicCommon!C3="","",LogicCommon!C3)</f>
        <v>MSBG</v>
      </c>
      <c r="G3" s="7" t="s">
        <v>3</v>
      </c>
      <c r="H3" s="52" t="str">
        <f>IF(LogicCommon!E3="","",LogicCommon!E3)</f>
        <v>MSBGL_BillClService</v>
      </c>
      <c r="I3" s="7" t="s">
        <v>105</v>
      </c>
      <c r="J3" s="8" t="s">
        <v>58</v>
      </c>
      <c r="K3" s="7" t="s">
        <v>78</v>
      </c>
      <c r="L3" s="52" t="str">
        <f>IF(LogicCommon!G3="","",LogicCommon!G3)</f>
        <v/>
      </c>
      <c r="M3" s="56"/>
      <c r="N3" s="7"/>
      <c r="O3" s="7" t="s">
        <v>106</v>
      </c>
      <c r="P3" s="8" t="s">
        <v>99</v>
      </c>
      <c r="Q3" s="4"/>
      <c r="R3" s="5"/>
      <c r="S3" s="5"/>
      <c r="T3" s="5"/>
      <c r="U3" s="5"/>
    </row>
    <row r="4" spans="1:21" s="10" customFormat="1">
      <c r="A4" s="53" t="s">
        <v>102</v>
      </c>
      <c r="B4" s="54"/>
      <c r="C4" s="54"/>
      <c r="D4" s="4"/>
      <c r="E4" s="7" t="s">
        <v>21</v>
      </c>
      <c r="F4" s="57" t="s">
        <v>107</v>
      </c>
      <c r="G4" s="7" t="s">
        <v>4</v>
      </c>
      <c r="H4" s="52" t="str">
        <f>IF(LogicCommon!E4="","",LogicCommon!E4)</f>
        <v>請求締サービス</v>
      </c>
      <c r="I4" s="7" t="s">
        <v>81</v>
      </c>
      <c r="J4" s="8" t="s">
        <v>37</v>
      </c>
      <c r="K4" s="7" t="s">
        <v>5</v>
      </c>
      <c r="L4" s="52" t="str">
        <f>IF(LogicCommon!G4="","",LogicCommon!G4)</f>
        <v>MS.MSUDL5010</v>
      </c>
      <c r="M4" s="58" t="s">
        <v>108</v>
      </c>
      <c r="N4" s="23"/>
      <c r="O4" s="59"/>
      <c r="P4" s="4"/>
      <c r="Q4" s="4"/>
      <c r="R4" s="5"/>
      <c r="S4" s="5"/>
      <c r="T4" s="5"/>
      <c r="U4" s="5"/>
    </row>
    <row r="5" spans="1:21" s="10" customFormat="1">
      <c r="A5" s="60" t="s">
        <v>102</v>
      </c>
      <c r="B5" s="50"/>
      <c r="C5" s="50"/>
      <c r="D5" s="21"/>
      <c r="E5" s="7" t="s">
        <v>109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>
      <c r="A6" s="53" t="s">
        <v>102</v>
      </c>
      <c r="B6" s="54"/>
      <c r="C6" s="54"/>
      <c r="D6" s="4" t="s">
        <v>9</v>
      </c>
      <c r="E6" s="12" t="s">
        <v>60</v>
      </c>
      <c r="F6" s="12"/>
      <c r="G6" s="12"/>
      <c r="H6" s="12"/>
      <c r="I6" s="12"/>
      <c r="J6" s="12"/>
      <c r="K6" s="12"/>
      <c r="L6" s="62"/>
      <c r="M6" s="15" t="s">
        <v>101</v>
      </c>
      <c r="N6" s="15"/>
      <c r="O6" s="15" t="s">
        <v>101</v>
      </c>
      <c r="P6" s="15"/>
      <c r="Q6" s="15" t="s">
        <v>101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69"/>
      <c r="C8" s="70"/>
      <c r="D8" s="24" t="s">
        <v>129</v>
      </c>
      <c r="E8" s="24" t="s">
        <v>130</v>
      </c>
      <c r="F8" s="62"/>
      <c r="G8" s="24" t="s">
        <v>88</v>
      </c>
      <c r="H8" s="24" t="s">
        <v>131</v>
      </c>
      <c r="I8" s="62"/>
      <c r="J8" s="3"/>
      <c r="K8" s="8"/>
      <c r="L8" s="24" t="s">
        <v>27</v>
      </c>
      <c r="M8" s="25"/>
      <c r="N8" s="24" t="s">
        <v>79</v>
      </c>
      <c r="O8" s="25"/>
      <c r="P8" s="24" t="s">
        <v>79</v>
      </c>
      <c r="Q8" s="25"/>
      <c r="R8" s="3"/>
      <c r="S8" s="21"/>
      <c r="T8" s="129" t="s">
        <v>132</v>
      </c>
      <c r="U8" s="130"/>
    </row>
    <row r="9" spans="1:21" s="10" customFormat="1" ht="60" customHeight="1">
      <c r="A9" s="8" t="s">
        <v>22</v>
      </c>
      <c r="B9" s="28"/>
      <c r="C9" s="29"/>
      <c r="D9" s="24" t="s">
        <v>133</v>
      </c>
      <c r="E9" s="71" t="s">
        <v>134</v>
      </c>
      <c r="F9" s="24" t="s">
        <v>135</v>
      </c>
      <c r="G9" s="24" t="s">
        <v>136</v>
      </c>
      <c r="H9" s="24" t="s">
        <v>137</v>
      </c>
      <c r="I9" s="72" t="s">
        <v>138</v>
      </c>
      <c r="J9" s="24" t="s">
        <v>139</v>
      </c>
      <c r="K9" s="68"/>
      <c r="L9" s="72"/>
      <c r="M9" s="24"/>
      <c r="N9" s="24"/>
      <c r="O9" s="24"/>
      <c r="P9" s="24"/>
      <c r="Q9" s="24"/>
      <c r="R9" s="129" t="s">
        <v>140</v>
      </c>
      <c r="S9" s="130"/>
      <c r="T9" s="129" t="s">
        <v>141</v>
      </c>
      <c r="U9" s="130"/>
    </row>
    <row r="10" spans="1:21" s="10" customFormat="1" ht="39">
      <c r="A10" s="28" t="s">
        <v>35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138</v>
      </c>
      <c r="M10" s="24" t="s">
        <v>139</v>
      </c>
      <c r="N10" s="24" t="s">
        <v>138</v>
      </c>
      <c r="O10" s="24" t="s">
        <v>139</v>
      </c>
      <c r="P10" s="24" t="s">
        <v>138</v>
      </c>
      <c r="Q10" s="24" t="s">
        <v>139</v>
      </c>
      <c r="R10" s="30"/>
      <c r="S10" s="30"/>
      <c r="T10" s="35"/>
      <c r="U10" s="49"/>
    </row>
    <row r="11" spans="1:21" s="10" customFormat="1">
      <c r="A11" s="8">
        <v>10</v>
      </c>
      <c r="B11" s="28" t="s">
        <v>30</v>
      </c>
      <c r="C11" s="29"/>
      <c r="D11" s="23" t="s">
        <v>66</v>
      </c>
      <c r="E11" s="26" t="s">
        <v>63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38</v>
      </c>
      <c r="E12" s="25" t="s">
        <v>89</v>
      </c>
      <c r="F12" s="25"/>
      <c r="G12" s="38" t="s">
        <v>143</v>
      </c>
      <c r="H12" s="38" t="s">
        <v>112</v>
      </c>
      <c r="I12" s="8" t="s">
        <v>111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39</v>
      </c>
      <c r="E13" s="25" t="s">
        <v>90</v>
      </c>
      <c r="F13" s="25"/>
      <c r="G13" s="38" t="s">
        <v>144</v>
      </c>
      <c r="H13" s="38" t="s">
        <v>82</v>
      </c>
      <c r="I13" s="8" t="s">
        <v>111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40</v>
      </c>
      <c r="E14" s="25" t="s">
        <v>91</v>
      </c>
      <c r="F14" s="25"/>
      <c r="G14" s="38" t="s">
        <v>145</v>
      </c>
      <c r="H14" s="38" t="s">
        <v>113</v>
      </c>
      <c r="I14" s="8" t="s">
        <v>111</v>
      </c>
      <c r="J14" s="8"/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41</v>
      </c>
      <c r="E15" s="25" t="s">
        <v>92</v>
      </c>
      <c r="F15" s="25"/>
      <c r="G15" s="38" t="s">
        <v>146</v>
      </c>
      <c r="H15" s="38" t="s">
        <v>83</v>
      </c>
      <c r="I15" s="8" t="s">
        <v>111</v>
      </c>
      <c r="J15" s="8"/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42</v>
      </c>
      <c r="E16" s="25" t="s">
        <v>93</v>
      </c>
      <c r="F16" s="25"/>
      <c r="G16" s="38" t="s">
        <v>147</v>
      </c>
      <c r="H16" s="38" t="s">
        <v>84</v>
      </c>
      <c r="I16" s="8" t="s">
        <v>111</v>
      </c>
      <c r="J16" s="8"/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66">
        <v>10</v>
      </c>
      <c r="B17" s="66"/>
      <c r="C17" s="66"/>
      <c r="D17" s="66" t="s">
        <v>125</v>
      </c>
      <c r="E17" s="67" t="s">
        <v>126</v>
      </c>
      <c r="F17" s="67"/>
      <c r="G17" s="67"/>
      <c r="H17" s="67"/>
      <c r="I17" s="66" t="s">
        <v>111</v>
      </c>
      <c r="J17" s="66"/>
      <c r="K17" s="66"/>
      <c r="L17" s="66"/>
      <c r="M17" s="66"/>
      <c r="N17" s="66"/>
      <c r="O17" s="66"/>
      <c r="P17" s="66"/>
      <c r="Q17" s="66"/>
      <c r="R17" s="133"/>
      <c r="S17" s="134"/>
      <c r="T17" s="135"/>
      <c r="U17" s="136"/>
    </row>
    <row r="18" spans="1:21" s="10" customFormat="1">
      <c r="A18" s="8">
        <v>10</v>
      </c>
      <c r="B18" s="8"/>
      <c r="C18" s="8"/>
      <c r="D18" s="8" t="s">
        <v>43</v>
      </c>
      <c r="E18" s="25" t="s">
        <v>94</v>
      </c>
      <c r="F18" s="25"/>
      <c r="G18" s="38" t="s">
        <v>145</v>
      </c>
      <c r="H18" s="38" t="s">
        <v>85</v>
      </c>
      <c r="I18" s="8"/>
      <c r="J18" s="8" t="s">
        <v>86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44</v>
      </c>
      <c r="E19" s="25" t="s">
        <v>95</v>
      </c>
      <c r="F19" s="25"/>
      <c r="G19" s="38" t="s">
        <v>148</v>
      </c>
      <c r="H19" s="38" t="s">
        <v>87</v>
      </c>
      <c r="I19" s="8"/>
      <c r="J19" s="8" t="s">
        <v>86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45</v>
      </c>
      <c r="E20" s="25" t="s">
        <v>80</v>
      </c>
      <c r="F20" s="25"/>
      <c r="G20" s="38" t="s">
        <v>149</v>
      </c>
      <c r="H20" s="38" t="s">
        <v>114</v>
      </c>
      <c r="I20" s="8"/>
      <c r="J20" s="8" t="s">
        <v>86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53"/>
      <c r="U21" s="39"/>
    </row>
    <row r="22" spans="1:21" s="10" customFormat="1">
      <c r="A22" s="8">
        <v>20</v>
      </c>
      <c r="B22" s="28" t="s">
        <v>30</v>
      </c>
      <c r="C22" s="29"/>
      <c r="D22" s="23" t="s">
        <v>67</v>
      </c>
      <c r="E22" s="26" t="s">
        <v>8</v>
      </c>
      <c r="F22" s="41"/>
      <c r="G22" s="23"/>
      <c r="H22" s="27"/>
      <c r="I22" s="42"/>
      <c r="J22" s="43"/>
      <c r="K22" s="43"/>
      <c r="L22" s="26"/>
      <c r="M22" s="26"/>
      <c r="N22" s="26"/>
      <c r="O22" s="26"/>
      <c r="P22" s="26"/>
      <c r="Q22" s="26"/>
      <c r="R22" s="37"/>
      <c r="S22" s="36"/>
      <c r="T22" s="131"/>
      <c r="U22" s="132"/>
    </row>
    <row r="23" spans="1:21" s="10" customFormat="1">
      <c r="A23" s="63">
        <v>20</v>
      </c>
      <c r="B23" s="63"/>
      <c r="C23" s="63"/>
      <c r="D23" s="63" t="s">
        <v>68</v>
      </c>
      <c r="E23" s="63" t="s">
        <v>72</v>
      </c>
      <c r="F23" s="63" t="s">
        <v>71</v>
      </c>
      <c r="G23" s="73" t="s">
        <v>150</v>
      </c>
      <c r="H23" s="63" t="s">
        <v>115</v>
      </c>
      <c r="I23" s="63"/>
      <c r="J23" s="63"/>
      <c r="K23" s="63"/>
      <c r="L23" s="63"/>
      <c r="M23" s="63"/>
      <c r="N23" s="63"/>
      <c r="O23" s="63"/>
      <c r="P23" s="63"/>
      <c r="Q23" s="63"/>
      <c r="R23" s="64"/>
      <c r="S23" s="65"/>
      <c r="T23" s="63"/>
      <c r="U23" s="63"/>
    </row>
    <row r="24" spans="1:21" s="10" customFormat="1">
      <c r="A24" s="63">
        <v>20</v>
      </c>
      <c r="B24" s="63"/>
      <c r="C24" s="63"/>
      <c r="D24" s="63" t="s">
        <v>69</v>
      </c>
      <c r="E24" s="63" t="s">
        <v>73</v>
      </c>
      <c r="F24" s="63" t="s">
        <v>71</v>
      </c>
      <c r="G24" s="73" t="s">
        <v>151</v>
      </c>
      <c r="H24" s="63" t="s">
        <v>116</v>
      </c>
      <c r="I24" s="63"/>
      <c r="J24" s="63"/>
      <c r="K24" s="63"/>
      <c r="L24" s="63"/>
      <c r="M24" s="63"/>
      <c r="N24" s="63"/>
      <c r="O24" s="63"/>
      <c r="P24" s="63"/>
      <c r="Q24" s="63"/>
      <c r="R24" s="64"/>
      <c r="S24" s="65"/>
      <c r="T24" s="63"/>
      <c r="U24" s="63"/>
    </row>
    <row r="25" spans="1:21" s="10" customFormat="1">
      <c r="A25" s="8">
        <v>20</v>
      </c>
      <c r="B25" s="8"/>
      <c r="C25" s="8"/>
      <c r="D25" s="8" t="s">
        <v>70</v>
      </c>
      <c r="E25" s="25" t="s">
        <v>74</v>
      </c>
      <c r="F25" s="25"/>
      <c r="G25" s="38" t="s">
        <v>152</v>
      </c>
      <c r="H25" s="38" t="s">
        <v>117</v>
      </c>
      <c r="I25" s="8"/>
      <c r="J25" s="8"/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>
      <c r="A26" s="53"/>
      <c r="U26" s="39"/>
    </row>
    <row r="27" spans="1:21" s="10" customFormat="1">
      <c r="A27" s="53"/>
      <c r="U27" s="39"/>
    </row>
    <row r="28" spans="1:21" s="10" customFormat="1">
      <c r="A28" s="53"/>
      <c r="U28" s="39"/>
    </row>
    <row r="29" spans="1:21" s="10" customFormat="1">
      <c r="A29" s="53"/>
      <c r="U29" s="39"/>
    </row>
    <row r="30" spans="1:21" s="10" customFormat="1">
      <c r="A30" s="53"/>
      <c r="U30" s="39"/>
    </row>
    <row r="31" spans="1:21" s="10" customFormat="1">
      <c r="A31" s="53"/>
      <c r="U31" s="39"/>
    </row>
    <row r="32" spans="1:21" s="10" customFormat="1">
      <c r="A32" s="53"/>
      <c r="U32" s="39"/>
    </row>
    <row r="33" spans="1:21" s="10" customFormat="1">
      <c r="A33" s="53"/>
      <c r="U33" s="39"/>
    </row>
    <row r="34" spans="1:21" s="10" customFormat="1">
      <c r="A34" s="60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0"/>
    </row>
  </sheetData>
  <mergeCells count="25">
    <mergeCell ref="T20:U20"/>
    <mergeCell ref="R15:S15"/>
    <mergeCell ref="T15:U15"/>
    <mergeCell ref="R16:S16"/>
    <mergeCell ref="T16:U16"/>
    <mergeCell ref="R18:S18"/>
    <mergeCell ref="T18:U18"/>
    <mergeCell ref="R17:S17"/>
    <mergeCell ref="T17:U17"/>
    <mergeCell ref="R25:S25"/>
    <mergeCell ref="T25:U25"/>
    <mergeCell ref="T22:U22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9:S19"/>
    <mergeCell ref="T19:U19"/>
    <mergeCell ref="R20:S2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0" t="s">
        <v>102</v>
      </c>
      <c r="B1" s="50" t="s">
        <v>102</v>
      </c>
      <c r="C1" s="50"/>
      <c r="D1" s="1" t="s">
        <v>103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1" t="s">
        <v>102</v>
      </c>
      <c r="B2" s="22"/>
      <c r="C2" s="22"/>
      <c r="D2" s="68" t="s">
        <v>128</v>
      </c>
      <c r="E2" s="7" t="s">
        <v>0</v>
      </c>
      <c r="F2" s="52" t="str">
        <f>IF(LogicCommon!C2="","",LogicCommon!C2)</f>
        <v>MS</v>
      </c>
      <c r="G2" s="7" t="s">
        <v>1</v>
      </c>
      <c r="H2" s="52" t="str">
        <f>IF(LogicCommon!E2="","",LogicCommon!E2)</f>
        <v>MSBGL5030</v>
      </c>
      <c r="I2" s="7" t="s">
        <v>104</v>
      </c>
      <c r="J2" s="8" t="s">
        <v>47</v>
      </c>
      <c r="K2" s="7" t="s">
        <v>76</v>
      </c>
      <c r="L2" s="52" t="str">
        <f>IF(LogicCommon!G2="","",LogicCommon!G2)</f>
        <v>MC</v>
      </c>
      <c r="M2" s="5" t="s">
        <v>20</v>
      </c>
      <c r="N2" s="23" t="s">
        <v>122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102</v>
      </c>
      <c r="B3" s="54"/>
      <c r="C3" s="54"/>
      <c r="D3" s="55" t="str">
        <f>IF(LogicCommon!A3="","",LogicCommon!A3)</f>
        <v/>
      </c>
      <c r="E3" s="7" t="s">
        <v>2</v>
      </c>
      <c r="F3" s="52" t="str">
        <f>IF(LogicCommon!C3="","",LogicCommon!C3)</f>
        <v>MSBG</v>
      </c>
      <c r="G3" s="7" t="s">
        <v>3</v>
      </c>
      <c r="H3" s="52" t="str">
        <f>IF(LogicCommon!E3="","",LogicCommon!E3)</f>
        <v>MSBGL_BillClService</v>
      </c>
      <c r="I3" s="7" t="s">
        <v>105</v>
      </c>
      <c r="J3" s="8" t="s">
        <v>58</v>
      </c>
      <c r="K3" s="7" t="s">
        <v>78</v>
      </c>
      <c r="L3" s="52" t="str">
        <f>IF(LogicCommon!G3="","",LogicCommon!G3)</f>
        <v/>
      </c>
      <c r="M3" s="56"/>
      <c r="N3" s="7"/>
      <c r="O3" s="7" t="s">
        <v>106</v>
      </c>
      <c r="P3" s="8" t="s">
        <v>99</v>
      </c>
      <c r="Q3" s="4"/>
      <c r="R3" s="5"/>
      <c r="S3" s="5"/>
      <c r="T3" s="5"/>
      <c r="U3" s="5"/>
    </row>
    <row r="4" spans="1:21" s="10" customFormat="1">
      <c r="A4" s="53" t="s">
        <v>102</v>
      </c>
      <c r="B4" s="54"/>
      <c r="C4" s="54"/>
      <c r="D4" s="4"/>
      <c r="E4" s="7" t="s">
        <v>21</v>
      </c>
      <c r="F4" s="57" t="s">
        <v>107</v>
      </c>
      <c r="G4" s="7" t="s">
        <v>4</v>
      </c>
      <c r="H4" s="52" t="str">
        <f>IF(LogicCommon!E4="","",LogicCommon!E4)</f>
        <v>請求締サービス</v>
      </c>
      <c r="I4" s="7" t="s">
        <v>81</v>
      </c>
      <c r="J4" s="8" t="s">
        <v>48</v>
      </c>
      <c r="K4" s="7" t="s">
        <v>5</v>
      </c>
      <c r="L4" s="52" t="str">
        <f>IF(LogicCommon!G4="","",LogicCommon!G4)</f>
        <v>MS.MSUDL5010</v>
      </c>
      <c r="M4" s="58" t="s">
        <v>108</v>
      </c>
      <c r="N4" s="23"/>
      <c r="O4" s="59"/>
      <c r="P4" s="4"/>
      <c r="Q4" s="4"/>
      <c r="R4" s="5"/>
      <c r="S4" s="5"/>
      <c r="T4" s="5"/>
      <c r="U4" s="5"/>
    </row>
    <row r="5" spans="1:21" s="10" customFormat="1">
      <c r="A5" s="60" t="s">
        <v>102</v>
      </c>
      <c r="B5" s="50"/>
      <c r="C5" s="50"/>
      <c r="D5" s="21"/>
      <c r="E5" s="7" t="s">
        <v>109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>
      <c r="A6" s="53" t="s">
        <v>102</v>
      </c>
      <c r="B6" s="54"/>
      <c r="C6" s="54"/>
      <c r="D6" s="4" t="s">
        <v>9</v>
      </c>
      <c r="E6" s="12" t="s">
        <v>59</v>
      </c>
      <c r="F6" s="12"/>
      <c r="G6" s="12"/>
      <c r="H6" s="12"/>
      <c r="I6" s="12"/>
      <c r="J6" s="12"/>
      <c r="K6" s="12"/>
      <c r="L6" s="62"/>
      <c r="M6" s="15" t="s">
        <v>101</v>
      </c>
      <c r="N6" s="15"/>
      <c r="O6" s="15" t="s">
        <v>101</v>
      </c>
      <c r="P6" s="15"/>
      <c r="Q6" s="15" t="s">
        <v>101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46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69"/>
      <c r="C8" s="70"/>
      <c r="D8" s="24" t="s">
        <v>129</v>
      </c>
      <c r="E8" s="24" t="s">
        <v>130</v>
      </c>
      <c r="F8" s="62"/>
      <c r="G8" s="24" t="s">
        <v>88</v>
      </c>
      <c r="H8" s="24" t="s">
        <v>131</v>
      </c>
      <c r="I8" s="62"/>
      <c r="J8" s="3"/>
      <c r="K8" s="8"/>
      <c r="L8" s="24" t="s">
        <v>27</v>
      </c>
      <c r="M8" s="25"/>
      <c r="N8" s="24" t="s">
        <v>79</v>
      </c>
      <c r="O8" s="25"/>
      <c r="P8" s="24" t="s">
        <v>79</v>
      </c>
      <c r="Q8" s="25"/>
      <c r="R8" s="3"/>
      <c r="S8" s="21"/>
      <c r="T8" s="129" t="s">
        <v>132</v>
      </c>
      <c r="U8" s="130"/>
    </row>
    <row r="9" spans="1:21" s="10" customFormat="1" ht="60" customHeight="1">
      <c r="A9" s="8" t="s">
        <v>22</v>
      </c>
      <c r="B9" s="28"/>
      <c r="C9" s="29"/>
      <c r="D9" s="24" t="s">
        <v>133</v>
      </c>
      <c r="E9" s="71" t="s">
        <v>134</v>
      </c>
      <c r="F9" s="24" t="s">
        <v>135</v>
      </c>
      <c r="G9" s="24" t="s">
        <v>136</v>
      </c>
      <c r="H9" s="24" t="s">
        <v>137</v>
      </c>
      <c r="I9" s="72" t="s">
        <v>138</v>
      </c>
      <c r="J9" s="24" t="s">
        <v>139</v>
      </c>
      <c r="K9" s="68"/>
      <c r="L9" s="72"/>
      <c r="M9" s="24"/>
      <c r="N9" s="24"/>
      <c r="O9" s="24"/>
      <c r="P9" s="24"/>
      <c r="Q9" s="24"/>
      <c r="R9" s="129" t="s">
        <v>140</v>
      </c>
      <c r="S9" s="130"/>
      <c r="T9" s="129" t="s">
        <v>141</v>
      </c>
      <c r="U9" s="130"/>
    </row>
    <row r="10" spans="1:21" s="10" customFormat="1" ht="39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138</v>
      </c>
      <c r="M10" s="24" t="s">
        <v>139</v>
      </c>
      <c r="N10" s="24" t="s">
        <v>138</v>
      </c>
      <c r="O10" s="24" t="s">
        <v>139</v>
      </c>
      <c r="P10" s="24" t="s">
        <v>138</v>
      </c>
      <c r="Q10" s="24" t="s">
        <v>139</v>
      </c>
      <c r="R10" s="30"/>
      <c r="S10" s="30"/>
      <c r="T10" s="35"/>
      <c r="U10" s="49"/>
    </row>
    <row r="11" spans="1:21" s="10" customFormat="1">
      <c r="A11" s="8">
        <v>10</v>
      </c>
      <c r="B11" s="28" t="s">
        <v>30</v>
      </c>
      <c r="C11" s="29"/>
      <c r="D11" s="23" t="s">
        <v>49</v>
      </c>
      <c r="E11" s="26" t="s">
        <v>63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38</v>
      </c>
      <c r="E12" s="25" t="s">
        <v>89</v>
      </c>
      <c r="F12" s="25"/>
      <c r="G12" s="38" t="s">
        <v>143</v>
      </c>
      <c r="H12" s="38" t="s">
        <v>112</v>
      </c>
      <c r="I12" s="8" t="s">
        <v>111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50</v>
      </c>
      <c r="E13" s="25" t="s">
        <v>80</v>
      </c>
      <c r="F13" s="25"/>
      <c r="G13" s="38" t="s">
        <v>153</v>
      </c>
      <c r="H13" s="38" t="s">
        <v>96</v>
      </c>
      <c r="I13" s="8" t="s">
        <v>111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97</v>
      </c>
      <c r="E14" s="25" t="s">
        <v>80</v>
      </c>
      <c r="F14" s="25"/>
      <c r="G14" s="38" t="s">
        <v>142</v>
      </c>
      <c r="H14" s="38" t="s">
        <v>110</v>
      </c>
      <c r="I14" s="8" t="s">
        <v>111</v>
      </c>
      <c r="J14" s="8"/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53"/>
      <c r="U15" s="39"/>
    </row>
    <row r="16" spans="1:21" s="10" customFormat="1">
      <c r="A16" s="8">
        <v>20</v>
      </c>
      <c r="B16" s="28" t="s">
        <v>30</v>
      </c>
      <c r="C16" s="29"/>
      <c r="D16" s="23" t="s">
        <v>51</v>
      </c>
      <c r="E16" s="26" t="s">
        <v>63</v>
      </c>
      <c r="F16" s="41"/>
      <c r="G16" s="23"/>
      <c r="H16" s="27"/>
      <c r="I16" s="42"/>
      <c r="J16" s="43"/>
      <c r="K16" s="43"/>
      <c r="L16" s="26"/>
      <c r="M16" s="26"/>
      <c r="N16" s="26"/>
      <c r="O16" s="26"/>
      <c r="P16" s="26"/>
      <c r="Q16" s="26"/>
      <c r="R16" s="37"/>
      <c r="S16" s="36"/>
      <c r="T16" s="131"/>
      <c r="U16" s="132"/>
    </row>
    <row r="17" spans="1:21" s="10" customFormat="1">
      <c r="A17" s="8">
        <v>20</v>
      </c>
      <c r="B17" s="8"/>
      <c r="C17" s="8"/>
      <c r="D17" s="8" t="s">
        <v>75</v>
      </c>
      <c r="E17" s="25" t="s">
        <v>98</v>
      </c>
      <c r="F17" s="25"/>
      <c r="G17" s="38" t="s">
        <v>154</v>
      </c>
      <c r="H17" s="38" t="s">
        <v>118</v>
      </c>
      <c r="I17" s="8"/>
      <c r="J17" s="8" t="s">
        <v>86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ht="26">
      <c r="A18" s="8">
        <v>20</v>
      </c>
      <c r="B18" s="8"/>
      <c r="C18" s="8"/>
      <c r="D18" s="8" t="s">
        <v>65</v>
      </c>
      <c r="E18" s="25" t="s">
        <v>98</v>
      </c>
      <c r="F18" s="25"/>
      <c r="G18" s="38" t="s">
        <v>155</v>
      </c>
      <c r="H18" s="38" t="s">
        <v>119</v>
      </c>
      <c r="I18" s="8"/>
      <c r="J18" s="8" t="s">
        <v>86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20</v>
      </c>
      <c r="B19" s="8"/>
      <c r="C19" s="8"/>
      <c r="D19" s="8" t="s">
        <v>64</v>
      </c>
      <c r="E19" s="25" t="s">
        <v>98</v>
      </c>
      <c r="F19" s="25"/>
      <c r="G19" s="38" t="s">
        <v>156</v>
      </c>
      <c r="H19" s="38" t="s">
        <v>120</v>
      </c>
      <c r="I19" s="8"/>
      <c r="J19" s="8" t="s">
        <v>86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53"/>
      <c r="U20" s="39"/>
    </row>
    <row r="21" spans="1:21" s="10" customFormat="1">
      <c r="A21" s="53"/>
      <c r="U21" s="39"/>
    </row>
    <row r="22" spans="1:21" s="10" customFormat="1">
      <c r="A22" s="53"/>
      <c r="U22" s="39"/>
    </row>
    <row r="23" spans="1:21" s="10" customFormat="1">
      <c r="A23" s="53"/>
      <c r="U23" s="39"/>
    </row>
    <row r="24" spans="1:21" s="10" customFormat="1">
      <c r="A24" s="53"/>
      <c r="U24" s="39"/>
    </row>
    <row r="25" spans="1:21" s="10" customFormat="1">
      <c r="A25" s="53"/>
      <c r="U25" s="39"/>
    </row>
    <row r="26" spans="1:21" s="10" customFormat="1">
      <c r="A26" s="53"/>
      <c r="U26" s="39"/>
    </row>
    <row r="27" spans="1:21" s="10" customFormat="1">
      <c r="A27" s="60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0"/>
    </row>
  </sheetData>
  <mergeCells count="17">
    <mergeCell ref="R19:S19"/>
    <mergeCell ref="T19:U19"/>
    <mergeCell ref="R12:S12"/>
    <mergeCell ref="T12:U12"/>
    <mergeCell ref="R13:S13"/>
    <mergeCell ref="T13:U13"/>
    <mergeCell ref="T16:U16"/>
    <mergeCell ref="R17:S17"/>
    <mergeCell ref="T17:U17"/>
    <mergeCell ref="T8:U8"/>
    <mergeCell ref="R9:S9"/>
    <mergeCell ref="T9:U9"/>
    <mergeCell ref="T11:U11"/>
    <mergeCell ref="R18:S18"/>
    <mergeCell ref="T18:U18"/>
    <mergeCell ref="R14:S14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0" t="s">
        <v>102</v>
      </c>
      <c r="B1" s="50" t="s">
        <v>102</v>
      </c>
      <c r="C1" s="50"/>
      <c r="D1" s="1" t="s">
        <v>103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1" t="s">
        <v>102</v>
      </c>
      <c r="B2" s="22"/>
      <c r="C2" s="22"/>
      <c r="D2" s="68" t="s">
        <v>128</v>
      </c>
      <c r="E2" s="7" t="s">
        <v>0</v>
      </c>
      <c r="F2" s="52" t="str">
        <f>IF(LogicCommon!C2="","",LogicCommon!C2)</f>
        <v>MS</v>
      </c>
      <c r="G2" s="7" t="s">
        <v>1</v>
      </c>
      <c r="H2" s="52" t="str">
        <f>IF(LogicCommon!E2="","",LogicCommon!E2)</f>
        <v>MSBGL5030</v>
      </c>
      <c r="I2" s="7" t="s">
        <v>104</v>
      </c>
      <c r="J2" s="8" t="s">
        <v>53</v>
      </c>
      <c r="K2" s="7" t="s">
        <v>76</v>
      </c>
      <c r="L2" s="52" t="str">
        <f>IF(LogicCommon!G2="","",LogicCommon!G2)</f>
        <v>MC</v>
      </c>
      <c r="M2" s="5" t="s">
        <v>20</v>
      </c>
      <c r="N2" s="23" t="s">
        <v>122</v>
      </c>
      <c r="O2" s="7"/>
      <c r="P2" s="7"/>
      <c r="Q2" s="4"/>
      <c r="R2" s="5"/>
      <c r="S2" s="5"/>
      <c r="T2" s="5"/>
      <c r="U2" s="5"/>
    </row>
    <row r="3" spans="1:21" s="10" customFormat="1">
      <c r="A3" s="53" t="s">
        <v>102</v>
      </c>
      <c r="B3" s="54"/>
      <c r="C3" s="54"/>
      <c r="D3" s="55" t="str">
        <f>IF(LogicCommon!A3="","",LogicCommon!A3)</f>
        <v/>
      </c>
      <c r="E3" s="7" t="s">
        <v>2</v>
      </c>
      <c r="F3" s="52" t="str">
        <f>IF(LogicCommon!C3="","",LogicCommon!C3)</f>
        <v>MSBG</v>
      </c>
      <c r="G3" s="7" t="s">
        <v>3</v>
      </c>
      <c r="H3" s="52" t="str">
        <f>IF(LogicCommon!E3="","",LogicCommon!E3)</f>
        <v>MSBGL_BillClService</v>
      </c>
      <c r="I3" s="7" t="s">
        <v>105</v>
      </c>
      <c r="J3" s="8" t="s">
        <v>58</v>
      </c>
      <c r="K3" s="7" t="s">
        <v>78</v>
      </c>
      <c r="L3" s="52" t="str">
        <f>IF(LogicCommon!G3="","",LogicCommon!G3)</f>
        <v/>
      </c>
      <c r="M3" s="56"/>
      <c r="N3" s="7"/>
      <c r="O3" s="7" t="s">
        <v>106</v>
      </c>
      <c r="P3" s="8" t="s">
        <v>99</v>
      </c>
      <c r="Q3" s="4"/>
      <c r="R3" s="5"/>
      <c r="S3" s="5"/>
      <c r="T3" s="5"/>
      <c r="U3" s="5"/>
    </row>
    <row r="4" spans="1:21" s="10" customFormat="1">
      <c r="A4" s="53" t="s">
        <v>102</v>
      </c>
      <c r="B4" s="54"/>
      <c r="C4" s="54"/>
      <c r="D4" s="4"/>
      <c r="E4" s="7" t="s">
        <v>21</v>
      </c>
      <c r="F4" s="57" t="s">
        <v>107</v>
      </c>
      <c r="G4" s="7" t="s">
        <v>4</v>
      </c>
      <c r="H4" s="52" t="str">
        <f>IF(LogicCommon!E4="","",LogicCommon!E4)</f>
        <v>請求締サービス</v>
      </c>
      <c r="I4" s="7" t="s">
        <v>81</v>
      </c>
      <c r="J4" s="8" t="s">
        <v>54</v>
      </c>
      <c r="K4" s="7" t="s">
        <v>5</v>
      </c>
      <c r="L4" s="52" t="str">
        <f>IF(LogicCommon!G4="","",LogicCommon!G4)</f>
        <v>MS.MSUDL5010</v>
      </c>
      <c r="M4" s="58" t="s">
        <v>108</v>
      </c>
      <c r="N4" s="23"/>
      <c r="O4" s="59"/>
      <c r="P4" s="4"/>
      <c r="Q4" s="4"/>
      <c r="R4" s="5"/>
      <c r="S4" s="5"/>
      <c r="T4" s="5"/>
      <c r="U4" s="5"/>
    </row>
    <row r="5" spans="1:21" s="10" customFormat="1">
      <c r="A5" s="60" t="s">
        <v>102</v>
      </c>
      <c r="B5" s="50"/>
      <c r="C5" s="50"/>
      <c r="D5" s="21"/>
      <c r="E5" s="7" t="s">
        <v>109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>
      <c r="A6" s="53" t="s">
        <v>102</v>
      </c>
      <c r="B6" s="54"/>
      <c r="C6" s="54"/>
      <c r="D6" s="4" t="s">
        <v>9</v>
      </c>
      <c r="E6" s="12" t="s">
        <v>62</v>
      </c>
      <c r="F6" s="12"/>
      <c r="G6" s="12"/>
      <c r="H6" s="12"/>
      <c r="I6" s="12"/>
      <c r="J6" s="12"/>
      <c r="K6" s="12"/>
      <c r="L6" s="62"/>
      <c r="M6" s="15" t="s">
        <v>101</v>
      </c>
      <c r="N6" s="15"/>
      <c r="O6" s="15" t="s">
        <v>101</v>
      </c>
      <c r="P6" s="15"/>
      <c r="Q6" s="15" t="s">
        <v>101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52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69"/>
      <c r="C8" s="70"/>
      <c r="D8" s="24" t="s">
        <v>129</v>
      </c>
      <c r="E8" s="24" t="s">
        <v>130</v>
      </c>
      <c r="F8" s="62"/>
      <c r="G8" s="24" t="s">
        <v>88</v>
      </c>
      <c r="H8" s="24" t="s">
        <v>131</v>
      </c>
      <c r="I8" s="62"/>
      <c r="J8" s="3"/>
      <c r="K8" s="8"/>
      <c r="L8" s="24" t="s">
        <v>27</v>
      </c>
      <c r="M8" s="25"/>
      <c r="N8" s="24" t="s">
        <v>79</v>
      </c>
      <c r="O8" s="25"/>
      <c r="P8" s="24" t="s">
        <v>79</v>
      </c>
      <c r="Q8" s="25"/>
      <c r="R8" s="3"/>
      <c r="S8" s="21"/>
      <c r="T8" s="129" t="s">
        <v>132</v>
      </c>
      <c r="U8" s="130"/>
    </row>
    <row r="9" spans="1:21" s="10" customFormat="1" ht="60" customHeight="1">
      <c r="A9" s="8" t="s">
        <v>22</v>
      </c>
      <c r="B9" s="28"/>
      <c r="C9" s="29"/>
      <c r="D9" s="24" t="s">
        <v>133</v>
      </c>
      <c r="E9" s="71" t="s">
        <v>134</v>
      </c>
      <c r="F9" s="24" t="s">
        <v>135</v>
      </c>
      <c r="G9" s="24" t="s">
        <v>136</v>
      </c>
      <c r="H9" s="24" t="s">
        <v>137</v>
      </c>
      <c r="I9" s="72" t="s">
        <v>138</v>
      </c>
      <c r="J9" s="24" t="s">
        <v>139</v>
      </c>
      <c r="K9" s="68"/>
      <c r="L9" s="72"/>
      <c r="M9" s="24"/>
      <c r="N9" s="24"/>
      <c r="O9" s="24"/>
      <c r="P9" s="24"/>
      <c r="Q9" s="24"/>
      <c r="R9" s="129" t="s">
        <v>140</v>
      </c>
      <c r="S9" s="130"/>
      <c r="T9" s="129" t="s">
        <v>141</v>
      </c>
      <c r="U9" s="130"/>
    </row>
    <row r="10" spans="1:21" s="10" customFormat="1" ht="39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138</v>
      </c>
      <c r="M10" s="24" t="s">
        <v>139</v>
      </c>
      <c r="N10" s="24" t="s">
        <v>138</v>
      </c>
      <c r="O10" s="24" t="s">
        <v>139</v>
      </c>
      <c r="P10" s="24" t="s">
        <v>138</v>
      </c>
      <c r="Q10" s="24" t="s">
        <v>139</v>
      </c>
      <c r="R10" s="30"/>
      <c r="S10" s="30"/>
      <c r="T10" s="35"/>
      <c r="U10" s="49"/>
    </row>
    <row r="11" spans="1:21" s="10" customFormat="1">
      <c r="A11" s="8">
        <v>10</v>
      </c>
      <c r="B11" s="28" t="s">
        <v>30</v>
      </c>
      <c r="C11" s="29"/>
      <c r="D11" s="23" t="s">
        <v>55</v>
      </c>
      <c r="E11" s="26" t="s">
        <v>63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44</v>
      </c>
      <c r="E12" s="25" t="s">
        <v>100</v>
      </c>
      <c r="F12" s="25"/>
      <c r="G12" s="38" t="s">
        <v>148</v>
      </c>
      <c r="H12" s="38" t="s">
        <v>87</v>
      </c>
      <c r="I12" s="8" t="s">
        <v>111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53"/>
      <c r="U13" s="39"/>
    </row>
    <row r="14" spans="1:21" s="10" customFormat="1">
      <c r="A14" s="53"/>
      <c r="U14" s="39"/>
    </row>
    <row r="15" spans="1:21" s="10" customFormat="1">
      <c r="A15" s="53"/>
      <c r="U15" s="39"/>
    </row>
    <row r="16" spans="1:21" s="10" customFormat="1">
      <c r="A16" s="53"/>
      <c r="U16" s="39"/>
    </row>
    <row r="17" spans="1:21" s="10" customFormat="1">
      <c r="A17" s="53"/>
      <c r="U17" s="39"/>
    </row>
    <row r="18" spans="1:21" s="10" customFormat="1">
      <c r="A18" s="53"/>
      <c r="U18" s="39"/>
    </row>
    <row r="19" spans="1:21" s="10" customFormat="1">
      <c r="A19" s="53"/>
      <c r="U19" s="39"/>
    </row>
    <row r="20" spans="1:21" s="10" customFormat="1">
      <c r="A20" s="53"/>
      <c r="U20" s="39"/>
    </row>
    <row r="21" spans="1:21" s="10" customFormat="1">
      <c r="A21" s="53"/>
      <c r="U21" s="39"/>
    </row>
    <row r="22" spans="1:21" s="10" customFormat="1">
      <c r="A22" s="53"/>
      <c r="U22" s="39"/>
    </row>
    <row r="23" spans="1:21" s="10" customFormat="1">
      <c r="A23" s="53"/>
      <c r="U23" s="39"/>
    </row>
    <row r="24" spans="1:21" s="10" customFormat="1">
      <c r="A24" s="53"/>
      <c r="U24" s="39"/>
    </row>
    <row r="25" spans="1:21" s="10" customFormat="1">
      <c r="A25" s="53"/>
      <c r="U25" s="39"/>
    </row>
    <row r="26" spans="1:21" s="10" customFormat="1">
      <c r="A26" s="60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0"/>
    </row>
  </sheetData>
  <mergeCells count="6">
    <mergeCell ref="R12:S12"/>
    <mergeCell ref="T12:U12"/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107" t="s">
        <v>10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9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110" t="s">
        <v>11</v>
      </c>
      <c r="B3" s="111"/>
      <c r="C3" s="111"/>
      <c r="D3" s="111"/>
      <c r="E3" s="111"/>
      <c r="F3" s="111"/>
      <c r="G3" s="112"/>
      <c r="H3" s="113" t="s">
        <v>12</v>
      </c>
      <c r="I3" s="111"/>
      <c r="J3" s="111"/>
      <c r="K3" s="111"/>
      <c r="L3" s="111"/>
      <c r="M3" s="111"/>
      <c r="N3" s="112"/>
      <c r="O3" s="113" t="s">
        <v>13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6" t="s">
        <v>14</v>
      </c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8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22"/>
      <c r="I4" s="123"/>
      <c r="J4" s="123"/>
      <c r="K4" s="123"/>
      <c r="L4" s="123"/>
      <c r="M4" s="123"/>
      <c r="N4" s="124"/>
      <c r="O4" s="122" t="s">
        <v>15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39.5" customHeight="1">
      <c r="A5" s="84">
        <v>1.1000000000000001</v>
      </c>
      <c r="B5" s="85"/>
      <c r="C5" s="85"/>
      <c r="D5" s="85"/>
      <c r="E5" s="85"/>
      <c r="F5" s="85"/>
      <c r="G5" s="86"/>
      <c r="H5" s="87" t="s">
        <v>127</v>
      </c>
      <c r="I5" s="88"/>
      <c r="J5" s="88"/>
      <c r="K5" s="88"/>
      <c r="L5" s="88"/>
      <c r="M5" s="88"/>
      <c r="N5" s="89"/>
      <c r="O5" s="87" t="s">
        <v>123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124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3"/>
    </row>
    <row r="6" spans="1:57" ht="15" customHeight="1">
      <c r="A6" s="84">
        <v>1.2000000000000002</v>
      </c>
      <c r="B6" s="85"/>
      <c r="C6" s="85"/>
      <c r="D6" s="85"/>
      <c r="E6" s="85"/>
      <c r="F6" s="85"/>
      <c r="G6" s="86"/>
      <c r="H6" s="94"/>
      <c r="I6" s="95"/>
      <c r="J6" s="95"/>
      <c r="K6" s="95"/>
      <c r="L6" s="95"/>
      <c r="M6" s="95"/>
      <c r="N6" s="96"/>
      <c r="O6" s="101" t="s">
        <v>157</v>
      </c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 t="s">
        <v>158</v>
      </c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6"/>
    </row>
    <row r="7" spans="1:57" ht="15" customHeight="1">
      <c r="A7" s="84"/>
      <c r="B7" s="85"/>
      <c r="C7" s="85"/>
      <c r="D7" s="85"/>
      <c r="E7" s="85"/>
      <c r="F7" s="85"/>
      <c r="G7" s="86"/>
      <c r="H7" s="94"/>
      <c r="I7" s="95"/>
      <c r="J7" s="95"/>
      <c r="K7" s="95"/>
      <c r="L7" s="95"/>
      <c r="M7" s="95"/>
      <c r="N7" s="96"/>
      <c r="O7" s="8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2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BillCl_Upd01</vt:lpstr>
      <vt:lpstr>BillCl_Upd02</vt:lpstr>
      <vt:lpstr>BillCl_Upd03</vt:lpstr>
      <vt:lpstr>BillCl_Del01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2026-03-27T06:00:07Z</dcterms:modified>
  <cp:category/>
</cp:coreProperties>
</file>