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8D308CA3-3717-4EE1-B513-60DB5F339152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XrateRev_Ins01" sheetId="5" r:id="rId2"/>
    <sheet name="XrateRev_Del01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<sst xmlns="http://schemas.openxmlformats.org/spreadsheetml/2006/main" count="184" uniqueCount="88">
  <si>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</si>
  <si>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</si>
  <si>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</si>
  <si>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</si>
  <si>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</si>
  <si>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</si>
  <si>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</si>
  <si>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</si>
  <si>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</si>
  <si>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</si>
  <si>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</si>
  <si>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</si>
  <si>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</si>
  <si>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</si>
  <si>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</si>
  <si>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</si>
  <si>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</si>
  <si>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MSBG</t>
  </si>
  <si>
    <t>MSBGL5170</t>
  </si>
  <si>
    <t>*</t>
    <phoneticPr fontId="1"/>
  </si>
  <si>
    <t>Ope.ID :</t>
    <phoneticPr fontId="1"/>
  </si>
  <si>
    <t>Version :</t>
  </si>
  <si>
    <t>000000</t>
    <phoneticPr fontId="1"/>
  </si>
  <si>
    <t>ACType :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</si>
  <si>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</si>
  <si>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</si>
  <si>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</si>
  <si>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</si>
  <si>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</si>
  <si>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</si>
  <si>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</si>
  <si>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評価替</t>
  </si>
  <si>
    <t>XrateRev_Ins01_Cnd</t>
  </si>
  <si>
    <t>tgt_ym</t>
  </si>
  <si>
    <t>xrate_cd</t>
  </si>
  <si>
    <t>#</t>
    <phoneticPr fontId="1"/>
  </si>
  <si>
    <t>U</t>
    <phoneticPr fontId="1"/>
  </si>
  <si>
    <t>K</t>
    <phoneticPr fontId="1"/>
  </si>
  <si>
    <t>o</t>
    <phoneticPr fontId="1"/>
  </si>
  <si>
    <t>評価替取消</t>
  </si>
  <si>
    <t>XrateRev_Del01_Cnd</t>
  </si>
  <si>
    <t>R</t>
    <phoneticPr fontId="2"/>
  </si>
  <si>
    <t>XrateRev_Ins01</t>
    <phoneticPr fontId="2"/>
  </si>
  <si>
    <t>XrateRev_Ins01</t>
    <phoneticPr fontId="2"/>
  </si>
  <si>
    <t>為替レート評価替サービス</t>
    <rPh sb="0" eb="2">
      <t>カワセ</t>
    </rPh>
    <rPh sb="5" eb="7">
      <t>ヒョウカ</t>
    </rPh>
    <rPh sb="7" eb="8">
      <t>ガ</t>
    </rPh>
    <phoneticPr fontId="2"/>
  </si>
  <si>
    <t>月次売掛残高毎に為替レート評価替を行う</t>
    <rPh sb="0" eb="2">
      <t>ゲツジ</t>
    </rPh>
    <rPh sb="2" eb="4">
      <t>ウリカケ</t>
    </rPh>
    <rPh sb="4" eb="6">
      <t>ザンダカ</t>
    </rPh>
    <rPh sb="6" eb="7">
      <t>ゴト</t>
    </rPh>
    <rPh sb="8" eb="10">
      <t>カワセ</t>
    </rPh>
    <rPh sb="13" eb="15">
      <t>ヒョウカ</t>
    </rPh>
    <rPh sb="15" eb="16">
      <t>ガ</t>
    </rPh>
    <rPh sb="17" eb="18">
      <t>オコナ</t>
    </rPh>
    <phoneticPr fontId="2"/>
  </si>
  <si>
    <t>為替レート評価替の結果を為替レート評価替履歴、為替差損益に登録する</t>
    <rPh sb="0" eb="2">
      <t>カワセ</t>
    </rPh>
    <rPh sb="5" eb="7">
      <t>ヒョウカ</t>
    </rPh>
    <rPh sb="7" eb="8">
      <t>ガ</t>
    </rPh>
    <rPh sb="9" eb="11">
      <t>ケッカ</t>
    </rPh>
    <rPh sb="12" eb="14">
      <t>カワセ</t>
    </rPh>
    <rPh sb="17" eb="19">
      <t>ヒョウカ</t>
    </rPh>
    <rPh sb="19" eb="20">
      <t>ガ</t>
    </rPh>
    <rPh sb="20" eb="22">
      <t>リレキ</t>
    </rPh>
    <rPh sb="23" eb="25">
      <t>カワセ</t>
    </rPh>
    <rPh sb="25" eb="26">
      <t>サ</t>
    </rPh>
    <rPh sb="26" eb="28">
      <t>ソンエキ</t>
    </rPh>
    <rPh sb="29" eb="31">
      <t>トウロク</t>
    </rPh>
    <phoneticPr fontId="2"/>
  </si>
  <si>
    <t>為替レート評価替の取消処理を実行する</t>
    <rPh sb="0" eb="2">
      <t>カワセ</t>
    </rPh>
    <rPh sb="5" eb="7">
      <t>ヒョウカ</t>
    </rPh>
    <rPh sb="7" eb="8">
      <t>ガ</t>
    </rPh>
    <rPh sb="9" eb="11">
      <t>トリケシ</t>
    </rPh>
    <rPh sb="11" eb="13">
      <t>ショリ</t>
    </rPh>
    <rPh sb="14" eb="16">
      <t>ジッコウ</t>
    </rPh>
    <phoneticPr fontId="2"/>
  </si>
  <si>
    <t>XrateRev_Del01</t>
    <phoneticPr fontId="2"/>
  </si>
  <si>
    <t>XrateRev_Del01</t>
    <phoneticPr fontId="2"/>
  </si>
  <si>
    <t>Pj.ID :</t>
    <phoneticPr fontId="1"/>
  </si>
  <si>
    <t>MSBGL_XrateRevService</t>
    <phoneticPr fontId="2"/>
  </si>
  <si>
    <t>SuperClassPj.ID :</t>
    <phoneticPr fontId="1"/>
  </si>
  <si>
    <t xml:space="preserve">Ope.Body : </t>
    <phoneticPr fontId="1"/>
  </si>
  <si>
    <t xml:space="preserve">Ope.Name : </t>
    <phoneticPr fontId="1"/>
  </si>
  <si>
    <t>TargetName</t>
    <phoneticPr fontId="1"/>
  </si>
  <si>
    <t>#MA.YM</t>
    <phoneticPr fontId="2"/>
  </si>
  <si>
    <t>#MA.XRATE_CD</t>
    <phoneticPr fontId="2"/>
  </si>
  <si>
    <t>ID</t>
    <phoneticPr fontId="1"/>
  </si>
  <si>
    <t>L</t>
    <phoneticPr fontId="1"/>
  </si>
  <si>
    <t>Ope.Method :</t>
    <phoneticPr fontId="1"/>
  </si>
  <si>
    <t>Gene.Type :</t>
    <phoneticPr fontId="1"/>
  </si>
  <si>
    <t>ALL</t>
    <phoneticPr fontId="1"/>
  </si>
  <si>
    <t>ImplOpe.ID:</t>
    <phoneticPr fontId="1"/>
  </si>
  <si>
    <t>対象年月</t>
    <phoneticPr fontId="2"/>
  </si>
  <si>
    <t>E</t>
    <phoneticPr fontId="1"/>
  </si>
  <si>
    <t>為替レートＣＤ</t>
    <phoneticPr fontId="2"/>
  </si>
  <si>
    <t>super/share</t>
    <phoneticPr fontId="1"/>
  </si>
  <si>
    <t>MS.MSUDL5010</t>
    <phoneticPr fontId="2"/>
  </si>
  <si>
    <t>"mcframe.serverMAUD.MAUDL5010.MAUDL_Operation"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</si>
  <si>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</si>
  <si>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</si>
  <si>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</si>
  <si>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</si>
  <si>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</si>
  <si>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</si>
  <si>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</si>
  <si>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</si>
  <si>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</si>
  <si>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</si>
  <si>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</si>
  <si>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</si>
  <si>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</si>
  <si>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</si>
  <si>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Month</t>
  </si>
  <si>
    <t>Exchange rate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</si>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</sst>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4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9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0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9" xfId="0" applyFont="1" applyFill="1" applyBorder="1" applyAlignment="1">
      <alignment wrapText="1"/>
    </xf>
    <xf numFmtId="0" fontId="10" fillId="2" borderId="8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2" xfId="0" applyFont="1" applyBorder="1" applyAlignment="1"/>
    <xf numFmtId="0" fontId="10" fillId="0" borderId="9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9" xfId="0" applyFont="1" applyBorder="1" applyAlignment="1"/>
    <xf numFmtId="0" fontId="10" fillId="2" borderId="3" xfId="0" applyFont="1" applyFill="1" applyBorder="1" applyAlignment="1">
      <alignment vertical="top"/>
    </xf>
    <xf numFmtId="0" fontId="10" fillId="2" borderId="30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31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8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3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32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9" xfId="0" applyFont="1" applyFill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177" fontId="12" fillId="0" borderId="25" xfId="8" applyNumberFormat="1" applyFont="1" applyBorder="1" applyAlignment="1">
      <alignment horizontal="center" vertical="center"/>
    </xf>
    <xf numFmtId="177" fontId="12" fillId="0" borderId="26" xfId="7" applyNumberFormat="1" applyFont="1" applyBorder="1" applyAlignment="1">
      <alignment horizontal="center" vertical="center"/>
    </xf>
    <xf numFmtId="177" fontId="12" fillId="0" borderId="27" xfId="7" applyNumberFormat="1" applyFont="1" applyBorder="1" applyAlignment="1">
      <alignment horizontal="center" vertical="center"/>
    </xf>
    <xf numFmtId="0" fontId="12" fillId="0" borderId="28" xfId="8" applyFont="1" applyBorder="1" applyAlignment="1">
      <alignment horizontal="left" vertical="center" wrapText="1"/>
    </xf>
    <xf numFmtId="0" fontId="12" fillId="0" borderId="26" xfId="7" applyFont="1" applyBorder="1" applyAlignment="1">
      <alignment horizontal="left" vertical="center" wrapText="1"/>
    </xf>
    <xf numFmtId="0" fontId="12" fillId="0" borderId="27" xfId="7" applyFont="1" applyBorder="1" applyAlignment="1">
      <alignment horizontal="left" vertical="center" wrapText="1"/>
    </xf>
    <xf numFmtId="0" fontId="12" fillId="0" borderId="26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28" xfId="8" applyFont="1" applyBorder="1" applyAlignment="1">
      <alignment vertical="center" wrapText="1"/>
    </xf>
    <xf numFmtId="0" fontId="12" fillId="0" borderId="29" xfId="7" applyFont="1" applyBorder="1" applyAlignment="1">
      <alignment vertical="center" wrapText="1"/>
    </xf>
    <xf numFmtId="177" fontId="12" fillId="0" borderId="23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9" xfId="7" applyNumberFormat="1" applyFont="1" applyBorder="1" applyAlignment="1">
      <alignment horizontal="center" vertical="center"/>
    </xf>
    <xf numFmtId="0" fontId="12" fillId="0" borderId="8" xfId="8" applyFont="1" applyBorder="1" applyAlignment="1">
      <alignment horizontal="left"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9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9" xfId="7" applyFont="1" applyBorder="1" applyAlignment="1">
      <alignment vertical="center" wrapText="1"/>
    </xf>
    <xf numFmtId="0" fontId="12" fillId="0" borderId="8" xfId="8" applyFont="1" applyBorder="1" applyAlignment="1">
      <alignment vertical="center" wrapText="1"/>
    </xf>
    <xf numFmtId="0" fontId="12" fillId="0" borderId="24" xfId="7" applyFont="1" applyBorder="1" applyAlignment="1">
      <alignment vertical="center" wrapText="1"/>
    </xf>
    <xf numFmtId="0" fontId="12" fillId="0" borderId="8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9" xfId="7" applyFont="1" applyBorder="1" applyAlignment="1">
      <alignment horizontal="center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9" xfId="8" applyFont="1" applyBorder="1" applyAlignment="1">
      <alignment horizontal="left" vertical="center" wrapText="1"/>
    </xf>
    <xf numFmtId="0" fontId="12" fillId="0" borderId="2" xfId="8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8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9" xfId="7" applyFont="1" applyBorder="1" applyAlignment="1">
      <alignment horizontal="left" vertical="center"/>
    </xf>
    <xf numFmtId="0" fontId="12" fillId="0" borderId="8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4" xfId="7" applyFont="1" applyBorder="1" applyAlignment="1">
      <alignment vertical="center"/>
    </xf>
    <xf numFmtId="0" fontId="11" fillId="3" borderId="11" xfId="6" applyFont="1" applyFill="1" applyBorder="1" applyAlignment="1">
      <alignment horizontal="center" vertical="center"/>
    </xf>
    <xf numFmtId="0" fontId="12" fillId="0" borderId="12" xfId="7" applyFont="1" applyBorder="1" applyAlignment="1">
      <alignment vertical="center"/>
    </xf>
    <xf numFmtId="0" fontId="12" fillId="0" borderId="13" xfId="7" applyFont="1" applyBorder="1" applyAlignment="1">
      <alignment vertical="center"/>
    </xf>
    <xf numFmtId="0" fontId="13" fillId="3" borderId="14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5" xfId="7" applyFont="1" applyBorder="1" applyAlignment="1">
      <alignment horizontal="center" vertical="center"/>
    </xf>
    <xf numFmtId="0" fontId="13" fillId="3" borderId="16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5" xfId="8" applyFont="1" applyFill="1" applyBorder="1" applyAlignment="1">
      <alignment horizontal="center" vertical="center"/>
    </xf>
    <xf numFmtId="0" fontId="13" fillId="3" borderId="16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7" xfId="7" applyFont="1" applyBorder="1" applyAlignment="1">
      <alignment horizontal="center" vertical="center"/>
    </xf>
    <xf numFmtId="177" fontId="12" fillId="0" borderId="18" xfId="8" applyNumberFormat="1" applyFont="1" applyBorder="1" applyAlignment="1">
      <alignment horizontal="center" vertical="center"/>
    </xf>
    <xf numFmtId="177" fontId="12" fillId="0" borderId="19" xfId="7" applyNumberFormat="1" applyFont="1" applyBorder="1" applyAlignment="1">
      <alignment horizontal="center" vertical="center"/>
    </xf>
    <xf numFmtId="177" fontId="12" fillId="0" borderId="20" xfId="7" applyNumberFormat="1" applyFont="1" applyBorder="1" applyAlignment="1">
      <alignment horizontal="center" vertical="center"/>
    </xf>
    <xf numFmtId="0" fontId="12" fillId="0" borderId="21" xfId="8" applyFont="1" applyBorder="1" applyAlignment="1">
      <alignment horizontal="left" vertical="center" wrapText="1"/>
    </xf>
    <xf numFmtId="0" fontId="12" fillId="0" borderId="19" xfId="7" applyFont="1" applyBorder="1" applyAlignment="1">
      <alignment horizontal="left" vertical="center" wrapText="1"/>
    </xf>
    <xf numFmtId="0" fontId="12" fillId="0" borderId="20" xfId="7" applyFont="1" applyBorder="1" applyAlignment="1">
      <alignment horizontal="left" vertical="center" wrapText="1"/>
    </xf>
    <xf numFmtId="0" fontId="12" fillId="0" borderId="19" xfId="7" applyFont="1" applyBorder="1" applyAlignment="1">
      <alignment vertical="center" wrapText="1"/>
    </xf>
    <xf numFmtId="0" fontId="12" fillId="0" borderId="20" xfId="7" applyFont="1" applyBorder="1" applyAlignment="1">
      <alignment vertical="center" wrapText="1"/>
    </xf>
    <xf numFmtId="0" fontId="12" fillId="0" borderId="21" xfId="8" applyFont="1" applyBorder="1" applyAlignment="1">
      <alignment vertical="center" wrapText="1"/>
    </xf>
    <xf numFmtId="0" fontId="12" fillId="0" borderId="22" xfId="7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3" borderId="8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16</v>
      </c>
      <c r="D2" s="7" t="s">
        <v>1</v>
      </c>
      <c r="E2" s="8" t="s">
        <v>18</v>
      </c>
      <c r="F2" s="7" t="s">
        <v>50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17</v>
      </c>
      <c r="D3" s="7" t="s">
        <v>3</v>
      </c>
      <c r="E3" s="8" t="s">
        <v>51</v>
      </c>
      <c r="F3" s="7" t="s">
        <v>52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44</v>
      </c>
      <c r="F4" s="7" t="s">
        <v>5</v>
      </c>
      <c r="G4" s="8" t="s">
        <v>68</v>
      </c>
      <c r="I4" s="5"/>
      <c r="J4" s="4"/>
    </row>
    <row r="5" spans="1:13">
      <c r="A5" s="6" t="s">
        <v>8</v>
      </c>
      <c r="B5" s="12" t="s">
        <v>45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7" t="s">
        <v>19</v>
      </c>
      <c r="B1" s="47" t="s">
        <v>19</v>
      </c>
      <c r="C1" s="47"/>
      <c r="D1" s="1" t="s">
        <v>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8" t="s">
        <v>19</v>
      </c>
      <c r="B2" s="22"/>
      <c r="C2" s="22"/>
      <c r="D2" s="60" t="s">
        <v>70</v>
      </c>
      <c r="E2" s="7" t="s">
        <v>0</v>
      </c>
      <c r="F2" s="49" t="str">
        <f>IF(LogicCommon!C2="","",LogicCommon!C2)</f>
        <v>MS</v>
      </c>
      <c r="G2" s="7" t="s">
        <v>1</v>
      </c>
      <c r="H2" s="49" t="str">
        <f>IF(LogicCommon!E2="","",LogicCommon!E2)</f>
        <v>MSBGL5170</v>
      </c>
      <c r="I2" s="7" t="s">
        <v>20</v>
      </c>
      <c r="J2" s="8" t="s">
        <v>42</v>
      </c>
      <c r="K2" s="7" t="s">
        <v>50</v>
      </c>
      <c r="L2" s="49" t="str">
        <f>IF(LogicCommon!G2="","",LogicCommon!G2)</f>
        <v>MC</v>
      </c>
      <c r="M2" s="5" t="s">
        <v>53</v>
      </c>
      <c r="N2" s="23" t="s">
        <v>69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19</v>
      </c>
      <c r="B3" s="51"/>
      <c r="C3" s="51"/>
      <c r="D3" s="52" t="str">
        <f>IF(LogicCommon!A3="","",LogicCommon!A3)</f>
        <v/>
      </c>
      <c r="E3" s="7" t="s">
        <v>2</v>
      </c>
      <c r="F3" s="49" t="str">
        <f>IF(LogicCommon!C3="","",LogicCommon!C3)</f>
        <v>MSBG</v>
      </c>
      <c r="G3" s="7" t="s">
        <v>3</v>
      </c>
      <c r="H3" s="49" t="str">
        <f>IF(LogicCommon!E3="","",LogicCommon!E3)</f>
        <v>MSBGL_XrateRevService</v>
      </c>
      <c r="I3" s="7" t="s">
        <v>60</v>
      </c>
      <c r="J3" s="8" t="s">
        <v>43</v>
      </c>
      <c r="K3" s="7" t="s">
        <v>52</v>
      </c>
      <c r="L3" s="49" t="str">
        <f>IF(LogicCommon!G3="","",LogicCommon!G3)</f>
        <v/>
      </c>
      <c r="M3" s="53"/>
      <c r="N3" s="7"/>
      <c r="O3" s="7" t="s">
        <v>61</v>
      </c>
      <c r="P3" s="8" t="s">
        <v>62</v>
      </c>
      <c r="Q3" s="4"/>
      <c r="R3" s="5"/>
      <c r="S3" s="5"/>
      <c r="T3" s="5"/>
      <c r="U3" s="5"/>
    </row>
    <row r="4" spans="1:21" s="10" customFormat="1">
      <c r="A4" s="50" t="s">
        <v>19</v>
      </c>
      <c r="B4" s="51"/>
      <c r="C4" s="51"/>
      <c r="D4" s="4"/>
      <c r="E4" s="7" t="s">
        <v>21</v>
      </c>
      <c r="F4" s="54" t="s">
        <v>22</v>
      </c>
      <c r="G4" s="7" t="s">
        <v>4</v>
      </c>
      <c r="H4" s="49" t="str">
        <f>IF(LogicCommon!E4="","",LogicCommon!E4)</f>
        <v>為替レート評価替サービス</v>
      </c>
      <c r="I4" s="7" t="s">
        <v>54</v>
      </c>
      <c r="J4" s="8" t="s">
        <v>31</v>
      </c>
      <c r="K4" s="7" t="s">
        <v>5</v>
      </c>
      <c r="L4" s="49" t="str">
        <f>IF(LogicCommon!G4="","",LogicCommon!G4)</f>
        <v>MS.MSUDL5010</v>
      </c>
      <c r="M4" s="55" t="s">
        <v>63</v>
      </c>
      <c r="N4" s="23"/>
      <c r="O4" s="56"/>
      <c r="P4" s="4"/>
      <c r="Q4" s="4"/>
      <c r="R4" s="5"/>
      <c r="S4" s="5"/>
      <c r="T4" s="5"/>
      <c r="U4" s="5"/>
    </row>
    <row r="5" spans="1:21" s="10" customFormat="1">
      <c r="A5" s="57" t="s">
        <v>19</v>
      </c>
      <c r="B5" s="47"/>
      <c r="C5" s="47"/>
      <c r="D5" s="21"/>
      <c r="E5" s="7" t="s">
        <v>23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19</v>
      </c>
      <c r="B6" s="51"/>
      <c r="C6" s="51"/>
      <c r="D6" s="4" t="s">
        <v>8</v>
      </c>
      <c r="E6" s="12" t="s">
        <v>46</v>
      </c>
      <c r="F6" s="12"/>
      <c r="G6" s="12"/>
      <c r="H6" s="12"/>
      <c r="I6" s="12"/>
      <c r="J6" s="12"/>
      <c r="K6" s="12"/>
      <c r="L6" s="59"/>
      <c r="M6" s="15" t="s">
        <v>58</v>
      </c>
      <c r="N6" s="15"/>
      <c r="O6" s="15" t="s">
        <v>58</v>
      </c>
      <c r="P6" s="15"/>
      <c r="Q6" s="15" t="s">
        <v>58</v>
      </c>
      <c r="R6" s="4"/>
      <c r="S6" s="4"/>
      <c r="T6" s="4"/>
      <c r="U6" s="4"/>
    </row>
    <row r="7" spans="1:21" s="10" customFormat="1">
      <c r="A7" s="22" t="s">
        <v>24</v>
      </c>
      <c r="B7" s="22"/>
      <c r="C7" s="22"/>
      <c r="D7" s="6"/>
      <c r="E7" s="6"/>
      <c r="F7" s="6"/>
      <c r="G7" s="6"/>
      <c r="H7" s="6"/>
      <c r="I7" s="6" t="s">
        <v>25</v>
      </c>
      <c r="J7" s="6"/>
      <c r="K7" s="8" t="s">
        <v>26</v>
      </c>
      <c r="L7" s="24" t="s">
        <v>27</v>
      </c>
      <c r="M7" s="25"/>
      <c r="N7" s="24" t="s">
        <v>27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>
      <c r="A8" s="25" t="s">
        <v>24</v>
      </c>
      <c r="B8" s="61"/>
      <c r="C8" s="62"/>
      <c r="D8" s="24" t="s">
        <v>71</v>
      </c>
      <c r="E8" s="24" t="s">
        <v>72</v>
      </c>
      <c r="F8" s="59"/>
      <c r="G8" s="24" t="s">
        <v>67</v>
      </c>
      <c r="H8" s="24" t="s">
        <v>73</v>
      </c>
      <c r="I8" s="59"/>
      <c r="J8" s="3"/>
      <c r="K8" s="8"/>
      <c r="L8" s="24" t="s">
        <v>28</v>
      </c>
      <c r="M8" s="25"/>
      <c r="N8" s="24" t="s">
        <v>28</v>
      </c>
      <c r="O8" s="25"/>
      <c r="P8" s="24" t="s">
        <v>55</v>
      </c>
      <c r="Q8" s="25"/>
      <c r="R8" s="3"/>
      <c r="S8" s="21"/>
      <c r="T8" s="120" t="s">
        <v>74</v>
      </c>
      <c r="U8" s="121"/>
    </row>
    <row r="9" spans="1:21" s="10" customFormat="1" ht="60" customHeight="1">
      <c r="A9" s="8" t="s">
        <v>24</v>
      </c>
      <c r="B9" s="28"/>
      <c r="C9" s="29"/>
      <c r="D9" s="24" t="s">
        <v>75</v>
      </c>
      <c r="E9" s="63" t="s">
        <v>76</v>
      </c>
      <c r="F9" s="24" t="s">
        <v>77</v>
      </c>
      <c r="G9" s="24" t="s">
        <v>78</v>
      </c>
      <c r="H9" s="24" t="s">
        <v>79</v>
      </c>
      <c r="I9" s="64" t="s">
        <v>80</v>
      </c>
      <c r="J9" s="24" t="s">
        <v>81</v>
      </c>
      <c r="K9" s="60"/>
      <c r="L9" s="64"/>
      <c r="M9" s="24"/>
      <c r="N9" s="24"/>
      <c r="O9" s="24"/>
      <c r="P9" s="24"/>
      <c r="Q9" s="24"/>
      <c r="R9" s="120" t="s">
        <v>82</v>
      </c>
      <c r="S9" s="121"/>
      <c r="T9" s="120" t="s">
        <v>83</v>
      </c>
      <c r="U9" s="121"/>
    </row>
    <row r="10" spans="1:21" s="10" customFormat="1" ht="39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80</v>
      </c>
      <c r="M10" s="24" t="s">
        <v>81</v>
      </c>
      <c r="N10" s="24" t="s">
        <v>80</v>
      </c>
      <c r="O10" s="24" t="s">
        <v>81</v>
      </c>
      <c r="P10" s="24" t="s">
        <v>80</v>
      </c>
      <c r="Q10" s="24" t="s">
        <v>81</v>
      </c>
      <c r="R10" s="30"/>
      <c r="S10" s="30"/>
      <c r="T10" s="35"/>
      <c r="U10" s="46"/>
    </row>
    <row r="11" spans="1:21" s="10" customFormat="1">
      <c r="A11" s="8">
        <v>10</v>
      </c>
      <c r="B11" s="28" t="s">
        <v>30</v>
      </c>
      <c r="C11" s="29"/>
      <c r="D11" s="23" t="s">
        <v>32</v>
      </c>
      <c r="E11" s="26" t="s">
        <v>41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>
      <c r="A12" s="8">
        <v>10</v>
      </c>
      <c r="B12" s="8"/>
      <c r="C12" s="8"/>
      <c r="D12" s="8" t="s">
        <v>33</v>
      </c>
      <c r="E12" s="25" t="s">
        <v>56</v>
      </c>
      <c r="F12" s="25"/>
      <c r="G12" s="38" t="s">
        <v>84</v>
      </c>
      <c r="H12" s="38" t="s">
        <v>64</v>
      </c>
      <c r="I12" s="8" t="s">
        <v>65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34</v>
      </c>
      <c r="E13" s="25" t="s">
        <v>57</v>
      </c>
      <c r="F13" s="25"/>
      <c r="G13" s="38" t="s">
        <v>85</v>
      </c>
      <c r="H13" s="38" t="s">
        <v>66</v>
      </c>
      <c r="I13" s="8" t="s">
        <v>65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50"/>
      <c r="U14" s="39"/>
    </row>
    <row r="15" spans="1:21" s="10" customFormat="1">
      <c r="A15" s="50"/>
      <c r="U15" s="39"/>
    </row>
    <row r="16" spans="1:21" s="10" customFormat="1">
      <c r="A16" s="50"/>
      <c r="U16" s="39"/>
    </row>
    <row r="17" spans="1:21" s="10" customFormat="1">
      <c r="A17" s="50"/>
      <c r="U17" s="39"/>
    </row>
    <row r="18" spans="1:21" s="10" customFormat="1">
      <c r="A18" s="50"/>
      <c r="U18" s="39"/>
    </row>
    <row r="19" spans="1:21" s="10" customFormat="1">
      <c r="A19" s="50"/>
      <c r="U19" s="39"/>
    </row>
    <row r="20" spans="1:21" s="10" customFormat="1">
      <c r="A20" s="50"/>
      <c r="U20" s="39"/>
    </row>
    <row r="21" spans="1:21" s="10" customFormat="1">
      <c r="A21" s="50"/>
      <c r="U21" s="39"/>
    </row>
    <row r="22" spans="1:21" s="10" customFormat="1">
      <c r="A22" s="50"/>
      <c r="U22" s="39"/>
    </row>
    <row r="23" spans="1:21" s="10" customFormat="1">
      <c r="A23" s="50"/>
      <c r="U23" s="39"/>
    </row>
    <row r="24" spans="1:21" s="10" customFormat="1">
      <c r="A24" s="50"/>
      <c r="U24" s="39"/>
    </row>
    <row r="25" spans="1:21" s="10" customFormat="1">
      <c r="A25" s="50"/>
      <c r="U25" s="39"/>
    </row>
    <row r="26" spans="1:21" s="10" customFormat="1">
      <c r="A26" s="5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0"/>
    </row>
  </sheetData>
  <mergeCells count="8">
    <mergeCell ref="R12:S12"/>
    <mergeCell ref="T12:U12"/>
    <mergeCell ref="R13:S13"/>
    <mergeCell ref="T13:U13"/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>
    <pageSetUpPr fitToPage="1"/>
  </sheetPr>
  <dimension ref="A1:U2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7" t="s">
        <v>19</v>
      </c>
      <c r="B1" s="47" t="s">
        <v>19</v>
      </c>
      <c r="C1" s="47"/>
      <c r="D1" s="1" t="s">
        <v>59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48" t="s">
        <v>19</v>
      </c>
      <c r="B2" s="22"/>
      <c r="C2" s="22"/>
      <c r="D2" s="60" t="s">
        <v>70</v>
      </c>
      <c r="E2" s="7" t="s">
        <v>0</v>
      </c>
      <c r="F2" s="49" t="str">
        <f>IF(LogicCommon!C2="","",LogicCommon!C2)</f>
        <v>MS</v>
      </c>
      <c r="G2" s="7" t="s">
        <v>1</v>
      </c>
      <c r="H2" s="49" t="str">
        <f>IF(LogicCommon!E2="","",LogicCommon!E2)</f>
        <v>MSBGL5170</v>
      </c>
      <c r="I2" s="7" t="s">
        <v>20</v>
      </c>
      <c r="J2" s="8" t="s">
        <v>48</v>
      </c>
      <c r="K2" s="7" t="s">
        <v>50</v>
      </c>
      <c r="L2" s="49" t="str">
        <f>IF(LogicCommon!G2="","",LogicCommon!G2)</f>
        <v>MC</v>
      </c>
      <c r="M2" s="5" t="s">
        <v>53</v>
      </c>
      <c r="N2" s="23" t="s">
        <v>69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19</v>
      </c>
      <c r="B3" s="51"/>
      <c r="C3" s="51"/>
      <c r="D3" s="52" t="str">
        <f>IF(LogicCommon!A3="","",LogicCommon!A3)</f>
        <v/>
      </c>
      <c r="E3" s="7" t="s">
        <v>2</v>
      </c>
      <c r="F3" s="49" t="str">
        <f>IF(LogicCommon!C3="","",LogicCommon!C3)</f>
        <v>MSBG</v>
      </c>
      <c r="G3" s="7" t="s">
        <v>3</v>
      </c>
      <c r="H3" s="49" t="str">
        <f>IF(LogicCommon!E3="","",LogicCommon!E3)</f>
        <v>MSBGL_XrateRevService</v>
      </c>
      <c r="I3" s="7" t="s">
        <v>60</v>
      </c>
      <c r="J3" s="8" t="s">
        <v>49</v>
      </c>
      <c r="K3" s="7" t="s">
        <v>52</v>
      </c>
      <c r="L3" s="49" t="str">
        <f>IF(LogicCommon!G3="","",LogicCommon!G3)</f>
        <v/>
      </c>
      <c r="M3" s="53"/>
      <c r="N3" s="7"/>
      <c r="O3" s="7" t="s">
        <v>61</v>
      </c>
      <c r="P3" s="8" t="s">
        <v>62</v>
      </c>
      <c r="Q3" s="4"/>
      <c r="R3" s="5"/>
      <c r="S3" s="5"/>
      <c r="T3" s="5"/>
      <c r="U3" s="5"/>
    </row>
    <row r="4" spans="1:21" s="10" customFormat="1">
      <c r="A4" s="50" t="s">
        <v>19</v>
      </c>
      <c r="B4" s="51"/>
      <c r="C4" s="51"/>
      <c r="D4" s="4"/>
      <c r="E4" s="7" t="s">
        <v>21</v>
      </c>
      <c r="F4" s="54" t="s">
        <v>22</v>
      </c>
      <c r="G4" s="7" t="s">
        <v>4</v>
      </c>
      <c r="H4" s="49" t="str">
        <f>IF(LogicCommon!E4="","",LogicCommon!E4)</f>
        <v>為替レート評価替サービス</v>
      </c>
      <c r="I4" s="7" t="s">
        <v>54</v>
      </c>
      <c r="J4" s="8" t="s">
        <v>39</v>
      </c>
      <c r="K4" s="7" t="s">
        <v>5</v>
      </c>
      <c r="L4" s="49" t="str">
        <f>IF(LogicCommon!G4="","",LogicCommon!G4)</f>
        <v>MS.MSUDL5010</v>
      </c>
      <c r="M4" s="55" t="s">
        <v>63</v>
      </c>
      <c r="N4" s="23"/>
      <c r="O4" s="56"/>
      <c r="P4" s="4"/>
      <c r="Q4" s="4"/>
      <c r="R4" s="5"/>
      <c r="S4" s="5"/>
      <c r="T4" s="5"/>
      <c r="U4" s="5"/>
    </row>
    <row r="5" spans="1:21" s="10" customFormat="1">
      <c r="A5" s="57" t="s">
        <v>19</v>
      </c>
      <c r="B5" s="47"/>
      <c r="C5" s="47"/>
      <c r="D5" s="21"/>
      <c r="E5" s="7" t="s">
        <v>23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19</v>
      </c>
      <c r="B6" s="51"/>
      <c r="C6" s="51"/>
      <c r="D6" s="4" t="s">
        <v>8</v>
      </c>
      <c r="E6" s="12" t="s">
        <v>47</v>
      </c>
      <c r="F6" s="12"/>
      <c r="G6" s="12"/>
      <c r="H6" s="12"/>
      <c r="I6" s="12"/>
      <c r="J6" s="12"/>
      <c r="K6" s="12"/>
      <c r="L6" s="59"/>
      <c r="M6" s="15" t="s">
        <v>58</v>
      </c>
      <c r="N6" s="15"/>
      <c r="O6" s="15" t="s">
        <v>58</v>
      </c>
      <c r="P6" s="15"/>
      <c r="Q6" s="15" t="s">
        <v>58</v>
      </c>
      <c r="R6" s="4"/>
      <c r="S6" s="4"/>
      <c r="T6" s="4"/>
      <c r="U6" s="4"/>
    </row>
    <row r="7" spans="1:21" s="10" customFormat="1">
      <c r="A7" s="22" t="s">
        <v>35</v>
      </c>
      <c r="B7" s="22"/>
      <c r="C7" s="22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24" t="s">
        <v>38</v>
      </c>
      <c r="M7" s="25"/>
      <c r="N7" s="24" t="s">
        <v>38</v>
      </c>
      <c r="O7" s="25"/>
      <c r="P7" s="24" t="s">
        <v>38</v>
      </c>
      <c r="Q7" s="25"/>
      <c r="R7" s="4"/>
      <c r="S7" s="4"/>
      <c r="T7" s="4"/>
      <c r="U7" s="4"/>
    </row>
    <row r="8" spans="1:21" s="10" customFormat="1" ht="60" customHeight="1">
      <c r="A8" s="25" t="s">
        <v>24</v>
      </c>
      <c r="B8" s="61"/>
      <c r="C8" s="62"/>
      <c r="D8" s="24" t="s">
        <v>71</v>
      </c>
      <c r="E8" s="24" t="s">
        <v>72</v>
      </c>
      <c r="F8" s="59"/>
      <c r="G8" s="24" t="s">
        <v>67</v>
      </c>
      <c r="H8" s="24" t="s">
        <v>73</v>
      </c>
      <c r="I8" s="59"/>
      <c r="J8" s="3"/>
      <c r="K8" s="8"/>
      <c r="L8" s="24" t="s">
        <v>28</v>
      </c>
      <c r="M8" s="25"/>
      <c r="N8" s="24" t="s">
        <v>28</v>
      </c>
      <c r="O8" s="25"/>
      <c r="P8" s="24" t="s">
        <v>28</v>
      </c>
      <c r="Q8" s="25"/>
      <c r="R8" s="3"/>
      <c r="S8" s="21"/>
      <c r="T8" s="120" t="s">
        <v>74</v>
      </c>
      <c r="U8" s="121"/>
    </row>
    <row r="9" spans="1:21" s="10" customFormat="1" ht="60" customHeight="1">
      <c r="A9" s="8" t="s">
        <v>24</v>
      </c>
      <c r="B9" s="28"/>
      <c r="C9" s="29"/>
      <c r="D9" s="24" t="s">
        <v>75</v>
      </c>
      <c r="E9" s="63" t="s">
        <v>76</v>
      </c>
      <c r="F9" s="24" t="s">
        <v>77</v>
      </c>
      <c r="G9" s="24" t="s">
        <v>78</v>
      </c>
      <c r="H9" s="24" t="s">
        <v>79</v>
      </c>
      <c r="I9" s="64" t="s">
        <v>80</v>
      </c>
      <c r="J9" s="24" t="s">
        <v>81</v>
      </c>
      <c r="K9" s="60"/>
      <c r="L9" s="64"/>
      <c r="M9" s="24"/>
      <c r="N9" s="24"/>
      <c r="O9" s="24"/>
      <c r="P9" s="24"/>
      <c r="Q9" s="24"/>
      <c r="R9" s="120" t="s">
        <v>82</v>
      </c>
      <c r="S9" s="121"/>
      <c r="T9" s="120" t="s">
        <v>83</v>
      </c>
      <c r="U9" s="121"/>
    </row>
    <row r="10" spans="1:21" s="10" customFormat="1" ht="39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80</v>
      </c>
      <c r="M10" s="24" t="s">
        <v>81</v>
      </c>
      <c r="N10" s="24" t="s">
        <v>80</v>
      </c>
      <c r="O10" s="24" t="s">
        <v>81</v>
      </c>
      <c r="P10" s="24" t="s">
        <v>80</v>
      </c>
      <c r="Q10" s="24" t="s">
        <v>81</v>
      </c>
      <c r="R10" s="30"/>
      <c r="S10" s="30"/>
      <c r="T10" s="35"/>
      <c r="U10" s="46"/>
    </row>
    <row r="11" spans="1:21" s="10" customFormat="1">
      <c r="A11" s="8">
        <v>10</v>
      </c>
      <c r="B11" s="28" t="s">
        <v>30</v>
      </c>
      <c r="C11" s="29"/>
      <c r="D11" s="23" t="s">
        <v>40</v>
      </c>
      <c r="E11" s="26" t="s">
        <v>41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>
      <c r="A12" s="8">
        <v>10</v>
      </c>
      <c r="B12" s="8"/>
      <c r="C12" s="8"/>
      <c r="D12" s="8" t="s">
        <v>33</v>
      </c>
      <c r="E12" s="25" t="s">
        <v>56</v>
      </c>
      <c r="F12" s="25"/>
      <c r="G12" s="38" t="s">
        <v>84</v>
      </c>
      <c r="H12" s="38" t="s">
        <v>64</v>
      </c>
      <c r="I12" s="8" t="s">
        <v>65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50"/>
      <c r="U13" s="39"/>
    </row>
    <row r="14" spans="1:21" s="10" customFormat="1">
      <c r="A14" s="50"/>
      <c r="U14" s="39"/>
    </row>
    <row r="15" spans="1:21" s="10" customFormat="1">
      <c r="A15" s="50"/>
      <c r="U15" s="39"/>
    </row>
    <row r="16" spans="1:21" s="10" customFormat="1">
      <c r="A16" s="50"/>
      <c r="U16" s="39"/>
    </row>
    <row r="17" spans="1:21" s="10" customFormat="1">
      <c r="A17" s="50"/>
      <c r="U17" s="39"/>
    </row>
    <row r="18" spans="1:21" s="10" customFormat="1">
      <c r="A18" s="50"/>
      <c r="U18" s="39"/>
    </row>
    <row r="19" spans="1:21" s="10" customFormat="1">
      <c r="A19" s="50"/>
      <c r="U19" s="39"/>
    </row>
    <row r="20" spans="1:21" s="10" customFormat="1">
      <c r="A20" s="50"/>
      <c r="U20" s="39"/>
    </row>
    <row r="21" spans="1:21" s="10" customFormat="1">
      <c r="A21" s="50"/>
      <c r="U21" s="39"/>
    </row>
    <row r="22" spans="1:21" s="10" customFormat="1">
      <c r="A22" s="50"/>
      <c r="U22" s="39"/>
    </row>
    <row r="23" spans="1:21" s="10" customFormat="1">
      <c r="A23" s="50"/>
      <c r="U23" s="39"/>
    </row>
    <row r="24" spans="1:21" s="10" customFormat="1">
      <c r="A24" s="50"/>
      <c r="U24" s="39"/>
    </row>
    <row r="25" spans="1:21" s="10" customFormat="1">
      <c r="A25" s="50"/>
      <c r="U25" s="39"/>
    </row>
    <row r="26" spans="1:21" s="10" customFormat="1">
      <c r="A26" s="5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40"/>
    </row>
  </sheetData>
  <mergeCells count="6">
    <mergeCell ref="R12:S12"/>
    <mergeCell ref="T12:U12"/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4" customWidth="1"/>
    <col min="43" max="44" width="2.08984375" style="45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s="41" customFormat="1" ht="38.25" customHeight="1" thickBot="1">
      <c r="A1" s="98" t="s">
        <v>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s="41" customFormat="1" ht="12" customHeight="1" thickBo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/>
      <c r="AR2" s="43"/>
    </row>
    <row r="3" spans="1:57" ht="15" customHeight="1" thickBot="1">
      <c r="A3" s="101" t="s">
        <v>10</v>
      </c>
      <c r="B3" s="102"/>
      <c r="C3" s="102"/>
      <c r="D3" s="102"/>
      <c r="E3" s="102"/>
      <c r="F3" s="102"/>
      <c r="G3" s="103"/>
      <c r="H3" s="104" t="s">
        <v>11</v>
      </c>
      <c r="I3" s="102"/>
      <c r="J3" s="102"/>
      <c r="K3" s="102"/>
      <c r="L3" s="102"/>
      <c r="M3" s="102"/>
      <c r="N3" s="103"/>
      <c r="O3" s="104" t="s">
        <v>12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7" t="s">
        <v>13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>
      <c r="A4" s="110">
        <v>1</v>
      </c>
      <c r="B4" s="111"/>
      <c r="C4" s="111"/>
      <c r="D4" s="111"/>
      <c r="E4" s="111"/>
      <c r="F4" s="111"/>
      <c r="G4" s="112"/>
      <c r="H4" s="113"/>
      <c r="I4" s="114"/>
      <c r="J4" s="114"/>
      <c r="K4" s="114"/>
      <c r="L4" s="114"/>
      <c r="M4" s="114"/>
      <c r="N4" s="115"/>
      <c r="O4" s="113" t="s">
        <v>14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92" t="s">
        <v>86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87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>
      <c r="A6" s="75"/>
      <c r="B6" s="76"/>
      <c r="C6" s="76"/>
      <c r="D6" s="76"/>
      <c r="E6" s="76"/>
      <c r="F6" s="76"/>
      <c r="G6" s="77"/>
      <c r="H6" s="85"/>
      <c r="I6" s="86"/>
      <c r="J6" s="86"/>
      <c r="K6" s="86"/>
      <c r="L6" s="86"/>
      <c r="M6" s="86"/>
      <c r="N6" s="87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75"/>
      <c r="B7" s="76"/>
      <c r="C7" s="76"/>
      <c r="D7" s="76"/>
      <c r="E7" s="76"/>
      <c r="F7" s="76"/>
      <c r="G7" s="77"/>
      <c r="H7" s="85"/>
      <c r="I7" s="86"/>
      <c r="J7" s="86"/>
      <c r="K7" s="86"/>
      <c r="L7" s="86"/>
      <c r="M7" s="86"/>
      <c r="N7" s="87"/>
      <c r="O7" s="7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83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1"/>
    </row>
    <row r="8" spans="1:57" ht="15" customHeight="1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XrateRev_Ins01</vt:lpstr>
      <vt:lpstr>XrateRev_Del01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2026-03-27T06:00:11Z</dcterms:modified>
  <cp:category/>
</cp:coreProperties>
</file>