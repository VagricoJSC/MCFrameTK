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C8B70CA7-2C72-431C-B2AE-74B43C067046}" xr6:coauthVersionLast="47" xr6:coauthVersionMax="47" xr10:uidLastSave="{00000000-0000-0000-0000-000000000000}"/>
  <bookViews>
    <workbookView xWindow="1710" yWindow="1710" windowWidth="21600" windowHeight="11265" activeTab="3" xr2:uid="{00000000-000D-0000-FFFF-FFFF00000000}"/>
  </bookViews>
  <sheets>
    <sheet name="LogicCommon" sheetId="1" r:id="rId1"/>
    <sheet name="PcmIf_Chk01" sheetId="2" r:id="rId2"/>
    <sheet name="PcmIf_Upd01" sheetId="3" r:id="rId3"/>
    <sheet name="来歴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<sst xmlns="http://schemas.openxmlformats.org/spreadsheetml/2006/main" count="321" uniqueCount="136">
  <si>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</si>
  <si>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</si>
  <si>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</si>
  <si>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</si>
  <si>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MGBBL5010</t>
    <phoneticPr fontId="2"/>
  </si>
  <si>
    <t>Pj.ID :</t>
    <phoneticPr fontId="3"/>
  </si>
  <si>
    <t>MC</t>
    <phoneticPr fontId="2"/>
  </si>
  <si>
    <t>SubModuleID :</t>
    <phoneticPr fontId="3"/>
  </si>
  <si>
    <t>MGBB</t>
    <phoneticPr fontId="2"/>
  </si>
  <si>
    <t>LogicClass :</t>
    <phoneticPr fontId="3"/>
  </si>
  <si>
    <t>MGBBL_PcmIfService</t>
    <phoneticPr fontId="2"/>
  </si>
  <si>
    <t>SuperClassPj.ID :</t>
    <phoneticPr fontId="3"/>
  </si>
  <si>
    <t>LogicName :</t>
    <phoneticPr fontId="3"/>
  </si>
  <si>
    <t>原価ＩＦデータ取込サービス</t>
    <rPh sb="0" eb="2">
      <t>ゲンカ</t>
    </rPh>
    <rPh sb="7" eb="9">
      <t>トリコミ</t>
    </rPh>
    <phoneticPr fontId="4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</si>
  <si>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</si>
  <si>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</si>
  <si>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</si>
  <si>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</si>
  <si>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</si>
  <si>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</si>
  <si>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PcmIf_Chk01</t>
    <phoneticPr fontId="2"/>
  </si>
  <si>
    <t xml:space="preserve">Ope.Body : </t>
    <phoneticPr fontId="3"/>
  </si>
  <si>
    <t>Ope.Method :</t>
    <phoneticPr fontId="3"/>
  </si>
  <si>
    <t>@</t>
    <phoneticPr fontId="2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</si>
  <si>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</si>
  <si>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</si>
  <si>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</si>
  <si>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</si>
  <si>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</si>
  <si>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取込前チェック</t>
    <rPh sb="0" eb="2">
      <t>トリコミ</t>
    </rPh>
    <rPh sb="2" eb="3">
      <t>マエ</t>
    </rPh>
    <phoneticPr fontId="2"/>
  </si>
  <si>
    <t>ImplOpe.ID:</t>
    <phoneticPr fontId="3"/>
  </si>
  <si>
    <t>ACType :</t>
    <phoneticPr fontId="3"/>
  </si>
  <si>
    <t>原価ＩＦデータ取込前チェック</t>
    <rPh sb="0" eb="2">
      <t>ゲンカ</t>
    </rPh>
    <rPh sb="7" eb="9">
      <t>トリコミ</t>
    </rPh>
    <rPh sb="9" eb="10">
      <t>マエ</t>
    </rPh>
    <phoneticPr fontId="2"/>
  </si>
  <si>
    <t>ID</t>
    <phoneticPr fontId="3"/>
  </si>
  <si>
    <t>#</t>
    <phoneticPr fontId="3"/>
  </si>
  <si>
    <t>U</t>
    <phoneticPr fontId="3"/>
  </si>
  <si>
    <t>o</t>
    <phoneticPr fontId="3"/>
  </si>
  <si>
    <t>super/share</t>
    <phoneticPr fontId="3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</si>
  <si>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</si>
  <si>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</si>
  <si>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</si>
  <si>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</si>
  <si>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</si>
  <si>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</si>
  <si>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</si>
  <si>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</si>
  <si>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</si>
  <si>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</si>
  <si>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</si>
  <si>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</si>
  <si>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</si>
  <si>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</si>
  <si>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</si>
  <si>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</si>
  <si>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  <phoneticPr fontId="2"/>
  </si>
  <si>
    <t>NULL_VAL</t>
  </si>
  <si>
    <t>TargetName</t>
    <phoneticPr fontId="3"/>
  </si>
  <si>
    <t>*</t>
    <phoneticPr fontId="2"/>
  </si>
  <si>
    <t>R</t>
  </si>
  <si>
    <t>ym</t>
  </si>
  <si>
    <t>#MA.YM</t>
  </si>
  <si>
    <t>年月</t>
    <phoneticPr fontId="2"/>
  </si>
  <si>
    <t>E</t>
    <phoneticPr fontId="3"/>
  </si>
  <si>
    <t>calc_ctg_cd</t>
  </si>
  <si>
    <t>#MA.CALC_CTG_CD</t>
  </si>
  <si>
    <t>計算カテゴリＣＤ</t>
    <phoneticPr fontId="2"/>
  </si>
  <si>
    <t>io_flg</t>
    <phoneticPr fontId="2"/>
  </si>
  <si>
    <t>#MA.FLG</t>
  </si>
  <si>
    <t>受払実績</t>
    <phoneticPr fontId="2"/>
  </si>
  <si>
    <t>E</t>
    <phoneticPr fontId="2"/>
  </si>
  <si>
    <t>wk_flg</t>
    <phoneticPr fontId="2"/>
  </si>
  <si>
    <t>工数情報</t>
    <phoneticPr fontId="2"/>
  </si>
  <si>
    <t>wip_flg</t>
    <phoneticPr fontId="2"/>
  </si>
  <si>
    <t>仕掛情報</t>
    <phoneticPr fontId="2"/>
  </si>
  <si>
    <t>stk_flg</t>
    <phoneticPr fontId="2"/>
  </si>
  <si>
    <t>在庫情報</t>
    <phoneticPr fontId="2"/>
  </si>
  <si>
    <t>rerun_flg</t>
    <phoneticPr fontId="2"/>
  </si>
  <si>
    <t>再取込</t>
    <phoneticPr fontId="2"/>
  </si>
  <si>
    <t>err_flg</t>
  </si>
  <si>
    <t>エラー</t>
    <phoneticPr fontId="3"/>
  </si>
  <si>
    <t>-</t>
    <phoneticPr fontId="3"/>
  </si>
  <si>
    <t>PcmIf_Upd01</t>
    <phoneticPr fontId="2"/>
  </si>
  <si>
    <t>原価ＩＦデータ取込</t>
    <rPh sb="0" eb="2">
      <t>ゲンカ</t>
    </rPh>
    <rPh sb="7" eb="9">
      <t>トリコミ</t>
    </rPh>
    <phoneticPr fontId="2"/>
  </si>
  <si>
    <t>原価ＩＦデータを取り込む。</t>
    <rPh sb="0" eb="2">
      <t>ゲンカ</t>
    </rPh>
    <rPh sb="8" eb="9">
      <t>ト</t>
    </rPh>
    <rPh sb="10" eb="11">
      <t>コ</t>
    </rPh>
    <phoneticPr fontId="2"/>
  </si>
  <si>
    <t>*</t>
    <phoneticPr fontId="2"/>
  </si>
  <si>
    <t>PcmIf_Upd01_Cnd</t>
    <phoneticPr fontId="2"/>
  </si>
  <si>
    <t>$share$</t>
  </si>
  <si>
    <t>MG.MGBBL5010.PcmIf_Chk01.PcmIf_Chk01_Cnd</t>
    <phoneticPr fontId="2"/>
  </si>
  <si>
    <t>ym</t>
    <phoneticPr fontId="2"/>
  </si>
  <si>
    <t>-</t>
    <phoneticPr fontId="2"/>
  </si>
  <si>
    <t>io_flg</t>
    <phoneticPr fontId="2"/>
  </si>
  <si>
    <t>wk_flg</t>
    <phoneticPr fontId="2"/>
  </si>
  <si>
    <t>wip_flg</t>
    <phoneticPr fontId="2"/>
  </si>
  <si>
    <t>stk_flg</t>
    <phoneticPr fontId="2"/>
  </si>
  <si>
    <t>エラー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</si>
  <si>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</si>
  <si>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</si>
  <si>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</si>
  <si>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</si>
  <si>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</si>
  <si>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</si>
  <si>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non_mov_flg</t>
    <phoneticPr fontId="2"/>
  </si>
  <si>
    <t>non_mov_flg</t>
    <phoneticPr fontId="2"/>
  </si>
  <si>
    <t>PcmIf_Chk01_Cnd</t>
    <phoneticPr fontId="2"/>
  </si>
  <si>
    <t>K</t>
    <phoneticPr fontId="3"/>
  </si>
  <si>
    <t>滞留在庫計算</t>
    <phoneticPr fontId="2"/>
  </si>
  <si>
    <t>MG.MGUDL5010</t>
    <phoneticPr fontId="2"/>
  </si>
  <si>
    <t>MA.MAUDL5010.Checker</t>
    <phoneticPr fontId="2"/>
  </si>
  <si>
    <t>"mcframe.serverMAUD.MAUDL5010.MAUDL_Operation"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</si>
  <si>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</si>
  <si>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</si>
  <si>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</si>
  <si>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</si>
  <si>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</si>
  <si>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</si>
  <si>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</si>
  <si>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</si>
  <si>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</si>
  <si>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</si>
  <si>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</si>
  <si>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</si>
  <si>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</si>
  <si>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</si>
  <si>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Year month</t>
  </si>
  <si>
    <t>Calculation category cd.</t>
  </si>
  <si>
    <t>GR/GI result</t>
  </si>
  <si>
    <t>Man-hour info.</t>
  </si>
  <si>
    <t>WIP info.</t>
  </si>
  <si>
    <t>Inventory info.</t>
  </si>
  <si>
    <t>Re-import</t>
  </si>
  <si>
    <t>Non-moving inventory calculation</t>
  </si>
  <si>
    <t>Error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</si>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</sst>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11" xfId="0" applyFont="1" applyFill="1" applyBorder="1" applyAlignment="1"/>
    <xf numFmtId="0" fontId="1" fillId="3" borderId="5" xfId="0" applyFont="1" applyFill="1" applyBorder="1" applyAlignment="1"/>
    <xf numFmtId="0" fontId="1" fillId="3" borderId="3" xfId="0" applyFont="1" applyFill="1" applyBorder="1">
      <alignment vertical="top" wrapText="1"/>
    </xf>
    <xf numFmtId="0" fontId="1" fillId="0" borderId="1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106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20.453125" style="5" bestFit="1" customWidth="1"/>
    <col min="28" max="28" width="9.453125" style="5" bestFit="1" customWidth="1"/>
    <col min="29" max="29" width="10.81640625" style="5" bestFit="1" customWidth="1"/>
    <col min="30" max="30" width="9.453125" style="5" bestFit="1" customWidth="1"/>
    <col min="31" max="31" width="10.81640625" style="5" bestFit="1" customWidth="1"/>
    <col min="32" max="32" width="9.453125" style="5" bestFit="1" customWidth="1"/>
    <col min="33" max="33" width="10.816406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1" t="s">
        <v>17</v>
      </c>
      <c r="B1" s="51" t="s">
        <v>17</v>
      </c>
      <c r="C1" s="51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2" t="s">
        <v>109</v>
      </c>
      <c r="E2" s="7" t="s">
        <v>1</v>
      </c>
      <c r="F2" s="52" t="str">
        <f>IF(LogicCommon!C2="","",LogicCommon!C2)</f>
        <v>MG</v>
      </c>
      <c r="G2" s="7" t="s">
        <v>3</v>
      </c>
      <c r="H2" s="52" t="str">
        <f>IF(LogicCommon!E2="","",LogicCommon!E2)</f>
        <v>MGBBL5010</v>
      </c>
      <c r="I2" s="7" t="s">
        <v>19</v>
      </c>
      <c r="J2" s="8" t="s">
        <v>20</v>
      </c>
      <c r="K2" s="7" t="s">
        <v>5</v>
      </c>
      <c r="L2" s="52" t="str">
        <f>IF(LogicCommon!G2="","",LogicCommon!G2)</f>
        <v>MC</v>
      </c>
      <c r="M2" s="5" t="s">
        <v>21</v>
      </c>
      <c r="N2" s="24" t="s">
        <v>107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3" t="s">
        <v>17</v>
      </c>
      <c r="B3" s="54"/>
      <c r="C3" s="54"/>
      <c r="D3" s="55" t="str">
        <f>IF(LogicCommon!A3="","",LogicCommon!A3)</f>
        <v/>
      </c>
      <c r="E3" s="7" t="s">
        <v>7</v>
      </c>
      <c r="F3" s="52" t="str">
        <f>IF(LogicCommon!C3="","",LogicCommon!C3)</f>
        <v>MGBB</v>
      </c>
      <c r="G3" s="7" t="s">
        <v>9</v>
      </c>
      <c r="H3" s="52" t="str">
        <f>IF(LogicCommon!E3="","",LogicCommon!E3)</f>
        <v>MGBBL_PcmIfService</v>
      </c>
      <c r="I3" s="7" t="s">
        <v>22</v>
      </c>
      <c r="J3" s="8" t="s">
        <v>23</v>
      </c>
      <c r="K3" s="7" t="s">
        <v>11</v>
      </c>
      <c r="L3" s="52" t="str">
        <f>IF(LogicCommon!G3="","",LogicCommon!G3)</f>
        <v/>
      </c>
      <c r="M3" s="42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3" t="s">
        <v>17</v>
      </c>
      <c r="B4" s="54"/>
      <c r="C4" s="54"/>
      <c r="D4" s="4"/>
      <c r="E4" s="7" t="s">
        <v>26</v>
      </c>
      <c r="F4" s="56" t="s">
        <v>27</v>
      </c>
      <c r="G4" s="7" t="s">
        <v>12</v>
      </c>
      <c r="H4" s="52" t="str">
        <f>IF(LogicCommon!E4="","",LogicCommon!E4)</f>
        <v>原価ＩＦデータ取込サービス</v>
      </c>
      <c r="I4" s="7" t="s">
        <v>28</v>
      </c>
      <c r="J4" s="8" t="s">
        <v>29</v>
      </c>
      <c r="K4" s="7" t="s">
        <v>14</v>
      </c>
      <c r="L4" s="52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9" t="s">
        <v>17</v>
      </c>
      <c r="B5" s="51"/>
      <c r="C5" s="51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3" t="s">
        <v>17</v>
      </c>
      <c r="B6" s="54"/>
      <c r="C6" s="54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1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104</v>
      </c>
      <c r="L7" s="8" t="s">
        <v>104</v>
      </c>
      <c r="M7" s="8" t="s">
        <v>104</v>
      </c>
      <c r="N7" s="8" t="s">
        <v>104</v>
      </c>
      <c r="O7" s="8" t="s">
        <v>104</v>
      </c>
      <c r="P7" s="8" t="s">
        <v>104</v>
      </c>
      <c r="Q7" s="8" t="s">
        <v>104</v>
      </c>
      <c r="R7" s="8" t="s">
        <v>104</v>
      </c>
      <c r="S7" s="8" t="s">
        <v>104</v>
      </c>
      <c r="T7" s="8" t="s">
        <v>104</v>
      </c>
      <c r="U7" s="8" t="s">
        <v>104</v>
      </c>
      <c r="V7" s="8" t="s">
        <v>104</v>
      </c>
      <c r="W7" s="8" t="s">
        <v>104</v>
      </c>
      <c r="X7" s="8" t="s">
        <v>104</v>
      </c>
      <c r="Y7" s="8" t="s">
        <v>104</v>
      </c>
      <c r="Z7" s="8" t="s">
        <v>104</v>
      </c>
      <c r="AA7" s="8" t="s">
        <v>104</v>
      </c>
      <c r="AB7" s="8" t="s">
        <v>104</v>
      </c>
      <c r="AC7" s="25" t="s">
        <v>36</v>
      </c>
      <c r="AD7" s="26"/>
      <c r="AE7" s="25" t="s">
        <v>36</v>
      </c>
      <c r="AF7" s="26"/>
      <c r="AG7" s="25" t="s">
        <v>36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3"/>
      <c r="C8" s="64"/>
      <c r="D8" s="25" t="s">
        <v>110</v>
      </c>
      <c r="E8" s="25" t="s">
        <v>111</v>
      </c>
      <c r="F8" s="61"/>
      <c r="G8" s="25" t="s">
        <v>37</v>
      </c>
      <c r="H8" s="25" t="s">
        <v>112</v>
      </c>
      <c r="I8" s="61"/>
      <c r="J8" s="3"/>
      <c r="K8" s="8" t="s">
        <v>38</v>
      </c>
      <c r="L8" s="8" t="s">
        <v>39</v>
      </c>
      <c r="M8" s="8" t="s">
        <v>40</v>
      </c>
      <c r="N8" s="8" t="s">
        <v>41</v>
      </c>
      <c r="O8" s="8" t="s">
        <v>42</v>
      </c>
      <c r="P8" s="8" t="s">
        <v>43</v>
      </c>
      <c r="Q8" s="8" t="s">
        <v>44</v>
      </c>
      <c r="R8" s="8" t="s">
        <v>45</v>
      </c>
      <c r="S8" s="8" t="s">
        <v>46</v>
      </c>
      <c r="T8" s="8" t="s">
        <v>47</v>
      </c>
      <c r="U8" s="8" t="s">
        <v>48</v>
      </c>
      <c r="V8" s="8" t="s">
        <v>49</v>
      </c>
      <c r="W8" s="8" t="s">
        <v>50</v>
      </c>
      <c r="X8" s="8" t="s">
        <v>51</v>
      </c>
      <c r="Y8" s="8" t="s">
        <v>52</v>
      </c>
      <c r="Z8" s="8" t="s">
        <v>53</v>
      </c>
      <c r="AA8" s="8" t="s">
        <v>54</v>
      </c>
      <c r="AB8" s="8" t="s">
        <v>55</v>
      </c>
      <c r="AC8" s="25" t="s">
        <v>56</v>
      </c>
      <c r="AD8" s="26"/>
      <c r="AE8" s="25" t="s">
        <v>56</v>
      </c>
      <c r="AF8" s="26"/>
      <c r="AG8" s="25" t="s">
        <v>56</v>
      </c>
      <c r="AH8" s="26"/>
      <c r="AI8" s="3"/>
      <c r="AJ8" s="21"/>
      <c r="AK8" s="119" t="s">
        <v>121</v>
      </c>
      <c r="AL8" s="120"/>
    </row>
    <row r="9" spans="1:38" s="10" customFormat="1" ht="60" customHeight="1" x14ac:dyDescent="0.2">
      <c r="A9" s="8" t="s">
        <v>34</v>
      </c>
      <c r="B9" s="29"/>
      <c r="C9" s="30"/>
      <c r="D9" s="25" t="s">
        <v>113</v>
      </c>
      <c r="E9" s="65" t="s">
        <v>114</v>
      </c>
      <c r="F9" s="25" t="s">
        <v>115</v>
      </c>
      <c r="G9" s="25" t="s">
        <v>116</v>
      </c>
      <c r="H9" s="25" t="s">
        <v>117</v>
      </c>
      <c r="I9" s="66" t="s">
        <v>118</v>
      </c>
      <c r="J9" s="25" t="s">
        <v>119</v>
      </c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6"/>
      <c r="AD9" s="25"/>
      <c r="AE9" s="66"/>
      <c r="AF9" s="25"/>
      <c r="AG9" s="66"/>
      <c r="AH9" s="25"/>
      <c r="AI9" s="119" t="s">
        <v>120</v>
      </c>
      <c r="AJ9" s="120"/>
      <c r="AK9" s="119" t="s">
        <v>122</v>
      </c>
      <c r="AL9" s="120"/>
    </row>
    <row r="10" spans="1:38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118</v>
      </c>
      <c r="AD10" s="25" t="s">
        <v>119</v>
      </c>
      <c r="AE10" s="25" t="s">
        <v>118</v>
      </c>
      <c r="AF10" s="25" t="s">
        <v>119</v>
      </c>
      <c r="AG10" s="25" t="s">
        <v>118</v>
      </c>
      <c r="AH10" s="25" t="s">
        <v>119</v>
      </c>
      <c r="AI10" s="31"/>
      <c r="AJ10" s="31"/>
      <c r="AK10" s="36"/>
      <c r="AL10" s="50"/>
    </row>
    <row r="11" spans="1:38" s="10" customFormat="1" x14ac:dyDescent="0.2">
      <c r="A11" s="8">
        <v>10</v>
      </c>
      <c r="B11" s="29" t="s">
        <v>57</v>
      </c>
      <c r="C11" s="30"/>
      <c r="D11" s="24" t="s">
        <v>103</v>
      </c>
      <c r="E11" s="27" t="s">
        <v>58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39"/>
      <c r="AL11" s="40"/>
    </row>
    <row r="12" spans="1:38" s="10" customFormat="1" x14ac:dyDescent="0.2">
      <c r="A12" s="8">
        <v>10</v>
      </c>
      <c r="B12" s="8"/>
      <c r="C12" s="8"/>
      <c r="D12" s="8" t="s">
        <v>59</v>
      </c>
      <c r="E12" s="26" t="s">
        <v>60</v>
      </c>
      <c r="F12" s="26"/>
      <c r="G12" s="41" t="s">
        <v>123</v>
      </c>
      <c r="H12" s="41" t="s">
        <v>61</v>
      </c>
      <c r="I12" s="8" t="s">
        <v>62</v>
      </c>
      <c r="J12" s="8" t="s">
        <v>62</v>
      </c>
      <c r="K12" s="8"/>
      <c r="L12" s="8" t="s">
        <v>62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2"/>
      <c r="AJ12" s="43"/>
      <c r="AK12" s="39"/>
      <c r="AL12" s="40"/>
    </row>
    <row r="13" spans="1:38" s="10" customFormat="1" x14ac:dyDescent="0.2">
      <c r="A13" s="8">
        <v>10</v>
      </c>
      <c r="B13" s="8"/>
      <c r="C13" s="8"/>
      <c r="D13" s="8" t="s">
        <v>63</v>
      </c>
      <c r="E13" s="26" t="s">
        <v>64</v>
      </c>
      <c r="F13" s="26"/>
      <c r="G13" s="41" t="s">
        <v>124</v>
      </c>
      <c r="H13" s="41" t="s">
        <v>65</v>
      </c>
      <c r="I13" s="8" t="s">
        <v>62</v>
      </c>
      <c r="J13" s="8" t="s">
        <v>62</v>
      </c>
      <c r="K13" s="8"/>
      <c r="L13" s="8" t="s">
        <v>62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2"/>
      <c r="AJ13" s="43"/>
      <c r="AK13" s="39"/>
      <c r="AL13" s="40"/>
    </row>
    <row r="14" spans="1:38" s="10" customFormat="1" x14ac:dyDescent="0.2">
      <c r="A14" s="8">
        <v>10</v>
      </c>
      <c r="B14" s="8"/>
      <c r="C14" s="8"/>
      <c r="D14" s="8" t="s">
        <v>66</v>
      </c>
      <c r="E14" s="26" t="s">
        <v>67</v>
      </c>
      <c r="F14" s="26"/>
      <c r="G14" s="41" t="s">
        <v>125</v>
      </c>
      <c r="H14" s="41" t="s">
        <v>68</v>
      </c>
      <c r="I14" s="8" t="s">
        <v>62</v>
      </c>
      <c r="J14" s="8" t="s">
        <v>62</v>
      </c>
      <c r="K14" s="8"/>
      <c r="L14" s="8"/>
      <c r="M14" s="8"/>
      <c r="N14" s="8"/>
      <c r="O14" s="8"/>
      <c r="P14" s="8"/>
      <c r="Q14" s="8"/>
      <c r="R14" s="8"/>
      <c r="S14" s="8"/>
      <c r="T14" s="8" t="s">
        <v>69</v>
      </c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2"/>
      <c r="AJ14" s="43"/>
      <c r="AK14" s="39"/>
      <c r="AL14" s="40"/>
    </row>
    <row r="15" spans="1:38" s="10" customFormat="1" x14ac:dyDescent="0.2">
      <c r="A15" s="8">
        <v>10</v>
      </c>
      <c r="B15" s="8"/>
      <c r="C15" s="8"/>
      <c r="D15" s="8" t="s">
        <v>70</v>
      </c>
      <c r="E15" s="26" t="s">
        <v>67</v>
      </c>
      <c r="F15" s="26"/>
      <c r="G15" s="41" t="s">
        <v>126</v>
      </c>
      <c r="H15" s="41" t="s">
        <v>71</v>
      </c>
      <c r="I15" s="8" t="s">
        <v>62</v>
      </c>
      <c r="J15" s="8" t="s">
        <v>62</v>
      </c>
      <c r="K15" s="8"/>
      <c r="L15" s="8"/>
      <c r="M15" s="8"/>
      <c r="N15" s="8"/>
      <c r="O15" s="8"/>
      <c r="P15" s="8"/>
      <c r="Q15" s="8"/>
      <c r="R15" s="8"/>
      <c r="S15" s="8"/>
      <c r="T15" s="8" t="s">
        <v>69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2"/>
      <c r="AJ15" s="43"/>
      <c r="AK15" s="39"/>
      <c r="AL15" s="40"/>
    </row>
    <row r="16" spans="1:38" s="10" customFormat="1" x14ac:dyDescent="0.2">
      <c r="A16" s="8">
        <v>10</v>
      </c>
      <c r="B16" s="8"/>
      <c r="C16" s="8"/>
      <c r="D16" s="8" t="s">
        <v>72</v>
      </c>
      <c r="E16" s="26" t="s">
        <v>67</v>
      </c>
      <c r="F16" s="26"/>
      <c r="G16" s="41" t="s">
        <v>127</v>
      </c>
      <c r="H16" s="41" t="s">
        <v>73</v>
      </c>
      <c r="I16" s="8" t="s">
        <v>62</v>
      </c>
      <c r="J16" s="8" t="s">
        <v>62</v>
      </c>
      <c r="K16" s="8"/>
      <c r="L16" s="8"/>
      <c r="M16" s="8"/>
      <c r="N16" s="8"/>
      <c r="O16" s="8"/>
      <c r="P16" s="8"/>
      <c r="Q16" s="8"/>
      <c r="R16" s="8"/>
      <c r="S16" s="8"/>
      <c r="T16" s="8" t="s">
        <v>69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2"/>
      <c r="AJ16" s="43"/>
      <c r="AK16" s="39"/>
      <c r="AL16" s="40"/>
    </row>
    <row r="17" spans="1:38" s="10" customFormat="1" x14ac:dyDescent="0.2">
      <c r="A17" s="8">
        <v>10</v>
      </c>
      <c r="B17" s="8"/>
      <c r="C17" s="8"/>
      <c r="D17" s="8" t="s">
        <v>74</v>
      </c>
      <c r="E17" s="26" t="s">
        <v>67</v>
      </c>
      <c r="F17" s="26"/>
      <c r="G17" s="41" t="s">
        <v>128</v>
      </c>
      <c r="H17" s="41" t="s">
        <v>75</v>
      </c>
      <c r="I17" s="8" t="s">
        <v>62</v>
      </c>
      <c r="J17" s="8" t="s">
        <v>62</v>
      </c>
      <c r="K17" s="8"/>
      <c r="L17" s="8"/>
      <c r="M17" s="8"/>
      <c r="N17" s="8"/>
      <c r="O17" s="8"/>
      <c r="P17" s="8"/>
      <c r="Q17" s="8"/>
      <c r="R17" s="8"/>
      <c r="S17" s="8"/>
      <c r="T17" s="8" t="s">
        <v>69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2"/>
      <c r="AJ17" s="43"/>
      <c r="AK17" s="39"/>
      <c r="AL17" s="40"/>
    </row>
    <row r="18" spans="1:38" s="10" customFormat="1" x14ac:dyDescent="0.2">
      <c r="A18" s="8">
        <v>10</v>
      </c>
      <c r="B18" s="8"/>
      <c r="C18" s="8"/>
      <c r="D18" s="8" t="s">
        <v>76</v>
      </c>
      <c r="E18" s="26" t="s">
        <v>67</v>
      </c>
      <c r="F18" s="26"/>
      <c r="G18" s="41" t="s">
        <v>129</v>
      </c>
      <c r="H18" s="41" t="s">
        <v>77</v>
      </c>
      <c r="I18" s="8" t="s">
        <v>62</v>
      </c>
      <c r="J18" s="8" t="s">
        <v>62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2"/>
      <c r="AJ18" s="43"/>
      <c r="AK18" s="39"/>
      <c r="AL18" s="40"/>
    </row>
    <row r="19" spans="1:38" s="10" customFormat="1" ht="26" x14ac:dyDescent="0.2">
      <c r="A19" s="8">
        <v>10</v>
      </c>
      <c r="B19" s="8"/>
      <c r="C19" s="8"/>
      <c r="D19" s="8" t="s">
        <v>101</v>
      </c>
      <c r="E19" s="26" t="s">
        <v>67</v>
      </c>
      <c r="F19" s="26"/>
      <c r="G19" s="41" t="s">
        <v>130</v>
      </c>
      <c r="H19" s="41" t="s">
        <v>105</v>
      </c>
      <c r="I19" s="8" t="s">
        <v>62</v>
      </c>
      <c r="J19" s="8" t="s">
        <v>62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2"/>
      <c r="AJ19" s="43"/>
      <c r="AK19" s="39"/>
      <c r="AL19" s="40"/>
    </row>
    <row r="20" spans="1:38" s="10" customFormat="1" x14ac:dyDescent="0.2">
      <c r="A20" s="8">
        <v>10</v>
      </c>
      <c r="B20" s="8"/>
      <c r="C20" s="8"/>
      <c r="D20" s="8" t="s">
        <v>78</v>
      </c>
      <c r="E20" s="26" t="s">
        <v>67</v>
      </c>
      <c r="F20" s="26"/>
      <c r="G20" s="41" t="s">
        <v>131</v>
      </c>
      <c r="H20" s="41" t="s">
        <v>79</v>
      </c>
      <c r="I20" s="8" t="s">
        <v>80</v>
      </c>
      <c r="J20" s="8" t="s">
        <v>62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42"/>
      <c r="AJ20" s="43"/>
      <c r="AK20" s="39"/>
      <c r="AL20" s="40"/>
    </row>
    <row r="21" spans="1:38" s="10" customFormat="1" x14ac:dyDescent="0.2">
      <c r="A21" s="22"/>
      <c r="B21" s="23"/>
      <c r="C21" s="23"/>
      <c r="D21" s="16" t="s">
        <v>16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9"/>
      <c r="AI21" s="9"/>
      <c r="AJ21" s="9"/>
      <c r="AK21" s="9"/>
      <c r="AL21" s="44"/>
    </row>
    <row r="22" spans="1:38" s="10" customFormat="1" x14ac:dyDescent="0.2">
      <c r="A22" s="53"/>
      <c r="AL22" s="45"/>
    </row>
    <row r="23" spans="1:38" s="10" customFormat="1" x14ac:dyDescent="0.2">
      <c r="A23" s="53"/>
      <c r="AL23" s="45"/>
    </row>
    <row r="24" spans="1:38" s="10" customFormat="1" x14ac:dyDescent="0.2">
      <c r="A24" s="53"/>
      <c r="AL24" s="45"/>
    </row>
    <row r="25" spans="1:38" s="10" customFormat="1" x14ac:dyDescent="0.2">
      <c r="A25" s="59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46"/>
    </row>
  </sheetData>
  <mergeCells count="3">
    <mergeCell ref="AK8:AL8"/>
    <mergeCell ref="AI9:AJ9"/>
    <mergeCell ref="AK9:AL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5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41.0898437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1" t="s">
        <v>17</v>
      </c>
      <c r="B1" s="51" t="s">
        <v>17</v>
      </c>
      <c r="C1" s="51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2" t="s">
        <v>109</v>
      </c>
      <c r="E2" s="7" t="s">
        <v>1</v>
      </c>
      <c r="F2" s="52" t="str">
        <f>IF(LogicCommon!C2="","",LogicCommon!C2)</f>
        <v>MG</v>
      </c>
      <c r="G2" s="7" t="s">
        <v>3</v>
      </c>
      <c r="H2" s="52" t="str">
        <f>IF(LogicCommon!E2="","",LogicCommon!E2)</f>
        <v>MGBBL5010</v>
      </c>
      <c r="I2" s="7" t="s">
        <v>19</v>
      </c>
      <c r="J2" s="8" t="s">
        <v>81</v>
      </c>
      <c r="K2" s="7" t="s">
        <v>5</v>
      </c>
      <c r="L2" s="52" t="str">
        <f>IF(LogicCommon!G2="","",LogicCommon!G2)</f>
        <v>MC</v>
      </c>
      <c r="M2" s="5" t="s">
        <v>21</v>
      </c>
      <c r="N2" s="24" t="s">
        <v>108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17</v>
      </c>
      <c r="B3" s="54"/>
      <c r="C3" s="54"/>
      <c r="D3" s="55" t="str">
        <f>IF(LogicCommon!A3="","",LogicCommon!A3)</f>
        <v/>
      </c>
      <c r="E3" s="7" t="s">
        <v>7</v>
      </c>
      <c r="F3" s="52" t="str">
        <f>IF(LogicCommon!C3="","",LogicCommon!C3)</f>
        <v>MGBB</v>
      </c>
      <c r="G3" s="7" t="s">
        <v>9</v>
      </c>
      <c r="H3" s="52" t="str">
        <f>IF(LogicCommon!E3="","",LogicCommon!E3)</f>
        <v>MGBBL_PcmIfService</v>
      </c>
      <c r="I3" s="7" t="s">
        <v>22</v>
      </c>
      <c r="J3" s="8" t="s">
        <v>23</v>
      </c>
      <c r="K3" s="7" t="s">
        <v>11</v>
      </c>
      <c r="L3" s="52" t="str">
        <f>IF(LogicCommon!G3="","",LogicCommon!G3)</f>
        <v/>
      </c>
      <c r="M3" s="4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3" t="s">
        <v>17</v>
      </c>
      <c r="B4" s="54"/>
      <c r="C4" s="54"/>
      <c r="D4" s="4"/>
      <c r="E4" s="7" t="s">
        <v>26</v>
      </c>
      <c r="F4" s="56" t="s">
        <v>27</v>
      </c>
      <c r="G4" s="7" t="s">
        <v>12</v>
      </c>
      <c r="H4" s="52" t="str">
        <f>IF(LogicCommon!E4="","",LogicCommon!E4)</f>
        <v>原価ＩＦデータ取込サービス</v>
      </c>
      <c r="I4" s="7" t="s">
        <v>28</v>
      </c>
      <c r="J4" s="8" t="s">
        <v>82</v>
      </c>
      <c r="K4" s="7" t="s">
        <v>14</v>
      </c>
      <c r="L4" s="52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17</v>
      </c>
      <c r="B5" s="51"/>
      <c r="C5" s="51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3" t="s">
        <v>17</v>
      </c>
      <c r="B6" s="54"/>
      <c r="C6" s="54"/>
      <c r="D6" s="4" t="s">
        <v>15</v>
      </c>
      <c r="E6" s="12" t="s">
        <v>83</v>
      </c>
      <c r="F6" s="12"/>
      <c r="G6" s="12"/>
      <c r="H6" s="12"/>
      <c r="I6" s="12"/>
      <c r="J6" s="12"/>
      <c r="K6" s="12"/>
      <c r="L6" s="61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104</v>
      </c>
      <c r="L7" s="25" t="s">
        <v>36</v>
      </c>
      <c r="M7" s="26"/>
      <c r="N7" s="25" t="s">
        <v>36</v>
      </c>
      <c r="O7" s="26"/>
      <c r="P7" s="25" t="s">
        <v>36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3"/>
      <c r="C8" s="64"/>
      <c r="D8" s="25" t="s">
        <v>110</v>
      </c>
      <c r="E8" s="25" t="s">
        <v>111</v>
      </c>
      <c r="F8" s="61"/>
      <c r="G8" s="25" t="s">
        <v>37</v>
      </c>
      <c r="H8" s="25" t="s">
        <v>112</v>
      </c>
      <c r="I8" s="61"/>
      <c r="J8" s="3"/>
      <c r="K8" s="8"/>
      <c r="L8" s="25" t="s">
        <v>56</v>
      </c>
      <c r="M8" s="26"/>
      <c r="N8" s="25" t="s">
        <v>56</v>
      </c>
      <c r="O8" s="26"/>
      <c r="P8" s="25" t="s">
        <v>56</v>
      </c>
      <c r="Q8" s="26"/>
      <c r="R8" s="3"/>
      <c r="S8" s="21"/>
      <c r="T8" s="119" t="s">
        <v>121</v>
      </c>
      <c r="U8" s="120"/>
    </row>
    <row r="9" spans="1:21" s="10" customFormat="1" ht="60" customHeight="1" x14ac:dyDescent="0.2">
      <c r="A9" s="8" t="s">
        <v>34</v>
      </c>
      <c r="B9" s="29"/>
      <c r="C9" s="30"/>
      <c r="D9" s="25" t="s">
        <v>132</v>
      </c>
      <c r="E9" s="65" t="s">
        <v>133</v>
      </c>
      <c r="F9" s="25" t="s">
        <v>115</v>
      </c>
      <c r="G9" s="25" t="s">
        <v>116</v>
      </c>
      <c r="H9" s="25" t="s">
        <v>117</v>
      </c>
      <c r="I9" s="66" t="s">
        <v>118</v>
      </c>
      <c r="J9" s="25" t="s">
        <v>119</v>
      </c>
      <c r="K9" s="62"/>
      <c r="L9" s="66"/>
      <c r="M9" s="25"/>
      <c r="N9" s="66"/>
      <c r="O9" s="25"/>
      <c r="P9" s="66"/>
      <c r="Q9" s="25"/>
      <c r="R9" s="119" t="s">
        <v>120</v>
      </c>
      <c r="S9" s="120"/>
      <c r="T9" s="119" t="s">
        <v>122</v>
      </c>
      <c r="U9" s="120"/>
    </row>
    <row r="10" spans="1:21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118</v>
      </c>
      <c r="M10" s="25" t="s">
        <v>119</v>
      </c>
      <c r="N10" s="25" t="s">
        <v>118</v>
      </c>
      <c r="O10" s="25" t="s">
        <v>119</v>
      </c>
      <c r="P10" s="25" t="s">
        <v>118</v>
      </c>
      <c r="Q10" s="25" t="s">
        <v>119</v>
      </c>
      <c r="R10" s="31"/>
      <c r="S10" s="31"/>
      <c r="T10" s="36"/>
      <c r="U10" s="50"/>
    </row>
    <row r="11" spans="1:21" s="10" customFormat="1" x14ac:dyDescent="0.2">
      <c r="A11" s="8">
        <v>10</v>
      </c>
      <c r="B11" s="29" t="s">
        <v>84</v>
      </c>
      <c r="C11" s="30"/>
      <c r="D11" s="24" t="s">
        <v>85</v>
      </c>
      <c r="E11" s="27" t="s">
        <v>58</v>
      </c>
      <c r="F11" s="37"/>
      <c r="G11" s="24" t="s">
        <v>86</v>
      </c>
      <c r="H11" s="28" t="s">
        <v>87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39"/>
      <c r="U11" s="40"/>
    </row>
    <row r="12" spans="1:21" s="10" customFormat="1" x14ac:dyDescent="0.2">
      <c r="A12" s="8">
        <v>10</v>
      </c>
      <c r="B12" s="8"/>
      <c r="C12" s="8"/>
      <c r="D12" s="8" t="s">
        <v>88</v>
      </c>
      <c r="E12" s="26" t="s">
        <v>60</v>
      </c>
      <c r="F12" s="26"/>
      <c r="G12" s="41" t="s">
        <v>123</v>
      </c>
      <c r="H12" s="41" t="s">
        <v>61</v>
      </c>
      <c r="I12" s="8" t="s">
        <v>62</v>
      </c>
      <c r="J12" s="8" t="s">
        <v>89</v>
      </c>
      <c r="K12" s="8"/>
      <c r="L12" s="8"/>
      <c r="M12" s="8"/>
      <c r="N12" s="8"/>
      <c r="O12" s="8"/>
      <c r="P12" s="8"/>
      <c r="Q12" s="8"/>
      <c r="R12" s="42"/>
      <c r="S12" s="43"/>
      <c r="T12" s="39"/>
      <c r="U12" s="40"/>
    </row>
    <row r="13" spans="1:21" s="10" customFormat="1" x14ac:dyDescent="0.2">
      <c r="A13" s="8">
        <v>10</v>
      </c>
      <c r="B13" s="8"/>
      <c r="C13" s="8"/>
      <c r="D13" s="8" t="s">
        <v>63</v>
      </c>
      <c r="E13" s="26" t="s">
        <v>64</v>
      </c>
      <c r="F13" s="26"/>
      <c r="G13" s="41" t="s">
        <v>124</v>
      </c>
      <c r="H13" s="41" t="s">
        <v>65</v>
      </c>
      <c r="I13" s="8" t="s">
        <v>62</v>
      </c>
      <c r="J13" s="8" t="s">
        <v>89</v>
      </c>
      <c r="K13" s="8"/>
      <c r="L13" s="8"/>
      <c r="M13" s="8"/>
      <c r="N13" s="8"/>
      <c r="O13" s="8"/>
      <c r="P13" s="8"/>
      <c r="Q13" s="8"/>
      <c r="R13" s="42"/>
      <c r="S13" s="43"/>
      <c r="T13" s="39"/>
      <c r="U13" s="40"/>
    </row>
    <row r="14" spans="1:21" s="10" customFormat="1" x14ac:dyDescent="0.2">
      <c r="A14" s="8">
        <v>10</v>
      </c>
      <c r="B14" s="8"/>
      <c r="C14" s="8"/>
      <c r="D14" s="8" t="s">
        <v>90</v>
      </c>
      <c r="E14" s="26" t="s">
        <v>67</v>
      </c>
      <c r="F14" s="26"/>
      <c r="G14" s="41" t="s">
        <v>125</v>
      </c>
      <c r="H14" s="41" t="s">
        <v>68</v>
      </c>
      <c r="I14" s="8" t="s">
        <v>62</v>
      </c>
      <c r="J14" s="8" t="s">
        <v>89</v>
      </c>
      <c r="K14" s="8"/>
      <c r="L14" s="8"/>
      <c r="M14" s="8"/>
      <c r="N14" s="8"/>
      <c r="O14" s="8"/>
      <c r="P14" s="8"/>
      <c r="Q14" s="8"/>
      <c r="R14" s="42"/>
      <c r="S14" s="43"/>
      <c r="T14" s="39"/>
      <c r="U14" s="40"/>
    </row>
    <row r="15" spans="1:21" s="10" customFormat="1" x14ac:dyDescent="0.2">
      <c r="A15" s="8">
        <v>10</v>
      </c>
      <c r="B15" s="8"/>
      <c r="C15" s="8"/>
      <c r="D15" s="8" t="s">
        <v>91</v>
      </c>
      <c r="E15" s="26" t="s">
        <v>67</v>
      </c>
      <c r="F15" s="26"/>
      <c r="G15" s="41" t="s">
        <v>126</v>
      </c>
      <c r="H15" s="41" t="s">
        <v>71</v>
      </c>
      <c r="I15" s="8" t="s">
        <v>62</v>
      </c>
      <c r="J15" s="8" t="s">
        <v>89</v>
      </c>
      <c r="K15" s="8"/>
      <c r="L15" s="8"/>
      <c r="M15" s="8"/>
      <c r="N15" s="8"/>
      <c r="O15" s="8"/>
      <c r="P15" s="8"/>
      <c r="Q15" s="8"/>
      <c r="R15" s="42"/>
      <c r="S15" s="43"/>
      <c r="T15" s="39"/>
      <c r="U15" s="40"/>
    </row>
    <row r="16" spans="1:21" s="10" customFormat="1" x14ac:dyDescent="0.2">
      <c r="A16" s="8">
        <v>10</v>
      </c>
      <c r="B16" s="8"/>
      <c r="C16" s="8"/>
      <c r="D16" s="8" t="s">
        <v>92</v>
      </c>
      <c r="E16" s="26" t="s">
        <v>67</v>
      </c>
      <c r="F16" s="26"/>
      <c r="G16" s="41" t="s">
        <v>127</v>
      </c>
      <c r="H16" s="41" t="s">
        <v>73</v>
      </c>
      <c r="I16" s="8" t="s">
        <v>62</v>
      </c>
      <c r="J16" s="8" t="s">
        <v>89</v>
      </c>
      <c r="K16" s="8"/>
      <c r="L16" s="8"/>
      <c r="M16" s="8"/>
      <c r="N16" s="8"/>
      <c r="O16" s="8"/>
      <c r="P16" s="8"/>
      <c r="Q16" s="8"/>
      <c r="R16" s="42"/>
      <c r="S16" s="43"/>
      <c r="T16" s="39"/>
      <c r="U16" s="40"/>
    </row>
    <row r="17" spans="1:21" s="10" customFormat="1" x14ac:dyDescent="0.2">
      <c r="A17" s="8">
        <v>10</v>
      </c>
      <c r="B17" s="8"/>
      <c r="C17" s="8"/>
      <c r="D17" s="8" t="s">
        <v>93</v>
      </c>
      <c r="E17" s="26" t="s">
        <v>67</v>
      </c>
      <c r="F17" s="26"/>
      <c r="G17" s="41" t="s">
        <v>128</v>
      </c>
      <c r="H17" s="41" t="s">
        <v>75</v>
      </c>
      <c r="I17" s="8" t="s">
        <v>62</v>
      </c>
      <c r="J17" s="8" t="s">
        <v>89</v>
      </c>
      <c r="K17" s="8"/>
      <c r="L17" s="8"/>
      <c r="M17" s="8"/>
      <c r="N17" s="8"/>
      <c r="O17" s="8"/>
      <c r="P17" s="8"/>
      <c r="Q17" s="8"/>
      <c r="R17" s="42"/>
      <c r="S17" s="43"/>
      <c r="T17" s="39"/>
      <c r="U17" s="40"/>
    </row>
    <row r="18" spans="1:21" s="10" customFormat="1" x14ac:dyDescent="0.2">
      <c r="A18" s="8">
        <v>10</v>
      </c>
      <c r="B18" s="8"/>
      <c r="C18" s="8"/>
      <c r="D18" s="8" t="s">
        <v>76</v>
      </c>
      <c r="E18" s="26" t="s">
        <v>67</v>
      </c>
      <c r="F18" s="26"/>
      <c r="G18" s="41" t="s">
        <v>129</v>
      </c>
      <c r="H18" s="41" t="s">
        <v>77</v>
      </c>
      <c r="I18" s="8" t="s">
        <v>62</v>
      </c>
      <c r="J18" s="8" t="s">
        <v>89</v>
      </c>
      <c r="K18" s="8"/>
      <c r="L18" s="8"/>
      <c r="M18" s="8"/>
      <c r="N18" s="8"/>
      <c r="O18" s="8"/>
      <c r="P18" s="8"/>
      <c r="Q18" s="8"/>
      <c r="R18" s="42"/>
      <c r="S18" s="43"/>
      <c r="T18" s="39"/>
      <c r="U18" s="40"/>
    </row>
    <row r="19" spans="1:21" s="10" customFormat="1" ht="26" x14ac:dyDescent="0.2">
      <c r="A19" s="8">
        <v>10</v>
      </c>
      <c r="B19" s="8"/>
      <c r="C19" s="8"/>
      <c r="D19" s="8" t="s">
        <v>102</v>
      </c>
      <c r="E19" s="26" t="s">
        <v>67</v>
      </c>
      <c r="F19" s="26"/>
      <c r="G19" s="41" t="s">
        <v>130</v>
      </c>
      <c r="H19" s="41" t="s">
        <v>105</v>
      </c>
      <c r="I19" s="8" t="s">
        <v>62</v>
      </c>
      <c r="J19" s="8" t="s">
        <v>89</v>
      </c>
      <c r="K19" s="8"/>
      <c r="L19" s="8"/>
      <c r="M19" s="8"/>
      <c r="N19" s="8"/>
      <c r="O19" s="8"/>
      <c r="P19" s="8"/>
      <c r="Q19" s="8"/>
      <c r="R19" s="42"/>
      <c r="S19" s="43"/>
      <c r="T19" s="39"/>
      <c r="U19" s="40"/>
    </row>
    <row r="20" spans="1:21" s="10" customFormat="1" x14ac:dyDescent="0.2">
      <c r="A20" s="8">
        <v>10</v>
      </c>
      <c r="B20" s="8"/>
      <c r="C20" s="8"/>
      <c r="D20" s="8" t="s">
        <v>78</v>
      </c>
      <c r="E20" s="26" t="s">
        <v>67</v>
      </c>
      <c r="F20" s="26"/>
      <c r="G20" s="41" t="s">
        <v>131</v>
      </c>
      <c r="H20" s="41" t="s">
        <v>94</v>
      </c>
      <c r="I20" s="8" t="s">
        <v>89</v>
      </c>
      <c r="J20" s="8" t="s">
        <v>62</v>
      </c>
      <c r="K20" s="8"/>
      <c r="L20" s="8"/>
      <c r="M20" s="8"/>
      <c r="N20" s="8"/>
      <c r="O20" s="8"/>
      <c r="P20" s="8"/>
      <c r="Q20" s="8"/>
      <c r="R20" s="42"/>
      <c r="S20" s="43"/>
      <c r="T20" s="39"/>
      <c r="U20" s="40"/>
    </row>
    <row r="21" spans="1:21" s="10" customFormat="1" x14ac:dyDescent="0.2">
      <c r="A21" s="22"/>
      <c r="B21" s="23"/>
      <c r="C21" s="23"/>
      <c r="D21" s="16" t="s">
        <v>16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9"/>
      <c r="R21" s="9"/>
      <c r="S21" s="9"/>
      <c r="T21" s="9"/>
      <c r="U21" s="44"/>
    </row>
    <row r="22" spans="1:21" s="10" customFormat="1" x14ac:dyDescent="0.2">
      <c r="A22" s="53"/>
      <c r="U22" s="45"/>
    </row>
    <row r="23" spans="1:21" s="10" customFormat="1" x14ac:dyDescent="0.2">
      <c r="A23" s="53"/>
      <c r="U23" s="45"/>
    </row>
    <row r="24" spans="1:21" s="10" customFormat="1" x14ac:dyDescent="0.2">
      <c r="A24" s="53"/>
      <c r="U24" s="45"/>
    </row>
    <row r="25" spans="1:21" s="10" customFormat="1" x14ac:dyDescent="0.2">
      <c r="A25" s="59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46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7" customWidth="1"/>
    <col min="43" max="44" width="2.08984375" style="49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ht="38.25" customHeight="1" thickBot="1" x14ac:dyDescent="0.25">
      <c r="A1" s="97" t="s">
        <v>95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spans="1:57" ht="15" customHeight="1" thickBot="1" x14ac:dyDescent="0.25">
      <c r="A3" s="100" t="s">
        <v>96</v>
      </c>
      <c r="B3" s="101"/>
      <c r="C3" s="101"/>
      <c r="D3" s="101"/>
      <c r="E3" s="101"/>
      <c r="F3" s="101"/>
      <c r="G3" s="102"/>
      <c r="H3" s="103" t="s">
        <v>97</v>
      </c>
      <c r="I3" s="101"/>
      <c r="J3" s="101"/>
      <c r="K3" s="101"/>
      <c r="L3" s="101"/>
      <c r="M3" s="101"/>
      <c r="N3" s="102"/>
      <c r="O3" s="103" t="s">
        <v>98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99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4" t="s">
        <v>100</v>
      </c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/>
      <c r="AQ4" s="117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8"/>
    </row>
    <row r="5" spans="1:57" ht="15" customHeight="1" x14ac:dyDescent="0.2">
      <c r="A5" s="67">
        <v>1.1000000000000001</v>
      </c>
      <c r="B5" s="68"/>
      <c r="C5" s="68"/>
      <c r="D5" s="68"/>
      <c r="E5" s="68"/>
      <c r="F5" s="68"/>
      <c r="G5" s="69"/>
      <c r="H5" s="70"/>
      <c r="I5" s="71"/>
      <c r="J5" s="71"/>
      <c r="K5" s="71"/>
      <c r="L5" s="71"/>
      <c r="M5" s="71"/>
      <c r="N5" s="72"/>
      <c r="O5" s="91" t="s">
        <v>134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135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67"/>
      <c r="B6" s="68"/>
      <c r="C6" s="68"/>
      <c r="D6" s="68"/>
      <c r="E6" s="68"/>
      <c r="F6" s="68"/>
      <c r="G6" s="69"/>
      <c r="H6" s="70"/>
      <c r="I6" s="71"/>
      <c r="J6" s="71"/>
      <c r="K6" s="71"/>
      <c r="L6" s="71"/>
      <c r="M6" s="71"/>
      <c r="N6" s="72"/>
      <c r="O6" s="73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5"/>
      <c r="AQ6" s="76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7"/>
    </row>
    <row r="7" spans="1:57" ht="15" customHeight="1" x14ac:dyDescent="0.2">
      <c r="A7" s="67"/>
      <c r="B7" s="68"/>
      <c r="C7" s="68"/>
      <c r="D7" s="68"/>
      <c r="E7" s="68"/>
      <c r="F7" s="68"/>
      <c r="G7" s="69"/>
      <c r="H7" s="70"/>
      <c r="I7" s="71"/>
      <c r="J7" s="71"/>
      <c r="K7" s="71"/>
      <c r="L7" s="71"/>
      <c r="M7" s="71"/>
      <c r="N7" s="72"/>
      <c r="O7" s="73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90"/>
      <c r="AQ7" s="76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7"/>
    </row>
    <row r="8" spans="1:57" ht="15" customHeight="1" x14ac:dyDescent="0.2">
      <c r="A8" s="67"/>
      <c r="B8" s="68"/>
      <c r="C8" s="68"/>
      <c r="D8" s="68"/>
      <c r="E8" s="68"/>
      <c r="F8" s="68"/>
      <c r="G8" s="69"/>
      <c r="H8" s="70"/>
      <c r="I8" s="71"/>
      <c r="J8" s="71"/>
      <c r="K8" s="71"/>
      <c r="L8" s="71"/>
      <c r="M8" s="71"/>
      <c r="N8" s="72"/>
      <c r="O8" s="73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5"/>
      <c r="AQ8" s="76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7"/>
    </row>
    <row r="9" spans="1:57" ht="15" customHeight="1" x14ac:dyDescent="0.2">
      <c r="A9" s="67"/>
      <c r="B9" s="68"/>
      <c r="C9" s="68"/>
      <c r="D9" s="68"/>
      <c r="E9" s="68"/>
      <c r="F9" s="68"/>
      <c r="G9" s="69"/>
      <c r="H9" s="70"/>
      <c r="I9" s="71"/>
      <c r="J9" s="71"/>
      <c r="K9" s="71"/>
      <c r="L9" s="71"/>
      <c r="M9" s="71"/>
      <c r="N9" s="72"/>
      <c r="O9" s="73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5"/>
      <c r="AQ9" s="76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7"/>
    </row>
    <row r="10" spans="1:57" ht="15" customHeight="1" x14ac:dyDescent="0.2">
      <c r="A10" s="67"/>
      <c r="B10" s="68"/>
      <c r="C10" s="68"/>
      <c r="D10" s="68"/>
      <c r="E10" s="68"/>
      <c r="F10" s="68"/>
      <c r="G10" s="69"/>
      <c r="H10" s="70"/>
      <c r="I10" s="71"/>
      <c r="J10" s="71"/>
      <c r="K10" s="71"/>
      <c r="L10" s="71"/>
      <c r="M10" s="71"/>
      <c r="N10" s="72"/>
      <c r="O10" s="73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5"/>
      <c r="AQ10" s="76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7"/>
    </row>
    <row r="11" spans="1:57" ht="15" customHeight="1" x14ac:dyDescent="0.2">
      <c r="A11" s="67"/>
      <c r="B11" s="68"/>
      <c r="C11" s="68"/>
      <c r="D11" s="68"/>
      <c r="E11" s="68"/>
      <c r="F11" s="68"/>
      <c r="G11" s="69"/>
      <c r="H11" s="70"/>
      <c r="I11" s="71"/>
      <c r="J11" s="71"/>
      <c r="K11" s="71"/>
      <c r="L11" s="71"/>
      <c r="M11" s="71"/>
      <c r="N11" s="72"/>
      <c r="O11" s="73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5"/>
      <c r="AQ11" s="76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7"/>
    </row>
    <row r="12" spans="1:57" ht="15" customHeight="1" x14ac:dyDescent="0.2">
      <c r="A12" s="67"/>
      <c r="B12" s="68"/>
      <c r="C12" s="68"/>
      <c r="D12" s="68"/>
      <c r="E12" s="68"/>
      <c r="F12" s="68"/>
      <c r="G12" s="69"/>
      <c r="H12" s="70"/>
      <c r="I12" s="71"/>
      <c r="J12" s="71"/>
      <c r="K12" s="71"/>
      <c r="L12" s="71"/>
      <c r="M12" s="71"/>
      <c r="N12" s="72"/>
      <c r="O12" s="73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5"/>
      <c r="AQ12" s="76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7"/>
    </row>
    <row r="13" spans="1:57" ht="15" customHeight="1" x14ac:dyDescent="0.2">
      <c r="A13" s="67"/>
      <c r="B13" s="68"/>
      <c r="C13" s="68"/>
      <c r="D13" s="68"/>
      <c r="E13" s="68"/>
      <c r="F13" s="68"/>
      <c r="G13" s="69"/>
      <c r="H13" s="70"/>
      <c r="I13" s="71"/>
      <c r="J13" s="71"/>
      <c r="K13" s="71"/>
      <c r="L13" s="71"/>
      <c r="M13" s="71"/>
      <c r="N13" s="72"/>
      <c r="O13" s="73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5"/>
      <c r="AQ13" s="76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7"/>
    </row>
    <row r="14" spans="1:57" ht="15" customHeight="1" x14ac:dyDescent="0.2">
      <c r="A14" s="67"/>
      <c r="B14" s="68"/>
      <c r="C14" s="68"/>
      <c r="D14" s="68"/>
      <c r="E14" s="68"/>
      <c r="F14" s="68"/>
      <c r="G14" s="69"/>
      <c r="H14" s="70"/>
      <c r="I14" s="71"/>
      <c r="J14" s="71"/>
      <c r="K14" s="71"/>
      <c r="L14" s="71"/>
      <c r="M14" s="71"/>
      <c r="N14" s="72"/>
      <c r="O14" s="73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5"/>
      <c r="AQ14" s="76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7"/>
    </row>
    <row r="15" spans="1:57" ht="15" customHeight="1" x14ac:dyDescent="0.2">
      <c r="A15" s="67"/>
      <c r="B15" s="68"/>
      <c r="C15" s="68"/>
      <c r="D15" s="68"/>
      <c r="E15" s="68"/>
      <c r="F15" s="68"/>
      <c r="G15" s="69"/>
      <c r="H15" s="70"/>
      <c r="I15" s="71"/>
      <c r="J15" s="71"/>
      <c r="K15" s="71"/>
      <c r="L15" s="71"/>
      <c r="M15" s="71"/>
      <c r="N15" s="72"/>
      <c r="O15" s="73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5"/>
      <c r="AQ15" s="76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7"/>
    </row>
    <row r="16" spans="1:57" ht="15" customHeight="1" x14ac:dyDescent="0.2">
      <c r="A16" s="67"/>
      <c r="B16" s="68"/>
      <c r="C16" s="68"/>
      <c r="D16" s="68"/>
      <c r="E16" s="68"/>
      <c r="F16" s="68"/>
      <c r="G16" s="69"/>
      <c r="H16" s="70"/>
      <c r="I16" s="71"/>
      <c r="J16" s="71"/>
      <c r="K16" s="71"/>
      <c r="L16" s="71"/>
      <c r="M16" s="71"/>
      <c r="N16" s="72"/>
      <c r="O16" s="73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5"/>
      <c r="AQ16" s="76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7"/>
    </row>
    <row r="17" spans="1:57" ht="15" customHeight="1" x14ac:dyDescent="0.2">
      <c r="A17" s="67"/>
      <c r="B17" s="68"/>
      <c r="C17" s="68"/>
      <c r="D17" s="68"/>
      <c r="E17" s="68"/>
      <c r="F17" s="68"/>
      <c r="G17" s="69"/>
      <c r="H17" s="70"/>
      <c r="I17" s="71"/>
      <c r="J17" s="71"/>
      <c r="K17" s="71"/>
      <c r="L17" s="71"/>
      <c r="M17" s="71"/>
      <c r="N17" s="72"/>
      <c r="O17" s="73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5"/>
      <c r="AQ17" s="76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7"/>
    </row>
    <row r="18" spans="1:57" ht="15" customHeight="1" x14ac:dyDescent="0.2">
      <c r="A18" s="67"/>
      <c r="B18" s="68"/>
      <c r="C18" s="68"/>
      <c r="D18" s="68"/>
      <c r="E18" s="68"/>
      <c r="F18" s="68"/>
      <c r="G18" s="69"/>
      <c r="H18" s="70"/>
      <c r="I18" s="71"/>
      <c r="J18" s="71"/>
      <c r="K18" s="71"/>
      <c r="L18" s="71"/>
      <c r="M18" s="71"/>
      <c r="N18" s="72"/>
      <c r="O18" s="73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5"/>
      <c r="AQ18" s="76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7"/>
    </row>
    <row r="19" spans="1:57" ht="15" customHeight="1" x14ac:dyDescent="0.2">
      <c r="A19" s="67"/>
      <c r="B19" s="68"/>
      <c r="C19" s="68"/>
      <c r="D19" s="68"/>
      <c r="E19" s="68"/>
      <c r="F19" s="68"/>
      <c r="G19" s="69"/>
      <c r="H19" s="70"/>
      <c r="I19" s="71"/>
      <c r="J19" s="71"/>
      <c r="K19" s="71"/>
      <c r="L19" s="71"/>
      <c r="M19" s="71"/>
      <c r="N19" s="72"/>
      <c r="O19" s="73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5"/>
      <c r="AQ19" s="76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7"/>
    </row>
    <row r="20" spans="1:57" ht="15" customHeight="1" x14ac:dyDescent="0.2">
      <c r="A20" s="67"/>
      <c r="B20" s="68"/>
      <c r="C20" s="68"/>
      <c r="D20" s="68"/>
      <c r="E20" s="68"/>
      <c r="F20" s="68"/>
      <c r="G20" s="69"/>
      <c r="H20" s="70"/>
      <c r="I20" s="71"/>
      <c r="J20" s="71"/>
      <c r="K20" s="71"/>
      <c r="L20" s="71"/>
      <c r="M20" s="71"/>
      <c r="N20" s="72"/>
      <c r="O20" s="73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5"/>
      <c r="AQ20" s="76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7"/>
    </row>
    <row r="21" spans="1:57" ht="15" customHeight="1" x14ac:dyDescent="0.2">
      <c r="A21" s="67"/>
      <c r="B21" s="68"/>
      <c r="C21" s="68"/>
      <c r="D21" s="68"/>
      <c r="E21" s="68"/>
      <c r="F21" s="68"/>
      <c r="G21" s="69"/>
      <c r="H21" s="70"/>
      <c r="I21" s="71"/>
      <c r="J21" s="71"/>
      <c r="K21" s="71"/>
      <c r="L21" s="71"/>
      <c r="M21" s="71"/>
      <c r="N21" s="72"/>
      <c r="O21" s="73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5"/>
      <c r="AQ21" s="76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7"/>
    </row>
    <row r="22" spans="1:57" ht="15" customHeight="1" x14ac:dyDescent="0.2">
      <c r="A22" s="67"/>
      <c r="B22" s="68"/>
      <c r="C22" s="68"/>
      <c r="D22" s="68"/>
      <c r="E22" s="68"/>
      <c r="F22" s="68"/>
      <c r="G22" s="69"/>
      <c r="H22" s="70"/>
      <c r="I22" s="71"/>
      <c r="J22" s="71"/>
      <c r="K22" s="71"/>
      <c r="L22" s="71"/>
      <c r="M22" s="71"/>
      <c r="N22" s="72"/>
      <c r="O22" s="73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5"/>
      <c r="AQ22" s="76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7"/>
    </row>
    <row r="23" spans="1:57" ht="15" customHeight="1" x14ac:dyDescent="0.2">
      <c r="A23" s="67"/>
      <c r="B23" s="68"/>
      <c r="C23" s="68"/>
      <c r="D23" s="68"/>
      <c r="E23" s="68"/>
      <c r="F23" s="68"/>
      <c r="G23" s="69"/>
      <c r="H23" s="70"/>
      <c r="I23" s="71"/>
      <c r="J23" s="71"/>
      <c r="K23" s="71"/>
      <c r="L23" s="71"/>
      <c r="M23" s="71"/>
      <c r="N23" s="72"/>
      <c r="O23" s="73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5"/>
      <c r="AQ23" s="76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7"/>
    </row>
    <row r="24" spans="1:57" ht="15" customHeight="1" x14ac:dyDescent="0.2">
      <c r="A24" s="67"/>
      <c r="B24" s="68"/>
      <c r="C24" s="68"/>
      <c r="D24" s="68"/>
      <c r="E24" s="68"/>
      <c r="F24" s="68"/>
      <c r="G24" s="69"/>
      <c r="H24" s="70"/>
      <c r="I24" s="71"/>
      <c r="J24" s="71"/>
      <c r="K24" s="71"/>
      <c r="L24" s="71"/>
      <c r="M24" s="71"/>
      <c r="N24" s="72"/>
      <c r="O24" s="73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5"/>
      <c r="AQ24" s="76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7"/>
    </row>
    <row r="25" spans="1:57" ht="15" customHeight="1" x14ac:dyDescent="0.2">
      <c r="A25" s="67"/>
      <c r="B25" s="68"/>
      <c r="C25" s="68"/>
      <c r="D25" s="68"/>
      <c r="E25" s="68"/>
      <c r="F25" s="68"/>
      <c r="G25" s="69"/>
      <c r="H25" s="70"/>
      <c r="I25" s="71"/>
      <c r="J25" s="71"/>
      <c r="K25" s="71"/>
      <c r="L25" s="71"/>
      <c r="M25" s="71"/>
      <c r="N25" s="72"/>
      <c r="O25" s="73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5"/>
      <c r="AQ25" s="76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7"/>
    </row>
    <row r="26" spans="1:57" ht="15" customHeight="1" x14ac:dyDescent="0.2">
      <c r="A26" s="67"/>
      <c r="B26" s="68"/>
      <c r="C26" s="68"/>
      <c r="D26" s="68"/>
      <c r="E26" s="68"/>
      <c r="F26" s="68"/>
      <c r="G26" s="69"/>
      <c r="H26" s="70"/>
      <c r="I26" s="71"/>
      <c r="J26" s="71"/>
      <c r="K26" s="71"/>
      <c r="L26" s="71"/>
      <c r="M26" s="71"/>
      <c r="N26" s="72"/>
      <c r="O26" s="73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5"/>
      <c r="AQ26" s="76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7"/>
    </row>
    <row r="27" spans="1:57" ht="15" customHeight="1" x14ac:dyDescent="0.2">
      <c r="A27" s="67"/>
      <c r="B27" s="68"/>
      <c r="C27" s="68"/>
      <c r="D27" s="68"/>
      <c r="E27" s="68"/>
      <c r="F27" s="68"/>
      <c r="G27" s="69"/>
      <c r="H27" s="70"/>
      <c r="I27" s="71"/>
      <c r="J27" s="71"/>
      <c r="K27" s="71"/>
      <c r="L27" s="71"/>
      <c r="M27" s="71"/>
      <c r="N27" s="72"/>
      <c r="O27" s="73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5"/>
      <c r="AQ27" s="76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7"/>
    </row>
    <row r="28" spans="1:57" ht="15" customHeight="1" x14ac:dyDescent="0.2">
      <c r="A28" s="67"/>
      <c r="B28" s="68"/>
      <c r="C28" s="68"/>
      <c r="D28" s="68"/>
      <c r="E28" s="68"/>
      <c r="F28" s="68"/>
      <c r="G28" s="69"/>
      <c r="H28" s="70"/>
      <c r="I28" s="71"/>
      <c r="J28" s="71"/>
      <c r="K28" s="71"/>
      <c r="L28" s="71"/>
      <c r="M28" s="71"/>
      <c r="N28" s="72"/>
      <c r="O28" s="73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5"/>
      <c r="AQ28" s="76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7"/>
    </row>
    <row r="29" spans="1:57" ht="15" customHeight="1" x14ac:dyDescent="0.2">
      <c r="A29" s="67"/>
      <c r="B29" s="68"/>
      <c r="C29" s="68"/>
      <c r="D29" s="68"/>
      <c r="E29" s="68"/>
      <c r="F29" s="68"/>
      <c r="G29" s="69"/>
      <c r="H29" s="70"/>
      <c r="I29" s="71"/>
      <c r="J29" s="71"/>
      <c r="K29" s="71"/>
      <c r="L29" s="71"/>
      <c r="M29" s="71"/>
      <c r="N29" s="72"/>
      <c r="O29" s="73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5"/>
      <c r="AQ29" s="76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7"/>
    </row>
    <row r="30" spans="1:57" ht="15" customHeight="1" x14ac:dyDescent="0.2">
      <c r="A30" s="67"/>
      <c r="B30" s="68"/>
      <c r="C30" s="68"/>
      <c r="D30" s="68"/>
      <c r="E30" s="68"/>
      <c r="F30" s="68"/>
      <c r="G30" s="69"/>
      <c r="H30" s="70"/>
      <c r="I30" s="71"/>
      <c r="J30" s="71"/>
      <c r="K30" s="71"/>
      <c r="L30" s="71"/>
      <c r="M30" s="71"/>
      <c r="N30" s="72"/>
      <c r="O30" s="73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5"/>
      <c r="AQ30" s="76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7"/>
    </row>
    <row r="31" spans="1:57" ht="15" customHeight="1" x14ac:dyDescent="0.2">
      <c r="A31" s="67"/>
      <c r="B31" s="68"/>
      <c r="C31" s="68"/>
      <c r="D31" s="68"/>
      <c r="E31" s="68"/>
      <c r="F31" s="68"/>
      <c r="G31" s="69"/>
      <c r="H31" s="70"/>
      <c r="I31" s="71"/>
      <c r="J31" s="71"/>
      <c r="K31" s="71"/>
      <c r="L31" s="71"/>
      <c r="M31" s="71"/>
      <c r="N31" s="72"/>
      <c r="O31" s="73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5"/>
      <c r="AQ31" s="76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7"/>
    </row>
    <row r="32" spans="1:57" ht="15" customHeight="1" x14ac:dyDescent="0.2">
      <c r="A32" s="67"/>
      <c r="B32" s="68"/>
      <c r="C32" s="68"/>
      <c r="D32" s="68"/>
      <c r="E32" s="68"/>
      <c r="F32" s="68"/>
      <c r="G32" s="69"/>
      <c r="H32" s="70"/>
      <c r="I32" s="71"/>
      <c r="J32" s="71"/>
      <c r="K32" s="71"/>
      <c r="L32" s="71"/>
      <c r="M32" s="71"/>
      <c r="N32" s="72"/>
      <c r="O32" s="73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5"/>
      <c r="AQ32" s="76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7"/>
    </row>
    <row r="33" spans="1:57" ht="15" customHeight="1" x14ac:dyDescent="0.2">
      <c r="A33" s="67"/>
      <c r="B33" s="68"/>
      <c r="C33" s="68"/>
      <c r="D33" s="68"/>
      <c r="E33" s="68"/>
      <c r="F33" s="68"/>
      <c r="G33" s="69"/>
      <c r="H33" s="70"/>
      <c r="I33" s="71"/>
      <c r="J33" s="71"/>
      <c r="K33" s="71"/>
      <c r="L33" s="71"/>
      <c r="M33" s="71"/>
      <c r="N33" s="72"/>
      <c r="O33" s="73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5"/>
      <c r="AQ33" s="76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7"/>
    </row>
    <row r="34" spans="1:57" ht="15" customHeight="1" x14ac:dyDescent="0.2">
      <c r="A34" s="67"/>
      <c r="B34" s="68"/>
      <c r="C34" s="68"/>
      <c r="D34" s="68"/>
      <c r="E34" s="68"/>
      <c r="F34" s="68"/>
      <c r="G34" s="69"/>
      <c r="H34" s="70"/>
      <c r="I34" s="71"/>
      <c r="J34" s="71"/>
      <c r="K34" s="71"/>
      <c r="L34" s="71"/>
      <c r="M34" s="71"/>
      <c r="N34" s="72"/>
      <c r="O34" s="73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5"/>
      <c r="AQ34" s="76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7"/>
    </row>
    <row r="35" spans="1:57" ht="15" customHeight="1" thickBot="1" x14ac:dyDescent="0.25">
      <c r="A35" s="78"/>
      <c r="B35" s="79"/>
      <c r="C35" s="79"/>
      <c r="D35" s="79"/>
      <c r="E35" s="79"/>
      <c r="F35" s="79"/>
      <c r="G35" s="80"/>
      <c r="H35" s="81"/>
      <c r="I35" s="82"/>
      <c r="J35" s="82"/>
      <c r="K35" s="82"/>
      <c r="L35" s="82"/>
      <c r="M35" s="82"/>
      <c r="N35" s="83"/>
      <c r="O35" s="84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PcmIf_Chk01</vt:lpstr>
      <vt:lpstr>PcmIf_Upd01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2026-03-27T05:50:31Z</dcterms:modified>
  <cp:category/>
</cp:coreProperties>
</file>