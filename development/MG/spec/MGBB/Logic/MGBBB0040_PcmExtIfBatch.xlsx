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61E817A2-8DF3-470D-8EEF-EB891E66913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cmExtIf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<sst xmlns="http://schemas.openxmlformats.org/spreadsheetml/2006/main" count="153" uniqueCount="104">
  <si>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</si>
  <si>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</si>
  <si>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</si>
  <si>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</si>
  <si>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</si>
  <si>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</si>
  <si>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</si>
  <si>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</si>
  <si>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</si>
  <si>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</si>
  <si>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</si>
  <si>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</si>
  <si>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</si>
  <si>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</si>
  <si>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</si>
  <si>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</si>
  <si>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</si>
  <si>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</si>
  <si>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</si>
  <si>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</si>
  <si>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</si>
  <si>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</si>
  <si>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</si>
  <si>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</si>
  <si>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</si>
  <si>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</si>
  <si>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@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</si>
  <si>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</si>
  <si>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</si>
  <si>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</si>
  <si>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</si>
  <si>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</si>
  <si>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</si>
  <si>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</si>
  <si>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</si>
  <si>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</si>
  <si>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</si>
  <si>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</si>
  <si>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R</t>
  </si>
  <si>
    <t>#MA.YM</t>
  </si>
  <si>
    <t>E</t>
    <phoneticPr fontId="2"/>
  </si>
  <si>
    <t>-</t>
    <phoneticPr fontId="2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</si>
  <si>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</si>
  <si>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</si>
  <si>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</si>
  <si>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</si>
  <si>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</si>
  <si>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</si>
  <si>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</si>
  <si>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</si>
  <si>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</si>
  <si>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</si>
  <si>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</si>
  <si>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</si>
  <si>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</si>
  <si>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</si>
  <si>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</si>
  <si>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</si>
  <si>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</si>
  <si>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</si>
  <si>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</si>
  <si>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MGBB</t>
    <phoneticPr fontId="2"/>
  </si>
  <si>
    <t>MGBBB0040</t>
    <phoneticPr fontId="2"/>
  </si>
  <si>
    <t>MGBBB_PcmExtIfBatch</t>
    <phoneticPr fontId="2"/>
  </si>
  <si>
    <t>PcmExtIf_Upd01</t>
    <phoneticPr fontId="2"/>
  </si>
  <si>
    <t>PcmExtIf_Upd01_Cnd</t>
    <phoneticPr fontId="2"/>
  </si>
  <si>
    <t>年月</t>
    <phoneticPr fontId="2"/>
  </si>
  <si>
    <t>io_flg</t>
  </si>
  <si>
    <t>受払実績</t>
  </si>
  <si>
    <t>wk_flg</t>
  </si>
  <si>
    <t>工数情報</t>
  </si>
  <si>
    <t>wip_flg</t>
  </si>
  <si>
    <t>仕掛情報</t>
  </si>
  <si>
    <t>stk_flg</t>
  </si>
  <si>
    <t>在庫情報</t>
  </si>
  <si>
    <t>ym</t>
    <phoneticPr fontId="2"/>
  </si>
  <si>
    <t>原価外部ＩＦデータ取込バッチ</t>
    <rPh sb="0" eb="2">
      <t>ゲンカ</t>
    </rPh>
    <rPh sb="2" eb="4">
      <t>ガイブ</t>
    </rPh>
    <rPh sb="9" eb="11">
      <t>トリコミ</t>
    </rPh>
    <phoneticPr fontId="4"/>
  </si>
  <si>
    <t>原価外部ＩＦデータ取込</t>
    <rPh sb="0" eb="2">
      <t>ゲンカ</t>
    </rPh>
    <rPh sb="2" eb="4">
      <t>ガイブ</t>
    </rPh>
    <rPh sb="9" eb="11">
      <t>トリコミ</t>
    </rPh>
    <phoneticPr fontId="2"/>
  </si>
  <si>
    <t>原価外部ＩＦデータを取り込む。</t>
    <rPh sb="0" eb="2">
      <t>ゲンカ</t>
    </rPh>
    <rPh sb="2" eb="4">
      <t>ガイブ</t>
    </rPh>
    <rPh sb="10" eb="11">
      <t>ト</t>
    </rPh>
    <rPh sb="12" eb="13">
      <t>コ</t>
    </rPh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</si>
  <si>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</si>
  <si>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</si>
  <si>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</si>
  <si>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</si>
  <si>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</si>
  <si>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</si>
  <si>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</si>
  <si>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</si>
  <si>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</si>
  <si>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</si>
  <si>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</si>
  <si>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</si>
  <si>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</si>
  <si>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</si>
  <si>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Year month</t>
  </si>
  <si>
    <t>Calculation category cd.</t>
  </si>
  <si>
    <t>WG cd.</t>
  </si>
  <si>
    <t>GR/GI result</t>
  </si>
  <si>
    <t>Man-hour info.</t>
  </si>
  <si>
    <t>WIP info.</t>
  </si>
  <si>
    <t>Inventory info.</t>
  </si>
  <si>
    <t>Re-import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</si>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</sst>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>
      <selection activeCell="B28" sqref="B28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62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61</v>
      </c>
      <c r="D3" s="7" t="s">
        <v>7</v>
      </c>
      <c r="E3" s="8" t="s">
        <v>63</v>
      </c>
      <c r="F3" s="7" t="s">
        <v>8</v>
      </c>
      <c r="G3" s="8"/>
      <c r="H3" s="5"/>
      <c r="I3" s="5"/>
    </row>
    <row r="4" spans="1:13" x14ac:dyDescent="0.2">
      <c r="A4" s="4"/>
      <c r="B4" s="7"/>
      <c r="C4" s="7"/>
      <c r="D4" s="7" t="s">
        <v>9</v>
      </c>
      <c r="E4" s="11" t="s">
        <v>76</v>
      </c>
      <c r="F4" s="7" t="s">
        <v>10</v>
      </c>
      <c r="G4" s="8" t="s">
        <v>59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"/>
  <sheetViews>
    <sheetView zoomScale="85" zoomScaleNormal="85" zoomScaleSheetLayoutView="85" workbookViewId="0">
      <selection activeCell="H23" sqref="H23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13</v>
      </c>
      <c r="B1" s="52" t="s">
        <v>13</v>
      </c>
      <c r="C1" s="5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63" t="s">
        <v>79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MGBBB0040</v>
      </c>
      <c r="I2" s="7" t="s">
        <v>15</v>
      </c>
      <c r="J2" s="8" t="s">
        <v>64</v>
      </c>
      <c r="K2" s="7" t="s">
        <v>4</v>
      </c>
      <c r="L2" s="53" t="str">
        <f>IF(LogicCommon!G2="","",LogicCommon!G2)</f>
        <v>MC</v>
      </c>
      <c r="M2" s="5" t="s">
        <v>16</v>
      </c>
      <c r="N2" s="24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13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7</v>
      </c>
      <c r="H3" s="53" t="str">
        <f>IF(LogicCommon!E3="","",LogicCommon!E3)</f>
        <v>MGBBB_PcmExtIfBatch</v>
      </c>
      <c r="I3" s="7" t="s">
        <v>17</v>
      </c>
      <c r="J3" s="8" t="s">
        <v>18</v>
      </c>
      <c r="K3" s="7" t="s">
        <v>8</v>
      </c>
      <c r="L3" s="53" t="str">
        <f>IF(LogicCommon!G3="","",LogicCommon!G3)</f>
        <v/>
      </c>
      <c r="M3" s="43"/>
      <c r="N3" s="7"/>
      <c r="O3" s="7" t="s">
        <v>19</v>
      </c>
      <c r="P3" s="8" t="s">
        <v>20</v>
      </c>
      <c r="Q3" s="4"/>
      <c r="R3" s="5"/>
      <c r="S3" s="5"/>
      <c r="T3" s="5"/>
      <c r="U3" s="5"/>
    </row>
    <row r="4" spans="1:21" s="10" customFormat="1" x14ac:dyDescent="0.2">
      <c r="A4" s="54" t="s">
        <v>13</v>
      </c>
      <c r="B4" s="55"/>
      <c r="C4" s="55"/>
      <c r="D4" s="4"/>
      <c r="E4" s="7" t="s">
        <v>21</v>
      </c>
      <c r="F4" s="57" t="s">
        <v>22</v>
      </c>
      <c r="G4" s="7" t="s">
        <v>9</v>
      </c>
      <c r="H4" s="53" t="str">
        <f>IF(LogicCommon!E4="","",LogicCommon!E4)</f>
        <v>原価外部ＩＦデータ取込バッチ</v>
      </c>
      <c r="I4" s="7" t="s">
        <v>23</v>
      </c>
      <c r="J4" s="8" t="s">
        <v>77</v>
      </c>
      <c r="K4" s="7" t="s">
        <v>10</v>
      </c>
      <c r="L4" s="53" t="str">
        <f>IF(LogicCommon!G4="","",LogicCommon!G4)</f>
        <v>MG.MGUDL5010</v>
      </c>
      <c r="M4" s="58" t="s">
        <v>24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13</v>
      </c>
      <c r="B5" s="52"/>
      <c r="C5" s="52"/>
      <c r="D5" s="21"/>
      <c r="E5" s="7" t="s">
        <v>25</v>
      </c>
      <c r="F5" s="57" t="s">
        <v>26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13</v>
      </c>
      <c r="B6" s="55"/>
      <c r="C6" s="55"/>
      <c r="D6" s="4" t="s">
        <v>11</v>
      </c>
      <c r="E6" s="12" t="s">
        <v>78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25" t="s">
        <v>31</v>
      </c>
      <c r="M7" s="26"/>
      <c r="N7" s="25" t="s">
        <v>32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28</v>
      </c>
      <c r="B8" s="64"/>
      <c r="C8" s="65"/>
      <c r="D8" s="25" t="s">
        <v>80</v>
      </c>
      <c r="E8" s="25" t="s">
        <v>81</v>
      </c>
      <c r="F8" s="62"/>
      <c r="G8" s="25" t="s">
        <v>34</v>
      </c>
      <c r="H8" s="25" t="s">
        <v>82</v>
      </c>
      <c r="I8" s="62"/>
      <c r="J8" s="3"/>
      <c r="K8" s="8"/>
      <c r="L8" s="25" t="s">
        <v>35</v>
      </c>
      <c r="M8" s="26"/>
      <c r="N8" s="25" t="s">
        <v>35</v>
      </c>
      <c r="O8" s="26"/>
      <c r="P8" s="25" t="s">
        <v>35</v>
      </c>
      <c r="Q8" s="26"/>
      <c r="R8" s="3"/>
      <c r="S8" s="21"/>
      <c r="T8" s="68" t="s">
        <v>83</v>
      </c>
      <c r="U8" s="69"/>
    </row>
    <row r="9" spans="1:21" s="10" customFormat="1" ht="60" customHeight="1" x14ac:dyDescent="0.2">
      <c r="A9" s="8" t="s">
        <v>28</v>
      </c>
      <c r="B9" s="30"/>
      <c r="C9" s="31"/>
      <c r="D9" s="25" t="s">
        <v>84</v>
      </c>
      <c r="E9" s="66" t="s">
        <v>85</v>
      </c>
      <c r="F9" s="25" t="s">
        <v>86</v>
      </c>
      <c r="G9" s="25" t="s">
        <v>87</v>
      </c>
      <c r="H9" s="25" t="s">
        <v>88</v>
      </c>
      <c r="I9" s="67" t="s">
        <v>89</v>
      </c>
      <c r="J9" s="25" t="s">
        <v>90</v>
      </c>
      <c r="K9" s="63"/>
      <c r="L9" s="67"/>
      <c r="M9" s="25"/>
      <c r="N9" s="25"/>
      <c r="O9" s="25"/>
      <c r="P9" s="25"/>
      <c r="Q9" s="25"/>
      <c r="R9" s="68" t="s">
        <v>91</v>
      </c>
      <c r="S9" s="69"/>
      <c r="T9" s="68" t="s">
        <v>92</v>
      </c>
      <c r="U9" s="69"/>
    </row>
    <row r="10" spans="1:21" s="10" customFormat="1" ht="39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89</v>
      </c>
      <c r="M10" s="25" t="s">
        <v>90</v>
      </c>
      <c r="N10" s="25" t="s">
        <v>89</v>
      </c>
      <c r="O10" s="25" t="s">
        <v>90</v>
      </c>
      <c r="P10" s="25" t="s">
        <v>89</v>
      </c>
      <c r="Q10" s="25" t="s">
        <v>90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37</v>
      </c>
      <c r="C11" s="31"/>
      <c r="D11" s="24" t="s">
        <v>65</v>
      </c>
      <c r="E11" s="29" t="s">
        <v>38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75</v>
      </c>
      <c r="E12" s="26" t="s">
        <v>39</v>
      </c>
      <c r="F12" s="26"/>
      <c r="G12" s="42" t="s">
        <v>93</v>
      </c>
      <c r="H12" s="42" t="s">
        <v>66</v>
      </c>
      <c r="I12" s="8" t="s">
        <v>40</v>
      </c>
      <c r="J12" s="8" t="s">
        <v>41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42</v>
      </c>
      <c r="E13" s="26" t="s">
        <v>43</v>
      </c>
      <c r="F13" s="26"/>
      <c r="G13" s="42" t="s">
        <v>94</v>
      </c>
      <c r="H13" s="42" t="s">
        <v>44</v>
      </c>
      <c r="I13" s="8" t="s">
        <v>40</v>
      </c>
      <c r="J13" s="8" t="s">
        <v>41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45</v>
      </c>
      <c r="E14" s="26" t="s">
        <v>46</v>
      </c>
      <c r="F14" s="26"/>
      <c r="G14" s="42" t="s">
        <v>95</v>
      </c>
      <c r="H14" s="42" t="s">
        <v>47</v>
      </c>
      <c r="I14" s="8" t="s">
        <v>40</v>
      </c>
      <c r="J14" s="8" t="s">
        <v>41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67</v>
      </c>
      <c r="E15" s="26" t="s">
        <v>49</v>
      </c>
      <c r="F15" s="26"/>
      <c r="G15" s="42" t="s">
        <v>96</v>
      </c>
      <c r="H15" s="42" t="s">
        <v>68</v>
      </c>
      <c r="I15" s="8" t="s">
        <v>40</v>
      </c>
      <c r="J15" s="8" t="s">
        <v>41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69</v>
      </c>
      <c r="E16" s="26" t="s">
        <v>49</v>
      </c>
      <c r="F16" s="26"/>
      <c r="G16" s="42" t="s">
        <v>97</v>
      </c>
      <c r="H16" s="42" t="s">
        <v>70</v>
      </c>
      <c r="I16" s="8" t="s">
        <v>40</v>
      </c>
      <c r="J16" s="8" t="s">
        <v>41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71</v>
      </c>
      <c r="E17" s="26" t="s">
        <v>49</v>
      </c>
      <c r="F17" s="26"/>
      <c r="G17" s="42" t="s">
        <v>98</v>
      </c>
      <c r="H17" s="42" t="s">
        <v>72</v>
      </c>
      <c r="I17" s="8" t="s">
        <v>40</v>
      </c>
      <c r="J17" s="8" t="s">
        <v>41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73</v>
      </c>
      <c r="E18" s="26" t="s">
        <v>49</v>
      </c>
      <c r="F18" s="26"/>
      <c r="G18" s="42" t="s">
        <v>99</v>
      </c>
      <c r="H18" s="42" t="s">
        <v>74</v>
      </c>
      <c r="I18" s="8" t="s">
        <v>40</v>
      </c>
      <c r="J18" s="8" t="s">
        <v>41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48</v>
      </c>
      <c r="E19" s="26" t="s">
        <v>49</v>
      </c>
      <c r="F19" s="26"/>
      <c r="G19" s="42" t="s">
        <v>100</v>
      </c>
      <c r="H19" s="42" t="s">
        <v>50</v>
      </c>
      <c r="I19" s="8" t="s">
        <v>40</v>
      </c>
      <c r="J19" s="8" t="s">
        <v>41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51</v>
      </c>
      <c r="E20" s="26" t="s">
        <v>49</v>
      </c>
      <c r="F20" s="26"/>
      <c r="G20" s="42" t="s">
        <v>101</v>
      </c>
      <c r="H20" s="42" t="s">
        <v>52</v>
      </c>
      <c r="I20" s="8" t="s">
        <v>41</v>
      </c>
      <c r="J20" s="8" t="s">
        <v>41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22"/>
      <c r="B21" s="23"/>
      <c r="C21" s="23"/>
      <c r="D21" s="16" t="s">
        <v>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9"/>
      <c r="S21" s="9"/>
      <c r="T21" s="9"/>
      <c r="U21" s="45"/>
    </row>
    <row r="22" spans="1:21" s="10" customFormat="1" x14ac:dyDescent="0.2">
      <c r="A22" s="54"/>
      <c r="U22" s="46"/>
    </row>
    <row r="23" spans="1:21" s="10" customFormat="1" x14ac:dyDescent="0.2">
      <c r="A23" s="54"/>
      <c r="U23" s="46"/>
    </row>
    <row r="24" spans="1:21" s="10" customFormat="1" x14ac:dyDescent="0.2">
      <c r="A24" s="54"/>
      <c r="U24" s="46"/>
    </row>
    <row r="25" spans="1:21" s="10" customFormat="1" x14ac:dyDescent="0.2">
      <c r="A25" s="6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70" t="s">
        <v>53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3" t="s">
        <v>54</v>
      </c>
      <c r="B3" s="74"/>
      <c r="C3" s="74"/>
      <c r="D3" s="74"/>
      <c r="E3" s="74"/>
      <c r="F3" s="74"/>
      <c r="G3" s="75"/>
      <c r="H3" s="76" t="s">
        <v>55</v>
      </c>
      <c r="I3" s="74"/>
      <c r="J3" s="74"/>
      <c r="K3" s="74"/>
      <c r="L3" s="74"/>
      <c r="M3" s="74"/>
      <c r="N3" s="75"/>
      <c r="O3" s="76" t="s">
        <v>56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57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58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102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103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PcmExtIf_Upd01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2026-03-27T05:50:15Z</dcterms:modified>
  <cp:category/>
</cp:coreProperties>
</file>