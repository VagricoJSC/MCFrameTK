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8934D75F-6844-4882-9070-79BCB4AFCE1D}" xr6:coauthVersionLast="47" xr6:coauthVersionMax="47" xr10:uidLastSave="{00000000-0000-0000-0000-000000000000}"/>
  <bookViews>
    <workbookView xWindow="1710" yWindow="1710" windowWidth="21600" windowHeight="11265" activeTab="3" xr2:uid="{00000000-000D-0000-FFFF-FFFF00000000}"/>
  </bookViews>
  <sheets>
    <sheet name="LogicCommon" sheetId="1" r:id="rId1"/>
    <sheet name="Chk01" sheetId="2" r:id="rId2"/>
    <sheet name="Upd01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<sst xmlns="http://schemas.openxmlformats.org/spreadsheetml/2006/main" count="254" uniqueCount="123">
  <si>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</si>
  <si>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</si>
  <si>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</si>
  <si>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</si>
  <si>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MGBBL0050</t>
    <phoneticPr fontId="2"/>
  </si>
  <si>
    <t>Pj.ID :</t>
    <phoneticPr fontId="3"/>
  </si>
  <si>
    <t>MC</t>
    <phoneticPr fontId="2"/>
  </si>
  <si>
    <t>SubModuleID :</t>
    <phoneticPr fontId="3"/>
  </si>
  <si>
    <t>MGBB</t>
    <phoneticPr fontId="2"/>
  </si>
  <si>
    <t>LogicClass :</t>
    <phoneticPr fontId="3"/>
  </si>
  <si>
    <t>MGBBL_InstInfoReg</t>
    <phoneticPr fontId="2"/>
  </si>
  <si>
    <t>SuperClassPj.ID :</t>
    <phoneticPr fontId="3"/>
  </si>
  <si>
    <t>LogicName :</t>
    <phoneticPr fontId="3"/>
  </si>
  <si>
    <t>指図情報更新</t>
    <rPh sb="0" eb="2">
      <t>サシズ</t>
    </rPh>
    <rPh sb="2" eb="4">
      <t>ジョウホウ</t>
    </rPh>
    <rPh sb="4" eb="6">
      <t>コウシン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</si>
  <si>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</si>
  <si>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</si>
  <si>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</si>
  <si>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</si>
  <si>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</si>
  <si>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</si>
  <si>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Chk01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</si>
  <si>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</si>
  <si>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</si>
  <si>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</si>
  <si>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</si>
  <si>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</si>
  <si>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</si>
  <si>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</si>
  <si>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</si>
  <si>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更新前チェック</t>
    <rPh sb="0" eb="2">
      <t>コウシン</t>
    </rPh>
    <rPh sb="2" eb="3">
      <t>マエ</t>
    </rPh>
    <phoneticPr fontId="3"/>
  </si>
  <si>
    <t>ImplOpe.ID:</t>
    <phoneticPr fontId="3"/>
  </si>
  <si>
    <t>ACType :</t>
    <phoneticPr fontId="3"/>
  </si>
  <si>
    <t>更新する前のチェックを行う</t>
    <rPh sb="0" eb="2">
      <t>コウシン</t>
    </rPh>
    <rPh sb="4" eb="5">
      <t>マエ</t>
    </rPh>
    <rPh sb="11" eb="12">
      <t>オコナ</t>
    </rPh>
    <phoneticPr fontId="3"/>
  </si>
  <si>
    <t>ID</t>
    <phoneticPr fontId="3"/>
  </si>
  <si>
    <t>#</t>
    <phoneticPr fontId="3"/>
  </si>
  <si>
    <t>U</t>
    <phoneticPr fontId="3"/>
  </si>
  <si>
    <t>K</t>
    <phoneticPr fontId="2"/>
  </si>
  <si>
    <t>K</t>
    <phoneticPr fontId="2"/>
  </si>
  <si>
    <t>K</t>
  </si>
  <si>
    <t>o</t>
    <phoneticPr fontId="3"/>
  </si>
  <si>
    <t>super/share</t>
    <phoneticPr fontId="3"/>
  </si>
  <si>
    <t>REQ_UPD_CNT_CHK</t>
    <phoneticPr fontId="3"/>
  </si>
  <si>
    <t>REQUIRED</t>
    <phoneticPr fontId="3"/>
  </si>
  <si>
    <t>CHK_NUM</t>
    <phoneticPr fontId="3"/>
  </si>
  <si>
    <t>SMALL_LARGE</t>
  </si>
  <si>
    <t>CHK_DT</t>
  </si>
  <si>
    <t>BEFORE_AFTER</t>
  </si>
  <si>
    <t>CHK_PTN</t>
    <phoneticPr fontId="3"/>
  </si>
  <si>
    <t>DUPLICATE</t>
  </si>
  <si>
    <t>TOO_MANY_INPUTS</t>
  </si>
  <si>
    <t>AT_LEAST_ONE</t>
  </si>
  <si>
    <t>ONLY_ONE_INPUT</t>
  </si>
  <si>
    <t>LIST_LOGIC</t>
    <phoneticPr fontId="3"/>
  </si>
  <si>
    <t>LIST_OUT</t>
    <phoneticPr fontId="3"/>
  </si>
  <si>
    <t>LIST_OUT_BASE</t>
    <phoneticPr fontId="3"/>
  </si>
  <si>
    <t>LIST_IN</t>
    <phoneticPr fontId="3"/>
  </si>
  <si>
    <t>LIST_IN_BASE</t>
    <phoneticPr fontId="3"/>
  </si>
  <si>
    <t>CONST</t>
    <phoneticPr fontId="2"/>
  </si>
  <si>
    <t>NULL_VAL</t>
    <phoneticPr fontId="3"/>
  </si>
  <si>
    <t>TargetName</t>
    <phoneticPr fontId="3"/>
  </si>
  <si>
    <t>#</t>
    <phoneticPr fontId="3"/>
  </si>
  <si>
    <t>*</t>
  </si>
  <si>
    <t>Chk01_Cnd</t>
    <phoneticPr fontId="3"/>
  </si>
  <si>
    <t>R</t>
    <phoneticPr fontId="3"/>
  </si>
  <si>
    <t>calc_ctg_cd</t>
    <phoneticPr fontId="3"/>
  </si>
  <si>
    <t>C</t>
    <phoneticPr fontId="3"/>
  </si>
  <si>
    <t>計算カテゴリＣＤ</t>
    <phoneticPr fontId="3"/>
  </si>
  <si>
    <t>E</t>
    <phoneticPr fontId="3"/>
  </si>
  <si>
    <t>-</t>
    <phoneticPr fontId="3"/>
  </si>
  <si>
    <t>E</t>
    <phoneticPr fontId="2"/>
  </si>
  <si>
    <t>ym_fr</t>
    <phoneticPr fontId="2"/>
  </si>
  <si>
    <t>#MA.YM</t>
  </si>
  <si>
    <t>年月ＦＲＯＭ</t>
    <phoneticPr fontId="3"/>
  </si>
  <si>
    <t>YM:BF</t>
    <phoneticPr fontId="3"/>
  </si>
  <si>
    <t>ym_to</t>
    <phoneticPr fontId="2"/>
  </si>
  <si>
    <t>年月ＴＯ</t>
    <phoneticPr fontId="3"/>
  </si>
  <si>
    <t>YM:AF</t>
    <phoneticPr fontId="3"/>
  </si>
  <si>
    <t>itm_mfg_inst_flg</t>
    <phoneticPr fontId="3"/>
  </si>
  <si>
    <t>#MA.FLG</t>
  </si>
  <si>
    <t>品目製造指図情報</t>
    <phoneticPr fontId="3"/>
  </si>
  <si>
    <t>inst_oper_flg</t>
    <phoneticPr fontId="3"/>
  </si>
  <si>
    <t>指図工程情報</t>
    <phoneticPr fontId="3"/>
  </si>
  <si>
    <t>Upd01</t>
    <phoneticPr fontId="3"/>
  </si>
  <si>
    <t>更新</t>
    <rPh sb="0" eb="2">
      <t>コウシン</t>
    </rPh>
    <phoneticPr fontId="3"/>
  </si>
  <si>
    <t>更新処理をする</t>
    <rPh sb="0" eb="2">
      <t>コウシン</t>
    </rPh>
    <rPh sb="2" eb="4">
      <t>ショリ</t>
    </rPh>
    <phoneticPr fontId="3"/>
  </si>
  <si>
    <t>Upd01_Cnd</t>
    <phoneticPr fontId="3"/>
  </si>
  <si>
    <t>R</t>
    <phoneticPr fontId="3"/>
  </si>
  <si>
    <t>$share$</t>
    <phoneticPr fontId="2"/>
  </si>
  <si>
    <t>MG.MGBBL0050.Chk01.Chk01_Cnd</t>
    <phoneticPr fontId="2"/>
  </si>
  <si>
    <t>#MA.CALC_CTG_CD</t>
    <phoneticPr fontId="3"/>
  </si>
  <si>
    <t>-</t>
    <phoneticPr fontId="2"/>
  </si>
  <si>
    <t>itm_mfg_inst_flg</t>
    <phoneticPr fontId="3"/>
  </si>
  <si>
    <t>inst_oper_flg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</si>
  <si>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</si>
  <si>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</si>
  <si>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</si>
  <si>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</si>
  <si>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</si>
  <si>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</si>
  <si>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</si>
  <si>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MA.MAUDL5010.Checker</t>
    <phoneticPr fontId="2"/>
  </si>
  <si>
    <t>"mcframe.serverMAUD.MAUDL5010.MAUDL_Operation"</t>
    <phoneticPr fontId="2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</si>
  <si>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</si>
  <si>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</si>
  <si>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</si>
  <si>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</si>
  <si>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</si>
  <si>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</si>
  <si>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</si>
  <si>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</si>
  <si>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</si>
  <si>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</si>
  <si>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</si>
  <si>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</si>
  <si>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ブロック備考
Block Remarks</t>
    <phoneticPr fontId="3"/>
  </si>
  <si>
    <t>項目備考
Field Remarks</t>
    <phoneticPr fontId="3"/>
  </si>
  <si>
    <t>Calculation category cd.</t>
  </si>
  <si>
    <t>Month FROM</t>
  </si>
  <si>
    <t>Month TO</t>
  </si>
  <si>
    <t>Item mfg. order info.</t>
  </si>
  <si>
    <t>Order operation info.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</si>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</sst>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3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left" vertical="top"/>
      <protection locked="0"/>
    </xf>
    <xf numFmtId="0" fontId="1" fillId="5" borderId="3" xfId="0" applyFont="1" applyFill="1" applyBorder="1" applyAlignment="1">
      <alignment vertical="top"/>
    </xf>
    <xf numFmtId="0" fontId="1" fillId="0" borderId="3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1" fillId="0" borderId="5" xfId="0" applyFont="1" applyBorder="1" applyAlignment="1" applyProtection="1">
      <alignment vertical="top"/>
      <protection locked="0"/>
    </xf>
    <xf numFmtId="0" fontId="1" fillId="2" borderId="3" xfId="0" applyFont="1" applyFill="1" applyBorder="1" applyAlignment="1"/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1" xfId="0" applyFont="1" applyBorder="1" applyAlignment="1" applyProtection="1">
      <protection locked="0"/>
    </xf>
    <xf numFmtId="0" fontId="1" fillId="0" borderId="5" xfId="0" applyFont="1" applyBorder="1" applyAlignment="1" applyProtection="1">
      <protection locked="0"/>
    </xf>
    <xf numFmtId="0" fontId="1" fillId="0" borderId="11" xfId="0" applyFont="1" applyBorder="1" applyAlignment="1" applyProtection="1">
      <alignment vertical="top"/>
      <protection locked="0"/>
    </xf>
    <xf numFmtId="0" fontId="1" fillId="0" borderId="4" xfId="0" applyFont="1" applyBorder="1" applyAlignment="1" applyProtection="1">
      <alignment vertical="top"/>
      <protection locked="0"/>
    </xf>
    <xf numFmtId="0" fontId="1" fillId="0" borderId="2" xfId="0" applyFont="1" applyBorder="1" applyAlignment="1" applyProtection="1"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1" fillId="0" borderId="4" xfId="0" applyFont="1" applyBorder="1" applyAlignment="1" applyProtection="1">
      <protection locked="0"/>
    </xf>
    <xf numFmtId="0" fontId="1" fillId="0" borderId="5" xfId="0" applyFont="1" applyBorder="1" applyAlignment="1"/>
    <xf numFmtId="0" fontId="1" fillId="2" borderId="5" xfId="0" applyFont="1" applyFill="1" applyBorder="1" applyAlignment="1"/>
    <xf numFmtId="0" fontId="1" fillId="0" borderId="11" xfId="0" applyFont="1" applyBorder="1" applyAlignment="1"/>
    <xf numFmtId="0" fontId="1" fillId="0" borderId="4" xfId="0" applyFont="1" applyBorder="1" applyAlignment="1"/>
    <xf numFmtId="0" fontId="1" fillId="3" borderId="5" xfId="0" applyFont="1" applyFill="1" applyBorder="1" applyAlignment="1" applyProtection="1">
      <protection locked="0"/>
    </xf>
    <xf numFmtId="0" fontId="1" fillId="2" borderId="3" xfId="0" applyFont="1" applyFill="1" applyBorder="1">
      <alignment vertical="top" wrapText="1"/>
    </xf>
    <xf numFmtId="0" fontId="1" fillId="3" borderId="3" xfId="0" applyFont="1" applyFill="1" applyBorder="1">
      <alignment vertical="top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>
      <alignment vertical="top" wrapText="1"/>
    </xf>
    <xf numFmtId="0" fontId="1" fillId="0" borderId="8" xfId="0" applyFont="1" applyBorder="1">
      <alignment vertical="top" wrapText="1"/>
    </xf>
    <xf numFmtId="0" fontId="6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3" borderId="11" xfId="0" applyFont="1" applyFill="1" applyBorder="1" applyAlignment="1" applyProtection="1">
      <protection locked="0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3" xfId="0" applyFont="1" applyBorder="1" applyProtection="1">
      <alignment vertical="top" wrapText="1"/>
      <protection locked="0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0" borderId="1" xfId="0" applyFont="1" applyBorder="1" applyAlignment="1" applyProtection="1">
      <alignment vertical="top"/>
      <protection locked="0"/>
    </xf>
    <xf numFmtId="0" fontId="1" fillId="0" borderId="8" xfId="0" applyFont="1" applyBorder="1" applyAlignment="1" applyProtection="1">
      <alignment vertical="top"/>
      <protection locked="0"/>
    </xf>
    <xf numFmtId="0" fontId="1" fillId="0" borderId="11" xfId="0" applyFont="1" applyBorder="1" applyProtection="1">
      <alignment vertical="top" wrapText="1"/>
      <protection locked="0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1" fillId="3" borderId="11" xfId="0" applyFont="1" applyFill="1" applyBorder="1" applyAlignment="1" applyProtection="1">
      <protection locked="0"/>
    </xf>
    <xf numFmtId="0" fontId="1" fillId="3" borderId="5" xfId="0" applyFont="1" applyFill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27.1796875" style="5" bestFit="1" customWidth="1"/>
    <col min="2" max="2" width="15" style="5" bestFit="1" customWidth="1"/>
    <col min="3" max="3" width="5.453125" style="19" bestFit="1" customWidth="1"/>
    <col min="4" max="4" width="13.90625" style="4" bestFit="1" customWidth="1"/>
    <col min="5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99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1.63281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5" bestFit="1" customWidth="1"/>
    <col min="18" max="18" width="15.6328125" style="5" customWidth="1"/>
    <col min="19" max="19" width="17.1796875" style="5" customWidth="1"/>
    <col min="20" max="20" width="13.90625" style="5" bestFit="1" customWidth="1"/>
    <col min="21" max="21" width="16.08984375" style="5" bestFit="1" customWidth="1"/>
    <col min="22" max="22" width="22.81640625" style="5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customWidth="1"/>
    <col min="28" max="28" width="9.453125" style="5" bestFit="1" customWidth="1"/>
    <col min="29" max="29" width="11.6328125" style="5" bestFit="1" customWidth="1"/>
    <col min="30" max="30" width="9" style="5"/>
    <col min="31" max="31" width="30.81640625" style="5" customWidth="1"/>
    <col min="32" max="32" width="9" style="5"/>
    <col min="33" max="33" width="15.81640625" style="5" customWidth="1"/>
    <col min="34" max="16384" width="9" style="5"/>
  </cols>
  <sheetData>
    <row r="1" spans="1:34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s="10" customFormat="1" ht="40" customHeight="1" x14ac:dyDescent="0.2">
      <c r="A2" s="22" t="s">
        <v>17</v>
      </c>
      <c r="B2" s="23"/>
      <c r="C2" s="23"/>
      <c r="D2" s="69" t="s">
        <v>102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MGBBL0050</v>
      </c>
      <c r="I2" s="7" t="s">
        <v>19</v>
      </c>
      <c r="J2" s="8" t="s">
        <v>20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100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MGBBL_InstInfoReg</v>
      </c>
      <c r="I3" s="7" t="s">
        <v>22</v>
      </c>
      <c r="J3" s="8" t="s">
        <v>23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 spans="1:34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指図情報更新</v>
      </c>
      <c r="I4" s="7" t="s">
        <v>28</v>
      </c>
      <c r="J4" s="8" t="s">
        <v>29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 spans="1:34" s="10" customFormat="1" x14ac:dyDescent="0.2">
      <c r="A6" s="59" t="s">
        <v>17</v>
      </c>
      <c r="B6" s="60"/>
      <c r="C6" s="60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8"/>
      <c r="M6" s="15"/>
      <c r="N6" s="15"/>
      <c r="O6" s="15"/>
      <c r="P6" s="15"/>
      <c r="Q6" s="15"/>
      <c r="R6" s="5"/>
      <c r="S6" s="5"/>
      <c r="T6" s="5"/>
      <c r="U6" s="5"/>
      <c r="V6" s="4"/>
      <c r="W6" s="4"/>
      <c r="X6" s="4"/>
      <c r="Y6" s="5"/>
      <c r="Z6" s="5"/>
      <c r="AA6" s="5"/>
      <c r="AB6" s="5"/>
      <c r="AC6" s="5"/>
      <c r="AD6" s="15" t="s">
        <v>33</v>
      </c>
      <c r="AE6" s="15"/>
      <c r="AF6" s="15"/>
      <c r="AG6" s="15"/>
      <c r="AH6" s="15"/>
    </row>
    <row r="7" spans="1:34" s="10" customFormat="1" x14ac:dyDescent="0.2">
      <c r="A7" s="25" t="s">
        <v>34</v>
      </c>
      <c r="B7" s="25"/>
      <c r="C7" s="25"/>
      <c r="D7" s="26"/>
      <c r="E7" s="26"/>
      <c r="F7" s="27"/>
      <c r="G7" s="26"/>
      <c r="H7" s="26"/>
      <c r="I7" s="26" t="s">
        <v>35</v>
      </c>
      <c r="J7" s="26"/>
      <c r="K7" s="28" t="s">
        <v>36</v>
      </c>
      <c r="L7" s="28" t="s">
        <v>36</v>
      </c>
      <c r="M7" s="28" t="s">
        <v>37</v>
      </c>
      <c r="N7" s="28" t="s">
        <v>36</v>
      </c>
      <c r="O7" s="28" t="s">
        <v>36</v>
      </c>
      <c r="P7" s="28" t="s">
        <v>38</v>
      </c>
      <c r="Q7" s="28" t="s">
        <v>36</v>
      </c>
      <c r="R7" s="28" t="s">
        <v>38</v>
      </c>
      <c r="S7" s="28" t="s">
        <v>38</v>
      </c>
      <c r="T7" s="28" t="s">
        <v>38</v>
      </c>
      <c r="U7" s="28" t="s">
        <v>38</v>
      </c>
      <c r="V7" s="28" t="s">
        <v>37</v>
      </c>
      <c r="W7" s="28" t="s">
        <v>36</v>
      </c>
      <c r="X7" s="28" t="s">
        <v>36</v>
      </c>
      <c r="Y7" s="28" t="s">
        <v>36</v>
      </c>
      <c r="Z7" s="28" t="s">
        <v>36</v>
      </c>
      <c r="AA7" s="28" t="s">
        <v>36</v>
      </c>
      <c r="AB7" s="28" t="s">
        <v>37</v>
      </c>
      <c r="AC7" s="29" t="s">
        <v>39</v>
      </c>
      <c r="AD7" s="30"/>
      <c r="AE7" s="31"/>
      <c r="AF7" s="31"/>
      <c r="AG7" s="31"/>
      <c r="AH7" s="32"/>
    </row>
    <row r="8" spans="1:34" s="10" customFormat="1" ht="60" customHeight="1" x14ac:dyDescent="0.2">
      <c r="A8" s="48" t="s">
        <v>34</v>
      </c>
      <c r="B8" s="72"/>
      <c r="C8" s="73"/>
      <c r="D8" s="70" t="s">
        <v>103</v>
      </c>
      <c r="E8" s="70" t="s">
        <v>104</v>
      </c>
      <c r="F8" s="68"/>
      <c r="G8" s="70" t="s">
        <v>40</v>
      </c>
      <c r="H8" s="70" t="s">
        <v>105</v>
      </c>
      <c r="I8" s="68"/>
      <c r="J8" s="3"/>
      <c r="K8" s="8" t="s">
        <v>41</v>
      </c>
      <c r="L8" s="8" t="s">
        <v>42</v>
      </c>
      <c r="M8" s="28" t="s">
        <v>43</v>
      </c>
      <c r="N8" s="8" t="s">
        <v>44</v>
      </c>
      <c r="O8" s="28" t="s">
        <v>45</v>
      </c>
      <c r="P8" s="8" t="s">
        <v>46</v>
      </c>
      <c r="Q8" s="28" t="s">
        <v>47</v>
      </c>
      <c r="R8" s="8" t="s">
        <v>48</v>
      </c>
      <c r="S8" s="8" t="s">
        <v>49</v>
      </c>
      <c r="T8" s="8" t="s">
        <v>50</v>
      </c>
      <c r="U8" s="8" t="s">
        <v>51</v>
      </c>
      <c r="V8" s="8" t="s">
        <v>52</v>
      </c>
      <c r="W8" s="8" t="s">
        <v>53</v>
      </c>
      <c r="X8" s="8" t="s">
        <v>54</v>
      </c>
      <c r="Y8" s="8" t="s">
        <v>55</v>
      </c>
      <c r="Z8" s="8" t="s">
        <v>56</v>
      </c>
      <c r="AA8" s="28" t="s">
        <v>57</v>
      </c>
      <c r="AB8" s="8" t="s">
        <v>58</v>
      </c>
      <c r="AC8" s="29" t="s">
        <v>59</v>
      </c>
      <c r="AD8" s="8"/>
      <c r="AE8" s="74"/>
      <c r="AF8" s="75"/>
      <c r="AG8" s="76" t="s">
        <v>114</v>
      </c>
      <c r="AH8" s="32"/>
    </row>
    <row r="9" spans="1:34" s="10" customFormat="1" ht="60" customHeight="1" x14ac:dyDescent="0.2">
      <c r="A9" s="8" t="s">
        <v>34</v>
      </c>
      <c r="B9" s="34"/>
      <c r="C9" s="35"/>
      <c r="D9" s="70" t="s">
        <v>106</v>
      </c>
      <c r="E9" s="77" t="s">
        <v>107</v>
      </c>
      <c r="F9" s="70" t="s">
        <v>108</v>
      </c>
      <c r="G9" s="70" t="s">
        <v>109</v>
      </c>
      <c r="H9" s="70" t="s">
        <v>110</v>
      </c>
      <c r="I9" s="78" t="s">
        <v>111</v>
      </c>
      <c r="J9" s="70" t="s">
        <v>112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29"/>
      <c r="AD9" s="29"/>
      <c r="AE9" s="76" t="s">
        <v>113</v>
      </c>
      <c r="AF9" s="32"/>
      <c r="AG9" s="76" t="s">
        <v>115</v>
      </c>
      <c r="AH9" s="32"/>
    </row>
    <row r="10" spans="1:34" s="10" customFormat="1" ht="52" x14ac:dyDescent="0.2">
      <c r="A10" s="38" t="s">
        <v>60</v>
      </c>
      <c r="B10" s="39"/>
      <c r="C10" s="39"/>
      <c r="D10" s="39"/>
      <c r="E10" s="40"/>
      <c r="F10" s="41"/>
      <c r="G10" s="42"/>
      <c r="H10" s="42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71" t="s">
        <v>111</v>
      </c>
      <c r="AD10" s="71" t="s">
        <v>112</v>
      </c>
      <c r="AE10" s="40"/>
      <c r="AF10" s="40"/>
      <c r="AG10" s="42"/>
      <c r="AH10" s="37"/>
    </row>
    <row r="11" spans="1:34" s="10" customFormat="1" x14ac:dyDescent="0.2">
      <c r="A11" s="8">
        <v>10</v>
      </c>
      <c r="B11" s="34" t="s">
        <v>61</v>
      </c>
      <c r="C11" s="35"/>
      <c r="D11" s="24" t="s">
        <v>62</v>
      </c>
      <c r="E11" s="33" t="s">
        <v>63</v>
      </c>
      <c r="F11" s="43"/>
      <c r="G11" s="24"/>
      <c r="H11" s="44"/>
      <c r="I11" s="45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36"/>
      <c r="AF11" s="37"/>
      <c r="AG11" s="56"/>
      <c r="AH11" s="47"/>
    </row>
    <row r="12" spans="1:34" s="10" customFormat="1" x14ac:dyDescent="0.2">
      <c r="A12" s="8">
        <v>10</v>
      </c>
      <c r="B12" s="8"/>
      <c r="C12" s="8"/>
      <c r="D12" s="8" t="s">
        <v>64</v>
      </c>
      <c r="E12" s="48" t="s">
        <v>65</v>
      </c>
      <c r="F12" s="48"/>
      <c r="G12" s="49" t="s">
        <v>116</v>
      </c>
      <c r="H12" s="49" t="s">
        <v>66</v>
      </c>
      <c r="I12" s="8" t="s">
        <v>67</v>
      </c>
      <c r="J12" s="8" t="s">
        <v>68</v>
      </c>
      <c r="K12" s="8"/>
      <c r="L12" s="8" t="s">
        <v>69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36"/>
      <c r="AF12" s="37"/>
      <c r="AG12" s="129"/>
      <c r="AH12" s="130"/>
    </row>
    <row r="13" spans="1:34" s="10" customFormat="1" x14ac:dyDescent="0.2">
      <c r="A13" s="8">
        <v>10</v>
      </c>
      <c r="B13" s="8"/>
      <c r="C13" s="8"/>
      <c r="D13" s="8" t="s">
        <v>70</v>
      </c>
      <c r="E13" s="48" t="s">
        <v>71</v>
      </c>
      <c r="F13" s="48"/>
      <c r="G13" s="49" t="s">
        <v>117</v>
      </c>
      <c r="H13" s="49" t="s">
        <v>72</v>
      </c>
      <c r="I13" s="8" t="s">
        <v>67</v>
      </c>
      <c r="J13" s="8" t="s">
        <v>68</v>
      </c>
      <c r="K13" s="8"/>
      <c r="L13" s="8" t="s">
        <v>69</v>
      </c>
      <c r="M13" s="8"/>
      <c r="N13" s="8"/>
      <c r="O13" s="8"/>
      <c r="P13" s="8" t="s">
        <v>73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36"/>
      <c r="AF13" s="37"/>
      <c r="AG13" s="129"/>
      <c r="AH13" s="130"/>
    </row>
    <row r="14" spans="1:34" s="10" customFormat="1" x14ac:dyDescent="0.2">
      <c r="A14" s="8">
        <v>10</v>
      </c>
      <c r="B14" s="8"/>
      <c r="C14" s="8"/>
      <c r="D14" s="8" t="s">
        <v>74</v>
      </c>
      <c r="E14" s="48" t="s">
        <v>71</v>
      </c>
      <c r="F14" s="48"/>
      <c r="G14" s="49" t="s">
        <v>118</v>
      </c>
      <c r="H14" s="49" t="s">
        <v>75</v>
      </c>
      <c r="I14" s="8" t="s">
        <v>67</v>
      </c>
      <c r="J14" s="8" t="s">
        <v>68</v>
      </c>
      <c r="K14" s="8"/>
      <c r="L14" s="8" t="s">
        <v>69</v>
      </c>
      <c r="M14" s="8"/>
      <c r="N14" s="8"/>
      <c r="O14" s="8"/>
      <c r="P14" s="8" t="s">
        <v>76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36"/>
      <c r="AF14" s="37"/>
      <c r="AG14" s="129"/>
      <c r="AH14" s="130"/>
    </row>
    <row r="15" spans="1:34" s="10" customFormat="1" x14ac:dyDescent="0.2">
      <c r="A15" s="8">
        <v>10</v>
      </c>
      <c r="B15" s="8"/>
      <c r="C15" s="8"/>
      <c r="D15" s="8" t="s">
        <v>77</v>
      </c>
      <c r="E15" s="48" t="s">
        <v>78</v>
      </c>
      <c r="F15" s="48"/>
      <c r="G15" s="49" t="s">
        <v>119</v>
      </c>
      <c r="H15" s="49" t="s">
        <v>79</v>
      </c>
      <c r="I15" s="8" t="s">
        <v>67</v>
      </c>
      <c r="J15" s="8" t="s">
        <v>68</v>
      </c>
      <c r="K15" s="8"/>
      <c r="L15" s="8"/>
      <c r="M15" s="8"/>
      <c r="N15" s="8"/>
      <c r="O15" s="8"/>
      <c r="P15" s="8"/>
      <c r="Q15" s="8"/>
      <c r="R15" s="8"/>
      <c r="S15" s="8"/>
      <c r="T15" s="8" t="s">
        <v>67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36"/>
      <c r="AF15" s="37"/>
      <c r="AG15" s="129"/>
      <c r="AH15" s="130"/>
    </row>
    <row r="16" spans="1:34" s="10" customFormat="1" x14ac:dyDescent="0.2">
      <c r="A16" s="8">
        <v>10</v>
      </c>
      <c r="B16" s="8"/>
      <c r="C16" s="8"/>
      <c r="D16" s="8" t="s">
        <v>80</v>
      </c>
      <c r="E16" s="48" t="s">
        <v>78</v>
      </c>
      <c r="F16" s="48"/>
      <c r="G16" s="49" t="s">
        <v>120</v>
      </c>
      <c r="H16" s="49" t="s">
        <v>81</v>
      </c>
      <c r="I16" s="8" t="s">
        <v>67</v>
      </c>
      <c r="J16" s="8" t="s">
        <v>68</v>
      </c>
      <c r="K16" s="8"/>
      <c r="L16" s="8"/>
      <c r="M16" s="8"/>
      <c r="N16" s="8"/>
      <c r="O16" s="8"/>
      <c r="P16" s="8"/>
      <c r="Q16" s="8"/>
      <c r="R16" s="8"/>
      <c r="S16" s="8"/>
      <c r="T16" s="8" t="s">
        <v>67</v>
      </c>
      <c r="U16" s="8"/>
      <c r="V16" s="8"/>
      <c r="W16" s="8"/>
      <c r="X16" s="8"/>
      <c r="Y16" s="8"/>
      <c r="Z16" s="8"/>
      <c r="AA16" s="8"/>
      <c r="AB16" s="8"/>
      <c r="AC16" s="8"/>
      <c r="AD16" s="8"/>
      <c r="AE16" s="36"/>
      <c r="AF16" s="37"/>
      <c r="AG16" s="129"/>
      <c r="AH16" s="130"/>
    </row>
    <row r="17" spans="1:34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9"/>
      <c r="AD17" s="9"/>
      <c r="AE17" s="9"/>
      <c r="AF17" s="9"/>
      <c r="AG17" s="9"/>
      <c r="AH17" s="50"/>
    </row>
    <row r="18" spans="1:34" s="10" customFormat="1" x14ac:dyDescent="0.2">
      <c r="A18" s="59"/>
      <c r="AH18" s="51"/>
    </row>
    <row r="19" spans="1:34" s="10" customFormat="1" x14ac:dyDescent="0.2">
      <c r="A19" s="59"/>
      <c r="AH19" s="51"/>
    </row>
    <row r="20" spans="1:34" s="10" customFormat="1" x14ac:dyDescent="0.2">
      <c r="A20" s="59"/>
      <c r="AH20" s="51"/>
    </row>
    <row r="21" spans="1:34" s="10" customFormat="1" x14ac:dyDescent="0.2">
      <c r="A21" s="59"/>
      <c r="AH21" s="51"/>
    </row>
    <row r="22" spans="1:34" s="10" customFormat="1" x14ac:dyDescent="0.2">
      <c r="A22" s="6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52"/>
    </row>
  </sheetData>
  <mergeCells count="5">
    <mergeCell ref="AG12:AH12"/>
    <mergeCell ref="AG13:AH13"/>
    <mergeCell ref="AG14:AH14"/>
    <mergeCell ref="AG15:AH15"/>
    <mergeCell ref="AG16:AH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5.81640625" style="4" customWidth="1"/>
    <col min="17" max="17" width="14.81640625" style="5" customWidth="1"/>
    <col min="18" max="18" width="15.6328125" style="5" customWidth="1"/>
    <col min="19" max="19" width="11.1796875" style="5" bestFit="1" customWidth="1"/>
    <col min="20" max="20" width="9" style="5"/>
    <col min="21" max="21" width="11.1796875" style="5" bestFit="1" customWidth="1"/>
    <col min="22" max="16384" width="9" style="5"/>
  </cols>
  <sheetData>
    <row r="1" spans="1:17" s="10" customFormat="1" x14ac:dyDescent="0.2">
      <c r="A1" s="57" t="s">
        <v>17</v>
      </c>
      <c r="B1" s="57" t="s">
        <v>17</v>
      </c>
      <c r="C1" s="5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0" customFormat="1" ht="40" customHeight="1" x14ac:dyDescent="0.2">
      <c r="A2" s="22" t="s">
        <v>17</v>
      </c>
      <c r="B2" s="23"/>
      <c r="C2" s="23"/>
      <c r="D2" s="69" t="s">
        <v>102</v>
      </c>
      <c r="E2" s="7" t="s">
        <v>1</v>
      </c>
      <c r="F2" s="58" t="str">
        <f>IF(LogicCommon!C2="","",LogicCommon!C2)</f>
        <v>MG</v>
      </c>
      <c r="G2" s="7" t="s">
        <v>3</v>
      </c>
      <c r="H2" s="58" t="str">
        <f>IF(LogicCommon!E2="","",LogicCommon!E2)</f>
        <v>MGBBL0050</v>
      </c>
      <c r="I2" s="7" t="s">
        <v>19</v>
      </c>
      <c r="J2" s="8" t="s">
        <v>82</v>
      </c>
      <c r="K2" s="7" t="s">
        <v>5</v>
      </c>
      <c r="L2" s="58" t="str">
        <f>IF(LogicCommon!G2="","",LogicCommon!G2)</f>
        <v>MC</v>
      </c>
      <c r="M2" s="5" t="s">
        <v>21</v>
      </c>
      <c r="N2" s="24" t="s">
        <v>101</v>
      </c>
      <c r="O2" s="7"/>
      <c r="P2" s="7"/>
      <c r="Q2" s="4"/>
    </row>
    <row r="3" spans="1:17" s="10" customFormat="1" x14ac:dyDescent="0.2">
      <c r="A3" s="59" t="s">
        <v>17</v>
      </c>
      <c r="B3" s="60"/>
      <c r="C3" s="60"/>
      <c r="D3" s="61" t="str">
        <f>IF(LogicCommon!A3="","",LogicCommon!A3)</f>
        <v/>
      </c>
      <c r="E3" s="7" t="s">
        <v>7</v>
      </c>
      <c r="F3" s="58" t="str">
        <f>IF(LogicCommon!C3="","",LogicCommon!C3)</f>
        <v>MGBB</v>
      </c>
      <c r="G3" s="7" t="s">
        <v>9</v>
      </c>
      <c r="H3" s="58" t="str">
        <f>IF(LogicCommon!E3="","",LogicCommon!E3)</f>
        <v>MGBBL_InstInfoReg</v>
      </c>
      <c r="I3" s="7" t="s">
        <v>22</v>
      </c>
      <c r="J3" s="8" t="s">
        <v>23</v>
      </c>
      <c r="K3" s="7" t="s">
        <v>11</v>
      </c>
      <c r="L3" s="58" t="str">
        <f>IF(LogicCommon!G3="","",LogicCommon!G3)</f>
        <v/>
      </c>
      <c r="M3" s="62"/>
      <c r="N3" s="7"/>
      <c r="O3" s="7" t="s">
        <v>24</v>
      </c>
      <c r="P3" s="8" t="s">
        <v>25</v>
      </c>
      <c r="Q3" s="4"/>
    </row>
    <row r="4" spans="1:17" s="10" customFormat="1" x14ac:dyDescent="0.2">
      <c r="A4" s="59" t="s">
        <v>17</v>
      </c>
      <c r="B4" s="60"/>
      <c r="C4" s="60"/>
      <c r="D4" s="4"/>
      <c r="E4" s="7" t="s">
        <v>26</v>
      </c>
      <c r="F4" s="63" t="s">
        <v>27</v>
      </c>
      <c r="G4" s="7" t="s">
        <v>12</v>
      </c>
      <c r="H4" s="58" t="str">
        <f>IF(LogicCommon!E4="","",LogicCommon!E4)</f>
        <v>指図情報更新</v>
      </c>
      <c r="I4" s="7" t="s">
        <v>28</v>
      </c>
      <c r="J4" s="8" t="s">
        <v>83</v>
      </c>
      <c r="K4" s="7" t="s">
        <v>14</v>
      </c>
      <c r="L4" s="58" t="str">
        <f>IF(LogicCommon!G4="","",LogicCommon!G4)</f>
        <v>MG.MGUDL5010</v>
      </c>
      <c r="M4" s="64" t="s">
        <v>30</v>
      </c>
      <c r="N4" s="24"/>
      <c r="O4" s="65"/>
      <c r="P4" s="4"/>
      <c r="Q4" s="4"/>
    </row>
    <row r="5" spans="1:17" s="10" customFormat="1" x14ac:dyDescent="0.2">
      <c r="A5" s="66" t="s">
        <v>17</v>
      </c>
      <c r="B5" s="57"/>
      <c r="C5" s="57"/>
      <c r="D5" s="21"/>
      <c r="E5" s="7" t="s">
        <v>31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</row>
    <row r="6" spans="1:17" s="10" customFormat="1" x14ac:dyDescent="0.2">
      <c r="A6" s="59" t="s">
        <v>17</v>
      </c>
      <c r="B6" s="60"/>
      <c r="C6" s="60"/>
      <c r="D6" s="4" t="s">
        <v>15</v>
      </c>
      <c r="E6" s="12" t="s">
        <v>84</v>
      </c>
      <c r="F6" s="12"/>
      <c r="G6" s="12"/>
      <c r="H6" s="12"/>
      <c r="I6" s="12"/>
      <c r="J6" s="12"/>
      <c r="K6" s="12"/>
      <c r="L6" s="68"/>
      <c r="M6" s="15" t="s">
        <v>33</v>
      </c>
      <c r="N6" s="15"/>
      <c r="O6" s="15"/>
      <c r="P6" s="15"/>
      <c r="Q6" s="15"/>
    </row>
    <row r="7" spans="1:17" s="10" customFormat="1" x14ac:dyDescent="0.2">
      <c r="A7" s="25" t="s">
        <v>34</v>
      </c>
      <c r="B7" s="25"/>
      <c r="C7" s="25"/>
      <c r="D7" s="26"/>
      <c r="E7" s="26"/>
      <c r="F7" s="27"/>
      <c r="G7" s="26"/>
      <c r="H7" s="26"/>
      <c r="I7" s="26" t="s">
        <v>35</v>
      </c>
      <c r="J7" s="26"/>
      <c r="K7" s="28" t="s">
        <v>36</v>
      </c>
      <c r="L7" s="29" t="s">
        <v>39</v>
      </c>
      <c r="M7" s="30"/>
      <c r="N7" s="31"/>
      <c r="O7" s="31"/>
      <c r="P7" s="31"/>
      <c r="Q7" s="31"/>
    </row>
    <row r="8" spans="1:17" s="10" customFormat="1" ht="60" customHeight="1" x14ac:dyDescent="0.2">
      <c r="A8" s="48" t="s">
        <v>34</v>
      </c>
      <c r="B8" s="72"/>
      <c r="C8" s="73"/>
      <c r="D8" s="70" t="s">
        <v>103</v>
      </c>
      <c r="E8" s="70" t="s">
        <v>104</v>
      </c>
      <c r="F8" s="68"/>
      <c r="G8" s="70" t="s">
        <v>40</v>
      </c>
      <c r="H8" s="70" t="s">
        <v>105</v>
      </c>
      <c r="I8" s="68"/>
      <c r="J8" s="3"/>
      <c r="K8" s="8"/>
      <c r="L8" s="29" t="s">
        <v>59</v>
      </c>
      <c r="M8" s="8"/>
      <c r="N8" s="74"/>
      <c r="O8" s="75"/>
      <c r="P8" s="76" t="s">
        <v>114</v>
      </c>
      <c r="Q8" s="32"/>
    </row>
    <row r="9" spans="1:17" s="10" customFormat="1" ht="60" customHeight="1" x14ac:dyDescent="0.2">
      <c r="A9" s="8" t="s">
        <v>34</v>
      </c>
      <c r="B9" s="34"/>
      <c r="C9" s="35"/>
      <c r="D9" s="70" t="s">
        <v>106</v>
      </c>
      <c r="E9" s="77" t="s">
        <v>107</v>
      </c>
      <c r="F9" s="70" t="s">
        <v>108</v>
      </c>
      <c r="G9" s="70" t="s">
        <v>109</v>
      </c>
      <c r="H9" s="70" t="s">
        <v>110</v>
      </c>
      <c r="I9" s="78" t="s">
        <v>111</v>
      </c>
      <c r="J9" s="70" t="s">
        <v>112</v>
      </c>
      <c r="K9" s="7"/>
      <c r="L9" s="29"/>
      <c r="M9" s="29"/>
      <c r="N9" s="76" t="s">
        <v>113</v>
      </c>
      <c r="O9" s="32"/>
      <c r="P9" s="76" t="s">
        <v>115</v>
      </c>
      <c r="Q9" s="32"/>
    </row>
    <row r="10" spans="1:17" s="10" customFormat="1" ht="52" x14ac:dyDescent="0.2">
      <c r="A10" s="38" t="s">
        <v>34</v>
      </c>
      <c r="B10" s="39"/>
      <c r="C10" s="39"/>
      <c r="D10" s="39"/>
      <c r="E10" s="40"/>
      <c r="F10" s="41"/>
      <c r="G10" s="42"/>
      <c r="H10" s="42"/>
      <c r="I10" s="40"/>
      <c r="J10" s="40"/>
      <c r="K10" s="40"/>
      <c r="L10" s="71" t="s">
        <v>111</v>
      </c>
      <c r="M10" s="71" t="s">
        <v>112</v>
      </c>
      <c r="N10" s="40"/>
      <c r="O10" s="40"/>
      <c r="P10" s="42"/>
      <c r="Q10" s="37"/>
    </row>
    <row r="11" spans="1:17" s="10" customFormat="1" x14ac:dyDescent="0.2">
      <c r="A11" s="8">
        <v>10</v>
      </c>
      <c r="B11" s="34" t="s">
        <v>61</v>
      </c>
      <c r="C11" s="35"/>
      <c r="D11" s="24" t="s">
        <v>85</v>
      </c>
      <c r="E11" s="33" t="s">
        <v>86</v>
      </c>
      <c r="F11" s="43"/>
      <c r="G11" s="24" t="s">
        <v>87</v>
      </c>
      <c r="H11" s="44" t="s">
        <v>88</v>
      </c>
      <c r="I11" s="45"/>
      <c r="J11" s="46"/>
      <c r="K11" s="46"/>
      <c r="L11" s="46"/>
      <c r="M11" s="46"/>
      <c r="N11" s="36"/>
      <c r="O11" s="37"/>
      <c r="P11" s="56"/>
      <c r="Q11" s="47"/>
    </row>
    <row r="12" spans="1:17" s="10" customFormat="1" x14ac:dyDescent="0.2">
      <c r="A12" s="8">
        <v>10</v>
      </c>
      <c r="B12" s="8"/>
      <c r="C12" s="8"/>
      <c r="D12" s="8" t="s">
        <v>64</v>
      </c>
      <c r="E12" s="48" t="s">
        <v>89</v>
      </c>
      <c r="F12" s="48"/>
      <c r="G12" s="49" t="s">
        <v>116</v>
      </c>
      <c r="H12" s="49" t="s">
        <v>66</v>
      </c>
      <c r="I12" s="8" t="s">
        <v>67</v>
      </c>
      <c r="J12" s="8" t="s">
        <v>90</v>
      </c>
      <c r="K12" s="8"/>
      <c r="L12" s="8"/>
      <c r="M12" s="8"/>
      <c r="N12" s="36"/>
      <c r="O12" s="37"/>
      <c r="P12" s="129"/>
      <c r="Q12" s="130"/>
    </row>
    <row r="13" spans="1:17" s="10" customFormat="1" x14ac:dyDescent="0.2">
      <c r="A13" s="8">
        <v>10</v>
      </c>
      <c r="B13" s="8"/>
      <c r="C13" s="8"/>
      <c r="D13" s="8" t="s">
        <v>70</v>
      </c>
      <c r="E13" s="48" t="s">
        <v>71</v>
      </c>
      <c r="F13" s="48"/>
      <c r="G13" s="49" t="s">
        <v>117</v>
      </c>
      <c r="H13" s="49" t="s">
        <v>72</v>
      </c>
      <c r="I13" s="8" t="s">
        <v>67</v>
      </c>
      <c r="J13" s="8" t="s">
        <v>90</v>
      </c>
      <c r="K13" s="8"/>
      <c r="L13" s="8"/>
      <c r="M13" s="8"/>
      <c r="N13" s="36"/>
      <c r="O13" s="37"/>
      <c r="P13" s="129"/>
      <c r="Q13" s="130"/>
    </row>
    <row r="14" spans="1:17" s="10" customFormat="1" x14ac:dyDescent="0.2">
      <c r="A14" s="8">
        <v>10</v>
      </c>
      <c r="B14" s="8"/>
      <c r="C14" s="8"/>
      <c r="D14" s="8" t="s">
        <v>74</v>
      </c>
      <c r="E14" s="48" t="s">
        <v>71</v>
      </c>
      <c r="F14" s="48"/>
      <c r="G14" s="49" t="s">
        <v>118</v>
      </c>
      <c r="H14" s="49" t="s">
        <v>75</v>
      </c>
      <c r="I14" s="8" t="s">
        <v>67</v>
      </c>
      <c r="J14" s="8" t="s">
        <v>90</v>
      </c>
      <c r="K14" s="8"/>
      <c r="L14" s="8"/>
      <c r="M14" s="8"/>
      <c r="N14" s="36"/>
      <c r="O14" s="37"/>
      <c r="P14" s="129"/>
      <c r="Q14" s="130"/>
    </row>
    <row r="15" spans="1:17" s="10" customFormat="1" x14ac:dyDescent="0.2">
      <c r="A15" s="8">
        <v>10</v>
      </c>
      <c r="B15" s="8"/>
      <c r="C15" s="8"/>
      <c r="D15" s="8" t="s">
        <v>91</v>
      </c>
      <c r="E15" s="48" t="s">
        <v>78</v>
      </c>
      <c r="F15" s="48"/>
      <c r="G15" s="49" t="s">
        <v>119</v>
      </c>
      <c r="H15" s="49" t="s">
        <v>79</v>
      </c>
      <c r="I15" s="8" t="s">
        <v>67</v>
      </c>
      <c r="J15" s="8" t="s">
        <v>90</v>
      </c>
      <c r="K15" s="8"/>
      <c r="L15" s="8"/>
      <c r="M15" s="8"/>
      <c r="N15" s="36"/>
      <c r="O15" s="37"/>
      <c r="P15" s="129"/>
      <c r="Q15" s="130"/>
    </row>
    <row r="16" spans="1:17" s="10" customFormat="1" x14ac:dyDescent="0.2">
      <c r="A16" s="8">
        <v>10</v>
      </c>
      <c r="B16" s="8"/>
      <c r="C16" s="8"/>
      <c r="D16" s="8" t="s">
        <v>92</v>
      </c>
      <c r="E16" s="48" t="s">
        <v>78</v>
      </c>
      <c r="F16" s="48"/>
      <c r="G16" s="49" t="s">
        <v>120</v>
      </c>
      <c r="H16" s="49" t="s">
        <v>81</v>
      </c>
      <c r="I16" s="8" t="s">
        <v>67</v>
      </c>
      <c r="J16" s="8" t="s">
        <v>90</v>
      </c>
      <c r="K16" s="8"/>
      <c r="L16" s="8"/>
      <c r="M16" s="8"/>
      <c r="N16" s="36"/>
      <c r="O16" s="37"/>
      <c r="P16" s="129"/>
      <c r="Q16" s="130"/>
    </row>
    <row r="17" spans="1:17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20"/>
    </row>
    <row r="18" spans="1:17" s="10" customFormat="1" x14ac:dyDescent="0.2">
      <c r="A18" s="59"/>
      <c r="Q18" s="51"/>
    </row>
    <row r="19" spans="1:17" s="10" customFormat="1" x14ac:dyDescent="0.2">
      <c r="A19" s="59"/>
      <c r="Q19" s="51"/>
    </row>
    <row r="20" spans="1:17" s="10" customFormat="1" x14ac:dyDescent="0.2">
      <c r="A20" s="59"/>
      <c r="Q20" s="51"/>
    </row>
    <row r="21" spans="1:17" s="10" customFormat="1" x14ac:dyDescent="0.2">
      <c r="A21" s="59"/>
      <c r="Q21" s="51"/>
    </row>
    <row r="22" spans="1:17" s="10" customFormat="1" x14ac:dyDescent="0.2">
      <c r="A22" s="66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52"/>
    </row>
  </sheetData>
  <mergeCells count="5">
    <mergeCell ref="P12:Q12"/>
    <mergeCell ref="P13:Q13"/>
    <mergeCell ref="P14:Q14"/>
    <mergeCell ref="P15:Q15"/>
    <mergeCell ref="P16:Q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53" customWidth="1"/>
    <col min="43" max="44" width="2.08984375" style="55" customWidth="1"/>
    <col min="45" max="57" width="2.08984375" style="53" customWidth="1"/>
    <col min="58" max="16384" width="9" style="53"/>
  </cols>
  <sheetData>
    <row r="1" spans="1:57" ht="38.25" customHeight="1" thickBot="1" x14ac:dyDescent="0.25">
      <c r="A1" s="108" t="s">
        <v>93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ht="12" customHeight="1" thickBot="1" x14ac:dyDescent="0.2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</row>
    <row r="3" spans="1:57" ht="15" customHeight="1" thickBot="1" x14ac:dyDescent="0.25">
      <c r="A3" s="111" t="s">
        <v>94</v>
      </c>
      <c r="B3" s="112"/>
      <c r="C3" s="112"/>
      <c r="D3" s="112"/>
      <c r="E3" s="112"/>
      <c r="F3" s="112"/>
      <c r="G3" s="113"/>
      <c r="H3" s="114" t="s">
        <v>95</v>
      </c>
      <c r="I3" s="112"/>
      <c r="J3" s="112"/>
      <c r="K3" s="112"/>
      <c r="L3" s="112"/>
      <c r="M3" s="112"/>
      <c r="N3" s="113"/>
      <c r="O3" s="114" t="s">
        <v>96</v>
      </c>
      <c r="P3" s="115"/>
      <c r="Q3" s="115"/>
      <c r="R3" s="115"/>
      <c r="S3" s="115"/>
      <c r="T3" s="115"/>
      <c r="U3" s="115"/>
      <c r="V3" s="115"/>
      <c r="W3" s="115"/>
      <c r="X3" s="115"/>
      <c r="Y3" s="115"/>
      <c r="Z3" s="115"/>
      <c r="AA3" s="115"/>
      <c r="AB3" s="115"/>
      <c r="AC3" s="115"/>
      <c r="AD3" s="115"/>
      <c r="AE3" s="115"/>
      <c r="AF3" s="115"/>
      <c r="AG3" s="115"/>
      <c r="AH3" s="115"/>
      <c r="AI3" s="115"/>
      <c r="AJ3" s="115"/>
      <c r="AK3" s="115"/>
      <c r="AL3" s="115"/>
      <c r="AM3" s="115"/>
      <c r="AN3" s="115"/>
      <c r="AO3" s="115"/>
      <c r="AP3" s="116"/>
      <c r="AQ3" s="114" t="s">
        <v>97</v>
      </c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8"/>
    </row>
    <row r="4" spans="1:57" ht="15" customHeight="1" x14ac:dyDescent="0.2">
      <c r="A4" s="119">
        <v>1</v>
      </c>
      <c r="B4" s="120"/>
      <c r="C4" s="120"/>
      <c r="D4" s="120"/>
      <c r="E4" s="120"/>
      <c r="F4" s="120"/>
      <c r="G4" s="121"/>
      <c r="H4" s="122"/>
      <c r="I4" s="123"/>
      <c r="J4" s="123"/>
      <c r="K4" s="123"/>
      <c r="L4" s="123"/>
      <c r="M4" s="123"/>
      <c r="N4" s="124"/>
      <c r="O4" s="122" t="s">
        <v>98</v>
      </c>
      <c r="P4" s="125"/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  <c r="AK4" s="125"/>
      <c r="AL4" s="125"/>
      <c r="AM4" s="125"/>
      <c r="AN4" s="125"/>
      <c r="AO4" s="125"/>
      <c r="AP4" s="126"/>
      <c r="AQ4" s="127"/>
      <c r="AR4" s="125"/>
      <c r="AS4" s="125"/>
      <c r="AT4" s="125"/>
      <c r="AU4" s="125"/>
      <c r="AV4" s="125"/>
      <c r="AW4" s="125"/>
      <c r="AX4" s="125"/>
      <c r="AY4" s="125"/>
      <c r="AZ4" s="125"/>
      <c r="BA4" s="125"/>
      <c r="BB4" s="125"/>
      <c r="BC4" s="125"/>
      <c r="BD4" s="125"/>
      <c r="BE4" s="12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2"/>
      <c r="I5" s="93"/>
      <c r="J5" s="93"/>
      <c r="K5" s="93"/>
      <c r="L5" s="93"/>
      <c r="M5" s="93"/>
      <c r="N5" s="94"/>
      <c r="O5" s="102" t="s">
        <v>121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122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9"/>
      <c r="I6" s="100"/>
      <c r="J6" s="100"/>
      <c r="K6" s="100"/>
      <c r="L6" s="100"/>
      <c r="M6" s="100"/>
      <c r="N6" s="101"/>
      <c r="O6" s="92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9"/>
      <c r="I7" s="100"/>
      <c r="J7" s="100"/>
      <c r="K7" s="100"/>
      <c r="L7" s="100"/>
      <c r="M7" s="100"/>
      <c r="N7" s="101"/>
      <c r="O7" s="92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4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2"/>
      <c r="I8" s="93"/>
      <c r="J8" s="93"/>
      <c r="K8" s="93"/>
      <c r="L8" s="93"/>
      <c r="M8" s="93"/>
      <c r="N8" s="94"/>
      <c r="O8" s="92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2"/>
      <c r="I9" s="93"/>
      <c r="J9" s="93"/>
      <c r="K9" s="93"/>
      <c r="L9" s="93"/>
      <c r="M9" s="93"/>
      <c r="N9" s="94"/>
      <c r="O9" s="92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2"/>
      <c r="I10" s="93"/>
      <c r="J10" s="93"/>
      <c r="K10" s="93"/>
      <c r="L10" s="93"/>
      <c r="M10" s="93"/>
      <c r="N10" s="94"/>
      <c r="O10" s="92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2"/>
      <c r="I11" s="93"/>
      <c r="J11" s="93"/>
      <c r="K11" s="93"/>
      <c r="L11" s="93"/>
      <c r="M11" s="93"/>
      <c r="N11" s="94"/>
      <c r="O11" s="92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2"/>
      <c r="I12" s="93"/>
      <c r="J12" s="93"/>
      <c r="K12" s="93"/>
      <c r="L12" s="93"/>
      <c r="M12" s="93"/>
      <c r="N12" s="94"/>
      <c r="O12" s="92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2"/>
      <c r="I13" s="93"/>
      <c r="J13" s="93"/>
      <c r="K13" s="93"/>
      <c r="L13" s="93"/>
      <c r="M13" s="93"/>
      <c r="N13" s="94"/>
      <c r="O13" s="92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2"/>
      <c r="I14" s="93"/>
      <c r="J14" s="93"/>
      <c r="K14" s="93"/>
      <c r="L14" s="93"/>
      <c r="M14" s="93"/>
      <c r="N14" s="94"/>
      <c r="O14" s="92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2"/>
      <c r="I15" s="93"/>
      <c r="J15" s="93"/>
      <c r="K15" s="93"/>
      <c r="L15" s="93"/>
      <c r="M15" s="93"/>
      <c r="N15" s="94"/>
      <c r="O15" s="92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2"/>
      <c r="I16" s="93"/>
      <c r="J16" s="93"/>
      <c r="K16" s="93"/>
      <c r="L16" s="93"/>
      <c r="M16" s="93"/>
      <c r="N16" s="94"/>
      <c r="O16" s="92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2"/>
      <c r="I17" s="93"/>
      <c r="J17" s="93"/>
      <c r="K17" s="93"/>
      <c r="L17" s="93"/>
      <c r="M17" s="93"/>
      <c r="N17" s="94"/>
      <c r="O17" s="92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2"/>
      <c r="I18" s="93"/>
      <c r="J18" s="93"/>
      <c r="K18" s="93"/>
      <c r="L18" s="93"/>
      <c r="M18" s="93"/>
      <c r="N18" s="94"/>
      <c r="O18" s="92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2"/>
      <c r="I19" s="93"/>
      <c r="J19" s="93"/>
      <c r="K19" s="93"/>
      <c r="L19" s="93"/>
      <c r="M19" s="93"/>
      <c r="N19" s="94"/>
      <c r="O19" s="92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2"/>
      <c r="I20" s="93"/>
      <c r="J20" s="93"/>
      <c r="K20" s="93"/>
      <c r="L20" s="93"/>
      <c r="M20" s="93"/>
      <c r="N20" s="94"/>
      <c r="O20" s="92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2"/>
      <c r="I21" s="93"/>
      <c r="J21" s="93"/>
      <c r="K21" s="93"/>
      <c r="L21" s="93"/>
      <c r="M21" s="93"/>
      <c r="N21" s="94"/>
      <c r="O21" s="92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2"/>
      <c r="I22" s="93"/>
      <c r="J22" s="93"/>
      <c r="K22" s="93"/>
      <c r="L22" s="93"/>
      <c r="M22" s="93"/>
      <c r="N22" s="94"/>
      <c r="O22" s="92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2"/>
      <c r="I23" s="93"/>
      <c r="J23" s="93"/>
      <c r="K23" s="93"/>
      <c r="L23" s="93"/>
      <c r="M23" s="93"/>
      <c r="N23" s="94"/>
      <c r="O23" s="92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2"/>
      <c r="I24" s="93"/>
      <c r="J24" s="93"/>
      <c r="K24" s="93"/>
      <c r="L24" s="93"/>
      <c r="M24" s="93"/>
      <c r="N24" s="94"/>
      <c r="O24" s="92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2"/>
      <c r="I25" s="93"/>
      <c r="J25" s="93"/>
      <c r="K25" s="93"/>
      <c r="L25" s="93"/>
      <c r="M25" s="93"/>
      <c r="N25" s="94"/>
      <c r="O25" s="92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2"/>
      <c r="I26" s="93"/>
      <c r="J26" s="93"/>
      <c r="K26" s="93"/>
      <c r="L26" s="93"/>
      <c r="M26" s="93"/>
      <c r="N26" s="94"/>
      <c r="O26" s="92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2"/>
      <c r="I27" s="93"/>
      <c r="J27" s="93"/>
      <c r="K27" s="93"/>
      <c r="L27" s="93"/>
      <c r="M27" s="93"/>
      <c r="N27" s="94"/>
      <c r="O27" s="92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2"/>
      <c r="I28" s="93"/>
      <c r="J28" s="93"/>
      <c r="K28" s="93"/>
      <c r="L28" s="93"/>
      <c r="M28" s="93"/>
      <c r="N28" s="94"/>
      <c r="O28" s="92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2"/>
      <c r="I29" s="93"/>
      <c r="J29" s="93"/>
      <c r="K29" s="93"/>
      <c r="L29" s="93"/>
      <c r="M29" s="93"/>
      <c r="N29" s="94"/>
      <c r="O29" s="92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2"/>
      <c r="I30" s="93"/>
      <c r="J30" s="93"/>
      <c r="K30" s="93"/>
      <c r="L30" s="93"/>
      <c r="M30" s="93"/>
      <c r="N30" s="94"/>
      <c r="O30" s="92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2"/>
      <c r="I31" s="93"/>
      <c r="J31" s="93"/>
      <c r="K31" s="93"/>
      <c r="L31" s="93"/>
      <c r="M31" s="93"/>
      <c r="N31" s="94"/>
      <c r="O31" s="92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2"/>
      <c r="I32" s="93"/>
      <c r="J32" s="93"/>
      <c r="K32" s="93"/>
      <c r="L32" s="93"/>
      <c r="M32" s="93"/>
      <c r="N32" s="94"/>
      <c r="O32" s="92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2"/>
      <c r="I33" s="93"/>
      <c r="J33" s="93"/>
      <c r="K33" s="93"/>
      <c r="L33" s="93"/>
      <c r="M33" s="93"/>
      <c r="N33" s="94"/>
      <c r="O33" s="92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2"/>
      <c r="I34" s="93"/>
      <c r="J34" s="93"/>
      <c r="K34" s="93"/>
      <c r="L34" s="93"/>
      <c r="M34" s="93"/>
      <c r="N34" s="94"/>
      <c r="O34" s="92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 x14ac:dyDescent="0.25">
      <c r="A35" s="79"/>
      <c r="B35" s="80"/>
      <c r="C35" s="80"/>
      <c r="D35" s="80"/>
      <c r="E35" s="80"/>
      <c r="F35" s="80"/>
      <c r="G35" s="81"/>
      <c r="H35" s="82"/>
      <c r="I35" s="83"/>
      <c r="J35" s="83"/>
      <c r="K35" s="83"/>
      <c r="L35" s="83"/>
      <c r="M35" s="83"/>
      <c r="N35" s="84"/>
      <c r="O35" s="82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6"/>
      <c r="AQ35" s="87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Chk01</vt:lpstr>
      <vt:lpstr>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2026-03-27T05:50:17Z</dcterms:modified>
  <cp:category/>
</cp:coreProperties>
</file>