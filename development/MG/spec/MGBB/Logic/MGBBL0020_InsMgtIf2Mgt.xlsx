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CA5233DC-6B08-4517-BE89-FC60AF0ADB2A}" xr6:coauthVersionLast="47" xr6:coauthVersionMax="47" xr10:uidLastSave="{00000000-0000-0000-0000-000000000000}"/>
  <bookViews>
    <workbookView xWindow="1710" yWindow="1710" windowWidth="21600" windowHeight="11265" activeTab="7" xr2:uid="{00000000-000D-0000-FFFF-FFFF00000000}"/>
  </bookViews>
  <sheets>
    <sheet name="LogicCommon" sheetId="1" r:id="rId1"/>
    <sheet name="Srch01" sheetId="2" r:id="rId2"/>
    <sheet name="Srch02" sheetId="3" r:id="rId3"/>
    <sheet name="Ins01" sheetId="4" r:id="rId4"/>
    <sheet name="Ins02" sheetId="5" r:id="rId5"/>
    <sheet name="Ins03" sheetId="6" r:id="rId6"/>
    <sheet name="Del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<sst xmlns="http://schemas.openxmlformats.org/spreadsheetml/2006/main" count="651" uniqueCount="147">
  <si>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</si>
  <si>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</si>
  <si>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</si>
  <si>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</si>
  <si>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MGBBL0020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</si>
  <si>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</si>
  <si>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</si>
  <si>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</si>
  <si>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</si>
  <si>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</si>
  <si>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MGBBL_InsMgtIf2Mgt</t>
    <phoneticPr fontId="3"/>
  </si>
  <si>
    <t>SuperClassPj.ID :</t>
    <phoneticPr fontId="4"/>
  </si>
  <si>
    <t>LogicName :</t>
    <phoneticPr fontId="4"/>
  </si>
  <si>
    <t>原価実績データ作成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</si>
  <si>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</si>
  <si>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</si>
  <si>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</si>
  <si>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</si>
  <si>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</si>
  <si>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</si>
  <si>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</si>
  <si>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</si>
  <si>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</si>
  <si>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</si>
  <si>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</si>
  <si>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</si>
  <si>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</si>
  <si>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</si>
  <si>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</si>
  <si>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</si>
  <si>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</si>
  <si>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</si>
  <si>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</si>
  <si>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</si>
  <si>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</si>
  <si>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</si>
  <si>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</si>
  <si>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super/share</t>
    <phoneticPr fontId="4"/>
  </si>
  <si>
    <t>CONST</t>
  </si>
  <si>
    <t>*</t>
  </si>
  <si>
    <t>Srch01_Cnd</t>
  </si>
  <si>
    <t>R</t>
    <phoneticPr fontId="3"/>
  </si>
  <si>
    <t>ym</t>
  </si>
  <si>
    <t>#MA.YM</t>
    <phoneticPr fontId="3"/>
  </si>
  <si>
    <t>対象年月</t>
    <phoneticPr fontId="1"/>
  </si>
  <si>
    <t>E</t>
    <phoneticPr fontId="4"/>
  </si>
  <si>
    <t>-</t>
    <phoneticPr fontId="3"/>
  </si>
  <si>
    <t>wg_cd</t>
  </si>
  <si>
    <t>#MA.WG_CD</t>
  </si>
  <si>
    <t>ワーキンググループＣＤ</t>
    <phoneticPr fontId="3"/>
  </si>
  <si>
    <t>calc_ctg_cd</t>
  </si>
  <si>
    <t>#MA.CALC_CTG_CD</t>
    <phoneticPr fontId="3"/>
  </si>
  <si>
    <t>計算カテゴリＣＤ</t>
    <phoneticPr fontId="1"/>
  </si>
  <si>
    <t>Srch01_Rslt</t>
  </si>
  <si>
    <t>L</t>
  </si>
  <si>
    <t>if_data_typ</t>
  </si>
  <si>
    <t>#MG.IF_DATA_TYP</t>
    <phoneticPr fontId="3"/>
  </si>
  <si>
    <t>ＩＦデータ種類区分</t>
    <phoneticPr fontId="3"/>
  </si>
  <si>
    <t>cost_act_typ</t>
  </si>
  <si>
    <t>#MG.COST_ACT_TYP</t>
    <phoneticPr fontId="3"/>
  </si>
  <si>
    <t>原価実績種類区分</t>
    <phoneticPr fontId="3"/>
  </si>
  <si>
    <t>E</t>
    <phoneticPr fontId="3"/>
  </si>
  <si>
    <t>if_last_upd_dt</t>
  </si>
  <si>
    <t>#MA.SYS_TS</t>
  </si>
  <si>
    <t>ＩＦデータ最終更新日時</t>
    <phoneticPr fontId="1"/>
  </si>
  <si>
    <t>last_upd_dt</t>
  </si>
  <si>
    <t>原価実績データ最終更新日時</t>
    <phoneticPr fontId="1"/>
  </si>
  <si>
    <t>詳細 :</t>
  </si>
  <si>
    <t>Srch02</t>
    <phoneticPr fontId="3"/>
  </si>
  <si>
    <t>確定情報検索</t>
    <rPh sb="0" eb="2">
      <t>カクテイ</t>
    </rPh>
    <rPh sb="2" eb="4">
      <t>ジョウホウ</t>
    </rPh>
    <rPh sb="4" eb="6">
      <t>ケンサク</t>
    </rPh>
    <phoneticPr fontId="3"/>
  </si>
  <si>
    <t>確定情報検索処理をする</t>
    <rPh sb="0" eb="2">
      <t>カクテイ</t>
    </rPh>
    <rPh sb="2" eb="4">
      <t>ジョウホウ</t>
    </rPh>
    <rPh sb="4" eb="6">
      <t>ケンサク</t>
    </rPh>
    <rPh sb="6" eb="8">
      <t>ショリ</t>
    </rPh>
    <phoneticPr fontId="3"/>
  </si>
  <si>
    <t>Srch02_Rslt</t>
    <phoneticPr fontId="3"/>
  </si>
  <si>
    <t>$share$</t>
  </si>
  <si>
    <t>MG.MGBBL0020.Srch01.Srch01_Cnd</t>
    <phoneticPr fontId="3"/>
  </si>
  <si>
    <t>デフォルト対象年月</t>
    <phoneticPr fontId="3"/>
  </si>
  <si>
    <t>-</t>
    <phoneticPr fontId="4"/>
  </si>
  <si>
    <t>Ins01</t>
    <phoneticPr fontId="3"/>
  </si>
  <si>
    <t>@</t>
    <phoneticPr fontId="3"/>
  </si>
  <si>
    <t>作成</t>
    <rPh sb="0" eb="2">
      <t>サクセイ</t>
    </rPh>
    <phoneticPr fontId="3"/>
  </si>
  <si>
    <t>作成処理をする</t>
    <rPh sb="0" eb="2">
      <t>サクセイ</t>
    </rPh>
    <rPh sb="2" eb="4">
      <t>ショリ</t>
    </rPh>
    <phoneticPr fontId="3"/>
  </si>
  <si>
    <t>R</t>
  </si>
  <si>
    <t>#MA.YM</t>
    <phoneticPr fontId="3"/>
  </si>
  <si>
    <t>#MA.CALC_CTG_CD</t>
    <phoneticPr fontId="3"/>
  </si>
  <si>
    <t>Ins01_Rslt</t>
  </si>
  <si>
    <t>L</t>
    <phoneticPr fontId="3"/>
  </si>
  <si>
    <t>#MG.IF_DATA_TYP</t>
    <phoneticPr fontId="3"/>
  </si>
  <si>
    <t>Ins02</t>
    <phoneticPr fontId="3"/>
  </si>
  <si>
    <t>一括作成</t>
    <rPh sb="0" eb="2">
      <t>イッカツ</t>
    </rPh>
    <rPh sb="2" eb="4">
      <t>サクセイ</t>
    </rPh>
    <phoneticPr fontId="3"/>
  </si>
  <si>
    <t>一括作成処理をする</t>
    <rPh sb="0" eb="2">
      <t>イッカツ</t>
    </rPh>
    <rPh sb="2" eb="4">
      <t>サクセイ</t>
    </rPh>
    <rPh sb="4" eb="6">
      <t>ショリ</t>
    </rPh>
    <phoneticPr fontId="3"/>
  </si>
  <si>
    <t>Ins02_Cnd</t>
  </si>
  <si>
    <t>MG.MGBBL0020.Ins01.Ins01_Cnd</t>
    <phoneticPr fontId="3"/>
  </si>
  <si>
    <t>Ins02_Rslt</t>
  </si>
  <si>
    <t>L</t>
    <phoneticPr fontId="3"/>
  </si>
  <si>
    <t>MG.MGBBL0020.Ins01.Ins01_Rslt</t>
    <phoneticPr fontId="3"/>
  </si>
  <si>
    <t>#MG.IF_DATA_TYP</t>
    <phoneticPr fontId="3"/>
  </si>
  <si>
    <t>Ins03</t>
  </si>
  <si>
    <t>一括作成（再取込）</t>
    <rPh sb="0" eb="2">
      <t>イッカツ</t>
    </rPh>
    <rPh sb="2" eb="4">
      <t>サクセイ</t>
    </rPh>
    <phoneticPr fontId="3"/>
  </si>
  <si>
    <t>一括作成（再取込）処理をする</t>
    <rPh sb="9" eb="11">
      <t>ショリ</t>
    </rPh>
    <phoneticPr fontId="3"/>
  </si>
  <si>
    <t>Ins03_Cnd</t>
  </si>
  <si>
    <t>#MA.YM</t>
    <phoneticPr fontId="3"/>
  </si>
  <si>
    <t>#MA.CALC_CTG_CD</t>
    <phoneticPr fontId="3"/>
  </si>
  <si>
    <t>Ins03_Rslt</t>
  </si>
  <si>
    <t>Del01</t>
  </si>
  <si>
    <t>削除</t>
    <phoneticPr fontId="3"/>
  </si>
  <si>
    <t>削除処理をする</t>
    <rPh sb="0" eb="2">
      <t>サクジョ</t>
    </rPh>
    <rPh sb="2" eb="4">
      <t>ショリ</t>
    </rPh>
    <phoneticPr fontId="3"/>
  </si>
  <si>
    <t>Del01_Cnd</t>
  </si>
  <si>
    <t>Del01_Rslt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</si>
  <si>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</si>
  <si>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</si>
  <si>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</si>
  <si>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</si>
  <si>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</si>
  <si>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</si>
  <si>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non_mov_flg</t>
    <phoneticPr fontId="3"/>
  </si>
  <si>
    <t>#MA.FLG</t>
    <phoneticPr fontId="3"/>
  </si>
  <si>
    <t>滞留在庫計算</t>
    <phoneticPr fontId="1"/>
  </si>
  <si>
    <t>Ins01_Cnd</t>
    <phoneticPr fontId="3"/>
  </si>
  <si>
    <t>o</t>
    <phoneticPr fontId="4"/>
  </si>
  <si>
    <t>TargetName</t>
    <phoneticPr fontId="4"/>
  </si>
  <si>
    <t>MG.MGUDL5010</t>
    <phoneticPr fontId="3"/>
  </si>
  <si>
    <t>"mcframe.serverMAUD.MAUDL5010.MAUDL_Searcher"</t>
  </si>
  <si>
    <t>"mcframe.serverMAUD.MAUDL5010.MAUDL_Operation"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</si>
  <si>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</si>
  <si>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</si>
  <si>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</si>
  <si>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</si>
  <si>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</si>
  <si>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</si>
  <si>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</si>
  <si>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</si>
  <si>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</si>
  <si>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</si>
  <si>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</si>
  <si>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</si>
  <si>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</si>
  <si>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</si>
  <si>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Month</t>
  </si>
  <si>
    <t>WG cd.</t>
  </si>
  <si>
    <t>Calculation category cd.</t>
  </si>
  <si>
    <t>IF data classification type</t>
  </si>
  <si>
    <t>Cost result classification type</t>
  </si>
  <si>
    <t>Last update date and time (IF data)</t>
  </si>
  <si>
    <t>Last update date and time (Result data)</t>
  </si>
  <si>
    <t>Default month</t>
  </si>
  <si>
    <t>Non-moving inventory calculation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</si>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</sst>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0" borderId="5" xfId="0" applyFont="1" applyBorder="1" applyAlignment="1"/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>
      <alignment vertical="top" wrapText="1"/>
    </xf>
    <xf numFmtId="0" fontId="2" fillId="0" borderId="6" xfId="0" applyFont="1" applyBorder="1" applyAlignment="1">
      <alignment vertical="center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5" xfId="0" applyFont="1" applyBorder="1" applyAlignment="1">
      <alignment vertical="top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119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4.453125" style="4" customWidth="1"/>
    <col min="13" max="13" width="13.81640625" style="4" customWidth="1"/>
    <col min="14" max="14" width="50.81640625" style="4" customWidth="1"/>
    <col min="15" max="15" width="13.81640625" style="4" customWidth="1"/>
    <col min="16" max="16" width="14.453125" style="4" customWidth="1"/>
    <col min="17" max="17" width="13.81640625" style="5" customWidth="1"/>
    <col min="18" max="18" width="30.81640625" style="5" customWidth="1"/>
    <col min="19" max="19" width="14.08984375" style="5" customWidth="1"/>
    <col min="20" max="20" width="15.81640625" style="5" customWidth="1"/>
    <col min="21" max="22" width="11.36328125" style="5" bestFit="1" customWidth="1"/>
    <col min="23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57" t="s">
        <v>17</v>
      </c>
      <c r="B2" s="22"/>
      <c r="C2" s="22"/>
      <c r="D2" s="67" t="s">
        <v>122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MGBBL0020</v>
      </c>
      <c r="I2" s="7" t="s">
        <v>19</v>
      </c>
      <c r="J2" s="8" t="s">
        <v>20</v>
      </c>
      <c r="K2" s="7" t="s">
        <v>5</v>
      </c>
      <c r="L2" s="58" t="str">
        <f>IF(LogicCommon!G2="","",LogicCommon!G2)</f>
        <v>MC</v>
      </c>
      <c r="M2" s="5" t="s">
        <v>21</v>
      </c>
      <c r="N2" s="23" t="s">
        <v>120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17</v>
      </c>
      <c r="B3" s="25"/>
      <c r="C3" s="25"/>
      <c r="D3" s="59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MGBBL_InsMgtIf2Mgt</v>
      </c>
      <c r="I3" s="7" t="s">
        <v>22</v>
      </c>
      <c r="J3" s="8" t="s">
        <v>23</v>
      </c>
      <c r="K3" s="7" t="s">
        <v>11</v>
      </c>
      <c r="L3" s="58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24" t="s">
        <v>17</v>
      </c>
      <c r="B4" s="25"/>
      <c r="C4" s="25"/>
      <c r="D4" s="4"/>
      <c r="E4" s="7" t="s">
        <v>26</v>
      </c>
      <c r="F4" s="61" t="s">
        <v>27</v>
      </c>
      <c r="G4" s="7" t="s">
        <v>12</v>
      </c>
      <c r="H4" s="58" t="str">
        <f>IF(LogicCommon!E4="","",LogicCommon!E4)</f>
        <v>原価実績データ作成</v>
      </c>
      <c r="I4" s="7" t="s">
        <v>28</v>
      </c>
      <c r="J4" s="8" t="s">
        <v>29</v>
      </c>
      <c r="K4" s="7" t="s">
        <v>14</v>
      </c>
      <c r="L4" s="58" t="str">
        <f>IF(LogicCommon!G4="","",LogicCommon!G4)</f>
        <v>MG.MGUDL5010</v>
      </c>
      <c r="M4" s="62" t="s">
        <v>30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24" t="s">
        <v>17</v>
      </c>
      <c r="B6" s="25"/>
      <c r="C6" s="2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117</v>
      </c>
      <c r="M7" s="27"/>
      <c r="N7" s="26" t="s">
        <v>117</v>
      </c>
      <c r="O7" s="27"/>
      <c r="P7" s="26" t="s">
        <v>117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123</v>
      </c>
      <c r="E8" s="26" t="s">
        <v>124</v>
      </c>
      <c r="F8" s="66"/>
      <c r="G8" s="26" t="s">
        <v>37</v>
      </c>
      <c r="H8" s="26" t="s">
        <v>125</v>
      </c>
      <c r="I8" s="66"/>
      <c r="J8" s="3"/>
      <c r="K8" s="8" t="s">
        <v>38</v>
      </c>
      <c r="L8" s="26" t="s">
        <v>118</v>
      </c>
      <c r="M8" s="27"/>
      <c r="N8" s="26" t="s">
        <v>118</v>
      </c>
      <c r="O8" s="27"/>
      <c r="P8" s="26" t="s">
        <v>118</v>
      </c>
      <c r="Q8" s="27"/>
      <c r="R8" s="3"/>
      <c r="S8" s="21"/>
      <c r="T8" s="44" t="s">
        <v>126</v>
      </c>
      <c r="U8" s="70"/>
    </row>
    <row r="9" spans="1:21" s="10" customFormat="1" ht="60" customHeight="1" x14ac:dyDescent="0.2">
      <c r="A9" s="8" t="s">
        <v>34</v>
      </c>
      <c r="B9" s="30"/>
      <c r="C9" s="31"/>
      <c r="D9" s="26" t="s">
        <v>127</v>
      </c>
      <c r="E9" s="44" t="s">
        <v>128</v>
      </c>
      <c r="F9" s="26" t="s">
        <v>129</v>
      </c>
      <c r="G9" s="26" t="s">
        <v>130</v>
      </c>
      <c r="H9" s="26" t="s">
        <v>131</v>
      </c>
      <c r="I9" s="45" t="s">
        <v>132</v>
      </c>
      <c r="J9" s="26" t="s">
        <v>133</v>
      </c>
      <c r="K9" s="67"/>
      <c r="L9" s="45"/>
      <c r="M9" s="26"/>
      <c r="N9" s="45"/>
      <c r="O9" s="26"/>
      <c r="P9" s="45"/>
      <c r="Q9" s="26"/>
      <c r="R9" s="44" t="s">
        <v>134</v>
      </c>
      <c r="S9" s="45"/>
      <c r="T9" s="44" t="s">
        <v>135</v>
      </c>
      <c r="U9" s="70"/>
    </row>
    <row r="10" spans="1:21" s="10" customFormat="1" ht="39" x14ac:dyDescent="0.2">
      <c r="A10" s="30" t="s">
        <v>34</v>
      </c>
      <c r="B10" s="34"/>
      <c r="C10" s="34"/>
      <c r="D10" s="35"/>
      <c r="E10" s="32"/>
      <c r="F10" s="32"/>
      <c r="G10" s="36"/>
      <c r="H10" s="36"/>
      <c r="I10" s="32"/>
      <c r="J10" s="32"/>
      <c r="K10" s="37"/>
      <c r="L10" s="26" t="s">
        <v>132</v>
      </c>
      <c r="M10" s="26" t="s">
        <v>133</v>
      </c>
      <c r="N10" s="26" t="s">
        <v>132</v>
      </c>
      <c r="O10" s="26" t="s">
        <v>133</v>
      </c>
      <c r="P10" s="26" t="s">
        <v>132</v>
      </c>
      <c r="Q10" s="26" t="s">
        <v>133</v>
      </c>
      <c r="R10" s="32"/>
      <c r="S10" s="32"/>
      <c r="T10" s="38"/>
      <c r="U10" s="33"/>
    </row>
    <row r="11" spans="1:21" s="10" customFormat="1" x14ac:dyDescent="0.2">
      <c r="A11" s="8">
        <v>10</v>
      </c>
      <c r="B11" s="30" t="s">
        <v>39</v>
      </c>
      <c r="C11" s="31"/>
      <c r="D11" s="23" t="s">
        <v>40</v>
      </c>
      <c r="E11" s="28" t="s">
        <v>41</v>
      </c>
      <c r="F11" s="39"/>
      <c r="G11" s="23"/>
      <c r="H11" s="29"/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41"/>
      <c r="U11" s="42"/>
    </row>
    <row r="12" spans="1:21" s="10" customFormat="1" x14ac:dyDescent="0.2">
      <c r="A12" s="8">
        <v>10</v>
      </c>
      <c r="B12" s="8"/>
      <c r="C12" s="8"/>
      <c r="D12" s="8" t="s">
        <v>42</v>
      </c>
      <c r="E12" s="27" t="s">
        <v>43</v>
      </c>
      <c r="F12" s="27"/>
      <c r="G12" s="43" t="s">
        <v>136</v>
      </c>
      <c r="H12" s="43" t="s">
        <v>44</v>
      </c>
      <c r="I12" s="8" t="s">
        <v>45</v>
      </c>
      <c r="J12" s="8" t="s">
        <v>46</v>
      </c>
      <c r="K12" s="8"/>
      <c r="L12" s="8"/>
      <c r="M12" s="8"/>
      <c r="N12" s="8"/>
      <c r="O12" s="8"/>
      <c r="P12" s="8"/>
      <c r="Q12" s="8"/>
      <c r="R12" s="44"/>
      <c r="S12" s="45"/>
      <c r="T12" s="41"/>
      <c r="U12" s="42"/>
    </row>
    <row r="13" spans="1:21" s="10" customFormat="1" x14ac:dyDescent="0.2">
      <c r="A13" s="8">
        <v>10</v>
      </c>
      <c r="B13" s="8"/>
      <c r="C13" s="8"/>
      <c r="D13" s="8" t="s">
        <v>47</v>
      </c>
      <c r="E13" s="27" t="s">
        <v>48</v>
      </c>
      <c r="F13" s="27"/>
      <c r="G13" s="43" t="s">
        <v>137</v>
      </c>
      <c r="H13" s="43" t="s">
        <v>49</v>
      </c>
      <c r="I13" s="8" t="s">
        <v>45</v>
      </c>
      <c r="J13" s="8" t="s">
        <v>46</v>
      </c>
      <c r="K13" s="8"/>
      <c r="L13" s="8"/>
      <c r="M13" s="8"/>
      <c r="N13" s="8"/>
      <c r="O13" s="8"/>
      <c r="P13" s="8"/>
      <c r="Q13" s="8"/>
      <c r="R13" s="44"/>
      <c r="S13" s="45"/>
      <c r="T13" s="41"/>
      <c r="U13" s="42"/>
    </row>
    <row r="14" spans="1:21" s="10" customFormat="1" x14ac:dyDescent="0.2">
      <c r="A14" s="8">
        <v>10</v>
      </c>
      <c r="B14" s="8"/>
      <c r="C14" s="8"/>
      <c r="D14" s="8" t="s">
        <v>50</v>
      </c>
      <c r="E14" s="27" t="s">
        <v>51</v>
      </c>
      <c r="F14" s="27"/>
      <c r="G14" s="43" t="s">
        <v>138</v>
      </c>
      <c r="H14" s="43" t="s">
        <v>52</v>
      </c>
      <c r="I14" s="8" t="s">
        <v>45</v>
      </c>
      <c r="J14" s="8" t="s">
        <v>46</v>
      </c>
      <c r="K14" s="8"/>
      <c r="L14" s="8"/>
      <c r="M14" s="8"/>
      <c r="N14" s="8"/>
      <c r="O14" s="8"/>
      <c r="P14" s="8"/>
      <c r="Q14" s="8"/>
      <c r="R14" s="44"/>
      <c r="S14" s="45"/>
      <c r="T14" s="41"/>
      <c r="U14" s="42"/>
    </row>
    <row r="15" spans="1:21" s="10" customFormat="1" x14ac:dyDescent="0.2">
      <c r="A15" s="24"/>
      <c r="U15" s="46"/>
    </row>
    <row r="16" spans="1:21" s="10" customFormat="1" x14ac:dyDescent="0.2">
      <c r="A16" s="8">
        <v>20</v>
      </c>
      <c r="B16" s="30" t="s">
        <v>39</v>
      </c>
      <c r="C16" s="31"/>
      <c r="D16" s="23" t="s">
        <v>53</v>
      </c>
      <c r="E16" s="28" t="s">
        <v>54</v>
      </c>
      <c r="F16" s="47"/>
      <c r="G16" s="23"/>
      <c r="H16" s="29"/>
      <c r="I16" s="48"/>
      <c r="J16" s="49"/>
      <c r="K16" s="49"/>
      <c r="L16" s="28"/>
      <c r="M16" s="28"/>
      <c r="N16" s="28"/>
      <c r="O16" s="28"/>
      <c r="P16" s="28"/>
      <c r="Q16" s="28"/>
      <c r="R16" s="40"/>
      <c r="S16" s="39"/>
      <c r="T16" s="41"/>
      <c r="U16" s="42"/>
    </row>
    <row r="17" spans="1:21" s="10" customFormat="1" x14ac:dyDescent="0.2">
      <c r="A17" s="8">
        <v>20</v>
      </c>
      <c r="B17" s="8"/>
      <c r="C17" s="8"/>
      <c r="D17" s="8" t="s">
        <v>55</v>
      </c>
      <c r="E17" s="27" t="s">
        <v>56</v>
      </c>
      <c r="F17" s="27"/>
      <c r="G17" s="43" t="s">
        <v>139</v>
      </c>
      <c r="H17" s="43" t="s">
        <v>57</v>
      </c>
      <c r="I17" s="8" t="s">
        <v>46</v>
      </c>
      <c r="J17" s="8" t="s">
        <v>46</v>
      </c>
      <c r="K17" s="8"/>
      <c r="L17" s="8"/>
      <c r="M17" s="8"/>
      <c r="N17" s="8"/>
      <c r="O17" s="8"/>
      <c r="P17" s="8"/>
      <c r="Q17" s="8"/>
      <c r="R17" s="44"/>
      <c r="S17" s="45"/>
      <c r="T17" s="41"/>
      <c r="U17" s="42"/>
    </row>
    <row r="18" spans="1:21" s="10" customFormat="1" ht="26" x14ac:dyDescent="0.2">
      <c r="A18" s="8">
        <v>20</v>
      </c>
      <c r="B18" s="8"/>
      <c r="C18" s="8"/>
      <c r="D18" s="8" t="s">
        <v>58</v>
      </c>
      <c r="E18" s="27" t="s">
        <v>59</v>
      </c>
      <c r="F18" s="27"/>
      <c r="G18" s="43" t="s">
        <v>140</v>
      </c>
      <c r="H18" s="43" t="s">
        <v>60</v>
      </c>
      <c r="I18" s="8" t="s">
        <v>61</v>
      </c>
      <c r="J18" s="8" t="s">
        <v>46</v>
      </c>
      <c r="K18" s="8"/>
      <c r="L18" s="8"/>
      <c r="M18" s="8"/>
      <c r="N18" s="8"/>
      <c r="O18" s="8"/>
      <c r="P18" s="8"/>
      <c r="Q18" s="8"/>
      <c r="R18" s="40"/>
      <c r="S18" s="39"/>
      <c r="T18" s="41"/>
      <c r="U18" s="42"/>
    </row>
    <row r="19" spans="1:21" s="10" customFormat="1" ht="26" x14ac:dyDescent="0.2">
      <c r="A19" s="8">
        <v>20</v>
      </c>
      <c r="B19" s="8"/>
      <c r="C19" s="8"/>
      <c r="D19" s="8" t="s">
        <v>62</v>
      </c>
      <c r="E19" s="27" t="s">
        <v>63</v>
      </c>
      <c r="F19" s="27"/>
      <c r="G19" s="43" t="s">
        <v>141</v>
      </c>
      <c r="H19" s="43" t="s">
        <v>64</v>
      </c>
      <c r="I19" s="8" t="s">
        <v>46</v>
      </c>
      <c r="J19" s="8" t="s">
        <v>61</v>
      </c>
      <c r="K19" s="8"/>
      <c r="L19" s="8"/>
      <c r="M19" s="8"/>
      <c r="N19" s="8"/>
      <c r="O19" s="8"/>
      <c r="P19" s="8"/>
      <c r="Q19" s="8"/>
      <c r="R19" s="44"/>
      <c r="S19" s="45"/>
      <c r="T19" s="41"/>
      <c r="U19" s="42"/>
    </row>
    <row r="20" spans="1:21" s="10" customFormat="1" ht="26" x14ac:dyDescent="0.2">
      <c r="A20" s="8">
        <v>20</v>
      </c>
      <c r="B20" s="8"/>
      <c r="C20" s="8"/>
      <c r="D20" s="8" t="s">
        <v>65</v>
      </c>
      <c r="E20" s="27" t="s">
        <v>63</v>
      </c>
      <c r="F20" s="27"/>
      <c r="G20" s="43" t="s">
        <v>142</v>
      </c>
      <c r="H20" s="43" t="s">
        <v>66</v>
      </c>
      <c r="I20" s="8" t="s">
        <v>46</v>
      </c>
      <c r="J20" s="8" t="s">
        <v>61</v>
      </c>
      <c r="K20" s="8"/>
      <c r="L20" s="8"/>
      <c r="M20" s="8"/>
      <c r="N20" s="8"/>
      <c r="O20" s="8"/>
      <c r="P20" s="8"/>
      <c r="Q20" s="8"/>
      <c r="R20" s="40"/>
      <c r="S20" s="39"/>
      <c r="T20" s="41"/>
      <c r="U20" s="42"/>
    </row>
    <row r="21" spans="1:21" s="10" customFormat="1" x14ac:dyDescent="0.2">
      <c r="A21" s="24"/>
      <c r="B21" s="25"/>
      <c r="C21" s="4"/>
      <c r="D21" s="5" t="s">
        <v>67</v>
      </c>
      <c r="E21" s="5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  <c r="R21" s="5"/>
      <c r="S21" s="5"/>
      <c r="T21" s="5"/>
      <c r="U21" s="50"/>
    </row>
    <row r="22" spans="1:21" s="10" customFormat="1" x14ac:dyDescent="0.2">
      <c r="A22" s="24"/>
      <c r="U22" s="46"/>
    </row>
    <row r="23" spans="1:21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51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32.36328125" style="4" customWidth="1"/>
    <col min="9" max="10" width="15.81640625" style="4" customWidth="1"/>
    <col min="11" max="11" width="19.36328125" style="4" bestFit="1" customWidth="1"/>
    <col min="12" max="12" width="14.453125" style="4" customWidth="1"/>
    <col min="13" max="13" width="13.81640625" style="4" customWidth="1"/>
    <col min="14" max="14" width="50.81640625" style="4" customWidth="1"/>
    <col min="15" max="15" width="13.81640625" style="4" customWidth="1"/>
    <col min="16" max="16" width="14.453125" style="4" customWidth="1"/>
    <col min="17" max="17" width="13.81640625" style="5" customWidth="1"/>
    <col min="18" max="18" width="30.81640625" style="5" customWidth="1"/>
    <col min="19" max="19" width="14.08984375" style="5" customWidth="1"/>
    <col min="20" max="20" width="15.81640625" style="5" customWidth="1"/>
    <col min="21" max="22" width="11.36328125" style="5" bestFit="1" customWidth="1"/>
    <col min="23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57" t="s">
        <v>17</v>
      </c>
      <c r="B2" s="22"/>
      <c r="C2" s="22"/>
      <c r="D2" s="67" t="s">
        <v>122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MGBBL0020</v>
      </c>
      <c r="I2" s="7" t="s">
        <v>19</v>
      </c>
      <c r="J2" s="8" t="s">
        <v>68</v>
      </c>
      <c r="K2" s="7" t="s">
        <v>5</v>
      </c>
      <c r="L2" s="58" t="str">
        <f>IF(LogicCommon!G2="","",LogicCommon!G2)</f>
        <v>MC</v>
      </c>
      <c r="M2" s="5" t="s">
        <v>21</v>
      </c>
      <c r="N2" s="23" t="s">
        <v>120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17</v>
      </c>
      <c r="B3" s="25"/>
      <c r="C3" s="25"/>
      <c r="D3" s="59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MGBBL_InsMgtIf2Mgt</v>
      </c>
      <c r="I3" s="7" t="s">
        <v>22</v>
      </c>
      <c r="J3" s="8" t="s">
        <v>23</v>
      </c>
      <c r="K3" s="7" t="s">
        <v>11</v>
      </c>
      <c r="L3" s="58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24" t="s">
        <v>17</v>
      </c>
      <c r="B4" s="25"/>
      <c r="C4" s="25"/>
      <c r="D4" s="4"/>
      <c r="E4" s="7" t="s">
        <v>26</v>
      </c>
      <c r="F4" s="61" t="s">
        <v>27</v>
      </c>
      <c r="G4" s="7" t="s">
        <v>12</v>
      </c>
      <c r="H4" s="58" t="str">
        <f>IF(LogicCommon!E4="","",LogicCommon!E4)</f>
        <v>原価実績データ作成</v>
      </c>
      <c r="I4" s="7" t="s">
        <v>28</v>
      </c>
      <c r="J4" s="8" t="s">
        <v>69</v>
      </c>
      <c r="K4" s="7" t="s">
        <v>14</v>
      </c>
      <c r="L4" s="58" t="str">
        <f>IF(LogicCommon!G4="","",LogicCommon!G4)</f>
        <v>MG.MGUDL5010</v>
      </c>
      <c r="M4" s="62" t="s">
        <v>30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24" t="s">
        <v>17</v>
      </c>
      <c r="B6" s="25"/>
      <c r="C6" s="25"/>
      <c r="D6" s="4" t="s">
        <v>15</v>
      </c>
      <c r="E6" s="12" t="s">
        <v>70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117</v>
      </c>
      <c r="M7" s="27"/>
      <c r="N7" s="26" t="s">
        <v>117</v>
      </c>
      <c r="O7" s="27"/>
      <c r="P7" s="26" t="s">
        <v>117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123</v>
      </c>
      <c r="E8" s="26" t="s">
        <v>124</v>
      </c>
      <c r="F8" s="66"/>
      <c r="G8" s="26" t="s">
        <v>37</v>
      </c>
      <c r="H8" s="26" t="s">
        <v>125</v>
      </c>
      <c r="I8" s="66"/>
      <c r="J8" s="3"/>
      <c r="K8" s="8" t="s">
        <v>38</v>
      </c>
      <c r="L8" s="26" t="s">
        <v>118</v>
      </c>
      <c r="M8" s="27"/>
      <c r="N8" s="26" t="s">
        <v>118</v>
      </c>
      <c r="O8" s="27"/>
      <c r="P8" s="26" t="s">
        <v>118</v>
      </c>
      <c r="Q8" s="27"/>
      <c r="R8" s="3"/>
      <c r="S8" s="21"/>
      <c r="T8" s="44" t="s">
        <v>126</v>
      </c>
      <c r="U8" s="70"/>
    </row>
    <row r="9" spans="1:21" s="10" customFormat="1" ht="60" customHeight="1" x14ac:dyDescent="0.2">
      <c r="A9" s="8" t="s">
        <v>34</v>
      </c>
      <c r="B9" s="30"/>
      <c r="C9" s="31"/>
      <c r="D9" s="26" t="s">
        <v>127</v>
      </c>
      <c r="E9" s="44" t="s">
        <v>128</v>
      </c>
      <c r="F9" s="26" t="s">
        <v>129</v>
      </c>
      <c r="G9" s="26" t="s">
        <v>130</v>
      </c>
      <c r="H9" s="26" t="s">
        <v>131</v>
      </c>
      <c r="I9" s="45" t="s">
        <v>132</v>
      </c>
      <c r="J9" s="26" t="s">
        <v>133</v>
      </c>
      <c r="K9" s="67"/>
      <c r="L9" s="45"/>
      <c r="M9" s="26"/>
      <c r="N9" s="45"/>
      <c r="O9" s="26"/>
      <c r="P9" s="45"/>
      <c r="Q9" s="26"/>
      <c r="R9" s="44" t="s">
        <v>134</v>
      </c>
      <c r="S9" s="45"/>
      <c r="T9" s="44" t="s">
        <v>135</v>
      </c>
      <c r="U9" s="70"/>
    </row>
    <row r="10" spans="1:21" s="10" customFormat="1" ht="39" x14ac:dyDescent="0.2">
      <c r="A10" s="30" t="s">
        <v>34</v>
      </c>
      <c r="B10" s="34"/>
      <c r="C10" s="34"/>
      <c r="D10" s="35"/>
      <c r="E10" s="32"/>
      <c r="F10" s="32"/>
      <c r="G10" s="36"/>
      <c r="H10" s="36"/>
      <c r="I10" s="32"/>
      <c r="J10" s="32"/>
      <c r="K10" s="37"/>
      <c r="L10" s="26" t="s">
        <v>132</v>
      </c>
      <c r="M10" s="26" t="s">
        <v>133</v>
      </c>
      <c r="N10" s="26" t="s">
        <v>132</v>
      </c>
      <c r="O10" s="26" t="s">
        <v>133</v>
      </c>
      <c r="P10" s="26" t="s">
        <v>132</v>
      </c>
      <c r="Q10" s="26" t="s">
        <v>133</v>
      </c>
      <c r="R10" s="32"/>
      <c r="S10" s="32"/>
      <c r="T10" s="38"/>
      <c r="U10" s="33"/>
    </row>
    <row r="11" spans="1:21" s="10" customFormat="1" x14ac:dyDescent="0.2">
      <c r="A11" s="8">
        <v>10</v>
      </c>
      <c r="B11" s="30" t="s">
        <v>39</v>
      </c>
      <c r="C11" s="31"/>
      <c r="D11" s="23" t="s">
        <v>71</v>
      </c>
      <c r="E11" s="28" t="s">
        <v>41</v>
      </c>
      <c r="F11" s="39"/>
      <c r="G11" s="23" t="s">
        <v>72</v>
      </c>
      <c r="H11" s="29" t="s">
        <v>73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41"/>
      <c r="U11" s="42"/>
    </row>
    <row r="12" spans="1:21" s="10" customFormat="1" x14ac:dyDescent="0.2">
      <c r="A12" s="8">
        <v>10</v>
      </c>
      <c r="B12" s="8"/>
      <c r="C12" s="8"/>
      <c r="D12" s="8" t="s">
        <v>42</v>
      </c>
      <c r="E12" s="27" t="s">
        <v>43</v>
      </c>
      <c r="F12" s="27"/>
      <c r="G12" s="43" t="s">
        <v>143</v>
      </c>
      <c r="H12" s="43" t="s">
        <v>74</v>
      </c>
      <c r="I12" s="8" t="s">
        <v>75</v>
      </c>
      <c r="J12" s="8" t="s">
        <v>61</v>
      </c>
      <c r="K12" s="8"/>
      <c r="L12" s="8"/>
      <c r="M12" s="8"/>
      <c r="N12" s="8"/>
      <c r="O12" s="8"/>
      <c r="P12" s="8"/>
      <c r="Q12" s="8"/>
      <c r="R12" s="44"/>
      <c r="S12" s="45"/>
      <c r="T12" s="41"/>
      <c r="U12" s="42"/>
    </row>
    <row r="13" spans="1:21" s="10" customFormat="1" x14ac:dyDescent="0.2">
      <c r="A13" s="24"/>
      <c r="B13" s="25"/>
      <c r="C13" s="4"/>
      <c r="D13" s="5" t="s">
        <v>67</v>
      </c>
      <c r="E13" s="5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0"/>
    </row>
    <row r="14" spans="1:21" s="10" customFormat="1" x14ac:dyDescent="0.2">
      <c r="A14" s="24"/>
      <c r="U14" s="46"/>
    </row>
    <row r="15" spans="1:21" s="10" customFormat="1" x14ac:dyDescent="0.2">
      <c r="A15" s="6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51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4.36328125" style="4" customWidth="1"/>
    <col min="13" max="13" width="20.453125" style="4" customWidth="1"/>
    <col min="14" max="14" width="50.81640625" style="4" customWidth="1"/>
    <col min="15" max="15" width="20.453125" style="4" customWidth="1"/>
    <col min="16" max="16" width="14.36328125" style="4" customWidth="1"/>
    <col min="17" max="17" width="20.453125" style="5" customWidth="1"/>
    <col min="18" max="18" width="30.81640625" style="5" customWidth="1"/>
    <col min="19" max="19" width="12" style="5" customWidth="1"/>
    <col min="20" max="20" width="15.81640625" style="5" customWidth="1"/>
    <col min="21" max="21" width="12.906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57" t="s">
        <v>17</v>
      </c>
      <c r="B2" s="22"/>
      <c r="C2" s="22"/>
      <c r="D2" s="67" t="s">
        <v>122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MGBBL0020</v>
      </c>
      <c r="I2" s="7" t="s">
        <v>19</v>
      </c>
      <c r="J2" s="8" t="s">
        <v>76</v>
      </c>
      <c r="K2" s="7" t="s">
        <v>5</v>
      </c>
      <c r="L2" s="58" t="str">
        <f>IF(LogicCommon!G2="","",LogicCommon!G2)</f>
        <v>MC</v>
      </c>
      <c r="M2" s="5" t="s">
        <v>21</v>
      </c>
      <c r="N2" s="23" t="s">
        <v>121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17</v>
      </c>
      <c r="B3" s="25"/>
      <c r="C3" s="25"/>
      <c r="D3" s="59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MGBBL_InsMgtIf2Mgt</v>
      </c>
      <c r="I3" s="7" t="s">
        <v>22</v>
      </c>
      <c r="J3" s="8" t="s">
        <v>77</v>
      </c>
      <c r="K3" s="7" t="s">
        <v>11</v>
      </c>
      <c r="L3" s="58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24" t="s">
        <v>17</v>
      </c>
      <c r="B4" s="25"/>
      <c r="C4" s="25"/>
      <c r="D4" s="4"/>
      <c r="E4" s="7" t="s">
        <v>26</v>
      </c>
      <c r="F4" s="61" t="s">
        <v>27</v>
      </c>
      <c r="G4" s="7" t="s">
        <v>12</v>
      </c>
      <c r="H4" s="58" t="str">
        <f>IF(LogicCommon!E4="","",LogicCommon!E4)</f>
        <v>原価実績データ作成</v>
      </c>
      <c r="I4" s="7" t="s">
        <v>28</v>
      </c>
      <c r="J4" s="8" t="s">
        <v>78</v>
      </c>
      <c r="K4" s="7" t="s">
        <v>14</v>
      </c>
      <c r="L4" s="58" t="str">
        <f>IF(LogicCommon!G4="","",LogicCommon!G4)</f>
        <v>MG.MGUDL5010</v>
      </c>
      <c r="M4" s="62" t="s">
        <v>30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24" t="s">
        <v>17</v>
      </c>
      <c r="B6" s="25"/>
      <c r="C6" s="25"/>
      <c r="D6" s="4" t="s">
        <v>15</v>
      </c>
      <c r="E6" s="12" t="s">
        <v>79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117</v>
      </c>
      <c r="M7" s="27"/>
      <c r="N7" s="26" t="s">
        <v>117</v>
      </c>
      <c r="O7" s="27"/>
      <c r="P7" s="26" t="s">
        <v>117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123</v>
      </c>
      <c r="E8" s="26" t="s">
        <v>124</v>
      </c>
      <c r="F8" s="66"/>
      <c r="G8" s="26" t="s">
        <v>37</v>
      </c>
      <c r="H8" s="26" t="s">
        <v>125</v>
      </c>
      <c r="I8" s="66"/>
      <c r="J8" s="3"/>
      <c r="K8" s="8"/>
      <c r="L8" s="26" t="s">
        <v>118</v>
      </c>
      <c r="M8" s="27"/>
      <c r="N8" s="26" t="s">
        <v>118</v>
      </c>
      <c r="O8" s="27"/>
      <c r="P8" s="26" t="s">
        <v>118</v>
      </c>
      <c r="Q8" s="27"/>
      <c r="R8" s="3"/>
      <c r="S8" s="21"/>
      <c r="T8" s="44" t="s">
        <v>126</v>
      </c>
      <c r="U8" s="70"/>
    </row>
    <row r="9" spans="1:21" s="10" customFormat="1" ht="60" customHeight="1" x14ac:dyDescent="0.2">
      <c r="A9" s="8" t="s">
        <v>34</v>
      </c>
      <c r="B9" s="30"/>
      <c r="C9" s="31"/>
      <c r="D9" s="26" t="s">
        <v>127</v>
      </c>
      <c r="E9" s="44" t="s">
        <v>128</v>
      </c>
      <c r="F9" s="26" t="s">
        <v>129</v>
      </c>
      <c r="G9" s="26" t="s">
        <v>130</v>
      </c>
      <c r="H9" s="26" t="s">
        <v>131</v>
      </c>
      <c r="I9" s="45" t="s">
        <v>132</v>
      </c>
      <c r="J9" s="26" t="s">
        <v>133</v>
      </c>
      <c r="K9" s="67"/>
      <c r="L9" s="45"/>
      <c r="M9" s="26"/>
      <c r="N9" s="45"/>
      <c r="O9" s="26"/>
      <c r="P9" s="45"/>
      <c r="Q9" s="26"/>
      <c r="R9" s="44" t="s">
        <v>134</v>
      </c>
      <c r="S9" s="45"/>
      <c r="T9" s="44" t="s">
        <v>135</v>
      </c>
      <c r="U9" s="70"/>
    </row>
    <row r="10" spans="1:21" s="10" customFormat="1" ht="13.5" customHeight="1" x14ac:dyDescent="0.2">
      <c r="A10" s="30" t="s">
        <v>34</v>
      </c>
      <c r="B10" s="34"/>
      <c r="C10" s="34"/>
      <c r="D10" s="35"/>
      <c r="E10" s="32"/>
      <c r="F10" s="32"/>
      <c r="G10" s="36"/>
      <c r="H10" s="36"/>
      <c r="I10" s="32"/>
      <c r="J10" s="32"/>
      <c r="K10" s="37"/>
      <c r="L10" s="26" t="s">
        <v>132</v>
      </c>
      <c r="M10" s="26" t="s">
        <v>133</v>
      </c>
      <c r="N10" s="26" t="s">
        <v>132</v>
      </c>
      <c r="O10" s="26" t="s">
        <v>133</v>
      </c>
      <c r="P10" s="26" t="s">
        <v>132</v>
      </c>
      <c r="Q10" s="26" t="s">
        <v>133</v>
      </c>
      <c r="R10" s="32"/>
      <c r="S10" s="32"/>
      <c r="T10" s="38"/>
      <c r="U10" s="33"/>
    </row>
    <row r="11" spans="1:21" s="10" customFormat="1" x14ac:dyDescent="0.2">
      <c r="A11" s="8">
        <v>10</v>
      </c>
      <c r="B11" s="30" t="s">
        <v>39</v>
      </c>
      <c r="C11" s="31"/>
      <c r="D11" s="23" t="s">
        <v>116</v>
      </c>
      <c r="E11" s="28" t="s">
        <v>80</v>
      </c>
      <c r="F11" s="39"/>
      <c r="G11" s="23"/>
      <c r="H11" s="29"/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41"/>
      <c r="U11" s="42"/>
    </row>
    <row r="12" spans="1:21" s="10" customFormat="1" x14ac:dyDescent="0.2">
      <c r="A12" s="8">
        <v>10</v>
      </c>
      <c r="B12" s="8"/>
      <c r="C12" s="8"/>
      <c r="D12" s="8" t="s">
        <v>42</v>
      </c>
      <c r="E12" s="27" t="s">
        <v>81</v>
      </c>
      <c r="F12" s="27"/>
      <c r="G12" s="43" t="s">
        <v>136</v>
      </c>
      <c r="H12" s="43" t="s">
        <v>44</v>
      </c>
      <c r="I12" s="8" t="s">
        <v>61</v>
      </c>
      <c r="J12" s="8" t="s">
        <v>46</v>
      </c>
      <c r="K12" s="8"/>
      <c r="L12" s="8"/>
      <c r="M12" s="8"/>
      <c r="N12" s="8"/>
      <c r="O12" s="8"/>
      <c r="P12" s="8"/>
      <c r="Q12" s="8"/>
      <c r="R12" s="44"/>
      <c r="S12" s="45"/>
      <c r="T12" s="41"/>
      <c r="U12" s="42"/>
    </row>
    <row r="13" spans="1:21" s="10" customFormat="1" x14ac:dyDescent="0.2">
      <c r="A13" s="8">
        <v>10</v>
      </c>
      <c r="B13" s="8"/>
      <c r="C13" s="8"/>
      <c r="D13" s="8" t="s">
        <v>47</v>
      </c>
      <c r="E13" s="27" t="s">
        <v>48</v>
      </c>
      <c r="F13" s="27"/>
      <c r="G13" s="43" t="s">
        <v>137</v>
      </c>
      <c r="H13" s="43" t="s">
        <v>49</v>
      </c>
      <c r="I13" s="8" t="s">
        <v>61</v>
      </c>
      <c r="J13" s="8" t="s">
        <v>46</v>
      </c>
      <c r="K13" s="8"/>
      <c r="L13" s="8"/>
      <c r="M13" s="8"/>
      <c r="N13" s="8"/>
      <c r="O13" s="8"/>
      <c r="P13" s="8"/>
      <c r="Q13" s="8"/>
      <c r="R13" s="44"/>
      <c r="S13" s="45"/>
      <c r="T13" s="41"/>
      <c r="U13" s="42"/>
    </row>
    <row r="14" spans="1:21" s="10" customFormat="1" x14ac:dyDescent="0.2">
      <c r="A14" s="8">
        <v>10</v>
      </c>
      <c r="B14" s="8"/>
      <c r="C14" s="8"/>
      <c r="D14" s="8" t="s">
        <v>50</v>
      </c>
      <c r="E14" s="27" t="s">
        <v>82</v>
      </c>
      <c r="F14" s="27"/>
      <c r="G14" s="43" t="s">
        <v>138</v>
      </c>
      <c r="H14" s="43" t="s">
        <v>52</v>
      </c>
      <c r="I14" s="8" t="s">
        <v>45</v>
      </c>
      <c r="J14" s="8" t="s">
        <v>46</v>
      </c>
      <c r="K14" s="8"/>
      <c r="L14" s="8"/>
      <c r="M14" s="8"/>
      <c r="N14" s="8"/>
      <c r="O14" s="8"/>
      <c r="P14" s="8"/>
      <c r="Q14" s="8"/>
      <c r="R14" s="44"/>
      <c r="S14" s="45"/>
      <c r="T14" s="41"/>
      <c r="U14" s="42"/>
    </row>
    <row r="15" spans="1:21" s="10" customFormat="1" ht="26" x14ac:dyDescent="0.2">
      <c r="A15" s="8">
        <v>10</v>
      </c>
      <c r="B15" s="8"/>
      <c r="C15" s="8"/>
      <c r="D15" s="8" t="s">
        <v>113</v>
      </c>
      <c r="E15" s="27" t="s">
        <v>114</v>
      </c>
      <c r="F15" s="27"/>
      <c r="G15" s="43" t="s">
        <v>144</v>
      </c>
      <c r="H15" s="43" t="s">
        <v>115</v>
      </c>
      <c r="I15" s="8" t="s">
        <v>75</v>
      </c>
      <c r="J15" s="8" t="s">
        <v>46</v>
      </c>
      <c r="K15" s="8"/>
      <c r="L15" s="8"/>
      <c r="M15" s="8"/>
      <c r="N15" s="8"/>
      <c r="O15" s="8"/>
      <c r="P15" s="8"/>
      <c r="Q15" s="8"/>
      <c r="R15" s="44"/>
      <c r="S15" s="45"/>
      <c r="T15" s="41"/>
      <c r="U15" s="42"/>
    </row>
    <row r="16" spans="1:21" s="10" customFormat="1" x14ac:dyDescent="0.2">
      <c r="A16" s="24"/>
      <c r="U16" s="46"/>
    </row>
    <row r="17" spans="1:21" s="10" customFormat="1" x14ac:dyDescent="0.2">
      <c r="A17" s="8">
        <v>20</v>
      </c>
      <c r="B17" s="30" t="s">
        <v>39</v>
      </c>
      <c r="C17" s="31"/>
      <c r="D17" s="23" t="s">
        <v>83</v>
      </c>
      <c r="E17" s="28" t="s">
        <v>84</v>
      </c>
      <c r="F17" s="47"/>
      <c r="G17" s="23"/>
      <c r="H17" s="29"/>
      <c r="I17" s="48"/>
      <c r="J17" s="49"/>
      <c r="K17" s="49"/>
      <c r="L17" s="28"/>
      <c r="M17" s="28"/>
      <c r="N17" s="28"/>
      <c r="O17" s="28"/>
      <c r="P17" s="28"/>
      <c r="Q17" s="28"/>
      <c r="R17" s="40"/>
      <c r="S17" s="39"/>
      <c r="T17" s="41"/>
      <c r="U17" s="42"/>
    </row>
    <row r="18" spans="1:21" s="10" customFormat="1" x14ac:dyDescent="0.2">
      <c r="A18" s="8">
        <v>20</v>
      </c>
      <c r="B18" s="8"/>
      <c r="C18" s="8"/>
      <c r="D18" s="8" t="s">
        <v>55</v>
      </c>
      <c r="E18" s="27" t="s">
        <v>85</v>
      </c>
      <c r="F18" s="27"/>
      <c r="G18" s="43" t="s">
        <v>139</v>
      </c>
      <c r="H18" s="43" t="s">
        <v>57</v>
      </c>
      <c r="I18" s="8" t="s">
        <v>61</v>
      </c>
      <c r="J18" s="8" t="s">
        <v>46</v>
      </c>
      <c r="K18" s="8"/>
      <c r="L18" s="8"/>
      <c r="M18" s="8"/>
      <c r="N18" s="8"/>
      <c r="O18" s="8"/>
      <c r="P18" s="8"/>
      <c r="Q18" s="8"/>
      <c r="R18" s="44"/>
      <c r="S18" s="45"/>
      <c r="T18" s="41"/>
      <c r="U18" s="42"/>
    </row>
    <row r="19" spans="1:21" s="10" customFormat="1" x14ac:dyDescent="0.2">
      <c r="A19" s="24"/>
      <c r="B19" s="25"/>
      <c r="C19" s="4"/>
      <c r="D19" s="5" t="s">
        <v>67</v>
      </c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5"/>
      <c r="S19" s="5"/>
      <c r="T19" s="16"/>
      <c r="U19" s="52"/>
    </row>
    <row r="20" spans="1:21" s="10" customFormat="1" x14ac:dyDescent="0.2">
      <c r="A20" s="24"/>
      <c r="U20" s="46"/>
    </row>
    <row r="21" spans="1:21" s="10" customFormat="1" x14ac:dyDescent="0.2">
      <c r="A21" s="6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51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31.90625" style="4" bestFit="1" customWidth="1"/>
    <col min="9" max="10" width="15.81640625" style="4" customWidth="1"/>
    <col min="11" max="11" width="19.36328125" style="4" bestFit="1" customWidth="1"/>
    <col min="12" max="12" width="14.36328125" style="4" customWidth="1"/>
    <col min="13" max="13" width="20.453125" style="4" customWidth="1"/>
    <col min="14" max="14" width="50.81640625" style="4" customWidth="1"/>
    <col min="15" max="15" width="20.453125" style="4" customWidth="1"/>
    <col min="16" max="16" width="14.36328125" style="4" customWidth="1"/>
    <col min="17" max="17" width="20.453125" style="5" customWidth="1"/>
    <col min="18" max="18" width="30.81640625" style="5" customWidth="1"/>
    <col min="19" max="19" width="12" style="5" customWidth="1"/>
    <col min="20" max="20" width="15.81640625" style="5" customWidth="1"/>
    <col min="21" max="21" width="12.906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57" t="s">
        <v>17</v>
      </c>
      <c r="B2" s="22"/>
      <c r="C2" s="22"/>
      <c r="D2" s="67" t="s">
        <v>122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MGBBL0020</v>
      </c>
      <c r="I2" s="7" t="s">
        <v>19</v>
      </c>
      <c r="J2" s="8" t="s">
        <v>86</v>
      </c>
      <c r="K2" s="7" t="s">
        <v>5</v>
      </c>
      <c r="L2" s="58" t="str">
        <f>IF(LogicCommon!G2="","",LogicCommon!G2)</f>
        <v>MC</v>
      </c>
      <c r="M2" s="5" t="s">
        <v>21</v>
      </c>
      <c r="N2" s="23" t="s">
        <v>121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17</v>
      </c>
      <c r="B3" s="25"/>
      <c r="C3" s="25"/>
      <c r="D3" s="59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MGBBL_InsMgtIf2Mgt</v>
      </c>
      <c r="I3" s="7" t="s">
        <v>22</v>
      </c>
      <c r="J3" s="8" t="s">
        <v>77</v>
      </c>
      <c r="K3" s="7" t="s">
        <v>11</v>
      </c>
      <c r="L3" s="58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24" t="s">
        <v>17</v>
      </c>
      <c r="B4" s="25"/>
      <c r="C4" s="25"/>
      <c r="D4" s="4"/>
      <c r="E4" s="7" t="s">
        <v>26</v>
      </c>
      <c r="F4" s="61" t="s">
        <v>27</v>
      </c>
      <c r="G4" s="7" t="s">
        <v>12</v>
      </c>
      <c r="H4" s="58" t="str">
        <f>IF(LogicCommon!E4="","",LogicCommon!E4)</f>
        <v>原価実績データ作成</v>
      </c>
      <c r="I4" s="7" t="s">
        <v>28</v>
      </c>
      <c r="J4" s="8" t="s">
        <v>87</v>
      </c>
      <c r="K4" s="7" t="s">
        <v>14</v>
      </c>
      <c r="L4" s="58" t="str">
        <f>IF(LogicCommon!G4="","",LogicCommon!G4)</f>
        <v>MG.MGUDL5010</v>
      </c>
      <c r="M4" s="62" t="s">
        <v>30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24" t="s">
        <v>17</v>
      </c>
      <c r="B6" s="25"/>
      <c r="C6" s="25"/>
      <c r="D6" s="4" t="s">
        <v>15</v>
      </c>
      <c r="E6" s="12" t="s">
        <v>88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117</v>
      </c>
      <c r="M7" s="27"/>
      <c r="N7" s="26" t="s">
        <v>117</v>
      </c>
      <c r="O7" s="27"/>
      <c r="P7" s="26" t="s">
        <v>117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123</v>
      </c>
      <c r="E8" s="26" t="s">
        <v>124</v>
      </c>
      <c r="F8" s="66"/>
      <c r="G8" s="26" t="s">
        <v>37</v>
      </c>
      <c r="H8" s="26" t="s">
        <v>125</v>
      </c>
      <c r="I8" s="66"/>
      <c r="J8" s="3"/>
      <c r="K8" s="8"/>
      <c r="L8" s="26" t="s">
        <v>118</v>
      </c>
      <c r="M8" s="27"/>
      <c r="N8" s="26" t="s">
        <v>118</v>
      </c>
      <c r="O8" s="27"/>
      <c r="P8" s="26" t="s">
        <v>118</v>
      </c>
      <c r="Q8" s="27"/>
      <c r="R8" s="3"/>
      <c r="S8" s="21"/>
      <c r="T8" s="44" t="s">
        <v>126</v>
      </c>
      <c r="U8" s="70"/>
    </row>
    <row r="9" spans="1:21" s="10" customFormat="1" ht="60" customHeight="1" x14ac:dyDescent="0.2">
      <c r="A9" s="8" t="s">
        <v>34</v>
      </c>
      <c r="B9" s="30"/>
      <c r="C9" s="31"/>
      <c r="D9" s="26" t="s">
        <v>127</v>
      </c>
      <c r="E9" s="44" t="s">
        <v>128</v>
      </c>
      <c r="F9" s="26" t="s">
        <v>129</v>
      </c>
      <c r="G9" s="26" t="s">
        <v>130</v>
      </c>
      <c r="H9" s="26" t="s">
        <v>131</v>
      </c>
      <c r="I9" s="45" t="s">
        <v>132</v>
      </c>
      <c r="J9" s="26" t="s">
        <v>133</v>
      </c>
      <c r="K9" s="67"/>
      <c r="L9" s="45"/>
      <c r="M9" s="26"/>
      <c r="N9" s="45"/>
      <c r="O9" s="26"/>
      <c r="P9" s="45"/>
      <c r="Q9" s="26"/>
      <c r="R9" s="44" t="s">
        <v>134</v>
      </c>
      <c r="S9" s="45"/>
      <c r="T9" s="44" t="s">
        <v>135</v>
      </c>
      <c r="U9" s="70"/>
    </row>
    <row r="10" spans="1:21" s="10" customFormat="1" ht="13.5" customHeight="1" x14ac:dyDescent="0.2">
      <c r="A10" s="30" t="s">
        <v>34</v>
      </c>
      <c r="B10" s="34"/>
      <c r="C10" s="34"/>
      <c r="D10" s="35"/>
      <c r="E10" s="32"/>
      <c r="F10" s="32"/>
      <c r="G10" s="36"/>
      <c r="H10" s="36"/>
      <c r="I10" s="32"/>
      <c r="J10" s="32"/>
      <c r="K10" s="37"/>
      <c r="L10" s="26" t="s">
        <v>132</v>
      </c>
      <c r="M10" s="26" t="s">
        <v>133</v>
      </c>
      <c r="N10" s="26" t="s">
        <v>132</v>
      </c>
      <c r="O10" s="26" t="s">
        <v>133</v>
      </c>
      <c r="P10" s="26" t="s">
        <v>132</v>
      </c>
      <c r="Q10" s="26" t="s">
        <v>133</v>
      </c>
      <c r="R10" s="32"/>
      <c r="S10" s="32"/>
      <c r="T10" s="38"/>
      <c r="U10" s="33"/>
    </row>
    <row r="11" spans="1:21" s="10" customFormat="1" x14ac:dyDescent="0.2">
      <c r="A11" s="8">
        <v>10</v>
      </c>
      <c r="B11" s="30" t="s">
        <v>39</v>
      </c>
      <c r="C11" s="31"/>
      <c r="D11" s="23" t="s">
        <v>89</v>
      </c>
      <c r="E11" s="28" t="s">
        <v>80</v>
      </c>
      <c r="F11" s="39"/>
      <c r="G11" s="23" t="s">
        <v>72</v>
      </c>
      <c r="H11" s="29" t="s">
        <v>90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41"/>
      <c r="U11" s="42"/>
    </row>
    <row r="12" spans="1:21" s="10" customFormat="1" x14ac:dyDescent="0.2">
      <c r="A12" s="8">
        <v>10</v>
      </c>
      <c r="B12" s="8"/>
      <c r="C12" s="8"/>
      <c r="D12" s="8" t="s">
        <v>42</v>
      </c>
      <c r="E12" s="27" t="s">
        <v>43</v>
      </c>
      <c r="F12" s="27"/>
      <c r="G12" s="43" t="s">
        <v>136</v>
      </c>
      <c r="H12" s="43" t="s">
        <v>44</v>
      </c>
      <c r="I12" s="8" t="s">
        <v>61</v>
      </c>
      <c r="J12" s="8" t="s">
        <v>46</v>
      </c>
      <c r="K12" s="8"/>
      <c r="L12" s="8"/>
      <c r="M12" s="8"/>
      <c r="N12" s="8"/>
      <c r="O12" s="8"/>
      <c r="P12" s="8"/>
      <c r="Q12" s="8"/>
      <c r="R12" s="44"/>
      <c r="S12" s="45"/>
      <c r="T12" s="41"/>
      <c r="U12" s="42"/>
    </row>
    <row r="13" spans="1:21" s="10" customFormat="1" x14ac:dyDescent="0.2">
      <c r="A13" s="8">
        <v>10</v>
      </c>
      <c r="B13" s="8"/>
      <c r="C13" s="8"/>
      <c r="D13" s="8" t="s">
        <v>47</v>
      </c>
      <c r="E13" s="27" t="s">
        <v>48</v>
      </c>
      <c r="F13" s="27"/>
      <c r="G13" s="43" t="s">
        <v>137</v>
      </c>
      <c r="H13" s="43" t="s">
        <v>49</v>
      </c>
      <c r="I13" s="8" t="s">
        <v>61</v>
      </c>
      <c r="J13" s="8" t="s">
        <v>46</v>
      </c>
      <c r="K13" s="8"/>
      <c r="L13" s="8"/>
      <c r="M13" s="8"/>
      <c r="N13" s="8"/>
      <c r="O13" s="8"/>
      <c r="P13" s="8"/>
      <c r="Q13" s="8"/>
      <c r="R13" s="44"/>
      <c r="S13" s="45"/>
      <c r="T13" s="41"/>
      <c r="U13" s="42"/>
    </row>
    <row r="14" spans="1:21" s="10" customFormat="1" x14ac:dyDescent="0.2">
      <c r="A14" s="8">
        <v>10</v>
      </c>
      <c r="B14" s="8"/>
      <c r="C14" s="8"/>
      <c r="D14" s="8" t="s">
        <v>50</v>
      </c>
      <c r="E14" s="27" t="s">
        <v>51</v>
      </c>
      <c r="F14" s="27"/>
      <c r="G14" s="43" t="s">
        <v>138</v>
      </c>
      <c r="H14" s="43" t="s">
        <v>52</v>
      </c>
      <c r="I14" s="8" t="s">
        <v>45</v>
      </c>
      <c r="J14" s="8" t="s">
        <v>46</v>
      </c>
      <c r="K14" s="8"/>
      <c r="L14" s="8"/>
      <c r="M14" s="8"/>
      <c r="N14" s="8"/>
      <c r="O14" s="8"/>
      <c r="P14" s="8"/>
      <c r="Q14" s="8"/>
      <c r="R14" s="44"/>
      <c r="S14" s="45"/>
      <c r="T14" s="41"/>
      <c r="U14" s="42"/>
    </row>
    <row r="15" spans="1:21" s="10" customFormat="1" ht="26" x14ac:dyDescent="0.2">
      <c r="A15" s="8">
        <v>10</v>
      </c>
      <c r="B15" s="8"/>
      <c r="C15" s="8"/>
      <c r="D15" s="8" t="s">
        <v>113</v>
      </c>
      <c r="E15" s="27" t="s">
        <v>114</v>
      </c>
      <c r="F15" s="27"/>
      <c r="G15" s="43" t="s">
        <v>144</v>
      </c>
      <c r="H15" s="43" t="s">
        <v>115</v>
      </c>
      <c r="I15" s="8" t="s">
        <v>45</v>
      </c>
      <c r="J15" s="8" t="s">
        <v>46</v>
      </c>
      <c r="K15" s="8"/>
      <c r="L15" s="8"/>
      <c r="M15" s="8"/>
      <c r="N15" s="8"/>
      <c r="O15" s="8"/>
      <c r="P15" s="8"/>
      <c r="Q15" s="8"/>
      <c r="R15" s="44"/>
      <c r="S15" s="45"/>
      <c r="T15" s="41"/>
      <c r="U15" s="42"/>
    </row>
    <row r="16" spans="1:21" s="10" customFormat="1" x14ac:dyDescent="0.2">
      <c r="A16" s="24"/>
      <c r="U16" s="46"/>
    </row>
    <row r="17" spans="1:21" s="10" customFormat="1" x14ac:dyDescent="0.2">
      <c r="A17" s="8">
        <v>20</v>
      </c>
      <c r="B17" s="30" t="s">
        <v>39</v>
      </c>
      <c r="C17" s="31"/>
      <c r="D17" s="23" t="s">
        <v>91</v>
      </c>
      <c r="E17" s="28" t="s">
        <v>92</v>
      </c>
      <c r="F17" s="47"/>
      <c r="G17" s="23" t="s">
        <v>72</v>
      </c>
      <c r="H17" s="29" t="s">
        <v>93</v>
      </c>
      <c r="I17" s="48"/>
      <c r="J17" s="49"/>
      <c r="K17" s="49"/>
      <c r="L17" s="28"/>
      <c r="M17" s="28"/>
      <c r="N17" s="28"/>
      <c r="O17" s="28"/>
      <c r="P17" s="28"/>
      <c r="Q17" s="28"/>
      <c r="R17" s="40"/>
      <c r="S17" s="39"/>
      <c r="T17" s="41"/>
      <c r="U17" s="42"/>
    </row>
    <row r="18" spans="1:21" s="10" customFormat="1" x14ac:dyDescent="0.2">
      <c r="A18" s="8">
        <v>20</v>
      </c>
      <c r="B18" s="8"/>
      <c r="C18" s="8"/>
      <c r="D18" s="8" t="s">
        <v>55</v>
      </c>
      <c r="E18" s="27" t="s">
        <v>94</v>
      </c>
      <c r="F18" s="27"/>
      <c r="G18" s="43" t="s">
        <v>139</v>
      </c>
      <c r="H18" s="43" t="s">
        <v>57</v>
      </c>
      <c r="I18" s="8" t="s">
        <v>61</v>
      </c>
      <c r="J18" s="8" t="s">
        <v>46</v>
      </c>
      <c r="K18" s="8"/>
      <c r="L18" s="8"/>
      <c r="M18" s="8"/>
      <c r="N18" s="8"/>
      <c r="O18" s="8"/>
      <c r="P18" s="8"/>
      <c r="Q18" s="8"/>
      <c r="R18" s="44"/>
      <c r="S18" s="45"/>
      <c r="T18" s="41"/>
      <c r="U18" s="42"/>
    </row>
    <row r="19" spans="1:21" s="10" customFormat="1" x14ac:dyDescent="0.2">
      <c r="A19" s="24"/>
      <c r="B19" s="25"/>
      <c r="C19" s="4"/>
      <c r="D19" s="5" t="s">
        <v>67</v>
      </c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5"/>
      <c r="S19" s="5"/>
      <c r="T19" s="16"/>
      <c r="U19" s="52"/>
    </row>
    <row r="20" spans="1:21" s="10" customFormat="1" x14ac:dyDescent="0.2">
      <c r="A20" s="24"/>
      <c r="U20" s="46"/>
    </row>
    <row r="21" spans="1:21" s="10" customFormat="1" x14ac:dyDescent="0.2">
      <c r="A21" s="6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51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31.90625" style="4" bestFit="1" customWidth="1"/>
    <col min="9" max="10" width="15.81640625" style="4" customWidth="1"/>
    <col min="11" max="11" width="19.36328125" style="4" bestFit="1" customWidth="1"/>
    <col min="12" max="12" width="14.36328125" style="4" customWidth="1"/>
    <col min="13" max="13" width="20.453125" style="4" customWidth="1"/>
    <col min="14" max="14" width="50.81640625" style="4" customWidth="1"/>
    <col min="15" max="15" width="20.453125" style="4" customWidth="1"/>
    <col min="16" max="16" width="14.36328125" style="4" customWidth="1"/>
    <col min="17" max="17" width="20.453125" style="5" customWidth="1"/>
    <col min="18" max="18" width="30.81640625" style="5" customWidth="1"/>
    <col min="19" max="19" width="12" style="5" customWidth="1"/>
    <col min="20" max="20" width="15.81640625" style="5" customWidth="1"/>
    <col min="21" max="21" width="12.906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57" t="s">
        <v>17</v>
      </c>
      <c r="B2" s="22"/>
      <c r="C2" s="22"/>
      <c r="D2" s="67" t="s">
        <v>122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MGBBL0020</v>
      </c>
      <c r="I2" s="7" t="s">
        <v>19</v>
      </c>
      <c r="J2" s="8" t="s">
        <v>95</v>
      </c>
      <c r="K2" s="7" t="s">
        <v>5</v>
      </c>
      <c r="L2" s="58" t="str">
        <f>IF(LogicCommon!G2="","",LogicCommon!G2)</f>
        <v>MC</v>
      </c>
      <c r="M2" s="5" t="s">
        <v>21</v>
      </c>
      <c r="N2" s="23" t="s">
        <v>121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17</v>
      </c>
      <c r="B3" s="25"/>
      <c r="C3" s="25"/>
      <c r="D3" s="59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MGBBL_InsMgtIf2Mgt</v>
      </c>
      <c r="I3" s="7" t="s">
        <v>22</v>
      </c>
      <c r="J3" s="8" t="s">
        <v>77</v>
      </c>
      <c r="K3" s="7" t="s">
        <v>11</v>
      </c>
      <c r="L3" s="58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24" t="s">
        <v>17</v>
      </c>
      <c r="B4" s="25"/>
      <c r="C4" s="25"/>
      <c r="D4" s="4"/>
      <c r="E4" s="7" t="s">
        <v>26</v>
      </c>
      <c r="F4" s="61" t="s">
        <v>27</v>
      </c>
      <c r="G4" s="7" t="s">
        <v>12</v>
      </c>
      <c r="H4" s="58" t="str">
        <f>IF(LogicCommon!E4="","",LogicCommon!E4)</f>
        <v>原価実績データ作成</v>
      </c>
      <c r="I4" s="7" t="s">
        <v>28</v>
      </c>
      <c r="J4" s="8" t="s">
        <v>96</v>
      </c>
      <c r="K4" s="7" t="s">
        <v>14</v>
      </c>
      <c r="L4" s="58" t="str">
        <f>IF(LogicCommon!G4="","",LogicCommon!G4)</f>
        <v>MG.MGUDL5010</v>
      </c>
      <c r="M4" s="62" t="s">
        <v>30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24" t="s">
        <v>17</v>
      </c>
      <c r="B6" s="25"/>
      <c r="C6" s="25"/>
      <c r="D6" s="4" t="s">
        <v>15</v>
      </c>
      <c r="E6" s="12" t="s">
        <v>97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117</v>
      </c>
      <c r="M7" s="27"/>
      <c r="N7" s="26" t="s">
        <v>117</v>
      </c>
      <c r="O7" s="27"/>
      <c r="P7" s="26" t="s">
        <v>117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123</v>
      </c>
      <c r="E8" s="26" t="s">
        <v>124</v>
      </c>
      <c r="F8" s="66"/>
      <c r="G8" s="26" t="s">
        <v>37</v>
      </c>
      <c r="H8" s="26" t="s">
        <v>125</v>
      </c>
      <c r="I8" s="66"/>
      <c r="J8" s="3"/>
      <c r="K8" s="8"/>
      <c r="L8" s="26" t="s">
        <v>118</v>
      </c>
      <c r="M8" s="27"/>
      <c r="N8" s="26" t="s">
        <v>118</v>
      </c>
      <c r="O8" s="27"/>
      <c r="P8" s="26" t="s">
        <v>118</v>
      </c>
      <c r="Q8" s="27"/>
      <c r="R8" s="3"/>
      <c r="S8" s="21"/>
      <c r="T8" s="44" t="s">
        <v>126</v>
      </c>
      <c r="U8" s="70"/>
    </row>
    <row r="9" spans="1:21" s="10" customFormat="1" ht="60" customHeight="1" x14ac:dyDescent="0.2">
      <c r="A9" s="8" t="s">
        <v>34</v>
      </c>
      <c r="B9" s="30"/>
      <c r="C9" s="31"/>
      <c r="D9" s="26" t="s">
        <v>127</v>
      </c>
      <c r="E9" s="44" t="s">
        <v>128</v>
      </c>
      <c r="F9" s="26" t="s">
        <v>129</v>
      </c>
      <c r="G9" s="26" t="s">
        <v>130</v>
      </c>
      <c r="H9" s="26" t="s">
        <v>131</v>
      </c>
      <c r="I9" s="45" t="s">
        <v>132</v>
      </c>
      <c r="J9" s="26" t="s">
        <v>133</v>
      </c>
      <c r="K9" s="67"/>
      <c r="L9" s="45"/>
      <c r="M9" s="26"/>
      <c r="N9" s="45"/>
      <c r="O9" s="26"/>
      <c r="P9" s="45"/>
      <c r="Q9" s="26"/>
      <c r="R9" s="44" t="s">
        <v>134</v>
      </c>
      <c r="S9" s="45"/>
      <c r="T9" s="44" t="s">
        <v>135</v>
      </c>
      <c r="U9" s="70"/>
    </row>
    <row r="10" spans="1:21" s="10" customFormat="1" ht="13.5" customHeight="1" x14ac:dyDescent="0.2">
      <c r="A10" s="30" t="s">
        <v>34</v>
      </c>
      <c r="B10" s="34"/>
      <c r="C10" s="34"/>
      <c r="D10" s="35"/>
      <c r="E10" s="32"/>
      <c r="F10" s="32"/>
      <c r="G10" s="36"/>
      <c r="H10" s="36"/>
      <c r="I10" s="32"/>
      <c r="J10" s="32"/>
      <c r="K10" s="37"/>
      <c r="L10" s="26" t="s">
        <v>132</v>
      </c>
      <c r="M10" s="26" t="s">
        <v>133</v>
      </c>
      <c r="N10" s="26" t="s">
        <v>132</v>
      </c>
      <c r="O10" s="26" t="s">
        <v>133</v>
      </c>
      <c r="P10" s="26" t="s">
        <v>132</v>
      </c>
      <c r="Q10" s="26" t="s">
        <v>133</v>
      </c>
      <c r="R10" s="32"/>
      <c r="S10" s="32"/>
      <c r="T10" s="38"/>
      <c r="U10" s="33"/>
    </row>
    <row r="11" spans="1:21" s="10" customFormat="1" x14ac:dyDescent="0.2">
      <c r="A11" s="8">
        <v>10</v>
      </c>
      <c r="B11" s="30" t="s">
        <v>39</v>
      </c>
      <c r="C11" s="31"/>
      <c r="D11" s="23" t="s">
        <v>98</v>
      </c>
      <c r="E11" s="28" t="s">
        <v>80</v>
      </c>
      <c r="F11" s="39"/>
      <c r="G11" s="23" t="s">
        <v>72</v>
      </c>
      <c r="H11" s="29" t="s">
        <v>90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41"/>
      <c r="U11" s="42"/>
    </row>
    <row r="12" spans="1:21" s="10" customFormat="1" x14ac:dyDescent="0.2">
      <c r="A12" s="8">
        <v>10</v>
      </c>
      <c r="B12" s="8"/>
      <c r="C12" s="8"/>
      <c r="D12" s="8" t="s">
        <v>42</v>
      </c>
      <c r="E12" s="27" t="s">
        <v>99</v>
      </c>
      <c r="F12" s="27"/>
      <c r="G12" s="43" t="s">
        <v>136</v>
      </c>
      <c r="H12" s="43" t="s">
        <v>44</v>
      </c>
      <c r="I12" s="8" t="s">
        <v>61</v>
      </c>
      <c r="J12" s="8" t="s">
        <v>46</v>
      </c>
      <c r="K12" s="8"/>
      <c r="L12" s="8"/>
      <c r="M12" s="8"/>
      <c r="N12" s="8"/>
      <c r="O12" s="8"/>
      <c r="P12" s="8"/>
      <c r="Q12" s="8"/>
      <c r="R12" s="44"/>
      <c r="S12" s="45"/>
      <c r="T12" s="41"/>
      <c r="U12" s="42"/>
    </row>
    <row r="13" spans="1:21" s="10" customFormat="1" x14ac:dyDescent="0.2">
      <c r="A13" s="8">
        <v>10</v>
      </c>
      <c r="B13" s="8"/>
      <c r="C13" s="8"/>
      <c r="D13" s="8" t="s">
        <v>47</v>
      </c>
      <c r="E13" s="27" t="s">
        <v>48</v>
      </c>
      <c r="F13" s="27"/>
      <c r="G13" s="43" t="s">
        <v>137</v>
      </c>
      <c r="H13" s="43" t="s">
        <v>49</v>
      </c>
      <c r="I13" s="8" t="s">
        <v>61</v>
      </c>
      <c r="J13" s="8" t="s">
        <v>46</v>
      </c>
      <c r="K13" s="8"/>
      <c r="L13" s="8"/>
      <c r="M13" s="8"/>
      <c r="N13" s="8"/>
      <c r="O13" s="8"/>
      <c r="P13" s="8"/>
      <c r="Q13" s="8"/>
      <c r="R13" s="44"/>
      <c r="S13" s="45"/>
      <c r="T13" s="41"/>
      <c r="U13" s="42"/>
    </row>
    <row r="14" spans="1:21" s="10" customFormat="1" x14ac:dyDescent="0.2">
      <c r="A14" s="8">
        <v>10</v>
      </c>
      <c r="B14" s="8"/>
      <c r="C14" s="8"/>
      <c r="D14" s="8" t="s">
        <v>50</v>
      </c>
      <c r="E14" s="27" t="s">
        <v>100</v>
      </c>
      <c r="F14" s="27"/>
      <c r="G14" s="43" t="s">
        <v>138</v>
      </c>
      <c r="H14" s="43" t="s">
        <v>52</v>
      </c>
      <c r="I14" s="8" t="s">
        <v>45</v>
      </c>
      <c r="J14" s="8" t="s">
        <v>46</v>
      </c>
      <c r="K14" s="8"/>
      <c r="L14" s="8"/>
      <c r="M14" s="8"/>
      <c r="N14" s="8"/>
      <c r="O14" s="8"/>
      <c r="P14" s="8"/>
      <c r="Q14" s="8"/>
      <c r="R14" s="44"/>
      <c r="S14" s="45"/>
      <c r="T14" s="41"/>
      <c r="U14" s="42"/>
    </row>
    <row r="15" spans="1:21" s="10" customFormat="1" ht="26" x14ac:dyDescent="0.2">
      <c r="A15" s="8">
        <v>10</v>
      </c>
      <c r="B15" s="8"/>
      <c r="C15" s="8"/>
      <c r="D15" s="8" t="s">
        <v>113</v>
      </c>
      <c r="E15" s="27" t="s">
        <v>114</v>
      </c>
      <c r="F15" s="27"/>
      <c r="G15" s="43" t="s">
        <v>144</v>
      </c>
      <c r="H15" s="43" t="s">
        <v>115</v>
      </c>
      <c r="I15" s="8" t="s">
        <v>45</v>
      </c>
      <c r="J15" s="8" t="s">
        <v>46</v>
      </c>
      <c r="K15" s="8"/>
      <c r="L15" s="8"/>
      <c r="M15" s="8"/>
      <c r="N15" s="8"/>
      <c r="O15" s="8"/>
      <c r="P15" s="8"/>
      <c r="Q15" s="8"/>
      <c r="R15" s="44"/>
      <c r="S15" s="45"/>
      <c r="T15" s="41"/>
      <c r="U15" s="42"/>
    </row>
    <row r="16" spans="1:21" s="10" customFormat="1" x14ac:dyDescent="0.2">
      <c r="A16" s="24"/>
      <c r="U16" s="46"/>
    </row>
    <row r="17" spans="1:21" s="10" customFormat="1" x14ac:dyDescent="0.2">
      <c r="A17" s="8">
        <v>20</v>
      </c>
      <c r="B17" s="30" t="s">
        <v>39</v>
      </c>
      <c r="C17" s="31"/>
      <c r="D17" s="23" t="s">
        <v>101</v>
      </c>
      <c r="E17" s="28" t="s">
        <v>92</v>
      </c>
      <c r="F17" s="47"/>
      <c r="G17" s="23" t="s">
        <v>72</v>
      </c>
      <c r="H17" s="29" t="s">
        <v>93</v>
      </c>
      <c r="I17" s="48"/>
      <c r="J17" s="49"/>
      <c r="K17" s="49"/>
      <c r="L17" s="28"/>
      <c r="M17" s="28"/>
      <c r="N17" s="28"/>
      <c r="O17" s="28"/>
      <c r="P17" s="28"/>
      <c r="Q17" s="28"/>
      <c r="R17" s="40"/>
      <c r="S17" s="39"/>
      <c r="T17" s="41"/>
      <c r="U17" s="42"/>
    </row>
    <row r="18" spans="1:21" s="10" customFormat="1" x14ac:dyDescent="0.2">
      <c r="A18" s="8">
        <v>20</v>
      </c>
      <c r="B18" s="8"/>
      <c r="C18" s="8"/>
      <c r="D18" s="8" t="s">
        <v>55</v>
      </c>
      <c r="E18" s="27" t="s">
        <v>85</v>
      </c>
      <c r="F18" s="27"/>
      <c r="G18" s="43" t="s">
        <v>139</v>
      </c>
      <c r="H18" s="43" t="s">
        <v>57</v>
      </c>
      <c r="I18" s="8" t="s">
        <v>61</v>
      </c>
      <c r="J18" s="8" t="s">
        <v>46</v>
      </c>
      <c r="K18" s="8"/>
      <c r="L18" s="8"/>
      <c r="M18" s="8"/>
      <c r="N18" s="8"/>
      <c r="O18" s="8"/>
      <c r="P18" s="8"/>
      <c r="Q18" s="8"/>
      <c r="R18" s="44"/>
      <c r="S18" s="45"/>
      <c r="T18" s="41"/>
      <c r="U18" s="42"/>
    </row>
    <row r="19" spans="1:21" s="10" customFormat="1" x14ac:dyDescent="0.2">
      <c r="A19" s="24"/>
      <c r="B19" s="25"/>
      <c r="C19" s="4"/>
      <c r="D19" s="5" t="s">
        <v>67</v>
      </c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5"/>
      <c r="S19" s="5"/>
      <c r="T19" s="16"/>
      <c r="U19" s="52"/>
    </row>
    <row r="20" spans="1:21" s="10" customFormat="1" x14ac:dyDescent="0.2">
      <c r="A20" s="24"/>
      <c r="U20" s="46"/>
    </row>
    <row r="21" spans="1:21" s="10" customFormat="1" x14ac:dyDescent="0.2">
      <c r="A21" s="6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51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31.90625" style="4" bestFit="1" customWidth="1"/>
    <col min="9" max="10" width="15.81640625" style="4" customWidth="1"/>
    <col min="11" max="11" width="19.36328125" style="4" bestFit="1" customWidth="1"/>
    <col min="12" max="12" width="14.36328125" style="4" customWidth="1"/>
    <col min="13" max="13" width="20.453125" style="4" customWidth="1"/>
    <col min="14" max="14" width="50.81640625" style="4" customWidth="1"/>
    <col min="15" max="15" width="20.453125" style="4" customWidth="1"/>
    <col min="16" max="16" width="14.36328125" style="4" customWidth="1"/>
    <col min="17" max="17" width="20.453125" style="5" customWidth="1"/>
    <col min="18" max="18" width="30.81640625" style="5" customWidth="1"/>
    <col min="19" max="19" width="12" style="5" customWidth="1"/>
    <col min="20" max="20" width="15.81640625" style="5" customWidth="1"/>
    <col min="21" max="21" width="12.906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57" t="s">
        <v>17</v>
      </c>
      <c r="B2" s="22"/>
      <c r="C2" s="22"/>
      <c r="D2" s="67" t="s">
        <v>122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MGBBL0020</v>
      </c>
      <c r="I2" s="7" t="s">
        <v>19</v>
      </c>
      <c r="J2" s="8" t="s">
        <v>102</v>
      </c>
      <c r="K2" s="7" t="s">
        <v>5</v>
      </c>
      <c r="L2" s="58" t="str">
        <f>IF(LogicCommon!G2="","",LogicCommon!G2)</f>
        <v>MC</v>
      </c>
      <c r="M2" s="5" t="s">
        <v>21</v>
      </c>
      <c r="N2" s="23" t="s">
        <v>121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17</v>
      </c>
      <c r="B3" s="25"/>
      <c r="C3" s="25"/>
      <c r="D3" s="59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MGBBL_InsMgtIf2Mgt</v>
      </c>
      <c r="I3" s="7" t="s">
        <v>22</v>
      </c>
      <c r="J3" s="8" t="s">
        <v>77</v>
      </c>
      <c r="K3" s="7" t="s">
        <v>11</v>
      </c>
      <c r="L3" s="58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24" t="s">
        <v>17</v>
      </c>
      <c r="B4" s="25"/>
      <c r="C4" s="25"/>
      <c r="D4" s="4"/>
      <c r="E4" s="7" t="s">
        <v>26</v>
      </c>
      <c r="F4" s="61" t="s">
        <v>27</v>
      </c>
      <c r="G4" s="7" t="s">
        <v>12</v>
      </c>
      <c r="H4" s="58" t="str">
        <f>IF(LogicCommon!E4="","",LogicCommon!E4)</f>
        <v>原価実績データ作成</v>
      </c>
      <c r="I4" s="7" t="s">
        <v>28</v>
      </c>
      <c r="J4" s="8" t="s">
        <v>103</v>
      </c>
      <c r="K4" s="7" t="s">
        <v>14</v>
      </c>
      <c r="L4" s="58" t="str">
        <f>IF(LogicCommon!G4="","",LogicCommon!G4)</f>
        <v>MG.MGUDL5010</v>
      </c>
      <c r="M4" s="62" t="s">
        <v>30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24" t="s">
        <v>17</v>
      </c>
      <c r="B6" s="25"/>
      <c r="C6" s="25"/>
      <c r="D6" s="4" t="s">
        <v>15</v>
      </c>
      <c r="E6" s="12" t="s">
        <v>104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117</v>
      </c>
      <c r="M7" s="27"/>
      <c r="N7" s="26" t="s">
        <v>117</v>
      </c>
      <c r="O7" s="27"/>
      <c r="P7" s="26" t="s">
        <v>117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123</v>
      </c>
      <c r="E8" s="26" t="s">
        <v>124</v>
      </c>
      <c r="F8" s="66"/>
      <c r="G8" s="26" t="s">
        <v>37</v>
      </c>
      <c r="H8" s="26" t="s">
        <v>125</v>
      </c>
      <c r="I8" s="66"/>
      <c r="J8" s="3"/>
      <c r="K8" s="8"/>
      <c r="L8" s="26" t="s">
        <v>118</v>
      </c>
      <c r="M8" s="27"/>
      <c r="N8" s="26" t="s">
        <v>118</v>
      </c>
      <c r="O8" s="27"/>
      <c r="P8" s="26" t="s">
        <v>118</v>
      </c>
      <c r="Q8" s="27"/>
      <c r="R8" s="3"/>
      <c r="S8" s="21"/>
      <c r="T8" s="44" t="s">
        <v>126</v>
      </c>
      <c r="U8" s="70"/>
    </row>
    <row r="9" spans="1:21" s="10" customFormat="1" ht="60" customHeight="1" x14ac:dyDescent="0.2">
      <c r="A9" s="8" t="s">
        <v>34</v>
      </c>
      <c r="B9" s="30"/>
      <c r="C9" s="31"/>
      <c r="D9" s="26" t="s">
        <v>127</v>
      </c>
      <c r="E9" s="44" t="s">
        <v>128</v>
      </c>
      <c r="F9" s="26" t="s">
        <v>129</v>
      </c>
      <c r="G9" s="26" t="s">
        <v>130</v>
      </c>
      <c r="H9" s="26" t="s">
        <v>131</v>
      </c>
      <c r="I9" s="45" t="s">
        <v>132</v>
      </c>
      <c r="J9" s="26" t="s">
        <v>133</v>
      </c>
      <c r="K9" s="67"/>
      <c r="L9" s="45"/>
      <c r="M9" s="26"/>
      <c r="N9" s="45"/>
      <c r="O9" s="26"/>
      <c r="P9" s="45"/>
      <c r="Q9" s="26"/>
      <c r="R9" s="44" t="s">
        <v>134</v>
      </c>
      <c r="S9" s="45"/>
      <c r="T9" s="44" t="s">
        <v>135</v>
      </c>
      <c r="U9" s="70"/>
    </row>
    <row r="10" spans="1:21" s="10" customFormat="1" ht="13.5" customHeight="1" x14ac:dyDescent="0.2">
      <c r="A10" s="30" t="s">
        <v>34</v>
      </c>
      <c r="B10" s="34"/>
      <c r="C10" s="34"/>
      <c r="D10" s="35"/>
      <c r="E10" s="32"/>
      <c r="F10" s="32"/>
      <c r="G10" s="36"/>
      <c r="H10" s="36"/>
      <c r="I10" s="32"/>
      <c r="J10" s="32"/>
      <c r="K10" s="37"/>
      <c r="L10" s="26" t="s">
        <v>132</v>
      </c>
      <c r="M10" s="26" t="s">
        <v>133</v>
      </c>
      <c r="N10" s="26" t="s">
        <v>132</v>
      </c>
      <c r="O10" s="26" t="s">
        <v>133</v>
      </c>
      <c r="P10" s="26" t="s">
        <v>132</v>
      </c>
      <c r="Q10" s="26" t="s">
        <v>133</v>
      </c>
      <c r="R10" s="32"/>
      <c r="S10" s="32"/>
      <c r="T10" s="38"/>
      <c r="U10" s="33"/>
    </row>
    <row r="11" spans="1:21" s="10" customFormat="1" x14ac:dyDescent="0.2">
      <c r="A11" s="8">
        <v>10</v>
      </c>
      <c r="B11" s="30" t="s">
        <v>39</v>
      </c>
      <c r="C11" s="31"/>
      <c r="D11" s="23" t="s">
        <v>105</v>
      </c>
      <c r="E11" s="28" t="s">
        <v>80</v>
      </c>
      <c r="F11" s="39"/>
      <c r="G11" s="23" t="s">
        <v>72</v>
      </c>
      <c r="H11" s="29" t="s">
        <v>90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41"/>
      <c r="U11" s="42"/>
    </row>
    <row r="12" spans="1:21" s="10" customFormat="1" x14ac:dyDescent="0.2">
      <c r="A12" s="8">
        <v>10</v>
      </c>
      <c r="B12" s="8"/>
      <c r="C12" s="8"/>
      <c r="D12" s="8" t="s">
        <v>42</v>
      </c>
      <c r="E12" s="27" t="s">
        <v>99</v>
      </c>
      <c r="F12" s="27"/>
      <c r="G12" s="43" t="s">
        <v>136</v>
      </c>
      <c r="H12" s="43" t="s">
        <v>44</v>
      </c>
      <c r="I12" s="8" t="s">
        <v>61</v>
      </c>
      <c r="J12" s="8" t="s">
        <v>46</v>
      </c>
      <c r="K12" s="8"/>
      <c r="L12" s="8"/>
      <c r="M12" s="8"/>
      <c r="N12" s="8"/>
      <c r="O12" s="8"/>
      <c r="P12" s="8"/>
      <c r="Q12" s="8"/>
      <c r="R12" s="44"/>
      <c r="S12" s="45"/>
      <c r="T12" s="41"/>
      <c r="U12" s="42"/>
    </row>
    <row r="13" spans="1:21" s="10" customFormat="1" x14ac:dyDescent="0.2">
      <c r="A13" s="8">
        <v>10</v>
      </c>
      <c r="B13" s="8"/>
      <c r="C13" s="8"/>
      <c r="D13" s="8" t="s">
        <v>47</v>
      </c>
      <c r="E13" s="27" t="s">
        <v>48</v>
      </c>
      <c r="F13" s="27"/>
      <c r="G13" s="43" t="s">
        <v>137</v>
      </c>
      <c r="H13" s="43" t="s">
        <v>49</v>
      </c>
      <c r="I13" s="8" t="s">
        <v>61</v>
      </c>
      <c r="J13" s="8" t="s">
        <v>46</v>
      </c>
      <c r="K13" s="8"/>
      <c r="L13" s="8"/>
      <c r="M13" s="8"/>
      <c r="N13" s="8"/>
      <c r="O13" s="8"/>
      <c r="P13" s="8"/>
      <c r="Q13" s="8"/>
      <c r="R13" s="44"/>
      <c r="S13" s="45"/>
      <c r="T13" s="41"/>
      <c r="U13" s="42"/>
    </row>
    <row r="14" spans="1:21" s="10" customFormat="1" x14ac:dyDescent="0.2">
      <c r="A14" s="8">
        <v>10</v>
      </c>
      <c r="B14" s="8"/>
      <c r="C14" s="8"/>
      <c r="D14" s="8" t="s">
        <v>50</v>
      </c>
      <c r="E14" s="27" t="s">
        <v>100</v>
      </c>
      <c r="F14" s="27"/>
      <c r="G14" s="43" t="s">
        <v>138</v>
      </c>
      <c r="H14" s="43" t="s">
        <v>52</v>
      </c>
      <c r="I14" s="8" t="s">
        <v>45</v>
      </c>
      <c r="J14" s="8" t="s">
        <v>46</v>
      </c>
      <c r="K14" s="8"/>
      <c r="L14" s="8"/>
      <c r="M14" s="8"/>
      <c r="N14" s="8"/>
      <c r="O14" s="8"/>
      <c r="P14" s="8"/>
      <c r="Q14" s="8"/>
      <c r="R14" s="44"/>
      <c r="S14" s="45"/>
      <c r="T14" s="41"/>
      <c r="U14" s="42"/>
    </row>
    <row r="15" spans="1:21" s="10" customFormat="1" x14ac:dyDescent="0.2">
      <c r="A15" s="24"/>
      <c r="U15" s="46"/>
    </row>
    <row r="16" spans="1:21" s="10" customFormat="1" x14ac:dyDescent="0.2">
      <c r="A16" s="8">
        <v>20</v>
      </c>
      <c r="B16" s="30" t="s">
        <v>39</v>
      </c>
      <c r="C16" s="31"/>
      <c r="D16" s="23" t="s">
        <v>106</v>
      </c>
      <c r="E16" s="28" t="s">
        <v>92</v>
      </c>
      <c r="F16" s="47"/>
      <c r="G16" s="23" t="s">
        <v>72</v>
      </c>
      <c r="H16" s="29" t="s">
        <v>93</v>
      </c>
      <c r="I16" s="48"/>
      <c r="J16" s="49"/>
      <c r="K16" s="49"/>
      <c r="L16" s="28"/>
      <c r="M16" s="28"/>
      <c r="N16" s="28"/>
      <c r="O16" s="28"/>
      <c r="P16" s="28"/>
      <c r="Q16" s="28"/>
      <c r="R16" s="40"/>
      <c r="S16" s="39"/>
      <c r="T16" s="41"/>
      <c r="U16" s="42"/>
    </row>
    <row r="17" spans="1:21" s="10" customFormat="1" x14ac:dyDescent="0.2">
      <c r="A17" s="8">
        <v>20</v>
      </c>
      <c r="B17" s="8"/>
      <c r="C17" s="8"/>
      <c r="D17" s="8" t="s">
        <v>55</v>
      </c>
      <c r="E17" s="27" t="s">
        <v>85</v>
      </c>
      <c r="F17" s="27"/>
      <c r="G17" s="43" t="s">
        <v>139</v>
      </c>
      <c r="H17" s="43" t="s">
        <v>57</v>
      </c>
      <c r="I17" s="8" t="s">
        <v>61</v>
      </c>
      <c r="J17" s="8" t="s">
        <v>46</v>
      </c>
      <c r="K17" s="8"/>
      <c r="L17" s="8"/>
      <c r="M17" s="8"/>
      <c r="N17" s="8"/>
      <c r="O17" s="8"/>
      <c r="P17" s="8"/>
      <c r="Q17" s="8"/>
      <c r="R17" s="44"/>
      <c r="S17" s="45"/>
      <c r="T17" s="41"/>
      <c r="U17" s="42"/>
    </row>
    <row r="18" spans="1:21" s="10" customFormat="1" x14ac:dyDescent="0.2">
      <c r="A18" s="24"/>
      <c r="B18" s="25"/>
      <c r="C18" s="4"/>
      <c r="D18" s="5" t="s">
        <v>67</v>
      </c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/>
      <c r="R18" s="5"/>
      <c r="S18" s="5"/>
      <c r="T18" s="16"/>
      <c r="U18" s="52"/>
    </row>
    <row r="19" spans="1:21" s="10" customFormat="1" x14ac:dyDescent="0.2">
      <c r="A19" s="24"/>
      <c r="U19" s="46"/>
    </row>
    <row r="20" spans="1:21" s="10" customFormat="1" x14ac:dyDescent="0.2">
      <c r="A20" s="6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51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3" customWidth="1"/>
    <col min="43" max="44" width="2.08984375" style="55" customWidth="1"/>
    <col min="45" max="57" width="2.08984375" style="53" customWidth="1"/>
    <col min="58" max="16384" width="9" style="53"/>
  </cols>
  <sheetData>
    <row r="1" spans="1:57" ht="38.25" customHeight="1" thickBot="1" x14ac:dyDescent="0.25">
      <c r="A1" s="71" t="s">
        <v>107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74" t="s">
        <v>108</v>
      </c>
      <c r="B3" s="75"/>
      <c r="C3" s="75"/>
      <c r="D3" s="75"/>
      <c r="E3" s="75"/>
      <c r="F3" s="75"/>
      <c r="G3" s="76"/>
      <c r="H3" s="77" t="s">
        <v>109</v>
      </c>
      <c r="I3" s="75"/>
      <c r="J3" s="75"/>
      <c r="K3" s="75"/>
      <c r="L3" s="75"/>
      <c r="M3" s="75"/>
      <c r="N3" s="76"/>
      <c r="O3" s="77" t="s">
        <v>110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111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112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3" t="s">
        <v>145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146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8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8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8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8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8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8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8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8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8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8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8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8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8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8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8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8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8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8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8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8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8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8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8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8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8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8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5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Srch02</vt:lpstr>
      <vt:lpstr>Ins01</vt:lpstr>
      <vt:lpstr>Ins02</vt:lpstr>
      <vt:lpstr>Ins03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2026-03-27T05:50:16Z</dcterms:modified>
  <cp:category/>
</cp:coreProperties>
</file>