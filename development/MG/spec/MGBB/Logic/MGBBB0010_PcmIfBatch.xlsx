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F80FA49B-31F6-4A5C-AED3-3400131CCFF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PcmIf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<sst xmlns="http://schemas.openxmlformats.org/spreadsheetml/2006/main" count="153" uniqueCount="99">
  <si>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</si>
  <si>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</si>
  <si>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</si>
  <si>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</si>
  <si>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MGBBB0010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</si>
  <si>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</si>
  <si>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</si>
  <si>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</si>
  <si>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</si>
  <si>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</si>
  <si>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MGBBB_PcmIfBatch</t>
    <phoneticPr fontId="2"/>
  </si>
  <si>
    <t>SuperClassPj.ID :</t>
    <phoneticPr fontId="3"/>
  </si>
  <si>
    <t>LogicName :</t>
    <phoneticPr fontId="3"/>
  </si>
  <si>
    <t>原価ＩＦデータ取込バッチ</t>
    <rPh sb="0" eb="2">
      <t>ゲンカ</t>
    </rPh>
    <rPh sb="7" eb="9">
      <t>トリコミ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</si>
  <si>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</si>
  <si>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</si>
  <si>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</si>
  <si>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</si>
  <si>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</si>
  <si>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</si>
  <si>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PcmIf_Upd01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</si>
  <si>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</si>
  <si>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</si>
  <si>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</si>
  <si>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</si>
  <si>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</si>
  <si>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</si>
  <si>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</si>
  <si>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</si>
  <si>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原価ＩＦデータ取込</t>
    <rPh sb="0" eb="2">
      <t>ゲンカ</t>
    </rPh>
    <rPh sb="7" eb="9">
      <t>トリコミ</t>
    </rPh>
    <phoneticPr fontId="2"/>
  </si>
  <si>
    <t>ImplOpe.ID:</t>
    <phoneticPr fontId="3"/>
  </si>
  <si>
    <t>ACType :</t>
    <phoneticPr fontId="3"/>
  </si>
  <si>
    <t>原価ＩＦデータを取り込む。</t>
    <rPh sb="0" eb="2">
      <t>ゲンカ</t>
    </rPh>
    <rPh sb="8" eb="9">
      <t>ト</t>
    </rPh>
    <rPh sb="10" eb="11">
      <t>コ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</si>
  <si>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</si>
  <si>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</si>
  <si>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</si>
  <si>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</si>
  <si>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</si>
  <si>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</si>
  <si>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TargetName</t>
    <phoneticPr fontId="3"/>
  </si>
  <si>
    <t>*</t>
    <phoneticPr fontId="2"/>
  </si>
  <si>
    <t>R</t>
  </si>
  <si>
    <t>ym</t>
  </si>
  <si>
    <t>#MA.YM</t>
  </si>
  <si>
    <t>年月</t>
    <phoneticPr fontId="2"/>
  </si>
  <si>
    <t>E</t>
    <phoneticPr fontId="2"/>
  </si>
  <si>
    <t>-</t>
    <phoneticPr fontId="2"/>
  </si>
  <si>
    <t>calc_ctg_cd</t>
  </si>
  <si>
    <t>#MA.CALC_CTG_CD</t>
  </si>
  <si>
    <t>計算カテゴリＣＤ</t>
    <phoneticPr fontId="2"/>
  </si>
  <si>
    <t>io_flg</t>
  </si>
  <si>
    <t>#MA.FLG</t>
  </si>
  <si>
    <t>受払実績</t>
    <phoneticPr fontId="2"/>
  </si>
  <si>
    <t>wk_flg</t>
  </si>
  <si>
    <t>工数情報</t>
    <phoneticPr fontId="2"/>
  </si>
  <si>
    <t>wip_flg</t>
  </si>
  <si>
    <t>仕掛情報</t>
    <phoneticPr fontId="2"/>
  </si>
  <si>
    <t>stk_flg</t>
  </si>
  <si>
    <t>在庫情報</t>
    <phoneticPr fontId="2"/>
  </si>
  <si>
    <t>rerun_flg</t>
    <phoneticPr fontId="2"/>
  </si>
  <si>
    <t>再取込</t>
    <phoneticPr fontId="2"/>
  </si>
  <si>
    <t>err_flg</t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</si>
  <si>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</si>
  <si>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</si>
  <si>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</si>
  <si>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</si>
  <si>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</si>
  <si>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</si>
  <si>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</si>
  <si>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non_mov_flg</t>
    <phoneticPr fontId="2"/>
  </si>
  <si>
    <t>PcmIf_Upd01_Cnd</t>
    <phoneticPr fontId="2"/>
  </si>
  <si>
    <t>滞留在庫計算</t>
    <phoneticPr fontId="2"/>
  </si>
  <si>
    <t>MG.MGUDL5010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</si>
  <si>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</si>
  <si>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</si>
  <si>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</si>
  <si>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</si>
  <si>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</si>
  <si>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</si>
  <si>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</si>
  <si>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</si>
  <si>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</si>
  <si>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</si>
  <si>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</si>
  <si>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</si>
  <si>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</si>
  <si>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</si>
  <si>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</si>
  <si>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Year month</t>
  </si>
  <si>
    <t>Calculation category cd.</t>
  </si>
  <si>
    <t>GR/GI result</t>
  </si>
  <si>
    <t>Man-hour info.</t>
  </si>
  <si>
    <t>WIP info.</t>
  </si>
  <si>
    <t>Inventory info.</t>
  </si>
  <si>
    <t>Re-import</t>
  </si>
  <si>
    <t>Non-moving inventory calculation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</si>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</sst>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74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MGBBB0010</v>
      </c>
      <c r="I2" s="7" t="s">
        <v>19</v>
      </c>
      <c r="J2" s="8" t="s">
        <v>20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MGBB</v>
      </c>
      <c r="G3" s="7" t="s">
        <v>9</v>
      </c>
      <c r="H3" s="52" t="str">
        <f>IF(LogicCommon!E3="","",LogicCommon!E3)</f>
        <v>MGBBB_PcmIfBatch</v>
      </c>
      <c r="I3" s="7" t="s">
        <v>22</v>
      </c>
      <c r="J3" s="8" t="s">
        <v>23</v>
      </c>
      <c r="K3" s="7" t="s">
        <v>11</v>
      </c>
      <c r="L3" s="52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3" t="s">
        <v>17</v>
      </c>
      <c r="B4" s="54"/>
      <c r="C4" s="54"/>
      <c r="D4" s="4"/>
      <c r="E4" s="7" t="s">
        <v>26</v>
      </c>
      <c r="F4" s="56" t="s">
        <v>27</v>
      </c>
      <c r="G4" s="7" t="s">
        <v>12</v>
      </c>
      <c r="H4" s="52" t="str">
        <f>IF(LogicCommon!E4="","",LogicCommon!E4)</f>
        <v>原価ＩＦデータ取込バッチ</v>
      </c>
      <c r="I4" s="7" t="s">
        <v>28</v>
      </c>
      <c r="J4" s="8" t="s">
        <v>29</v>
      </c>
      <c r="K4" s="7" t="s">
        <v>14</v>
      </c>
      <c r="L4" s="52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1"/>
      <c r="C5" s="51"/>
      <c r="D5" s="21"/>
      <c r="E5" s="7" t="s">
        <v>31</v>
      </c>
      <c r="F5" s="56" t="s">
        <v>23</v>
      </c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3" t="s">
        <v>17</v>
      </c>
      <c r="B6" s="54"/>
      <c r="C6" s="54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1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75</v>
      </c>
      <c r="E8" s="25" t="s">
        <v>76</v>
      </c>
      <c r="F8" s="61"/>
      <c r="G8" s="25" t="s">
        <v>38</v>
      </c>
      <c r="H8" s="25" t="s">
        <v>77</v>
      </c>
      <c r="I8" s="61"/>
      <c r="J8" s="3"/>
      <c r="K8" s="8"/>
      <c r="L8" s="25" t="s">
        <v>39</v>
      </c>
      <c r="M8" s="26"/>
      <c r="N8" s="25" t="s">
        <v>39</v>
      </c>
      <c r="O8" s="26"/>
      <c r="P8" s="25" t="s">
        <v>39</v>
      </c>
      <c r="Q8" s="26"/>
      <c r="R8" s="3"/>
      <c r="S8" s="21"/>
      <c r="T8" s="119" t="s">
        <v>78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79</v>
      </c>
      <c r="E9" s="65" t="s">
        <v>80</v>
      </c>
      <c r="F9" s="25" t="s">
        <v>81</v>
      </c>
      <c r="G9" s="25" t="s">
        <v>82</v>
      </c>
      <c r="H9" s="25" t="s">
        <v>83</v>
      </c>
      <c r="I9" s="66" t="s">
        <v>84</v>
      </c>
      <c r="J9" s="25" t="s">
        <v>85</v>
      </c>
      <c r="K9" s="62"/>
      <c r="L9" s="66"/>
      <c r="M9" s="25"/>
      <c r="N9" s="66"/>
      <c r="O9" s="25"/>
      <c r="P9" s="66"/>
      <c r="Q9" s="25"/>
      <c r="R9" s="119" t="s">
        <v>86</v>
      </c>
      <c r="S9" s="120"/>
      <c r="T9" s="119" t="s">
        <v>87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84</v>
      </c>
      <c r="M10" s="25" t="s">
        <v>85</v>
      </c>
      <c r="N10" s="25" t="s">
        <v>84</v>
      </c>
      <c r="O10" s="25" t="s">
        <v>85</v>
      </c>
      <c r="P10" s="25" t="s">
        <v>84</v>
      </c>
      <c r="Q10" s="25" t="s">
        <v>85</v>
      </c>
      <c r="R10" s="31"/>
      <c r="S10" s="31"/>
      <c r="T10" s="36"/>
      <c r="U10" s="50"/>
    </row>
    <row r="11" spans="1:21" s="10" customFormat="1" x14ac:dyDescent="0.2">
      <c r="A11" s="8">
        <v>10</v>
      </c>
      <c r="B11" s="29" t="s">
        <v>40</v>
      </c>
      <c r="C11" s="30"/>
      <c r="D11" s="24" t="s">
        <v>70</v>
      </c>
      <c r="E11" s="27" t="s">
        <v>41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42</v>
      </c>
      <c r="E12" s="26" t="s">
        <v>43</v>
      </c>
      <c r="F12" s="26"/>
      <c r="G12" s="41" t="s">
        <v>88</v>
      </c>
      <c r="H12" s="41" t="s">
        <v>44</v>
      </c>
      <c r="I12" s="8" t="s">
        <v>45</v>
      </c>
      <c r="J12" s="8" t="s">
        <v>46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47</v>
      </c>
      <c r="E13" s="26" t="s">
        <v>48</v>
      </c>
      <c r="F13" s="26"/>
      <c r="G13" s="41" t="s">
        <v>89</v>
      </c>
      <c r="H13" s="41" t="s">
        <v>49</v>
      </c>
      <c r="I13" s="8" t="s">
        <v>45</v>
      </c>
      <c r="J13" s="8" t="s">
        <v>46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50</v>
      </c>
      <c r="E14" s="26" t="s">
        <v>51</v>
      </c>
      <c r="F14" s="26"/>
      <c r="G14" s="41" t="s">
        <v>90</v>
      </c>
      <c r="H14" s="41" t="s">
        <v>52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53</v>
      </c>
      <c r="E15" s="26" t="s">
        <v>51</v>
      </c>
      <c r="F15" s="26"/>
      <c r="G15" s="41" t="s">
        <v>91</v>
      </c>
      <c r="H15" s="41" t="s">
        <v>54</v>
      </c>
      <c r="I15" s="8" t="s">
        <v>45</v>
      </c>
      <c r="J15" s="8" t="s">
        <v>46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55</v>
      </c>
      <c r="E16" s="26" t="s">
        <v>51</v>
      </c>
      <c r="F16" s="26"/>
      <c r="G16" s="41" t="s">
        <v>92</v>
      </c>
      <c r="H16" s="41" t="s">
        <v>56</v>
      </c>
      <c r="I16" s="8" t="s">
        <v>45</v>
      </c>
      <c r="J16" s="8" t="s">
        <v>46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57</v>
      </c>
      <c r="E17" s="26" t="s">
        <v>51</v>
      </c>
      <c r="F17" s="26"/>
      <c r="G17" s="41" t="s">
        <v>93</v>
      </c>
      <c r="H17" s="41" t="s">
        <v>58</v>
      </c>
      <c r="I17" s="8" t="s">
        <v>45</v>
      </c>
      <c r="J17" s="8" t="s">
        <v>46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8">
        <v>10</v>
      </c>
      <c r="B18" s="8"/>
      <c r="C18" s="8"/>
      <c r="D18" s="8" t="s">
        <v>59</v>
      </c>
      <c r="E18" s="26" t="s">
        <v>51</v>
      </c>
      <c r="F18" s="26"/>
      <c r="G18" s="41" t="s">
        <v>94</v>
      </c>
      <c r="H18" s="41" t="s">
        <v>60</v>
      </c>
      <c r="I18" s="8" t="s">
        <v>45</v>
      </c>
      <c r="J18" s="8" t="s">
        <v>46</v>
      </c>
      <c r="K18" s="8"/>
      <c r="L18" s="8"/>
      <c r="M18" s="8"/>
      <c r="N18" s="8"/>
      <c r="O18" s="8"/>
      <c r="P18" s="8"/>
      <c r="Q18" s="8"/>
      <c r="R18" s="42"/>
      <c r="S18" s="43"/>
      <c r="T18" s="39"/>
      <c r="U18" s="40"/>
    </row>
    <row r="19" spans="1:21" s="10" customFormat="1" ht="26" x14ac:dyDescent="0.2">
      <c r="A19" s="8">
        <v>10</v>
      </c>
      <c r="B19" s="8"/>
      <c r="C19" s="8"/>
      <c r="D19" s="8" t="s">
        <v>69</v>
      </c>
      <c r="E19" s="26" t="s">
        <v>51</v>
      </c>
      <c r="F19" s="26"/>
      <c r="G19" s="41" t="s">
        <v>95</v>
      </c>
      <c r="H19" s="41" t="s">
        <v>71</v>
      </c>
      <c r="I19" s="8" t="s">
        <v>45</v>
      </c>
      <c r="J19" s="8" t="s">
        <v>46</v>
      </c>
      <c r="K19" s="8"/>
      <c r="L19" s="8"/>
      <c r="M19" s="8"/>
      <c r="N19" s="8"/>
      <c r="O19" s="8"/>
      <c r="P19" s="8"/>
      <c r="Q19" s="8"/>
      <c r="R19" s="42"/>
      <c r="S19" s="43"/>
      <c r="T19" s="39"/>
      <c r="U19" s="40"/>
    </row>
    <row r="20" spans="1:21" s="10" customFormat="1" x14ac:dyDescent="0.2">
      <c r="A20" s="8">
        <v>10</v>
      </c>
      <c r="B20" s="8"/>
      <c r="C20" s="8"/>
      <c r="D20" s="8" t="s">
        <v>61</v>
      </c>
      <c r="E20" s="26" t="s">
        <v>51</v>
      </c>
      <c r="F20" s="26"/>
      <c r="G20" s="41" t="s">
        <v>96</v>
      </c>
      <c r="H20" s="41" t="s">
        <v>62</v>
      </c>
      <c r="I20" s="8" t="s">
        <v>46</v>
      </c>
      <c r="J20" s="8" t="s">
        <v>46</v>
      </c>
      <c r="K20" s="8"/>
      <c r="L20" s="8"/>
      <c r="M20" s="8"/>
      <c r="N20" s="8"/>
      <c r="O20" s="8"/>
      <c r="P20" s="8"/>
      <c r="Q20" s="8"/>
      <c r="R20" s="42"/>
      <c r="S20" s="43"/>
      <c r="T20" s="39"/>
      <c r="U20" s="40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9"/>
      <c r="S21" s="9"/>
      <c r="T21" s="9"/>
      <c r="U21" s="44"/>
    </row>
    <row r="22" spans="1:21" s="10" customFormat="1" x14ac:dyDescent="0.2">
      <c r="A22" s="53"/>
      <c r="U22" s="45"/>
    </row>
    <row r="23" spans="1:21" s="10" customFormat="1" x14ac:dyDescent="0.2">
      <c r="A23" s="53"/>
      <c r="U23" s="45"/>
    </row>
    <row r="24" spans="1:21" s="10" customFormat="1" x14ac:dyDescent="0.2">
      <c r="A24" s="53"/>
      <c r="U24" s="45"/>
    </row>
    <row r="25" spans="1:21" s="10" customFormat="1" x14ac:dyDescent="0.2">
      <c r="A25" s="5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6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91" t="s">
        <v>63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94" t="s">
        <v>64</v>
      </c>
      <c r="B3" s="95"/>
      <c r="C3" s="95"/>
      <c r="D3" s="95"/>
      <c r="E3" s="95"/>
      <c r="F3" s="95"/>
      <c r="G3" s="96"/>
      <c r="H3" s="97" t="s">
        <v>65</v>
      </c>
      <c r="I3" s="95"/>
      <c r="J3" s="95"/>
      <c r="K3" s="95"/>
      <c r="L3" s="95"/>
      <c r="M3" s="95"/>
      <c r="N3" s="96"/>
      <c r="O3" s="97" t="s">
        <v>66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67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8" t="s">
        <v>68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113" t="s">
        <v>97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98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3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3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3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3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3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3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3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3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3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3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3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3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3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PcmIf_Upd01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2026-03-27T05:50:14Z</dcterms:modified>
  <cp:category/>
</cp:coreProperties>
</file>