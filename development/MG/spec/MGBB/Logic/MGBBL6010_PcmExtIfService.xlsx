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726D0746-D53C-46AE-B4CF-559B9FD07F9C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LogicCommon" sheetId="1" r:id="rId1"/>
    <sheet name="PcmExtIf_Chk01" sheetId="2" r:id="rId2"/>
    <sheet name="PcmExtIf_Upd01" sheetId="8" r:id="rId3"/>
    <sheet name="PcmExtIf_Upd02" sheetId="3" r:id="rId4"/>
    <sheet name="PcmExtIf_Upd03" sheetId="5" r:id="rId5"/>
    <sheet name="PcmExtIf_Upd04" sheetId="6" r:id="rId6"/>
    <sheet name="PcmExtIf_Upd05" sheetId="7" r:id="rId7"/>
    <sheet name="来歴" sheetId="4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<sst xmlns="http://schemas.openxmlformats.org/spreadsheetml/2006/main" count="736" uniqueCount="156">
  <si>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</si>
  <si>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</si>
  <si>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</si>
  <si>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</si>
  <si>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</si>
  <si>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</si>
  <si>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</si>
  <si>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</si>
  <si>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</si>
  <si>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</si>
  <si>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</si>
  <si>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</si>
  <si>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</si>
  <si>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</si>
  <si>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</si>
  <si>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</si>
  <si>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</si>
  <si>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</si>
  <si>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</si>
  <si>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</si>
  <si>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</si>
  <si>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</si>
  <si>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</si>
  <si>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</si>
  <si>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</si>
  <si>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</si>
  <si>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</si>
  <si>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</si>
  <si>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</si>
  <si>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</si>
  <si>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</si>
  <si>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</si>
  <si>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</si>
  <si>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</si>
  <si>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</si>
  <si>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</si>
  <si>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</si>
  <si>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</si>
  <si>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</si>
  <si>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</si>
  <si>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</si>
  <si>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</si>
  <si>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</si>
  <si>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</si>
  <si>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</si>
  <si>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</si>
  <si>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</si>
  <si>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</si>
  <si>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</si>
  <si>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</si>
  <si>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</si>
  <si>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</si>
  <si>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#</t>
    <phoneticPr fontId="3"/>
  </si>
  <si>
    <t>*</t>
    <phoneticPr fontId="2"/>
  </si>
  <si>
    <t>R</t>
  </si>
  <si>
    <t>#MA.YM</t>
  </si>
  <si>
    <t>E</t>
    <phoneticPr fontId="3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</si>
  <si>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</si>
  <si>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</si>
  <si>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</si>
  <si>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</si>
  <si>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</si>
  <si>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</si>
  <si>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</si>
  <si>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</si>
  <si>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</si>
  <si>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</si>
  <si>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3"/>
  </si>
  <si>
    <t>-</t>
    <phoneticPr fontId="3"/>
  </si>
  <si>
    <t>@</t>
    <phoneticPr fontId="2"/>
  </si>
  <si>
    <t>#</t>
    <phoneticPr fontId="3"/>
  </si>
  <si>
    <t>U</t>
    <phoneticPr fontId="3"/>
  </si>
  <si>
    <t>K</t>
    <phoneticPr fontId="2"/>
  </si>
  <si>
    <t>o</t>
    <phoneticPr fontId="3"/>
  </si>
  <si>
    <t>TargetName</t>
    <phoneticPr fontId="3"/>
  </si>
  <si>
    <t>$share$</t>
  </si>
  <si>
    <t>-</t>
    <phoneticPr fontId="2"/>
  </si>
  <si>
    <t>#MA.WG_CD</t>
    <phoneticPr fontId="2"/>
  </si>
  <si>
    <t>rerun_flg</t>
    <phoneticPr fontId="2"/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</si>
  <si>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</si>
  <si>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</si>
  <si>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</si>
  <si>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</si>
  <si>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</si>
  <si>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</si>
  <si>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</si>
  <si>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</si>
  <si>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</si>
  <si>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</si>
  <si>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MGBB</t>
    <phoneticPr fontId="2"/>
  </si>
  <si>
    <t>MGBBL6010</t>
    <phoneticPr fontId="2"/>
  </si>
  <si>
    <t>MGBBL_PcmExtIfService</t>
    <phoneticPr fontId="2"/>
  </si>
  <si>
    <t>PcmExtIf_Chk01</t>
    <phoneticPr fontId="2"/>
  </si>
  <si>
    <t>PcmExtIf_Chk01_Cnd</t>
    <phoneticPr fontId="2"/>
  </si>
  <si>
    <t>MG.MGBBL6010.PcmExtIf_Chk01.PcmExtIf_Chk01_Cnd</t>
    <phoneticPr fontId="2"/>
  </si>
  <si>
    <t>PcmExtIf_Upd01_Cnd</t>
    <phoneticPr fontId="2"/>
  </si>
  <si>
    <t>PcmExtIf_Upd01</t>
    <phoneticPr fontId="2"/>
  </si>
  <si>
    <t>原価受払実績ＩＦ取込</t>
    <phoneticPr fontId="2"/>
  </si>
  <si>
    <t>原価受払実績ＩＦを取り込む。</t>
    <rPh sb="9" eb="10">
      <t>ト</t>
    </rPh>
    <rPh sb="11" eb="12">
      <t>コ</t>
    </rPh>
    <phoneticPr fontId="2"/>
  </si>
  <si>
    <t>PcmExtIf_Upd02</t>
    <phoneticPr fontId="2"/>
  </si>
  <si>
    <t>原価工数情報ＩＦ取込</t>
    <phoneticPr fontId="2"/>
  </si>
  <si>
    <t>原価工数情報ＩＦを取り込む。</t>
    <rPh sb="9" eb="10">
      <t>ト</t>
    </rPh>
    <rPh sb="11" eb="12">
      <t>コ</t>
    </rPh>
    <phoneticPr fontId="2"/>
  </si>
  <si>
    <t>PcmExtIf_Upd02_Cnd</t>
    <phoneticPr fontId="2"/>
  </si>
  <si>
    <t>PcmExtIf_Upd03</t>
    <phoneticPr fontId="2"/>
  </si>
  <si>
    <t>原価指図仕掛情報ＩＦ取込</t>
    <phoneticPr fontId="2"/>
  </si>
  <si>
    <t>原価指図仕掛情報ＩＦを取り込む。</t>
    <rPh sb="11" eb="12">
      <t>ト</t>
    </rPh>
    <rPh sb="13" eb="14">
      <t>コ</t>
    </rPh>
    <phoneticPr fontId="2"/>
  </si>
  <si>
    <t>PcmExtIf_Upd03_Cnd</t>
    <phoneticPr fontId="2"/>
  </si>
  <si>
    <t>PcmExtIf_Upd04</t>
    <phoneticPr fontId="2"/>
  </si>
  <si>
    <t>原価在庫情報ＩＦ取込</t>
    <phoneticPr fontId="2"/>
  </si>
  <si>
    <t>原価在庫情報ＩＦを取り込む。</t>
    <rPh sb="9" eb="10">
      <t>ト</t>
    </rPh>
    <rPh sb="11" eb="12">
      <t>コ</t>
    </rPh>
    <phoneticPr fontId="2"/>
  </si>
  <si>
    <t>PcmExtIf_Upd04_Cnd</t>
    <phoneticPr fontId="2"/>
  </si>
  <si>
    <t>PcmExtIf_Upd05</t>
    <phoneticPr fontId="2"/>
  </si>
  <si>
    <t>PcmExtIf_Upd05_Cnd</t>
    <phoneticPr fontId="2"/>
  </si>
  <si>
    <t>ym</t>
    <phoneticPr fontId="2"/>
  </si>
  <si>
    <t>年月</t>
    <phoneticPr fontId="2"/>
  </si>
  <si>
    <t>原価外部ＩＦデータ取込</t>
    <rPh sb="2" eb="4">
      <t>ガイブ</t>
    </rPh>
    <phoneticPr fontId="2"/>
  </si>
  <si>
    <t>原価外部ＩＦデータを取り込む。</t>
    <rPh sb="10" eb="11">
      <t>ト</t>
    </rPh>
    <rPh sb="12" eb="13">
      <t>コ</t>
    </rPh>
    <phoneticPr fontId="2"/>
  </si>
  <si>
    <t>io_flg</t>
  </si>
  <si>
    <t>受払実績</t>
  </si>
  <si>
    <t>wk_flg</t>
  </si>
  <si>
    <t>工数情報</t>
  </si>
  <si>
    <t>wip_flg</t>
  </si>
  <si>
    <t>仕掛情報</t>
  </si>
  <si>
    <t>stk_flg</t>
  </si>
  <si>
    <t>在庫情報</t>
  </si>
  <si>
    <t>原価外部ＩＦデータ取込前チェック</t>
    <rPh sb="0" eb="2">
      <t>ゲンカ</t>
    </rPh>
    <rPh sb="2" eb="4">
      <t>ガイブ</t>
    </rPh>
    <rPh sb="9" eb="11">
      <t>トリコミ</t>
    </rPh>
    <rPh sb="11" eb="12">
      <t>マエ</t>
    </rPh>
    <phoneticPr fontId="2"/>
  </si>
  <si>
    <t>原価外部ＩＦデータ取込前チェック</t>
    <rPh sb="0" eb="2">
      <t>ゲンカ</t>
    </rPh>
    <rPh sb="2" eb="4">
      <t>ガイブ</t>
    </rPh>
    <rPh sb="9" eb="12">
      <t>トリコミマエ</t>
    </rPh>
    <phoneticPr fontId="2"/>
  </si>
  <si>
    <t>原価外部ＩＦデータ取込サービス</t>
    <rPh sb="0" eb="2">
      <t>ゲンカ</t>
    </rPh>
    <rPh sb="2" eb="4">
      <t>ガイブ</t>
    </rPh>
    <rPh sb="9" eb="11">
      <t>トリコミ</t>
    </rPh>
    <phoneticPr fontId="4"/>
  </si>
  <si>
    <t>E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</si>
  <si>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</si>
  <si>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</si>
  <si>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</si>
  <si>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</si>
  <si>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</si>
  <si>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</si>
  <si>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</si>
  <si>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</si>
  <si>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</si>
  <si>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</si>
  <si>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</si>
  <si>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</si>
  <si>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</si>
  <si>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</si>
  <si>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Year month</t>
  </si>
  <si>
    <t>Calculation category cd.</t>
  </si>
  <si>
    <t>WG cd.</t>
  </si>
  <si>
    <t>GR/GI result</t>
  </si>
  <si>
    <t>Man-hour info.</t>
  </si>
  <si>
    <t>WIP info.</t>
  </si>
  <si>
    <t>Inventory info.</t>
  </si>
  <si>
    <t>Re-import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</si>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</sst>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>
      <selection activeCell="C28" sqref="C28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90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89</v>
      </c>
      <c r="D3" s="7" t="s">
        <v>7</v>
      </c>
      <c r="E3" s="8" t="s">
        <v>91</v>
      </c>
      <c r="F3" s="7" t="s">
        <v>8</v>
      </c>
      <c r="G3" s="8"/>
      <c r="H3" s="5"/>
      <c r="I3" s="5"/>
    </row>
    <row r="4" spans="1:13" x14ac:dyDescent="0.2">
      <c r="A4" s="4"/>
      <c r="B4" s="7"/>
      <c r="C4" s="7"/>
      <c r="D4" s="7" t="s">
        <v>9</v>
      </c>
      <c r="E4" s="11" t="s">
        <v>127</v>
      </c>
      <c r="F4" s="7" t="s">
        <v>10</v>
      </c>
      <c r="G4" s="8" t="s">
        <v>86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5"/>
  <sheetViews>
    <sheetView zoomScale="85" zoomScaleNormal="85" zoomScaleSheetLayoutView="85" workbookViewId="0">
      <selection activeCell="E31" sqref="E31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92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18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126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13</v>
      </c>
      <c r="B6" s="56"/>
      <c r="C6" s="56"/>
      <c r="D6" s="4" t="s">
        <v>11</v>
      </c>
      <c r="E6" s="12" t="s">
        <v>125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26</v>
      </c>
      <c r="AE6" s="15"/>
      <c r="AF6" s="15" t="s">
        <v>26</v>
      </c>
      <c r="AG6" s="15"/>
      <c r="AH6" s="15" t="s">
        <v>26</v>
      </c>
      <c r="AI6" s="4"/>
      <c r="AJ6" s="4"/>
      <c r="AK6" s="4"/>
      <c r="AL6" s="4"/>
    </row>
    <row r="7" spans="1:38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s="8" t="s">
        <v>29</v>
      </c>
      <c r="Q7" s="8" t="s">
        <v>29</v>
      </c>
      <c r="R7" s="8" t="s">
        <v>29</v>
      </c>
      <c r="S7" s="8" t="s">
        <v>29</v>
      </c>
      <c r="T7" s="8" t="s">
        <v>29</v>
      </c>
      <c r="U7" s="8" t="s">
        <v>29</v>
      </c>
      <c r="V7" s="8" t="s">
        <v>29</v>
      </c>
      <c r="W7" s="8" t="s">
        <v>29</v>
      </c>
      <c r="X7" s="8" t="s">
        <v>29</v>
      </c>
      <c r="Y7" s="8" t="s">
        <v>29</v>
      </c>
      <c r="Z7" s="8" t="s">
        <v>29</v>
      </c>
      <c r="AA7" s="8" t="s">
        <v>29</v>
      </c>
      <c r="AB7" s="8" t="s">
        <v>29</v>
      </c>
      <c r="AC7" s="25" t="s">
        <v>30</v>
      </c>
      <c r="AD7" s="26"/>
      <c r="AE7" s="25" t="s">
        <v>30</v>
      </c>
      <c r="AF7" s="26"/>
      <c r="AG7" s="25" t="s">
        <v>31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 t="s">
        <v>33</v>
      </c>
      <c r="L8" s="8" t="s">
        <v>34</v>
      </c>
      <c r="M8" s="8" t="s">
        <v>35</v>
      </c>
      <c r="N8" s="8" t="s">
        <v>36</v>
      </c>
      <c r="O8" s="8" t="s">
        <v>37</v>
      </c>
      <c r="P8" s="8" t="s">
        <v>38</v>
      </c>
      <c r="Q8" s="8" t="s">
        <v>39</v>
      </c>
      <c r="R8" s="8" t="s">
        <v>40</v>
      </c>
      <c r="S8" s="8" t="s">
        <v>41</v>
      </c>
      <c r="T8" s="8" t="s">
        <v>42</v>
      </c>
      <c r="U8" s="8" t="s">
        <v>43</v>
      </c>
      <c r="V8" s="8" t="s">
        <v>44</v>
      </c>
      <c r="W8" s="8" t="s">
        <v>45</v>
      </c>
      <c r="X8" s="8" t="s">
        <v>46</v>
      </c>
      <c r="Y8" s="8" t="s">
        <v>47</v>
      </c>
      <c r="Z8" s="8" t="s">
        <v>48</v>
      </c>
      <c r="AA8" s="8" t="s">
        <v>49</v>
      </c>
      <c r="AB8" s="8" t="s">
        <v>50</v>
      </c>
      <c r="AC8" s="25" t="s">
        <v>51</v>
      </c>
      <c r="AD8" s="26"/>
      <c r="AE8" s="25" t="s">
        <v>51</v>
      </c>
      <c r="AF8" s="26"/>
      <c r="AG8" s="25" t="s">
        <v>51</v>
      </c>
      <c r="AH8" s="26"/>
      <c r="AI8" s="3"/>
      <c r="AJ8" s="21"/>
      <c r="AK8" s="69" t="s">
        <v>141</v>
      </c>
      <c r="AL8" s="70"/>
    </row>
    <row r="9" spans="1:38" s="10" customFormat="1" ht="60" customHeight="1" x14ac:dyDescent="0.2">
      <c r="A9" s="8" t="s">
        <v>27</v>
      </c>
      <c r="B9" s="30"/>
      <c r="C9" s="31"/>
      <c r="D9" s="25" t="s">
        <v>133</v>
      </c>
      <c r="E9" s="67" t="s">
        <v>134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8"/>
      <c r="AD9" s="25"/>
      <c r="AE9" s="25"/>
      <c r="AF9" s="25"/>
      <c r="AG9" s="25"/>
      <c r="AH9" s="25"/>
      <c r="AI9" s="69" t="s">
        <v>140</v>
      </c>
      <c r="AJ9" s="70"/>
      <c r="AK9" s="69" t="s">
        <v>142</v>
      </c>
      <c r="AL9" s="70"/>
    </row>
    <row r="10" spans="1:38" s="10" customFormat="1" ht="52" x14ac:dyDescent="0.2">
      <c r="A10" s="30" t="s">
        <v>52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138</v>
      </c>
      <c r="AD10" s="25" t="s">
        <v>139</v>
      </c>
      <c r="AE10" s="25" t="s">
        <v>138</v>
      </c>
      <c r="AF10" s="25" t="s">
        <v>139</v>
      </c>
      <c r="AG10" s="25" t="s">
        <v>138</v>
      </c>
      <c r="AH10" s="25" t="s">
        <v>139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53</v>
      </c>
      <c r="C11" s="31"/>
      <c r="D11" s="24" t="s">
        <v>93</v>
      </c>
      <c r="E11" s="29" t="s">
        <v>54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ht="14.25" customHeigh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56</v>
      </c>
      <c r="K12" s="8"/>
      <c r="L12" s="8" t="s">
        <v>56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56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2" t="s">
        <v>145</v>
      </c>
      <c r="H14" s="42" t="s">
        <v>62</v>
      </c>
      <c r="I14" s="8" t="s">
        <v>56</v>
      </c>
      <c r="J14" s="8" t="s">
        <v>56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117</v>
      </c>
      <c r="E15" s="26" t="s">
        <v>64</v>
      </c>
      <c r="F15" s="26"/>
      <c r="G15" s="42" t="s">
        <v>146</v>
      </c>
      <c r="H15" s="42" t="s">
        <v>118</v>
      </c>
      <c r="I15" s="8" t="s">
        <v>56</v>
      </c>
      <c r="J15" s="8" t="s">
        <v>56</v>
      </c>
      <c r="K15" s="8"/>
      <c r="L15" s="8"/>
      <c r="M15" s="8"/>
      <c r="N15" s="8"/>
      <c r="O15" s="8"/>
      <c r="P15" s="8"/>
      <c r="Q15" s="8"/>
      <c r="R15" s="8"/>
      <c r="S15" s="8"/>
      <c r="T15" s="8" t="s">
        <v>128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119</v>
      </c>
      <c r="E16" s="26" t="s">
        <v>64</v>
      </c>
      <c r="F16" s="26"/>
      <c r="G16" s="42" t="s">
        <v>147</v>
      </c>
      <c r="H16" s="42" t="s">
        <v>120</v>
      </c>
      <c r="I16" s="8" t="s">
        <v>56</v>
      </c>
      <c r="J16" s="8" t="s">
        <v>56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128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121</v>
      </c>
      <c r="E17" s="26" t="s">
        <v>64</v>
      </c>
      <c r="F17" s="26"/>
      <c r="G17" s="42" t="s">
        <v>148</v>
      </c>
      <c r="H17" s="42" t="s">
        <v>122</v>
      </c>
      <c r="I17" s="8" t="s">
        <v>56</v>
      </c>
      <c r="J17" s="8" t="s">
        <v>56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128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123</v>
      </c>
      <c r="E18" s="26" t="s">
        <v>64</v>
      </c>
      <c r="F18" s="26"/>
      <c r="G18" s="42" t="s">
        <v>149</v>
      </c>
      <c r="H18" s="42" t="s">
        <v>124</v>
      </c>
      <c r="I18" s="8" t="s">
        <v>56</v>
      </c>
      <c r="J18" s="8" t="s">
        <v>56</v>
      </c>
      <c r="K18" s="8"/>
      <c r="L18" s="8"/>
      <c r="M18" s="8"/>
      <c r="N18" s="8"/>
      <c r="O18" s="8"/>
      <c r="P18" s="8"/>
      <c r="Q18" s="8"/>
      <c r="R18" s="8"/>
      <c r="S18" s="8"/>
      <c r="T18" s="8" t="s">
        <v>128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63</v>
      </c>
      <c r="E19" s="26" t="s">
        <v>64</v>
      </c>
      <c r="F19" s="26"/>
      <c r="G19" s="42" t="s">
        <v>150</v>
      </c>
      <c r="H19" s="42" t="s">
        <v>65</v>
      </c>
      <c r="I19" s="8" t="s">
        <v>56</v>
      </c>
      <c r="J19" s="8" t="s">
        <v>56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66</v>
      </c>
      <c r="E20" s="26" t="s">
        <v>64</v>
      </c>
      <c r="F20" s="26"/>
      <c r="G20" s="42" t="s">
        <v>151</v>
      </c>
      <c r="H20" s="42" t="s">
        <v>67</v>
      </c>
      <c r="I20" s="8" t="s">
        <v>68</v>
      </c>
      <c r="J20" s="8" t="s">
        <v>56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0"/>
      <c r="AL20" s="41"/>
    </row>
    <row r="21" spans="1:38" s="10" customFormat="1" x14ac:dyDescent="0.2">
      <c r="A21" s="22"/>
      <c r="B21" s="23"/>
      <c r="C21" s="23"/>
      <c r="D21" s="16" t="s">
        <v>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"/>
      <c r="AI21" s="9"/>
      <c r="AJ21" s="9"/>
      <c r="AK21" s="9"/>
      <c r="AL21" s="45"/>
    </row>
    <row r="22" spans="1:38" s="10" customFormat="1" x14ac:dyDescent="0.2">
      <c r="A22" s="55"/>
      <c r="AL22" s="46"/>
    </row>
    <row r="23" spans="1:38" s="10" customFormat="1" x14ac:dyDescent="0.2">
      <c r="A23" s="55"/>
      <c r="AL23" s="46"/>
    </row>
    <row r="24" spans="1:38" s="10" customFormat="1" x14ac:dyDescent="0.2">
      <c r="A24" s="55"/>
      <c r="AL24" s="46"/>
    </row>
    <row r="25" spans="1:38" s="10" customFormat="1" x14ac:dyDescent="0.2">
      <c r="A25" s="6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00A5-168E-4417-9034-385CD63D3C34}">
  <sheetPr>
    <pageSetUpPr fitToPage="1"/>
  </sheetPr>
  <dimension ref="A1:U25"/>
  <sheetViews>
    <sheetView zoomScale="85" zoomScaleNormal="85" zoomScaleSheetLayoutView="85" workbookViewId="0">
      <selection activeCell="E28" sqref="E28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96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18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115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116</v>
      </c>
      <c r="F6" s="12"/>
      <c r="G6" s="12"/>
      <c r="H6" s="12"/>
      <c r="I6" s="12"/>
      <c r="J6" s="12"/>
      <c r="K6" s="12"/>
      <c r="L6" s="63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48" t="s">
        <v>72</v>
      </c>
      <c r="L7" s="25" t="s">
        <v>30</v>
      </c>
      <c r="M7" s="26"/>
      <c r="N7" s="25" t="s">
        <v>30</v>
      </c>
      <c r="O7" s="26"/>
      <c r="P7" s="25" t="s">
        <v>30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/>
      <c r="L8" s="25" t="s">
        <v>51</v>
      </c>
      <c r="M8" s="26"/>
      <c r="N8" s="25" t="s">
        <v>51</v>
      </c>
      <c r="O8" s="26"/>
      <c r="P8" s="25" t="s">
        <v>51</v>
      </c>
      <c r="Q8" s="26"/>
      <c r="R8" s="3"/>
      <c r="S8" s="21"/>
      <c r="T8" s="69" t="s">
        <v>141</v>
      </c>
      <c r="U8" s="70"/>
    </row>
    <row r="9" spans="1:21" s="10" customFormat="1" ht="60" customHeight="1" x14ac:dyDescent="0.2">
      <c r="A9" s="8" t="s">
        <v>27</v>
      </c>
      <c r="B9" s="30"/>
      <c r="C9" s="31"/>
      <c r="D9" s="25" t="s">
        <v>152</v>
      </c>
      <c r="E9" s="67" t="s">
        <v>153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8"/>
      <c r="M9" s="25"/>
      <c r="N9" s="25"/>
      <c r="O9" s="25"/>
      <c r="P9" s="25"/>
      <c r="Q9" s="25"/>
      <c r="R9" s="69" t="s">
        <v>140</v>
      </c>
      <c r="S9" s="70"/>
      <c r="T9" s="69" t="s">
        <v>142</v>
      </c>
      <c r="U9" s="70"/>
    </row>
    <row r="10" spans="1:21" s="10" customFormat="1" ht="52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53</v>
      </c>
      <c r="C11" s="31"/>
      <c r="D11" s="24" t="s">
        <v>95</v>
      </c>
      <c r="E11" s="29" t="s">
        <v>54</v>
      </c>
      <c r="F11" s="38"/>
      <c r="G11" s="24" t="s">
        <v>75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76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76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2" t="s">
        <v>145</v>
      </c>
      <c r="H14" s="42" t="s">
        <v>62</v>
      </c>
      <c r="I14" s="8" t="s">
        <v>56</v>
      </c>
      <c r="J14" s="8" t="s">
        <v>76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117</v>
      </c>
      <c r="E15" s="26" t="s">
        <v>64</v>
      </c>
      <c r="F15" s="26"/>
      <c r="G15" s="42" t="s">
        <v>146</v>
      </c>
      <c r="H15" s="42" t="s">
        <v>118</v>
      </c>
      <c r="I15" s="8" t="s">
        <v>56</v>
      </c>
      <c r="J15" s="8" t="s">
        <v>76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119</v>
      </c>
      <c r="E16" s="26" t="s">
        <v>64</v>
      </c>
      <c r="F16" s="26"/>
      <c r="G16" s="42" t="s">
        <v>147</v>
      </c>
      <c r="H16" s="42" t="s">
        <v>120</v>
      </c>
      <c r="I16" s="8" t="s">
        <v>56</v>
      </c>
      <c r="J16" s="8" t="s">
        <v>76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121</v>
      </c>
      <c r="E17" s="26" t="s">
        <v>64</v>
      </c>
      <c r="F17" s="26"/>
      <c r="G17" s="42" t="s">
        <v>148</v>
      </c>
      <c r="H17" s="42" t="s">
        <v>122</v>
      </c>
      <c r="I17" s="8" t="s">
        <v>56</v>
      </c>
      <c r="J17" s="8" t="s">
        <v>76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123</v>
      </c>
      <c r="E18" s="26" t="s">
        <v>64</v>
      </c>
      <c r="F18" s="26"/>
      <c r="G18" s="42" t="s">
        <v>149</v>
      </c>
      <c r="H18" s="42" t="s">
        <v>124</v>
      </c>
      <c r="I18" s="8" t="s">
        <v>56</v>
      </c>
      <c r="J18" s="8" t="s">
        <v>76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63</v>
      </c>
      <c r="E19" s="26" t="s">
        <v>64</v>
      </c>
      <c r="F19" s="26"/>
      <c r="G19" s="42" t="s">
        <v>150</v>
      </c>
      <c r="H19" s="42" t="s">
        <v>65</v>
      </c>
      <c r="I19" s="8" t="s">
        <v>56</v>
      </c>
      <c r="J19" s="8" t="s">
        <v>76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66</v>
      </c>
      <c r="E20" s="26" t="s">
        <v>64</v>
      </c>
      <c r="F20" s="26"/>
      <c r="G20" s="42" t="s">
        <v>151</v>
      </c>
      <c r="H20" s="42" t="s">
        <v>79</v>
      </c>
      <c r="I20" s="8" t="s">
        <v>76</v>
      </c>
      <c r="J20" s="8" t="s">
        <v>56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22"/>
      <c r="B21" s="23"/>
      <c r="C21" s="23"/>
      <c r="D21" s="16" t="s">
        <v>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5"/>
    </row>
    <row r="22" spans="1:21" s="10" customFormat="1" x14ac:dyDescent="0.2">
      <c r="A22" s="55"/>
      <c r="U22" s="46"/>
    </row>
    <row r="23" spans="1:21" s="10" customFormat="1" x14ac:dyDescent="0.2">
      <c r="A23" s="55"/>
      <c r="U23" s="46"/>
    </row>
    <row r="24" spans="1:21" s="10" customFormat="1" x14ac:dyDescent="0.2">
      <c r="A24" s="55"/>
      <c r="U24" s="46"/>
    </row>
    <row r="25" spans="1:21" s="10" customFormat="1" x14ac:dyDescent="0.2">
      <c r="A25" s="6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1"/>
  <sheetViews>
    <sheetView zoomScale="85" zoomScaleNormal="85" zoomScaleSheetLayoutView="85" workbookViewId="0">
      <selection activeCell="H29" sqref="H29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99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69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97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98</v>
      </c>
      <c r="F6" s="12"/>
      <c r="G6" s="12"/>
      <c r="H6" s="12"/>
      <c r="I6" s="12"/>
      <c r="J6" s="12"/>
      <c r="K6" s="12"/>
      <c r="L6" s="63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70</v>
      </c>
      <c r="B7" s="23"/>
      <c r="C7" s="23"/>
      <c r="D7" s="6"/>
      <c r="E7" s="6"/>
      <c r="F7" s="6"/>
      <c r="G7" s="6"/>
      <c r="H7" s="6"/>
      <c r="I7" s="6" t="s">
        <v>71</v>
      </c>
      <c r="J7" s="6"/>
      <c r="K7" s="48" t="s">
        <v>72</v>
      </c>
      <c r="L7" s="25" t="s">
        <v>73</v>
      </c>
      <c r="M7" s="26"/>
      <c r="N7" s="25" t="s">
        <v>73</v>
      </c>
      <c r="O7" s="26"/>
      <c r="P7" s="25" t="s">
        <v>73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/>
      <c r="L8" s="25" t="s">
        <v>74</v>
      </c>
      <c r="M8" s="26"/>
      <c r="N8" s="25" t="s">
        <v>74</v>
      </c>
      <c r="O8" s="26"/>
      <c r="P8" s="25" t="s">
        <v>74</v>
      </c>
      <c r="Q8" s="26"/>
      <c r="R8" s="3"/>
      <c r="S8" s="21"/>
      <c r="T8" s="69" t="s">
        <v>141</v>
      </c>
      <c r="U8" s="70"/>
    </row>
    <row r="9" spans="1:21" s="10" customFormat="1" ht="60" customHeight="1" x14ac:dyDescent="0.2">
      <c r="A9" s="8" t="s">
        <v>27</v>
      </c>
      <c r="B9" s="30"/>
      <c r="C9" s="31"/>
      <c r="D9" s="25" t="s">
        <v>152</v>
      </c>
      <c r="E9" s="67" t="s">
        <v>153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8"/>
      <c r="M9" s="25"/>
      <c r="N9" s="25"/>
      <c r="O9" s="25"/>
      <c r="P9" s="25"/>
      <c r="Q9" s="25"/>
      <c r="R9" s="69" t="s">
        <v>140</v>
      </c>
      <c r="S9" s="70"/>
      <c r="T9" s="69" t="s">
        <v>142</v>
      </c>
      <c r="U9" s="70"/>
    </row>
    <row r="10" spans="1:21" s="10" customFormat="1" ht="52" x14ac:dyDescent="0.2">
      <c r="A10" s="30" t="s">
        <v>52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53</v>
      </c>
      <c r="C11" s="31"/>
      <c r="D11" s="24" t="s">
        <v>102</v>
      </c>
      <c r="E11" s="29" t="s">
        <v>54</v>
      </c>
      <c r="F11" s="38"/>
      <c r="G11" s="24" t="s">
        <v>75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76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76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77</v>
      </c>
      <c r="F14" s="26"/>
      <c r="G14" s="42" t="s">
        <v>145</v>
      </c>
      <c r="H14" s="42" t="s">
        <v>62</v>
      </c>
      <c r="I14" s="8" t="s">
        <v>56</v>
      </c>
      <c r="J14" s="8" t="s">
        <v>76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78</v>
      </c>
      <c r="E15" s="26" t="s">
        <v>64</v>
      </c>
      <c r="F15" s="26"/>
      <c r="G15" s="42" t="s">
        <v>150</v>
      </c>
      <c r="H15" s="42" t="s">
        <v>65</v>
      </c>
      <c r="I15" s="8" t="s">
        <v>56</v>
      </c>
      <c r="J15" s="8" t="s">
        <v>76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64</v>
      </c>
      <c r="F16" s="26"/>
      <c r="G16" s="42" t="s">
        <v>151</v>
      </c>
      <c r="H16" s="42" t="s">
        <v>79</v>
      </c>
      <c r="I16" s="8" t="s">
        <v>76</v>
      </c>
      <c r="J16" s="8" t="s">
        <v>56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  <c r="R17" s="9"/>
      <c r="S17" s="9"/>
      <c r="T17" s="9"/>
      <c r="U17" s="45"/>
    </row>
    <row r="18" spans="1:21" s="10" customFormat="1" x14ac:dyDescent="0.2">
      <c r="A18" s="55"/>
      <c r="U18" s="46"/>
    </row>
    <row r="19" spans="1:21" s="10" customFormat="1" x14ac:dyDescent="0.2">
      <c r="A19" s="55"/>
      <c r="U19" s="46"/>
    </row>
    <row r="20" spans="1:21" s="10" customFormat="1" x14ac:dyDescent="0.2">
      <c r="A20" s="55"/>
      <c r="U20" s="46"/>
    </row>
    <row r="21" spans="1:21" s="10" customFormat="1" x14ac:dyDescent="0.2">
      <c r="A21" s="6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92C5-082B-4AD0-89DB-6F616D8879A3}">
  <sheetPr>
    <pageSetUpPr fitToPage="1"/>
  </sheetPr>
  <dimension ref="A1:U21"/>
  <sheetViews>
    <sheetView zoomScale="85" zoomScaleNormal="85" zoomScaleSheetLayoutView="85" workbookViewId="0">
      <selection activeCell="I24" sqref="I24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103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18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100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101</v>
      </c>
      <c r="F6" s="12"/>
      <c r="G6" s="12"/>
      <c r="H6" s="12"/>
      <c r="I6" s="12"/>
      <c r="J6" s="12"/>
      <c r="K6" s="12"/>
      <c r="L6" s="63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48" t="s">
        <v>72</v>
      </c>
      <c r="L7" s="25" t="s">
        <v>30</v>
      </c>
      <c r="M7" s="26"/>
      <c r="N7" s="25" t="s">
        <v>30</v>
      </c>
      <c r="O7" s="26"/>
      <c r="P7" s="25" t="s">
        <v>30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/>
      <c r="L8" s="25" t="s">
        <v>51</v>
      </c>
      <c r="M8" s="26"/>
      <c r="N8" s="25" t="s">
        <v>51</v>
      </c>
      <c r="O8" s="26"/>
      <c r="P8" s="25" t="s">
        <v>51</v>
      </c>
      <c r="Q8" s="26"/>
      <c r="R8" s="3"/>
      <c r="S8" s="21"/>
      <c r="T8" s="69" t="s">
        <v>141</v>
      </c>
      <c r="U8" s="70"/>
    </row>
    <row r="9" spans="1:21" s="10" customFormat="1" ht="60" customHeight="1" x14ac:dyDescent="0.2">
      <c r="A9" s="8" t="s">
        <v>27</v>
      </c>
      <c r="B9" s="30"/>
      <c r="C9" s="31"/>
      <c r="D9" s="25" t="s">
        <v>152</v>
      </c>
      <c r="E9" s="67" t="s">
        <v>153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8"/>
      <c r="M9" s="25"/>
      <c r="N9" s="25"/>
      <c r="O9" s="25"/>
      <c r="P9" s="25"/>
      <c r="Q9" s="25"/>
      <c r="R9" s="69" t="s">
        <v>140</v>
      </c>
      <c r="S9" s="70"/>
      <c r="T9" s="69" t="s">
        <v>142</v>
      </c>
      <c r="U9" s="70"/>
    </row>
    <row r="10" spans="1:21" s="10" customFormat="1" ht="52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53</v>
      </c>
      <c r="C11" s="31"/>
      <c r="D11" s="24" t="s">
        <v>106</v>
      </c>
      <c r="E11" s="29" t="s">
        <v>54</v>
      </c>
      <c r="F11" s="38"/>
      <c r="G11" s="24" t="s">
        <v>75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76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76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2" t="s">
        <v>145</v>
      </c>
      <c r="H14" s="42" t="s">
        <v>62</v>
      </c>
      <c r="I14" s="8" t="s">
        <v>56</v>
      </c>
      <c r="J14" s="8" t="s">
        <v>76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42" t="s">
        <v>150</v>
      </c>
      <c r="H15" s="42" t="s">
        <v>65</v>
      </c>
      <c r="I15" s="8" t="s">
        <v>56</v>
      </c>
      <c r="J15" s="8" t="s">
        <v>76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64</v>
      </c>
      <c r="F16" s="26"/>
      <c r="G16" s="42" t="s">
        <v>151</v>
      </c>
      <c r="H16" s="42" t="s">
        <v>79</v>
      </c>
      <c r="I16" s="8" t="s">
        <v>76</v>
      </c>
      <c r="J16" s="8" t="s">
        <v>56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  <c r="R17" s="9"/>
      <c r="S17" s="9"/>
      <c r="T17" s="9"/>
      <c r="U17" s="45"/>
    </row>
    <row r="18" spans="1:21" s="10" customFormat="1" x14ac:dyDescent="0.2">
      <c r="A18" s="55"/>
      <c r="U18" s="46"/>
    </row>
    <row r="19" spans="1:21" s="10" customFormat="1" x14ac:dyDescent="0.2">
      <c r="A19" s="55"/>
      <c r="U19" s="46"/>
    </row>
    <row r="20" spans="1:21" s="10" customFormat="1" x14ac:dyDescent="0.2">
      <c r="A20" s="55"/>
      <c r="U20" s="46"/>
    </row>
    <row r="21" spans="1:21" s="10" customFormat="1" x14ac:dyDescent="0.2">
      <c r="A21" s="6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AE0D-E8FD-4114-AE18-3DB87744399A}">
  <sheetPr>
    <pageSetUpPr fitToPage="1"/>
  </sheetPr>
  <dimension ref="A1:U21"/>
  <sheetViews>
    <sheetView zoomScale="85" zoomScaleNormal="85" zoomScaleSheetLayoutView="85" workbookViewId="0">
      <selection activeCell="H30" sqref="H30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107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18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104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105</v>
      </c>
      <c r="F6" s="12"/>
      <c r="G6" s="12"/>
      <c r="H6" s="12"/>
      <c r="I6" s="12"/>
      <c r="J6" s="12"/>
      <c r="K6" s="12"/>
      <c r="L6" s="63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48" t="s">
        <v>72</v>
      </c>
      <c r="L7" s="25" t="s">
        <v>30</v>
      </c>
      <c r="M7" s="26"/>
      <c r="N7" s="25" t="s">
        <v>30</v>
      </c>
      <c r="O7" s="26"/>
      <c r="P7" s="25" t="s">
        <v>30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/>
      <c r="L8" s="25" t="s">
        <v>51</v>
      </c>
      <c r="M8" s="26"/>
      <c r="N8" s="25" t="s">
        <v>51</v>
      </c>
      <c r="O8" s="26"/>
      <c r="P8" s="25" t="s">
        <v>51</v>
      </c>
      <c r="Q8" s="26"/>
      <c r="R8" s="3"/>
      <c r="S8" s="21"/>
      <c r="T8" s="69" t="s">
        <v>141</v>
      </c>
      <c r="U8" s="70"/>
    </row>
    <row r="9" spans="1:21" s="10" customFormat="1" ht="60" customHeight="1" x14ac:dyDescent="0.2">
      <c r="A9" s="8" t="s">
        <v>27</v>
      </c>
      <c r="B9" s="30"/>
      <c r="C9" s="31"/>
      <c r="D9" s="25" t="s">
        <v>152</v>
      </c>
      <c r="E9" s="67" t="s">
        <v>153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8"/>
      <c r="M9" s="25"/>
      <c r="N9" s="25"/>
      <c r="O9" s="25"/>
      <c r="P9" s="25"/>
      <c r="Q9" s="25"/>
      <c r="R9" s="69" t="s">
        <v>140</v>
      </c>
      <c r="S9" s="70"/>
      <c r="T9" s="69" t="s">
        <v>142</v>
      </c>
      <c r="U9" s="70"/>
    </row>
    <row r="10" spans="1:21" s="10" customFormat="1" ht="52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53</v>
      </c>
      <c r="C11" s="31"/>
      <c r="D11" s="24" t="s">
        <v>110</v>
      </c>
      <c r="E11" s="29" t="s">
        <v>54</v>
      </c>
      <c r="F11" s="38"/>
      <c r="G11" s="24" t="s">
        <v>75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76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76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2" t="s">
        <v>145</v>
      </c>
      <c r="H14" s="42" t="s">
        <v>62</v>
      </c>
      <c r="I14" s="8" t="s">
        <v>56</v>
      </c>
      <c r="J14" s="8" t="s">
        <v>76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42" t="s">
        <v>150</v>
      </c>
      <c r="H15" s="42" t="s">
        <v>65</v>
      </c>
      <c r="I15" s="8" t="s">
        <v>56</v>
      </c>
      <c r="J15" s="8" t="s">
        <v>76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64</v>
      </c>
      <c r="F16" s="26"/>
      <c r="G16" s="42" t="s">
        <v>151</v>
      </c>
      <c r="H16" s="42" t="s">
        <v>79</v>
      </c>
      <c r="I16" s="8" t="s">
        <v>76</v>
      </c>
      <c r="J16" s="8" t="s">
        <v>56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  <c r="R17" s="9"/>
      <c r="S17" s="9"/>
      <c r="T17" s="9"/>
      <c r="U17" s="45"/>
    </row>
    <row r="18" spans="1:21" s="10" customFormat="1" x14ac:dyDescent="0.2">
      <c r="A18" s="55"/>
      <c r="U18" s="46"/>
    </row>
    <row r="19" spans="1:21" s="10" customFormat="1" x14ac:dyDescent="0.2">
      <c r="A19" s="55"/>
      <c r="U19" s="46"/>
    </row>
    <row r="20" spans="1:21" s="10" customFormat="1" x14ac:dyDescent="0.2">
      <c r="A20" s="55"/>
      <c r="U20" s="46"/>
    </row>
    <row r="21" spans="1:21" s="10" customFormat="1" x14ac:dyDescent="0.2">
      <c r="A21" s="6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34AB-73B6-45D4-A3A3-51AE59EBD059}">
  <sheetPr>
    <pageSetUpPr fitToPage="1"/>
  </sheetPr>
  <dimension ref="A1:U21"/>
  <sheetViews>
    <sheetView zoomScale="85" zoomScaleNormal="85" zoomScaleSheetLayoutView="85" workbookViewId="0">
      <selection activeCell="H26" sqref="H26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MGBBL6010</v>
      </c>
      <c r="I2" s="7" t="s">
        <v>15</v>
      </c>
      <c r="J2" s="8" t="s">
        <v>111</v>
      </c>
      <c r="K2" s="7" t="s">
        <v>4</v>
      </c>
      <c r="L2" s="54" t="str">
        <f>IF(LogicCommon!G2="","",LogicCommon!G2)</f>
        <v>MC</v>
      </c>
      <c r="M2" s="5" t="s">
        <v>16</v>
      </c>
      <c r="N2" s="24" t="s">
        <v>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MGBB</v>
      </c>
      <c r="G3" s="7" t="s">
        <v>7</v>
      </c>
      <c r="H3" s="54" t="str">
        <f>IF(LogicCommon!E3="","",LogicCommon!E3)</f>
        <v>MGBBL_PcmExtIfService</v>
      </c>
      <c r="I3" s="7" t="s">
        <v>17</v>
      </c>
      <c r="J3" s="8" t="s">
        <v>18</v>
      </c>
      <c r="K3" s="7" t="s">
        <v>8</v>
      </c>
      <c r="L3" s="54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21</v>
      </c>
      <c r="F4" s="58" t="s">
        <v>22</v>
      </c>
      <c r="G4" s="7" t="s">
        <v>9</v>
      </c>
      <c r="H4" s="54" t="str">
        <f>IF(LogicCommon!E4="","",LogicCommon!E4)</f>
        <v>原価外部ＩＦデータ取込サービス</v>
      </c>
      <c r="I4" s="7" t="s">
        <v>23</v>
      </c>
      <c r="J4" s="8" t="s">
        <v>108</v>
      </c>
      <c r="K4" s="7" t="s">
        <v>10</v>
      </c>
      <c r="L4" s="54" t="str">
        <f>IF(LogicCommon!G4="","",LogicCommon!G4)</f>
        <v>MG.MGUDL5010</v>
      </c>
      <c r="M4" s="59" t="s">
        <v>24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</v>
      </c>
      <c r="B5" s="53"/>
      <c r="C5" s="53"/>
      <c r="D5" s="21"/>
      <c r="E5" s="7" t="s">
        <v>25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109</v>
      </c>
      <c r="F6" s="12"/>
      <c r="G6" s="12"/>
      <c r="H6" s="12"/>
      <c r="I6" s="12"/>
      <c r="J6" s="12"/>
      <c r="K6" s="12"/>
      <c r="L6" s="63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48" t="s">
        <v>72</v>
      </c>
      <c r="L7" s="25" t="s">
        <v>30</v>
      </c>
      <c r="M7" s="26"/>
      <c r="N7" s="25" t="s">
        <v>30</v>
      </c>
      <c r="O7" s="26"/>
      <c r="P7" s="25" t="s">
        <v>30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5"/>
      <c r="C8" s="66"/>
      <c r="D8" s="25" t="s">
        <v>130</v>
      </c>
      <c r="E8" s="25" t="s">
        <v>131</v>
      </c>
      <c r="F8" s="63"/>
      <c r="G8" s="25" t="s">
        <v>32</v>
      </c>
      <c r="H8" s="25" t="s">
        <v>132</v>
      </c>
      <c r="I8" s="63"/>
      <c r="J8" s="3"/>
      <c r="K8" s="8"/>
      <c r="L8" s="25" t="s">
        <v>51</v>
      </c>
      <c r="M8" s="26"/>
      <c r="N8" s="25" t="s">
        <v>51</v>
      </c>
      <c r="O8" s="26"/>
      <c r="P8" s="25" t="s">
        <v>51</v>
      </c>
      <c r="Q8" s="26"/>
      <c r="R8" s="3"/>
      <c r="S8" s="21"/>
      <c r="T8" s="69" t="s">
        <v>141</v>
      </c>
      <c r="U8" s="70"/>
    </row>
    <row r="9" spans="1:21" s="10" customFormat="1" ht="60" customHeight="1" x14ac:dyDescent="0.2">
      <c r="A9" s="8" t="s">
        <v>27</v>
      </c>
      <c r="B9" s="30"/>
      <c r="C9" s="31"/>
      <c r="D9" s="25" t="s">
        <v>152</v>
      </c>
      <c r="E9" s="67" t="s">
        <v>153</v>
      </c>
      <c r="F9" s="25" t="s">
        <v>135</v>
      </c>
      <c r="G9" s="25" t="s">
        <v>136</v>
      </c>
      <c r="H9" s="25" t="s">
        <v>137</v>
      </c>
      <c r="I9" s="68" t="s">
        <v>138</v>
      </c>
      <c r="J9" s="25" t="s">
        <v>139</v>
      </c>
      <c r="K9" s="64"/>
      <c r="L9" s="68"/>
      <c r="M9" s="25"/>
      <c r="N9" s="25"/>
      <c r="O9" s="25"/>
      <c r="P9" s="25"/>
      <c r="Q9" s="25"/>
      <c r="R9" s="69" t="s">
        <v>140</v>
      </c>
      <c r="S9" s="70"/>
      <c r="T9" s="69" t="s">
        <v>142</v>
      </c>
      <c r="U9" s="70"/>
    </row>
    <row r="10" spans="1:21" s="10" customFormat="1" ht="52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53</v>
      </c>
      <c r="C11" s="31"/>
      <c r="D11" s="24" t="s">
        <v>112</v>
      </c>
      <c r="E11" s="29" t="s">
        <v>54</v>
      </c>
      <c r="F11" s="38"/>
      <c r="G11" s="24" t="s">
        <v>75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113</v>
      </c>
      <c r="E12" s="26" t="s">
        <v>55</v>
      </c>
      <c r="F12" s="26"/>
      <c r="G12" s="42" t="s">
        <v>143</v>
      </c>
      <c r="H12" s="42" t="s">
        <v>114</v>
      </c>
      <c r="I12" s="8" t="s">
        <v>56</v>
      </c>
      <c r="J12" s="8" t="s">
        <v>76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42" t="s">
        <v>144</v>
      </c>
      <c r="H13" s="42" t="s">
        <v>59</v>
      </c>
      <c r="I13" s="8" t="s">
        <v>56</v>
      </c>
      <c r="J13" s="8" t="s">
        <v>76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42" t="s">
        <v>145</v>
      </c>
      <c r="H14" s="42" t="s">
        <v>62</v>
      </c>
      <c r="I14" s="8" t="s">
        <v>56</v>
      </c>
      <c r="J14" s="8" t="s">
        <v>76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42" t="s">
        <v>150</v>
      </c>
      <c r="H15" s="42" t="s">
        <v>65</v>
      </c>
      <c r="I15" s="8" t="s">
        <v>56</v>
      </c>
      <c r="J15" s="8" t="s">
        <v>76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64</v>
      </c>
      <c r="F16" s="26"/>
      <c r="G16" s="42" t="s">
        <v>151</v>
      </c>
      <c r="H16" s="42" t="s">
        <v>79</v>
      </c>
      <c r="I16" s="8" t="s">
        <v>76</v>
      </c>
      <c r="J16" s="8" t="s">
        <v>56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  <c r="R17" s="9"/>
      <c r="S17" s="9"/>
      <c r="T17" s="9"/>
      <c r="U17" s="45"/>
    </row>
    <row r="18" spans="1:21" s="10" customFormat="1" x14ac:dyDescent="0.2">
      <c r="A18" s="55"/>
      <c r="U18" s="46"/>
    </row>
    <row r="19" spans="1:21" s="10" customFormat="1" x14ac:dyDescent="0.2">
      <c r="A19" s="55"/>
      <c r="U19" s="46"/>
    </row>
    <row r="20" spans="1:21" s="10" customFormat="1" x14ac:dyDescent="0.2">
      <c r="A20" s="55"/>
      <c r="U20" s="46"/>
    </row>
    <row r="21" spans="1:21" s="10" customFormat="1" x14ac:dyDescent="0.2">
      <c r="A21" s="6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1" t="s">
        <v>80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4" t="s">
        <v>81</v>
      </c>
      <c r="B3" s="75"/>
      <c r="C3" s="75"/>
      <c r="D3" s="75"/>
      <c r="E3" s="75"/>
      <c r="F3" s="75"/>
      <c r="G3" s="76"/>
      <c r="H3" s="77" t="s">
        <v>82</v>
      </c>
      <c r="I3" s="75"/>
      <c r="J3" s="75"/>
      <c r="K3" s="75"/>
      <c r="L3" s="75"/>
      <c r="M3" s="75"/>
      <c r="N3" s="76"/>
      <c r="O3" s="77" t="s">
        <v>83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84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85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154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155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PcmExtIf_Chk01</vt:lpstr>
      <vt:lpstr>PcmExtIf_Upd01</vt:lpstr>
      <vt:lpstr>PcmExtIf_Upd02</vt:lpstr>
      <vt:lpstr>PcmExtIf_Upd03</vt:lpstr>
      <vt:lpstr>PcmExtIf_Upd04</vt:lpstr>
      <vt:lpstr>PcmExtIf_Upd05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2026-03-27T05:50:32Z</dcterms:modified>
  <cp:category/>
</cp:coreProperties>
</file>