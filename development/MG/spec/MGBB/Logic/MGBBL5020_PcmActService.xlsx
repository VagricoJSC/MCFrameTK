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86EC0085-AE73-48E3-BE14-99A809295872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PcmAct_Chk01" sheetId="2" r:id="rId2"/>
    <sheet name="PcmAct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<sst xmlns="http://schemas.openxmlformats.org/spreadsheetml/2006/main" count="309" uniqueCount="138">
  <si>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</si>
  <si>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</si>
  <si>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</si>
  <si>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</si>
  <si>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MGBBL5020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</si>
  <si>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</si>
  <si>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</si>
  <si>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</si>
  <si>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</si>
  <si>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</si>
  <si>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MGBBL_PcmActService</t>
    <phoneticPr fontId="2"/>
  </si>
  <si>
    <t>SuperClassPj.ID :</t>
    <phoneticPr fontId="3"/>
  </si>
  <si>
    <t>LogicName :</t>
    <phoneticPr fontId="3"/>
  </si>
  <si>
    <t>原価実績データ作成サービス</t>
    <rPh sb="0" eb="2">
      <t>ゲンカ</t>
    </rPh>
    <rPh sb="2" eb="4">
      <t>ジッセキ</t>
    </rPh>
    <rPh sb="7" eb="9">
      <t>サクセイ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</si>
  <si>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</si>
  <si>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</si>
  <si>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</si>
  <si>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</si>
  <si>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</si>
  <si>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</si>
  <si>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PcmAct_Chk01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</si>
  <si>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</si>
  <si>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</si>
  <si>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</si>
  <si>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</si>
  <si>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</si>
  <si>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</si>
  <si>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</si>
  <si>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</si>
  <si>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作成前チェック</t>
    <rPh sb="0" eb="2">
      <t>サクセイ</t>
    </rPh>
    <rPh sb="2" eb="3">
      <t>マエ</t>
    </rPh>
    <phoneticPr fontId="2"/>
  </si>
  <si>
    <t>ImplOpe.ID:</t>
    <phoneticPr fontId="3"/>
  </si>
  <si>
    <t>ACType :</t>
    <phoneticPr fontId="3"/>
  </si>
  <si>
    <t>原価実績データ作成前チェック</t>
    <rPh sb="0" eb="2">
      <t>ゲンカ</t>
    </rPh>
    <rPh sb="2" eb="4">
      <t>ジッセキ</t>
    </rPh>
    <rPh sb="7" eb="9">
      <t>サクセイ</t>
    </rPh>
    <rPh sb="9" eb="10">
      <t>マエ</t>
    </rPh>
    <phoneticPr fontId="2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</si>
  <si>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</si>
  <si>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</si>
  <si>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</si>
  <si>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</si>
  <si>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</si>
  <si>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</si>
  <si>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</si>
  <si>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</si>
  <si>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</si>
  <si>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</si>
  <si>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</si>
  <si>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</si>
  <si>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</si>
  <si>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</si>
  <si>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</si>
  <si>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</si>
  <si>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</si>
  <si>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</si>
  <si>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</si>
  <si>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</si>
  <si>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</si>
  <si>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</si>
  <si>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</si>
  <si>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</si>
  <si>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</si>
  <si>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TargetName</t>
    <phoneticPr fontId="3"/>
  </si>
  <si>
    <t>*</t>
    <phoneticPr fontId="2"/>
  </si>
  <si>
    <t>PcmAct_Chk01_Cnd</t>
    <phoneticPr fontId="2"/>
  </si>
  <si>
    <t>R</t>
  </si>
  <si>
    <t>calc_ctg_cd</t>
  </si>
  <si>
    <t>#MA.CALC_CTG_CD</t>
  </si>
  <si>
    <t>計算カテゴリＣＤ</t>
    <phoneticPr fontId="2"/>
  </si>
  <si>
    <t>E</t>
    <phoneticPr fontId="3"/>
  </si>
  <si>
    <t>wg_cd</t>
    <phoneticPr fontId="2"/>
  </si>
  <si>
    <t>#MA.WG_CD</t>
    <phoneticPr fontId="2"/>
  </si>
  <si>
    <t>ワーキンググループＣＤ</t>
    <phoneticPr fontId="2"/>
  </si>
  <si>
    <t>ym</t>
  </si>
  <si>
    <t>#MA.YM</t>
  </si>
  <si>
    <t>年月</t>
    <phoneticPr fontId="2"/>
  </si>
  <si>
    <t>mfg_flg</t>
    <phoneticPr fontId="2"/>
  </si>
  <si>
    <t>#MA.FLG</t>
  </si>
  <si>
    <t>製造実績関連</t>
    <phoneticPr fontId="2"/>
  </si>
  <si>
    <t>E</t>
    <phoneticPr fontId="2"/>
  </si>
  <si>
    <t>io_flg</t>
    <phoneticPr fontId="2"/>
  </si>
  <si>
    <t>入出庫関連</t>
    <phoneticPr fontId="2"/>
  </si>
  <si>
    <t>stk_flg</t>
    <phoneticPr fontId="2"/>
  </si>
  <si>
    <t>在庫情報</t>
    <phoneticPr fontId="2"/>
  </si>
  <si>
    <t>del_flg</t>
    <phoneticPr fontId="2"/>
  </si>
  <si>
    <t>削除</t>
    <phoneticPr fontId="2"/>
  </si>
  <si>
    <t>err_flg</t>
  </si>
  <si>
    <t>エラー</t>
    <phoneticPr fontId="3"/>
  </si>
  <si>
    <t>-</t>
    <phoneticPr fontId="3"/>
  </si>
  <si>
    <t>PcmAct_Upd01</t>
    <phoneticPr fontId="2"/>
  </si>
  <si>
    <t>@</t>
    <phoneticPr fontId="2"/>
  </si>
  <si>
    <t>原価実績データ作成</t>
    <rPh sb="0" eb="2">
      <t>ゲンカ</t>
    </rPh>
    <rPh sb="2" eb="4">
      <t>ジッセキ</t>
    </rPh>
    <rPh sb="7" eb="9">
      <t>サクセイ</t>
    </rPh>
    <phoneticPr fontId="2"/>
  </si>
  <si>
    <t>原価実績データを作成する。</t>
    <rPh sb="0" eb="2">
      <t>ゲンカ</t>
    </rPh>
    <rPh sb="2" eb="4">
      <t>ジッセキ</t>
    </rPh>
    <rPh sb="8" eb="10">
      <t>サクセイ</t>
    </rPh>
    <phoneticPr fontId="2"/>
  </si>
  <si>
    <t>K</t>
    <phoneticPr fontId="2"/>
  </si>
  <si>
    <t>o</t>
    <phoneticPr fontId="3"/>
  </si>
  <si>
    <t>TargetName</t>
    <phoneticPr fontId="3"/>
  </si>
  <si>
    <t>#</t>
    <phoneticPr fontId="3"/>
  </si>
  <si>
    <t>*</t>
    <phoneticPr fontId="2"/>
  </si>
  <si>
    <t>PcmAct_Upd01_Cnd</t>
    <phoneticPr fontId="2"/>
  </si>
  <si>
    <t>$share$</t>
  </si>
  <si>
    <t>MG.MGBBL5020.PcmAct_Chk01.PcmAct_Chk01_Cnd</t>
    <phoneticPr fontId="2"/>
  </si>
  <si>
    <t>-</t>
    <phoneticPr fontId="2"/>
  </si>
  <si>
    <t>wg_cd</t>
    <phoneticPr fontId="2"/>
  </si>
  <si>
    <t>#MA.WG_CD</t>
    <phoneticPr fontId="2"/>
  </si>
  <si>
    <t>mfg_flg</t>
    <phoneticPr fontId="2"/>
  </si>
  <si>
    <t>io_flg</t>
    <phoneticPr fontId="2"/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</si>
  <si>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</si>
  <si>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</si>
  <si>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</si>
  <si>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</si>
  <si>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</si>
  <si>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</si>
  <si>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</si>
  <si>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</si>
  <si>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</si>
  <si>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</si>
  <si>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</si>
  <si>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</si>
  <si>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</si>
  <si>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</si>
  <si>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</si>
  <si>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</si>
  <si>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</si>
  <si>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</si>
  <si>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</si>
  <si>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</si>
  <si>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</si>
  <si>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</si>
  <si>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</si>
  <si>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</si>
  <si>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</si>
  <si>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</si>
  <si>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Year month</t>
  </si>
  <si>
    <t>Related to mfg. result</t>
  </si>
  <si>
    <t>GR/GI result</t>
  </si>
  <si>
    <t>Inventory info.</t>
  </si>
  <si>
    <t>Delete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</si>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</sst>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4" t="s">
        <v>112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MGBBL5020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MGBBL_PcmActService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原価実績データ作成サービス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5"/>
      <c r="C8" s="66"/>
      <c r="D8" s="25" t="s">
        <v>113</v>
      </c>
      <c r="E8" s="25" t="s">
        <v>114</v>
      </c>
      <c r="F8" s="63"/>
      <c r="G8" s="25" t="s">
        <v>38</v>
      </c>
      <c r="H8" s="25" t="s">
        <v>115</v>
      </c>
      <c r="I8" s="63"/>
      <c r="J8" s="3"/>
      <c r="K8" s="8" t="s">
        <v>39</v>
      </c>
      <c r="L8" s="8" t="s">
        <v>40</v>
      </c>
      <c r="M8" s="8" t="s">
        <v>41</v>
      </c>
      <c r="N8" s="8" t="s">
        <v>42</v>
      </c>
      <c r="O8" s="8" t="s">
        <v>43</v>
      </c>
      <c r="P8" s="8" t="s">
        <v>44</v>
      </c>
      <c r="Q8" s="8" t="s">
        <v>45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50</v>
      </c>
      <c r="W8" s="8" t="s">
        <v>51</v>
      </c>
      <c r="X8" s="8" t="s">
        <v>52</v>
      </c>
      <c r="Y8" s="8" t="s">
        <v>53</v>
      </c>
      <c r="Z8" s="8" t="s">
        <v>54</v>
      </c>
      <c r="AA8" s="8" t="s">
        <v>55</v>
      </c>
      <c r="AB8" s="8" t="s">
        <v>56</v>
      </c>
      <c r="AC8" s="25" t="s">
        <v>57</v>
      </c>
      <c r="AD8" s="26"/>
      <c r="AE8" s="25" t="s">
        <v>57</v>
      </c>
      <c r="AF8" s="26"/>
      <c r="AG8" s="25" t="s">
        <v>58</v>
      </c>
      <c r="AH8" s="26"/>
      <c r="AI8" s="3"/>
      <c r="AJ8" s="21"/>
      <c r="AK8" s="119" t="s">
        <v>124</v>
      </c>
      <c r="AL8" s="120"/>
    </row>
    <row r="9" spans="1:38" s="10" customFormat="1" ht="60" customHeight="1" x14ac:dyDescent="0.2">
      <c r="A9" s="8" t="s">
        <v>34</v>
      </c>
      <c r="B9" s="30"/>
      <c r="C9" s="31"/>
      <c r="D9" s="25" t="s">
        <v>116</v>
      </c>
      <c r="E9" s="67" t="s">
        <v>117</v>
      </c>
      <c r="F9" s="25" t="s">
        <v>118</v>
      </c>
      <c r="G9" s="25" t="s">
        <v>119</v>
      </c>
      <c r="H9" s="25" t="s">
        <v>120</v>
      </c>
      <c r="I9" s="68" t="s">
        <v>121</v>
      </c>
      <c r="J9" s="25" t="s">
        <v>122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8"/>
      <c r="AD9" s="25"/>
      <c r="AE9" s="25"/>
      <c r="AF9" s="25"/>
      <c r="AG9" s="25"/>
      <c r="AH9" s="25"/>
      <c r="AI9" s="119" t="s">
        <v>123</v>
      </c>
      <c r="AJ9" s="120"/>
      <c r="AK9" s="119" t="s">
        <v>125</v>
      </c>
      <c r="AL9" s="120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121</v>
      </c>
      <c r="AD10" s="25" t="s">
        <v>122</v>
      </c>
      <c r="AE10" s="25" t="s">
        <v>121</v>
      </c>
      <c r="AF10" s="25" t="s">
        <v>122</v>
      </c>
      <c r="AG10" s="25" t="s">
        <v>121</v>
      </c>
      <c r="AH10" s="25" t="s">
        <v>122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59</v>
      </c>
      <c r="C11" s="31"/>
      <c r="D11" s="24" t="s">
        <v>60</v>
      </c>
      <c r="E11" s="29" t="s">
        <v>61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62</v>
      </c>
      <c r="E12" s="26" t="s">
        <v>63</v>
      </c>
      <c r="F12" s="26"/>
      <c r="G12" s="42" t="s">
        <v>126</v>
      </c>
      <c r="H12" s="42" t="s">
        <v>64</v>
      </c>
      <c r="I12" s="8" t="s">
        <v>65</v>
      </c>
      <c r="J12" s="8" t="s">
        <v>65</v>
      </c>
      <c r="K12" s="8"/>
      <c r="L12" s="8" t="s">
        <v>65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66</v>
      </c>
      <c r="E13" s="26" t="s">
        <v>67</v>
      </c>
      <c r="F13" s="26"/>
      <c r="G13" s="42" t="s">
        <v>127</v>
      </c>
      <c r="H13" s="42" t="s">
        <v>68</v>
      </c>
      <c r="I13" s="8" t="s">
        <v>65</v>
      </c>
      <c r="J13" s="8" t="s">
        <v>65</v>
      </c>
      <c r="K13" s="8"/>
      <c r="L13" s="8" t="s">
        <v>65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69</v>
      </c>
      <c r="E14" s="26" t="s">
        <v>70</v>
      </c>
      <c r="F14" s="26"/>
      <c r="G14" s="42" t="s">
        <v>128</v>
      </c>
      <c r="H14" s="42" t="s">
        <v>71</v>
      </c>
      <c r="I14" s="8" t="s">
        <v>65</v>
      </c>
      <c r="J14" s="8" t="s">
        <v>65</v>
      </c>
      <c r="K14" s="8"/>
      <c r="L14" s="8" t="s">
        <v>65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72</v>
      </c>
      <c r="E15" s="26" t="s">
        <v>73</v>
      </c>
      <c r="F15" s="26"/>
      <c r="G15" s="42" t="s">
        <v>129</v>
      </c>
      <c r="H15" s="42" t="s">
        <v>74</v>
      </c>
      <c r="I15" s="8" t="s">
        <v>65</v>
      </c>
      <c r="J15" s="8" t="s">
        <v>65</v>
      </c>
      <c r="K15" s="8"/>
      <c r="L15" s="8"/>
      <c r="M15" s="8"/>
      <c r="N15" s="8"/>
      <c r="O15" s="8"/>
      <c r="P15" s="8"/>
      <c r="Q15" s="8"/>
      <c r="R15" s="8"/>
      <c r="S15" s="8"/>
      <c r="T15" s="8" t="s">
        <v>75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76</v>
      </c>
      <c r="E16" s="26" t="s">
        <v>73</v>
      </c>
      <c r="F16" s="26"/>
      <c r="G16" s="42" t="s">
        <v>130</v>
      </c>
      <c r="H16" s="42" t="s">
        <v>77</v>
      </c>
      <c r="I16" s="8" t="s">
        <v>65</v>
      </c>
      <c r="J16" s="8" t="s">
        <v>65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75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78</v>
      </c>
      <c r="E17" s="26" t="s">
        <v>73</v>
      </c>
      <c r="F17" s="26"/>
      <c r="G17" s="42" t="s">
        <v>131</v>
      </c>
      <c r="H17" s="42" t="s">
        <v>79</v>
      </c>
      <c r="I17" s="8" t="s">
        <v>65</v>
      </c>
      <c r="J17" s="8" t="s">
        <v>65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75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80</v>
      </c>
      <c r="E18" s="26" t="s">
        <v>73</v>
      </c>
      <c r="F18" s="26"/>
      <c r="G18" s="42" t="s">
        <v>132</v>
      </c>
      <c r="H18" s="42" t="s">
        <v>81</v>
      </c>
      <c r="I18" s="8" t="s">
        <v>65</v>
      </c>
      <c r="J18" s="8" t="s">
        <v>65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82</v>
      </c>
      <c r="E19" s="26" t="s">
        <v>73</v>
      </c>
      <c r="F19" s="26"/>
      <c r="G19" s="42" t="s">
        <v>133</v>
      </c>
      <c r="H19" s="42" t="s">
        <v>83</v>
      </c>
      <c r="I19" s="8" t="s">
        <v>84</v>
      </c>
      <c r="J19" s="8" t="s">
        <v>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9"/>
      <c r="AI20" s="9"/>
      <c r="AJ20" s="9"/>
      <c r="AK20" s="9"/>
      <c r="AL20" s="45"/>
    </row>
    <row r="21" spans="1:38" s="10" customFormat="1" x14ac:dyDescent="0.2">
      <c r="A21" s="55"/>
      <c r="AL21" s="46"/>
    </row>
    <row r="22" spans="1:38" s="10" customFormat="1" x14ac:dyDescent="0.2">
      <c r="A22" s="55"/>
      <c r="AL22" s="46"/>
    </row>
    <row r="23" spans="1:38" s="10" customFormat="1" x14ac:dyDescent="0.2">
      <c r="A23" s="55"/>
      <c r="AL23" s="46"/>
    </row>
    <row r="24" spans="1:38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112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MGBBL5020</v>
      </c>
      <c r="I2" s="7" t="s">
        <v>19</v>
      </c>
      <c r="J2" s="8" t="s">
        <v>85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MGBB</v>
      </c>
      <c r="G3" s="7" t="s">
        <v>9</v>
      </c>
      <c r="H3" s="54" t="str">
        <f>IF(LogicCommon!E3="","",LogicCommon!E3)</f>
        <v>MGBBL_PcmActService</v>
      </c>
      <c r="I3" s="7" t="s">
        <v>22</v>
      </c>
      <c r="J3" s="8" t="s">
        <v>86</v>
      </c>
      <c r="K3" s="7" t="s">
        <v>11</v>
      </c>
      <c r="L3" s="54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原価実績データ作成サービス</v>
      </c>
      <c r="I4" s="7" t="s">
        <v>28</v>
      </c>
      <c r="J4" s="8" t="s">
        <v>87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88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48" t="s">
        <v>89</v>
      </c>
      <c r="L7" s="25" t="s">
        <v>90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113</v>
      </c>
      <c r="E8" s="25" t="s">
        <v>114</v>
      </c>
      <c r="F8" s="63"/>
      <c r="G8" s="25" t="s">
        <v>38</v>
      </c>
      <c r="H8" s="25" t="s">
        <v>115</v>
      </c>
      <c r="I8" s="63"/>
      <c r="J8" s="3"/>
      <c r="K8" s="8"/>
      <c r="L8" s="25" t="s">
        <v>91</v>
      </c>
      <c r="M8" s="26"/>
      <c r="N8" s="25" t="s">
        <v>91</v>
      </c>
      <c r="O8" s="26"/>
      <c r="P8" s="25" t="s">
        <v>91</v>
      </c>
      <c r="Q8" s="26"/>
      <c r="R8" s="3"/>
      <c r="S8" s="21"/>
      <c r="T8" s="119" t="s">
        <v>124</v>
      </c>
      <c r="U8" s="120"/>
    </row>
    <row r="9" spans="1:21" s="10" customFormat="1" ht="60" customHeight="1" x14ac:dyDescent="0.2">
      <c r="A9" s="8" t="s">
        <v>34</v>
      </c>
      <c r="B9" s="30"/>
      <c r="C9" s="31"/>
      <c r="D9" s="25" t="s">
        <v>134</v>
      </c>
      <c r="E9" s="67" t="s">
        <v>135</v>
      </c>
      <c r="F9" s="25" t="s">
        <v>118</v>
      </c>
      <c r="G9" s="25" t="s">
        <v>119</v>
      </c>
      <c r="H9" s="25" t="s">
        <v>120</v>
      </c>
      <c r="I9" s="68" t="s">
        <v>121</v>
      </c>
      <c r="J9" s="25" t="s">
        <v>122</v>
      </c>
      <c r="K9" s="64"/>
      <c r="L9" s="68"/>
      <c r="M9" s="25"/>
      <c r="N9" s="25"/>
      <c r="O9" s="25"/>
      <c r="P9" s="25"/>
      <c r="Q9" s="25"/>
      <c r="R9" s="119" t="s">
        <v>123</v>
      </c>
      <c r="S9" s="120"/>
      <c r="T9" s="119" t="s">
        <v>125</v>
      </c>
      <c r="U9" s="120"/>
    </row>
    <row r="10" spans="1:21" s="10" customFormat="1" ht="52" x14ac:dyDescent="0.2">
      <c r="A10" s="30" t="s">
        <v>92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93</v>
      </c>
      <c r="C11" s="31"/>
      <c r="D11" s="24" t="s">
        <v>94</v>
      </c>
      <c r="E11" s="29" t="s">
        <v>61</v>
      </c>
      <c r="F11" s="38"/>
      <c r="G11" s="24" t="s">
        <v>95</v>
      </c>
      <c r="H11" s="28" t="s">
        <v>96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62</v>
      </c>
      <c r="E12" s="26" t="s">
        <v>63</v>
      </c>
      <c r="F12" s="26"/>
      <c r="G12" s="42" t="s">
        <v>126</v>
      </c>
      <c r="H12" s="42" t="s">
        <v>64</v>
      </c>
      <c r="I12" s="8" t="s">
        <v>65</v>
      </c>
      <c r="J12" s="8" t="s">
        <v>97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98</v>
      </c>
      <c r="E13" s="26" t="s">
        <v>99</v>
      </c>
      <c r="F13" s="26"/>
      <c r="G13" s="42" t="s">
        <v>127</v>
      </c>
      <c r="H13" s="42" t="s">
        <v>68</v>
      </c>
      <c r="I13" s="8" t="s">
        <v>65</v>
      </c>
      <c r="J13" s="8" t="s">
        <v>97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69</v>
      </c>
      <c r="E14" s="26" t="s">
        <v>70</v>
      </c>
      <c r="F14" s="26"/>
      <c r="G14" s="42" t="s">
        <v>128</v>
      </c>
      <c r="H14" s="42" t="s">
        <v>71</v>
      </c>
      <c r="I14" s="8" t="s">
        <v>65</v>
      </c>
      <c r="J14" s="8" t="s">
        <v>97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100</v>
      </c>
      <c r="E15" s="26" t="s">
        <v>73</v>
      </c>
      <c r="F15" s="26"/>
      <c r="G15" s="42" t="s">
        <v>129</v>
      </c>
      <c r="H15" s="42" t="s">
        <v>74</v>
      </c>
      <c r="I15" s="8" t="s">
        <v>65</v>
      </c>
      <c r="J15" s="8" t="s">
        <v>97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101</v>
      </c>
      <c r="E16" s="26" t="s">
        <v>73</v>
      </c>
      <c r="F16" s="26"/>
      <c r="G16" s="42" t="s">
        <v>130</v>
      </c>
      <c r="H16" s="42" t="s">
        <v>77</v>
      </c>
      <c r="I16" s="8" t="s">
        <v>65</v>
      </c>
      <c r="J16" s="8" t="s">
        <v>97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78</v>
      </c>
      <c r="E17" s="26" t="s">
        <v>73</v>
      </c>
      <c r="F17" s="26"/>
      <c r="G17" s="42" t="s">
        <v>131</v>
      </c>
      <c r="H17" s="42" t="s">
        <v>79</v>
      </c>
      <c r="I17" s="8" t="s">
        <v>65</v>
      </c>
      <c r="J17" s="8" t="s">
        <v>97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80</v>
      </c>
      <c r="E18" s="26" t="s">
        <v>73</v>
      </c>
      <c r="F18" s="26"/>
      <c r="G18" s="42" t="s">
        <v>132</v>
      </c>
      <c r="H18" s="42" t="s">
        <v>81</v>
      </c>
      <c r="I18" s="8" t="s">
        <v>65</v>
      </c>
      <c r="J18" s="8" t="s">
        <v>97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82</v>
      </c>
      <c r="E19" s="26" t="s">
        <v>73</v>
      </c>
      <c r="F19" s="26"/>
      <c r="G19" s="42" t="s">
        <v>133</v>
      </c>
      <c r="H19" s="42" t="s">
        <v>102</v>
      </c>
      <c r="I19" s="8" t="s">
        <v>97</v>
      </c>
      <c r="J19" s="8" t="s">
        <v>65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"/>
      <c r="R20" s="9"/>
      <c r="S20" s="9"/>
      <c r="T20" s="9"/>
      <c r="U20" s="45"/>
    </row>
    <row r="21" spans="1:21" s="10" customFormat="1" x14ac:dyDescent="0.2">
      <c r="A21" s="55"/>
      <c r="U21" s="46"/>
    </row>
    <row r="22" spans="1:21" s="10" customFormat="1" x14ac:dyDescent="0.2">
      <c r="A22" s="55"/>
      <c r="U22" s="46"/>
    </row>
    <row r="23" spans="1:21" s="10" customFormat="1" x14ac:dyDescent="0.2">
      <c r="A23" s="55"/>
      <c r="U23" s="46"/>
    </row>
    <row r="24" spans="1:21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8" t="s">
        <v>103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1" t="s">
        <v>104</v>
      </c>
      <c r="B3" s="102"/>
      <c r="C3" s="102"/>
      <c r="D3" s="102"/>
      <c r="E3" s="102"/>
      <c r="F3" s="102"/>
      <c r="G3" s="103"/>
      <c r="H3" s="104" t="s">
        <v>105</v>
      </c>
      <c r="I3" s="102"/>
      <c r="J3" s="102"/>
      <c r="K3" s="102"/>
      <c r="L3" s="102"/>
      <c r="M3" s="102"/>
      <c r="N3" s="103"/>
      <c r="O3" s="104" t="s">
        <v>106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107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108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136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137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PcmAct_Chk01</vt:lpstr>
      <vt:lpstr>PcmAct_Upd01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2026-03-27T05:50:31Z</dcterms:modified>
  <cp:category/>
</cp:coreProperties>
</file>