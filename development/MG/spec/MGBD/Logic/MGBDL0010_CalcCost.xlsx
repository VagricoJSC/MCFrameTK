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B5B06F12-D34B-4124-B305-D3E6F2FEFF33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Chk01" sheetId="2" r:id="rId2"/>
    <sheet name="Ins01" sheetId="3" r:id="rId3"/>
    <sheet name="Srch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<sst xmlns="http://schemas.openxmlformats.org/spreadsheetml/2006/main" count="463" uniqueCount="189">
  <si>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</si>
  <si>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</si>
  <si>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</si>
  <si>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</si>
  <si>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MGBDL0010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</si>
  <si>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</si>
  <si>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</si>
  <si>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</si>
  <si>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</si>
  <si>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</si>
  <si>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MGBDL_CalcCost</t>
    <phoneticPr fontId="2"/>
  </si>
  <si>
    <t>SuperClassPj.ID :</t>
    <phoneticPr fontId="3"/>
  </si>
  <si>
    <t>LogicName :</t>
    <phoneticPr fontId="3"/>
  </si>
  <si>
    <t>原価計算実行</t>
    <rPh sb="0" eb="2">
      <t>ゲンカ</t>
    </rPh>
    <rPh sb="2" eb="4">
      <t>ケイサン</t>
    </rPh>
    <rPh sb="4" eb="6">
      <t>ジッコウ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</si>
  <si>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</si>
  <si>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</si>
  <si>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</si>
  <si>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</si>
  <si>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</si>
  <si>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</si>
  <si>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</si>
  <si>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</si>
  <si>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</si>
  <si>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</si>
  <si>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</si>
  <si>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</si>
  <si>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</si>
  <si>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</si>
  <si>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</si>
  <si>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原価計算前チェック</t>
    <rPh sb="0" eb="2">
      <t>ゲンカ</t>
    </rPh>
    <rPh sb="2" eb="4">
      <t>ケイサン</t>
    </rPh>
    <rPh sb="4" eb="5">
      <t>マエ</t>
    </rPh>
    <phoneticPr fontId="2"/>
  </si>
  <si>
    <t>ImplOpe.ID:</t>
    <phoneticPr fontId="3"/>
  </si>
  <si>
    <t>ACType :</t>
    <phoneticPr fontId="3"/>
  </si>
  <si>
    <t>原価計算をする前のチェックを行う</t>
    <rPh sb="0" eb="2">
      <t>ゲンカ</t>
    </rPh>
    <rPh sb="2" eb="4">
      <t>ケイサン</t>
    </rPh>
    <rPh sb="7" eb="8">
      <t>マエ</t>
    </rPh>
    <rPh sb="14" eb="15">
      <t>オコナ</t>
    </rPh>
    <phoneticPr fontId="2"/>
  </si>
  <si>
    <t>ID</t>
    <phoneticPr fontId="3"/>
  </si>
  <si>
    <t>#</t>
    <phoneticPr fontId="3"/>
  </si>
  <si>
    <t>U</t>
    <phoneticPr fontId="3"/>
  </si>
  <si>
    <t>K</t>
  </si>
  <si>
    <t>K</t>
    <phoneticPr fontId="2"/>
  </si>
  <si>
    <t>K</t>
    <phoneticPr fontId="2"/>
  </si>
  <si>
    <t>K</t>
    <phoneticPr fontId="2"/>
  </si>
  <si>
    <t>o</t>
    <phoneticPr fontId="3"/>
  </si>
  <si>
    <t>o</t>
    <phoneticPr fontId="3"/>
  </si>
  <si>
    <t>super/share</t>
    <phoneticPr fontId="3"/>
  </si>
  <si>
    <t>REQ_UPD_CNT_CHK</t>
  </si>
  <si>
    <t>REQUIRED</t>
    <phoneticPr fontId="3"/>
  </si>
  <si>
    <t>CHK_NUM</t>
  </si>
  <si>
    <t>SMALL_LARGE</t>
  </si>
  <si>
    <t>CHK_DT</t>
  </si>
  <si>
    <t>BEFORE_AFTER</t>
    <phoneticPr fontId="3"/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</si>
  <si>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</si>
  <si>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</si>
  <si>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</si>
  <si>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</si>
  <si>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</si>
  <si>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</si>
  <si>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</si>
  <si>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</si>
  <si>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</si>
  <si>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</si>
  <si>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</si>
  <si>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</si>
  <si>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</si>
  <si>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</si>
  <si>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*</t>
    <phoneticPr fontId="2"/>
  </si>
  <si>
    <t>Chk01_Cnd</t>
    <phoneticPr fontId="2"/>
  </si>
  <si>
    <t>R</t>
    <phoneticPr fontId="2"/>
  </si>
  <si>
    <t>$share$</t>
    <phoneticPr fontId="2"/>
  </si>
  <si>
    <t>MG.MGBDL5010.CalcCost_Ins01.CalcCost_Cnd</t>
    <phoneticPr fontId="3"/>
  </si>
  <si>
    <t>term</t>
    <phoneticPr fontId="3"/>
  </si>
  <si>
    <t>#MA.YM</t>
  </si>
  <si>
    <t>期</t>
    <phoneticPr fontId="3"/>
  </si>
  <si>
    <t>E</t>
    <phoneticPr fontId="3"/>
  </si>
  <si>
    <t>-</t>
    <phoneticPr fontId="2"/>
  </si>
  <si>
    <t>calc_grp_cd</t>
    <phoneticPr fontId="3"/>
  </si>
  <si>
    <t>#MA.CALC_GRP_CD</t>
  </si>
  <si>
    <t>計算グループＣＤ</t>
    <phoneticPr fontId="3"/>
  </si>
  <si>
    <t>xrate_cd</t>
    <phoneticPr fontId="3"/>
  </si>
  <si>
    <t>#MA.XRATE_CD</t>
  </si>
  <si>
    <t>為替レートＣＤ</t>
    <phoneticPr fontId="3"/>
  </si>
  <si>
    <t>itm_limit_flg</t>
    <phoneticPr fontId="3"/>
  </si>
  <si>
    <t>#MA.FLG</t>
  </si>
  <si>
    <t>品目指定計算</t>
    <phoneticPr fontId="3"/>
  </si>
  <si>
    <t>data_check_flg</t>
    <phoneticPr fontId="3"/>
  </si>
  <si>
    <t>データ確認計算</t>
    <phoneticPr fontId="3"/>
  </si>
  <si>
    <t>rmrks</t>
    <phoneticPr fontId="3"/>
  </si>
  <si>
    <t>#MG.CALC_ARG_RMRKS</t>
  </si>
  <si>
    <t>備考</t>
    <phoneticPr fontId="3"/>
  </si>
  <si>
    <t>sub_char1</t>
    <phoneticPr fontId="2"/>
  </si>
  <si>
    <t>#MG.CALC_ARG_SUB_CHAR1</t>
  </si>
  <si>
    <t>予備１</t>
    <phoneticPr fontId="2"/>
  </si>
  <si>
    <r>
      <t>sub_char2</t>
    </r>
    <r>
      <rPr>
        <b/>
        <sz val="10"/>
        <rFont val="ＭＳ Ｐ明朝"/>
        <family val="1"/>
        <charset val="128"/>
      </rPr>
      <t/>
    </r>
  </si>
  <si>
    <t>#MG.CALC_ARG_SUB_CHAR2</t>
  </si>
  <si>
    <t>予備２</t>
    <phoneticPr fontId="2"/>
  </si>
  <si>
    <r>
      <t>sub_char3</t>
    </r>
    <r>
      <rPr>
        <b/>
        <sz val="10"/>
        <rFont val="ＭＳ Ｐ明朝"/>
        <family val="1"/>
        <charset val="128"/>
      </rPr>
      <t/>
    </r>
  </si>
  <si>
    <t>#MG.CALC_ARG_SUB_CHAR3</t>
  </si>
  <si>
    <t>予備３</t>
    <phoneticPr fontId="2"/>
  </si>
  <si>
    <t>ym_fr</t>
    <phoneticPr fontId="3"/>
  </si>
  <si>
    <t>年月ＦＲＯＭ</t>
    <phoneticPr fontId="3"/>
  </si>
  <si>
    <t>ym_to</t>
    <phoneticPr fontId="3"/>
  </si>
  <si>
    <t>年月ＴＯ</t>
    <phoneticPr fontId="3"/>
  </si>
  <si>
    <t>calc_no</t>
    <phoneticPr fontId="3"/>
  </si>
  <si>
    <t>#MA.CALC_NO</t>
  </si>
  <si>
    <t>計算ＮＯ</t>
    <phoneticPr fontId="3"/>
  </si>
  <si>
    <t>err_flg</t>
  </si>
  <si>
    <t>エラー</t>
    <phoneticPr fontId="3"/>
  </si>
  <si>
    <t>Ins01</t>
    <phoneticPr fontId="2"/>
  </si>
  <si>
    <t>@</t>
    <phoneticPr fontId="2"/>
  </si>
  <si>
    <t>原価計算</t>
    <rPh sb="0" eb="2">
      <t>ゲンカ</t>
    </rPh>
    <rPh sb="2" eb="4">
      <t>ケイサン</t>
    </rPh>
    <phoneticPr fontId="2"/>
  </si>
  <si>
    <t>原価計算をする</t>
    <rPh sb="0" eb="2">
      <t>ゲンカ</t>
    </rPh>
    <rPh sb="2" eb="4">
      <t>ケイサン</t>
    </rPh>
    <phoneticPr fontId="2"/>
  </si>
  <si>
    <t>U</t>
    <phoneticPr fontId="3"/>
  </si>
  <si>
    <t>K</t>
    <phoneticPr fontId="3"/>
  </si>
  <si>
    <t>o</t>
    <phoneticPr fontId="3"/>
  </si>
  <si>
    <t>o</t>
    <phoneticPr fontId="3"/>
  </si>
  <si>
    <t>TargetName</t>
    <phoneticPr fontId="3"/>
  </si>
  <si>
    <t>TargetName</t>
    <phoneticPr fontId="3"/>
  </si>
  <si>
    <t>*</t>
    <phoneticPr fontId="2"/>
  </si>
  <si>
    <t>Ins01_Cnd</t>
    <phoneticPr fontId="2"/>
  </si>
  <si>
    <t>R</t>
    <phoneticPr fontId="2"/>
  </si>
  <si>
    <t>$share$</t>
    <phoneticPr fontId="2"/>
  </si>
  <si>
    <t>MG.MGBDL5010.CalcCost_Ins01.CalcCost_Cnd</t>
    <phoneticPr fontId="2"/>
  </si>
  <si>
    <t>term</t>
    <phoneticPr fontId="3"/>
  </si>
  <si>
    <t>itm_limit_flg</t>
    <phoneticPr fontId="3"/>
  </si>
  <si>
    <t>data_check_flg</t>
    <phoneticPr fontId="3"/>
  </si>
  <si>
    <t>rmrks</t>
    <phoneticPr fontId="3"/>
  </si>
  <si>
    <t>sub_char1</t>
    <phoneticPr fontId="2"/>
  </si>
  <si>
    <t>ym_fr</t>
    <phoneticPr fontId="3"/>
  </si>
  <si>
    <t>calc_no</t>
    <phoneticPr fontId="3"/>
  </si>
  <si>
    <t>エラー</t>
    <phoneticPr fontId="2"/>
  </si>
  <si>
    <t>Srch01</t>
    <phoneticPr fontId="2"/>
  </si>
  <si>
    <t>@</t>
    <phoneticPr fontId="2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</si>
  <si>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</si>
  <si>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2"/>
  </si>
  <si>
    <t>#</t>
    <phoneticPr fontId="3"/>
  </si>
  <si>
    <t>U</t>
    <phoneticPr fontId="3"/>
  </si>
  <si>
    <t>o</t>
    <phoneticPr fontId="3"/>
  </si>
  <si>
    <t>TargetName</t>
    <phoneticPr fontId="3"/>
  </si>
  <si>
    <t>#</t>
    <phoneticPr fontId="3"/>
  </si>
  <si>
    <t>Srch01_Cnd</t>
    <phoneticPr fontId="2"/>
  </si>
  <si>
    <t>R</t>
    <phoneticPr fontId="2"/>
  </si>
  <si>
    <t>$super$</t>
    <phoneticPr fontId="2"/>
  </si>
  <si>
    <t>DBC:MG.MGT_CALC_FIX</t>
    <phoneticPr fontId="2"/>
  </si>
  <si>
    <t>term</t>
    <phoneticPr fontId="3"/>
  </si>
  <si>
    <t>calc_grp_cd</t>
    <phoneticPr fontId="3"/>
  </si>
  <si>
    <t>calc_no</t>
    <phoneticPr fontId="3"/>
  </si>
  <si>
    <t>原価計算ＮＯ</t>
    <phoneticPr fontId="3"/>
  </si>
  <si>
    <t>ym</t>
    <phoneticPr fontId="3"/>
  </si>
  <si>
    <t>年月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</si>
  <si>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</si>
  <si>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</si>
  <si>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</si>
  <si>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</si>
  <si>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</si>
  <si>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</si>
  <si>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</si>
  <si>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</si>
  <si>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</si>
  <si>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</si>
  <si>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</si>
  <si>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</si>
  <si>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</si>
  <si>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</si>
  <si>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</si>
  <si>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</si>
  <si>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</si>
  <si>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</si>
  <si>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</si>
  <si>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</si>
  <si>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</si>
  <si>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</si>
  <si>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</si>
  <si>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</si>
  <si>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Term</t>
  </si>
  <si>
    <t>Calculation group cd.</t>
  </si>
  <si>
    <t>Exchange rate cd.</t>
  </si>
  <si>
    <t>Item specified calculation</t>
  </si>
  <si>
    <t>Calculation for data check</t>
  </si>
  <si>
    <t>Remarks</t>
  </si>
  <si>
    <t>Spare 1</t>
  </si>
  <si>
    <t>Spare 2</t>
  </si>
  <si>
    <t>Spare 3</t>
  </si>
  <si>
    <t>Month FROM</t>
  </si>
  <si>
    <t>Month TO</t>
  </si>
  <si>
    <t>Calculation No.</t>
  </si>
  <si>
    <t>Error</t>
  </si>
  <si>
    <t>項目名
Field Name</t>
    <phoneticPr fontId="2"/>
  </si>
  <si>
    <t>型
Type</t>
    <phoneticPr fontId="2"/>
  </si>
  <si>
    <t>Year month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</si>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</sst>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3" borderId="10" xfId="0" applyFont="1" applyFill="1" applyBorder="1" applyAlignment="1"/>
    <xf numFmtId="0" fontId="1" fillId="3" borderId="7" xfId="0" applyFont="1" applyFill="1" applyBorder="1" applyAlignment="1"/>
    <xf numFmtId="0" fontId="1" fillId="3" borderId="12" xfId="0" applyFont="1" applyFill="1" applyBorder="1" applyAlignment="1"/>
    <xf numFmtId="0" fontId="1" fillId="3" borderId="8" xfId="0" applyFont="1" applyFill="1" applyBorder="1" applyAlignment="1"/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153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0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3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9" style="5"/>
    <col min="26" max="26" width="13.90625" style="5" bestFit="1" customWidth="1"/>
    <col min="27" max="28" width="9" style="5"/>
    <col min="29" max="29" width="10.81640625" style="5" bestFit="1" customWidth="1"/>
    <col min="30" max="30" width="9" style="5"/>
    <col min="31" max="31" width="10.81640625" style="5" bestFit="1" customWidth="1"/>
    <col min="32" max="32" width="9" style="5"/>
    <col min="33" max="33" width="10.816406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157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MGBDL0010</v>
      </c>
      <c r="I2" s="7" t="s">
        <v>19</v>
      </c>
      <c r="J2" s="8" t="s">
        <v>20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154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MGBDL_CalcCost</v>
      </c>
      <c r="I3" s="7" t="s">
        <v>22</v>
      </c>
      <c r="J3" s="8" t="s">
        <v>23</v>
      </c>
      <c r="K3" s="7" t="s">
        <v>11</v>
      </c>
      <c r="L3" s="58" t="str">
        <f>IF(LogicCommon!G3="","",LogicCommon!G3)</f>
        <v/>
      </c>
      <c r="M3" s="4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17</v>
      </c>
      <c r="B4" s="60"/>
      <c r="C4" s="60"/>
      <c r="D4" s="4"/>
      <c r="E4" s="7" t="s">
        <v>26</v>
      </c>
      <c r="F4" s="62" t="s">
        <v>27</v>
      </c>
      <c r="G4" s="7" t="s">
        <v>12</v>
      </c>
      <c r="H4" s="58" t="str">
        <f>IF(LogicCommon!E4="","",LogicCommon!E4)</f>
        <v>原価計算実行</v>
      </c>
      <c r="I4" s="7" t="s">
        <v>28</v>
      </c>
      <c r="J4" s="8" t="s">
        <v>29</v>
      </c>
      <c r="K4" s="7" t="s">
        <v>14</v>
      </c>
      <c r="L4" s="58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17</v>
      </c>
      <c r="B6" s="60"/>
      <c r="C6" s="6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6" t="s">
        <v>36</v>
      </c>
      <c r="L7" s="26" t="s">
        <v>37</v>
      </c>
      <c r="M7" s="26" t="s">
        <v>36</v>
      </c>
      <c r="N7" s="26" t="s">
        <v>38</v>
      </c>
      <c r="O7" s="26" t="s">
        <v>39</v>
      </c>
      <c r="P7" s="26" t="s">
        <v>37</v>
      </c>
      <c r="Q7" s="26" t="s">
        <v>37</v>
      </c>
      <c r="R7" s="26" t="s">
        <v>36</v>
      </c>
      <c r="S7" s="26" t="s">
        <v>36</v>
      </c>
      <c r="T7" s="26" t="s">
        <v>36</v>
      </c>
      <c r="U7" s="26" t="s">
        <v>36</v>
      </c>
      <c r="V7" s="26" t="s">
        <v>37</v>
      </c>
      <c r="W7" s="26" t="s">
        <v>37</v>
      </c>
      <c r="X7" s="26" t="s">
        <v>39</v>
      </c>
      <c r="Y7" s="26" t="s">
        <v>37</v>
      </c>
      <c r="Z7" s="26" t="s">
        <v>37</v>
      </c>
      <c r="AA7" s="26" t="s">
        <v>39</v>
      </c>
      <c r="AB7" s="26" t="s">
        <v>37</v>
      </c>
      <c r="AC7" s="27" t="s">
        <v>40</v>
      </c>
      <c r="AD7" s="28"/>
      <c r="AE7" s="27" t="s">
        <v>41</v>
      </c>
      <c r="AF7" s="28"/>
      <c r="AG7" s="27" t="s">
        <v>41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34</v>
      </c>
      <c r="B8" s="68"/>
      <c r="C8" s="69"/>
      <c r="D8" s="27" t="s">
        <v>158</v>
      </c>
      <c r="E8" s="27" t="s">
        <v>159</v>
      </c>
      <c r="F8" s="25"/>
      <c r="G8" s="27" t="s">
        <v>42</v>
      </c>
      <c r="H8" s="27" t="s">
        <v>160</v>
      </c>
      <c r="I8" s="25"/>
      <c r="J8" s="3"/>
      <c r="K8" s="3" t="s">
        <v>43</v>
      </c>
      <c r="L8" s="8" t="s">
        <v>44</v>
      </c>
      <c r="M8" s="8" t="s">
        <v>45</v>
      </c>
      <c r="N8" s="8" t="s">
        <v>46</v>
      </c>
      <c r="O8" s="26" t="s">
        <v>47</v>
      </c>
      <c r="P8" s="26" t="s">
        <v>48</v>
      </c>
      <c r="Q8" s="26" t="s">
        <v>49</v>
      </c>
      <c r="R8" s="8" t="s">
        <v>50</v>
      </c>
      <c r="S8" s="8" t="s">
        <v>51</v>
      </c>
      <c r="T8" s="8" t="s">
        <v>52</v>
      </c>
      <c r="U8" s="8" t="s">
        <v>53</v>
      </c>
      <c r="V8" s="8" t="s">
        <v>54</v>
      </c>
      <c r="W8" s="8" t="s">
        <v>55</v>
      </c>
      <c r="X8" s="8" t="s">
        <v>56</v>
      </c>
      <c r="Y8" s="8" t="s">
        <v>57</v>
      </c>
      <c r="Z8" s="8" t="s">
        <v>58</v>
      </c>
      <c r="AA8" s="26" t="s">
        <v>59</v>
      </c>
      <c r="AB8" s="8" t="s">
        <v>60</v>
      </c>
      <c r="AC8" s="27" t="s">
        <v>61</v>
      </c>
      <c r="AD8" s="28"/>
      <c r="AE8" s="27" t="s">
        <v>61</v>
      </c>
      <c r="AF8" s="28"/>
      <c r="AG8" s="27" t="s">
        <v>61</v>
      </c>
      <c r="AH8" s="28"/>
      <c r="AI8" s="3"/>
      <c r="AJ8" s="21"/>
      <c r="AK8" s="122" t="s">
        <v>169</v>
      </c>
      <c r="AL8" s="123"/>
    </row>
    <row r="9" spans="1:38" s="10" customFormat="1" ht="60" customHeight="1" x14ac:dyDescent="0.2">
      <c r="A9" s="8" t="s">
        <v>34</v>
      </c>
      <c r="B9" s="31"/>
      <c r="C9" s="32"/>
      <c r="D9" s="27" t="s">
        <v>161</v>
      </c>
      <c r="E9" s="70" t="s">
        <v>162</v>
      </c>
      <c r="F9" s="27" t="s">
        <v>163</v>
      </c>
      <c r="G9" s="27" t="s">
        <v>164</v>
      </c>
      <c r="H9" s="27" t="s">
        <v>165</v>
      </c>
      <c r="I9" s="71" t="s">
        <v>166</v>
      </c>
      <c r="J9" s="27" t="s">
        <v>167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71"/>
      <c r="AD9" s="27"/>
      <c r="AE9" s="27"/>
      <c r="AF9" s="27"/>
      <c r="AG9" s="27"/>
      <c r="AH9" s="27"/>
      <c r="AI9" s="122" t="s">
        <v>168</v>
      </c>
      <c r="AJ9" s="123"/>
      <c r="AK9" s="122" t="s">
        <v>170</v>
      </c>
      <c r="AL9" s="123"/>
    </row>
    <row r="10" spans="1:38" s="10" customFormat="1" ht="52" x14ac:dyDescent="0.2">
      <c r="A10" s="31" t="s">
        <v>62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7" t="s">
        <v>166</v>
      </c>
      <c r="AD10" s="27" t="s">
        <v>167</v>
      </c>
      <c r="AE10" s="27" t="s">
        <v>166</v>
      </c>
      <c r="AF10" s="27" t="s">
        <v>167</v>
      </c>
      <c r="AG10" s="27" t="s">
        <v>166</v>
      </c>
      <c r="AH10" s="27" t="s">
        <v>167</v>
      </c>
      <c r="AI10" s="33"/>
      <c r="AJ10" s="33"/>
      <c r="AK10" s="38"/>
      <c r="AL10" s="56"/>
    </row>
    <row r="11" spans="1:38" s="10" customFormat="1" x14ac:dyDescent="0.2">
      <c r="A11" s="8">
        <v>10</v>
      </c>
      <c r="B11" s="31" t="s">
        <v>63</v>
      </c>
      <c r="C11" s="32"/>
      <c r="D11" s="24" t="s">
        <v>64</v>
      </c>
      <c r="E11" s="29" t="s">
        <v>65</v>
      </c>
      <c r="F11" s="39"/>
      <c r="G11" s="24" t="s">
        <v>66</v>
      </c>
      <c r="H11" s="30" t="s">
        <v>67</v>
      </c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41"/>
      <c r="AL11" s="42"/>
    </row>
    <row r="12" spans="1:38" s="10" customFormat="1" x14ac:dyDescent="0.2">
      <c r="A12" s="8">
        <v>10</v>
      </c>
      <c r="B12" s="8"/>
      <c r="C12" s="8"/>
      <c r="D12" s="8" t="s">
        <v>68</v>
      </c>
      <c r="E12" s="28" t="s">
        <v>69</v>
      </c>
      <c r="F12" s="28"/>
      <c r="G12" s="43" t="s">
        <v>171</v>
      </c>
      <c r="H12" s="43" t="s">
        <v>70</v>
      </c>
      <c r="I12" s="8" t="s">
        <v>71</v>
      </c>
      <c r="J12" s="8" t="s">
        <v>72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4"/>
      <c r="AJ12" s="45"/>
      <c r="AK12" s="46"/>
      <c r="AL12" s="47"/>
    </row>
    <row r="13" spans="1:38" s="10" customFormat="1" x14ac:dyDescent="0.2">
      <c r="A13" s="8">
        <v>10</v>
      </c>
      <c r="B13" s="8"/>
      <c r="C13" s="8"/>
      <c r="D13" s="8" t="s">
        <v>73</v>
      </c>
      <c r="E13" s="28" t="s">
        <v>74</v>
      </c>
      <c r="F13" s="28"/>
      <c r="G13" s="43" t="s">
        <v>172</v>
      </c>
      <c r="H13" s="43" t="s">
        <v>75</v>
      </c>
      <c r="I13" s="8" t="s">
        <v>71</v>
      </c>
      <c r="J13" s="8" t="s">
        <v>72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4"/>
      <c r="AJ13" s="45"/>
      <c r="AK13" s="46"/>
      <c r="AL13" s="47"/>
    </row>
    <row r="14" spans="1:38" s="10" customFormat="1" x14ac:dyDescent="0.2">
      <c r="A14" s="8">
        <v>10</v>
      </c>
      <c r="B14" s="8"/>
      <c r="C14" s="8"/>
      <c r="D14" s="8" t="s">
        <v>76</v>
      </c>
      <c r="E14" s="28" t="s">
        <v>77</v>
      </c>
      <c r="F14" s="28"/>
      <c r="G14" s="43" t="s">
        <v>173</v>
      </c>
      <c r="H14" s="43" t="s">
        <v>78</v>
      </c>
      <c r="I14" s="8" t="s">
        <v>71</v>
      </c>
      <c r="J14" s="8" t="s">
        <v>72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4"/>
      <c r="AJ14" s="45"/>
      <c r="AK14" s="46"/>
      <c r="AL14" s="47"/>
    </row>
    <row r="15" spans="1:38" s="10" customFormat="1" x14ac:dyDescent="0.2">
      <c r="A15" s="8">
        <v>10</v>
      </c>
      <c r="B15" s="8"/>
      <c r="C15" s="8"/>
      <c r="D15" s="8" t="s">
        <v>79</v>
      </c>
      <c r="E15" s="28" t="s">
        <v>80</v>
      </c>
      <c r="F15" s="28"/>
      <c r="G15" s="43" t="s">
        <v>174</v>
      </c>
      <c r="H15" s="43" t="s">
        <v>81</v>
      </c>
      <c r="I15" s="8" t="s">
        <v>72</v>
      </c>
      <c r="J15" s="8" t="s">
        <v>72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4"/>
      <c r="AJ15" s="45"/>
      <c r="AK15" s="46"/>
      <c r="AL15" s="47"/>
    </row>
    <row r="16" spans="1:38" s="10" customFormat="1" x14ac:dyDescent="0.2">
      <c r="A16" s="8">
        <v>10</v>
      </c>
      <c r="B16" s="8"/>
      <c r="C16" s="8"/>
      <c r="D16" s="8" t="s">
        <v>82</v>
      </c>
      <c r="E16" s="28" t="s">
        <v>80</v>
      </c>
      <c r="F16" s="28"/>
      <c r="G16" s="43" t="s">
        <v>175</v>
      </c>
      <c r="H16" s="43" t="s">
        <v>83</v>
      </c>
      <c r="I16" s="8" t="s">
        <v>72</v>
      </c>
      <c r="J16" s="8" t="s">
        <v>72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4"/>
      <c r="AJ16" s="45"/>
      <c r="AK16" s="46"/>
      <c r="AL16" s="47"/>
    </row>
    <row r="17" spans="1:38" s="10" customFormat="1" x14ac:dyDescent="0.2">
      <c r="A17" s="8">
        <v>10</v>
      </c>
      <c r="B17" s="8"/>
      <c r="C17" s="8"/>
      <c r="D17" s="8" t="s">
        <v>84</v>
      </c>
      <c r="E17" s="28" t="s">
        <v>85</v>
      </c>
      <c r="F17" s="28"/>
      <c r="G17" s="43" t="s">
        <v>176</v>
      </c>
      <c r="H17" s="43" t="s">
        <v>86</v>
      </c>
      <c r="I17" s="8" t="s">
        <v>72</v>
      </c>
      <c r="J17" s="8" t="s">
        <v>72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4"/>
      <c r="AJ17" s="45"/>
      <c r="AK17" s="46"/>
      <c r="AL17" s="47"/>
    </row>
    <row r="18" spans="1:38" s="10" customFormat="1" x14ac:dyDescent="0.2">
      <c r="A18" s="8">
        <v>10</v>
      </c>
      <c r="B18" s="8"/>
      <c r="C18" s="8"/>
      <c r="D18" s="8" t="s">
        <v>87</v>
      </c>
      <c r="E18" s="28" t="s">
        <v>88</v>
      </c>
      <c r="F18" s="28"/>
      <c r="G18" s="43" t="s">
        <v>177</v>
      </c>
      <c r="H18" s="43" t="s">
        <v>89</v>
      </c>
      <c r="I18" s="8" t="s">
        <v>72</v>
      </c>
      <c r="J18" s="8" t="s">
        <v>72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4"/>
      <c r="AJ18" s="45"/>
      <c r="AK18" s="46"/>
      <c r="AL18" s="47"/>
    </row>
    <row r="19" spans="1:38" s="10" customFormat="1" x14ac:dyDescent="0.2">
      <c r="A19" s="8">
        <v>10</v>
      </c>
      <c r="B19" s="8"/>
      <c r="C19" s="8"/>
      <c r="D19" s="8" t="s">
        <v>90</v>
      </c>
      <c r="E19" s="28" t="s">
        <v>91</v>
      </c>
      <c r="F19" s="28"/>
      <c r="G19" s="43" t="s">
        <v>178</v>
      </c>
      <c r="H19" s="43" t="s">
        <v>92</v>
      </c>
      <c r="I19" s="8" t="s">
        <v>72</v>
      </c>
      <c r="J19" s="8" t="s">
        <v>72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4"/>
      <c r="AJ19" s="45"/>
      <c r="AK19" s="46"/>
      <c r="AL19" s="47"/>
    </row>
    <row r="20" spans="1:38" s="10" customFormat="1" x14ac:dyDescent="0.2">
      <c r="A20" s="8">
        <v>10</v>
      </c>
      <c r="B20" s="8"/>
      <c r="C20" s="8"/>
      <c r="D20" s="8" t="s">
        <v>93</v>
      </c>
      <c r="E20" s="28" t="s">
        <v>94</v>
      </c>
      <c r="F20" s="28"/>
      <c r="G20" s="43" t="s">
        <v>179</v>
      </c>
      <c r="H20" s="43" t="s">
        <v>95</v>
      </c>
      <c r="I20" s="8" t="s">
        <v>72</v>
      </c>
      <c r="J20" s="8" t="s">
        <v>72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4"/>
      <c r="AJ20" s="45"/>
      <c r="AK20" s="46"/>
      <c r="AL20" s="47"/>
    </row>
    <row r="21" spans="1:38" s="10" customFormat="1" x14ac:dyDescent="0.2">
      <c r="A21" s="8">
        <v>10</v>
      </c>
      <c r="B21" s="8"/>
      <c r="C21" s="8"/>
      <c r="D21" s="8" t="s">
        <v>96</v>
      </c>
      <c r="E21" s="28" t="s">
        <v>69</v>
      </c>
      <c r="F21" s="28"/>
      <c r="G21" s="43" t="s">
        <v>180</v>
      </c>
      <c r="H21" s="43" t="s">
        <v>97</v>
      </c>
      <c r="I21" s="8" t="s">
        <v>71</v>
      </c>
      <c r="J21" s="8" t="s">
        <v>72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4"/>
      <c r="AJ21" s="45"/>
      <c r="AK21" s="46"/>
      <c r="AL21" s="47"/>
    </row>
    <row r="22" spans="1:38" s="10" customFormat="1" x14ac:dyDescent="0.2">
      <c r="A22" s="8">
        <v>10</v>
      </c>
      <c r="B22" s="8"/>
      <c r="C22" s="8"/>
      <c r="D22" s="8" t="s">
        <v>98</v>
      </c>
      <c r="E22" s="28" t="s">
        <v>69</v>
      </c>
      <c r="F22" s="28"/>
      <c r="G22" s="43" t="s">
        <v>181</v>
      </c>
      <c r="H22" s="43" t="s">
        <v>99</v>
      </c>
      <c r="I22" s="8" t="s">
        <v>71</v>
      </c>
      <c r="J22" s="8" t="s">
        <v>72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4"/>
      <c r="AJ22" s="45"/>
      <c r="AK22" s="46"/>
      <c r="AL22" s="47"/>
    </row>
    <row r="23" spans="1:38" s="10" customFormat="1" x14ac:dyDescent="0.2">
      <c r="A23" s="8">
        <v>10</v>
      </c>
      <c r="B23" s="8"/>
      <c r="C23" s="8"/>
      <c r="D23" s="8" t="s">
        <v>100</v>
      </c>
      <c r="E23" s="28" t="s">
        <v>101</v>
      </c>
      <c r="F23" s="28"/>
      <c r="G23" s="43" t="s">
        <v>182</v>
      </c>
      <c r="H23" s="43" t="s">
        <v>102</v>
      </c>
      <c r="I23" s="8" t="s">
        <v>72</v>
      </c>
      <c r="J23" s="8" t="s">
        <v>72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4"/>
      <c r="AJ23" s="45"/>
      <c r="AK23" s="48"/>
      <c r="AL23" s="49"/>
    </row>
    <row r="24" spans="1:38" s="10" customFormat="1" x14ac:dyDescent="0.2">
      <c r="A24" s="8">
        <v>10</v>
      </c>
      <c r="B24" s="8"/>
      <c r="C24" s="8"/>
      <c r="D24" s="8" t="s">
        <v>103</v>
      </c>
      <c r="E24" s="28" t="s">
        <v>80</v>
      </c>
      <c r="F24" s="28"/>
      <c r="G24" s="43" t="s">
        <v>183</v>
      </c>
      <c r="H24" s="43" t="s">
        <v>104</v>
      </c>
      <c r="I24" s="8" t="s">
        <v>72</v>
      </c>
      <c r="J24" s="8" t="s">
        <v>71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4"/>
      <c r="AJ24" s="45"/>
      <c r="AK24" s="46"/>
      <c r="AL24" s="47"/>
    </row>
    <row r="25" spans="1:38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9"/>
      <c r="AJ25" s="9"/>
      <c r="AK25" s="9"/>
      <c r="AL25" s="50"/>
    </row>
    <row r="26" spans="1:38" s="10" customFormat="1" x14ac:dyDescent="0.2">
      <c r="A26" s="59"/>
      <c r="AL26" s="51"/>
    </row>
    <row r="27" spans="1:38" s="10" customFormat="1" x14ac:dyDescent="0.2">
      <c r="A27" s="59"/>
      <c r="AL27" s="51"/>
    </row>
    <row r="28" spans="1:38" s="10" customFormat="1" x14ac:dyDescent="0.2">
      <c r="A28" s="59"/>
      <c r="AL28" s="51"/>
    </row>
    <row r="29" spans="1:38" s="10" customFormat="1" x14ac:dyDescent="0.2">
      <c r="A29" s="59"/>
      <c r="AL29" s="51"/>
    </row>
    <row r="30" spans="1:38" s="10" customFormat="1" x14ac:dyDescent="0.2">
      <c r="A30" s="6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52"/>
    </row>
  </sheetData>
  <mergeCells count="3">
    <mergeCell ref="AK8:AL8"/>
    <mergeCell ref="AI9:AJ9"/>
    <mergeCell ref="AK9:AL9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5.36328125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157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MGBDL0010</v>
      </c>
      <c r="I2" s="7" t="s">
        <v>19</v>
      </c>
      <c r="J2" s="8" t="s">
        <v>105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155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MGBDL_CalcCost</v>
      </c>
      <c r="I3" s="7" t="s">
        <v>22</v>
      </c>
      <c r="J3" s="8" t="s">
        <v>106</v>
      </c>
      <c r="K3" s="7" t="s">
        <v>11</v>
      </c>
      <c r="L3" s="58" t="str">
        <f>IF(LogicCommon!G3="","",LogicCommon!G3)</f>
        <v/>
      </c>
      <c r="M3" s="4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2" t="s">
        <v>27</v>
      </c>
      <c r="G4" s="7" t="s">
        <v>12</v>
      </c>
      <c r="H4" s="58" t="str">
        <f>IF(LogicCommon!E4="","",LogicCommon!E4)</f>
        <v>原価計算実行</v>
      </c>
      <c r="I4" s="7" t="s">
        <v>28</v>
      </c>
      <c r="J4" s="8" t="s">
        <v>107</v>
      </c>
      <c r="K4" s="7" t="s">
        <v>14</v>
      </c>
      <c r="L4" s="58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108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62</v>
      </c>
      <c r="B7" s="23"/>
      <c r="C7" s="23"/>
      <c r="D7" s="6"/>
      <c r="E7" s="6"/>
      <c r="F7" s="6"/>
      <c r="G7" s="6"/>
      <c r="H7" s="6"/>
      <c r="I7" s="6" t="s">
        <v>109</v>
      </c>
      <c r="J7" s="6"/>
      <c r="K7" s="8" t="s">
        <v>110</v>
      </c>
      <c r="L7" s="27" t="s">
        <v>111</v>
      </c>
      <c r="M7" s="28"/>
      <c r="N7" s="27" t="s">
        <v>111</v>
      </c>
      <c r="O7" s="28"/>
      <c r="P7" s="27" t="s">
        <v>112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34</v>
      </c>
      <c r="B8" s="68"/>
      <c r="C8" s="69"/>
      <c r="D8" s="27" t="s">
        <v>158</v>
      </c>
      <c r="E8" s="27" t="s">
        <v>159</v>
      </c>
      <c r="F8" s="25"/>
      <c r="G8" s="27" t="s">
        <v>42</v>
      </c>
      <c r="H8" s="27" t="s">
        <v>160</v>
      </c>
      <c r="I8" s="25"/>
      <c r="J8" s="3"/>
      <c r="K8" s="8"/>
      <c r="L8" s="27" t="s">
        <v>113</v>
      </c>
      <c r="M8" s="28"/>
      <c r="N8" s="27" t="s">
        <v>114</v>
      </c>
      <c r="O8" s="28"/>
      <c r="P8" s="27" t="s">
        <v>113</v>
      </c>
      <c r="Q8" s="28"/>
      <c r="R8" s="3"/>
      <c r="S8" s="21"/>
      <c r="T8" s="122" t="s">
        <v>169</v>
      </c>
      <c r="U8" s="123"/>
    </row>
    <row r="9" spans="1:21" s="10" customFormat="1" ht="60" customHeight="1" x14ac:dyDescent="0.2">
      <c r="A9" s="8" t="s">
        <v>34</v>
      </c>
      <c r="B9" s="31"/>
      <c r="C9" s="32"/>
      <c r="D9" s="27" t="s">
        <v>184</v>
      </c>
      <c r="E9" s="70" t="s">
        <v>185</v>
      </c>
      <c r="F9" s="27" t="s">
        <v>163</v>
      </c>
      <c r="G9" s="27" t="s">
        <v>164</v>
      </c>
      <c r="H9" s="27" t="s">
        <v>165</v>
      </c>
      <c r="I9" s="71" t="s">
        <v>166</v>
      </c>
      <c r="J9" s="27" t="s">
        <v>167</v>
      </c>
      <c r="K9" s="67"/>
      <c r="L9" s="71"/>
      <c r="M9" s="27"/>
      <c r="N9" s="27"/>
      <c r="O9" s="27"/>
      <c r="P9" s="27"/>
      <c r="Q9" s="27"/>
      <c r="R9" s="122" t="s">
        <v>168</v>
      </c>
      <c r="S9" s="123"/>
      <c r="T9" s="122" t="s">
        <v>170</v>
      </c>
      <c r="U9" s="123"/>
    </row>
    <row r="10" spans="1:21" s="10" customFormat="1" ht="39" x14ac:dyDescent="0.2">
      <c r="A10" s="31" t="s">
        <v>62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166</v>
      </c>
      <c r="M10" s="27" t="s">
        <v>167</v>
      </c>
      <c r="N10" s="27" t="s">
        <v>166</v>
      </c>
      <c r="O10" s="27" t="s">
        <v>167</v>
      </c>
      <c r="P10" s="27" t="s">
        <v>166</v>
      </c>
      <c r="Q10" s="27" t="s">
        <v>167</v>
      </c>
      <c r="R10" s="33"/>
      <c r="S10" s="33"/>
      <c r="T10" s="38"/>
      <c r="U10" s="56"/>
    </row>
    <row r="11" spans="1:21" s="10" customFormat="1" x14ac:dyDescent="0.2">
      <c r="A11" s="8">
        <v>10</v>
      </c>
      <c r="B11" s="31" t="s">
        <v>115</v>
      </c>
      <c r="C11" s="32"/>
      <c r="D11" s="24" t="s">
        <v>116</v>
      </c>
      <c r="E11" s="29" t="s">
        <v>117</v>
      </c>
      <c r="F11" s="39"/>
      <c r="G11" s="24" t="s">
        <v>118</v>
      </c>
      <c r="H11" s="30" t="s">
        <v>119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120</v>
      </c>
      <c r="E12" s="28" t="s">
        <v>69</v>
      </c>
      <c r="F12" s="28"/>
      <c r="G12" s="43" t="s">
        <v>171</v>
      </c>
      <c r="H12" s="43" t="s">
        <v>70</v>
      </c>
      <c r="I12" s="8" t="s">
        <v>71</v>
      </c>
      <c r="J12" s="8" t="s">
        <v>72</v>
      </c>
      <c r="K12" s="8"/>
      <c r="L12" s="8"/>
      <c r="M12" s="8"/>
      <c r="N12" s="8"/>
      <c r="O12" s="8"/>
      <c r="P12" s="8"/>
      <c r="Q12" s="8"/>
      <c r="R12" s="44"/>
      <c r="S12" s="45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73</v>
      </c>
      <c r="E13" s="28" t="s">
        <v>74</v>
      </c>
      <c r="F13" s="28"/>
      <c r="G13" s="43" t="s">
        <v>172</v>
      </c>
      <c r="H13" s="43" t="s">
        <v>75</v>
      </c>
      <c r="I13" s="8" t="s">
        <v>71</v>
      </c>
      <c r="J13" s="8" t="s">
        <v>72</v>
      </c>
      <c r="K13" s="8"/>
      <c r="L13" s="8"/>
      <c r="M13" s="8"/>
      <c r="N13" s="8"/>
      <c r="O13" s="8"/>
      <c r="P13" s="8"/>
      <c r="Q13" s="8"/>
      <c r="R13" s="44"/>
      <c r="S13" s="45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76</v>
      </c>
      <c r="E14" s="28" t="s">
        <v>77</v>
      </c>
      <c r="F14" s="28"/>
      <c r="G14" s="43" t="s">
        <v>173</v>
      </c>
      <c r="H14" s="43" t="s">
        <v>78</v>
      </c>
      <c r="I14" s="8" t="s">
        <v>71</v>
      </c>
      <c r="J14" s="8" t="s">
        <v>72</v>
      </c>
      <c r="K14" s="8"/>
      <c r="L14" s="8"/>
      <c r="M14" s="8"/>
      <c r="N14" s="8"/>
      <c r="O14" s="8"/>
      <c r="P14" s="8"/>
      <c r="Q14" s="8"/>
      <c r="R14" s="44"/>
      <c r="S14" s="45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121</v>
      </c>
      <c r="E15" s="28" t="s">
        <v>80</v>
      </c>
      <c r="F15" s="28"/>
      <c r="G15" s="43" t="s">
        <v>174</v>
      </c>
      <c r="H15" s="43" t="s">
        <v>81</v>
      </c>
      <c r="I15" s="8" t="s">
        <v>71</v>
      </c>
      <c r="J15" s="8" t="s">
        <v>72</v>
      </c>
      <c r="K15" s="8"/>
      <c r="L15" s="8"/>
      <c r="M15" s="8"/>
      <c r="N15" s="8"/>
      <c r="O15" s="8"/>
      <c r="P15" s="8"/>
      <c r="Q15" s="8"/>
      <c r="R15" s="44"/>
      <c r="S15" s="45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122</v>
      </c>
      <c r="E16" s="28" t="s">
        <v>80</v>
      </c>
      <c r="F16" s="28"/>
      <c r="G16" s="43" t="s">
        <v>175</v>
      </c>
      <c r="H16" s="43" t="s">
        <v>83</v>
      </c>
      <c r="I16" s="8" t="s">
        <v>71</v>
      </c>
      <c r="J16" s="8" t="s">
        <v>72</v>
      </c>
      <c r="K16" s="8"/>
      <c r="L16" s="8"/>
      <c r="M16" s="8"/>
      <c r="N16" s="8"/>
      <c r="O16" s="8"/>
      <c r="P16" s="8"/>
      <c r="Q16" s="8"/>
      <c r="R16" s="44"/>
      <c r="S16" s="45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123</v>
      </c>
      <c r="E17" s="28" t="s">
        <v>85</v>
      </c>
      <c r="F17" s="28"/>
      <c r="G17" s="43" t="s">
        <v>176</v>
      </c>
      <c r="H17" s="43" t="s">
        <v>86</v>
      </c>
      <c r="I17" s="8" t="s">
        <v>71</v>
      </c>
      <c r="J17" s="8" t="s">
        <v>72</v>
      </c>
      <c r="K17" s="8"/>
      <c r="L17" s="8"/>
      <c r="M17" s="8"/>
      <c r="N17" s="8"/>
      <c r="O17" s="8"/>
      <c r="P17" s="8"/>
      <c r="Q17" s="8"/>
      <c r="R17" s="44"/>
      <c r="S17" s="45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124</v>
      </c>
      <c r="E18" s="28" t="s">
        <v>88</v>
      </c>
      <c r="F18" s="28"/>
      <c r="G18" s="43" t="s">
        <v>177</v>
      </c>
      <c r="H18" s="43" t="s">
        <v>89</v>
      </c>
      <c r="I18" s="8" t="s">
        <v>71</v>
      </c>
      <c r="J18" s="8" t="s">
        <v>72</v>
      </c>
      <c r="K18" s="8"/>
      <c r="L18" s="8"/>
      <c r="M18" s="8"/>
      <c r="N18" s="8"/>
      <c r="O18" s="8"/>
      <c r="P18" s="8"/>
      <c r="Q18" s="8"/>
      <c r="R18" s="44"/>
      <c r="S18" s="45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90</v>
      </c>
      <c r="E19" s="28" t="s">
        <v>91</v>
      </c>
      <c r="F19" s="28"/>
      <c r="G19" s="43" t="s">
        <v>178</v>
      </c>
      <c r="H19" s="43" t="s">
        <v>92</v>
      </c>
      <c r="I19" s="8" t="s">
        <v>71</v>
      </c>
      <c r="J19" s="8" t="s">
        <v>72</v>
      </c>
      <c r="K19" s="8"/>
      <c r="L19" s="8"/>
      <c r="M19" s="8"/>
      <c r="N19" s="8"/>
      <c r="O19" s="8"/>
      <c r="P19" s="8"/>
      <c r="Q19" s="8"/>
      <c r="R19" s="44"/>
      <c r="S19" s="45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93</v>
      </c>
      <c r="E20" s="28" t="s">
        <v>94</v>
      </c>
      <c r="F20" s="28"/>
      <c r="G20" s="43" t="s">
        <v>179</v>
      </c>
      <c r="H20" s="43" t="s">
        <v>95</v>
      </c>
      <c r="I20" s="8" t="s">
        <v>71</v>
      </c>
      <c r="J20" s="8" t="s">
        <v>72</v>
      </c>
      <c r="K20" s="8"/>
      <c r="L20" s="8"/>
      <c r="M20" s="8"/>
      <c r="N20" s="8"/>
      <c r="O20" s="8"/>
      <c r="P20" s="8"/>
      <c r="Q20" s="8"/>
      <c r="R20" s="44"/>
      <c r="S20" s="45"/>
      <c r="T20" s="124"/>
      <c r="U20" s="125"/>
    </row>
    <row r="21" spans="1:21" s="10" customFormat="1" x14ac:dyDescent="0.2">
      <c r="A21" s="8">
        <v>10</v>
      </c>
      <c r="B21" s="8"/>
      <c r="C21" s="8"/>
      <c r="D21" s="8" t="s">
        <v>125</v>
      </c>
      <c r="E21" s="28" t="s">
        <v>69</v>
      </c>
      <c r="F21" s="28"/>
      <c r="G21" s="43" t="s">
        <v>180</v>
      </c>
      <c r="H21" s="43" t="s">
        <v>97</v>
      </c>
      <c r="I21" s="8" t="s">
        <v>71</v>
      </c>
      <c r="J21" s="8" t="s">
        <v>72</v>
      </c>
      <c r="K21" s="8"/>
      <c r="L21" s="8"/>
      <c r="M21" s="8"/>
      <c r="N21" s="8"/>
      <c r="O21" s="8"/>
      <c r="P21" s="8"/>
      <c r="Q21" s="8"/>
      <c r="R21" s="44"/>
      <c r="S21" s="45"/>
      <c r="T21" s="124"/>
      <c r="U21" s="125"/>
    </row>
    <row r="22" spans="1:21" s="10" customFormat="1" x14ac:dyDescent="0.2">
      <c r="A22" s="8">
        <v>10</v>
      </c>
      <c r="B22" s="8"/>
      <c r="C22" s="8"/>
      <c r="D22" s="8" t="s">
        <v>98</v>
      </c>
      <c r="E22" s="28" t="s">
        <v>69</v>
      </c>
      <c r="F22" s="28"/>
      <c r="G22" s="43" t="s">
        <v>181</v>
      </c>
      <c r="H22" s="43" t="s">
        <v>99</v>
      </c>
      <c r="I22" s="8" t="s">
        <v>71</v>
      </c>
      <c r="J22" s="8" t="s">
        <v>72</v>
      </c>
      <c r="K22" s="8"/>
      <c r="L22" s="8"/>
      <c r="M22" s="8"/>
      <c r="N22" s="8"/>
      <c r="O22" s="8"/>
      <c r="P22" s="8"/>
      <c r="Q22" s="8"/>
      <c r="R22" s="44"/>
      <c r="S22" s="45"/>
      <c r="T22" s="124"/>
      <c r="U22" s="125"/>
    </row>
    <row r="23" spans="1:21" s="10" customFormat="1" x14ac:dyDescent="0.2">
      <c r="A23" s="8">
        <v>10</v>
      </c>
      <c r="B23" s="8"/>
      <c r="C23" s="8"/>
      <c r="D23" s="8" t="s">
        <v>126</v>
      </c>
      <c r="E23" s="28" t="s">
        <v>101</v>
      </c>
      <c r="F23" s="28"/>
      <c r="G23" s="43" t="s">
        <v>182</v>
      </c>
      <c r="H23" s="43" t="s">
        <v>102</v>
      </c>
      <c r="I23" s="8" t="s">
        <v>72</v>
      </c>
      <c r="J23" s="8" t="s">
        <v>71</v>
      </c>
      <c r="K23" s="8"/>
      <c r="L23" s="8"/>
      <c r="M23" s="8"/>
      <c r="N23" s="8"/>
      <c r="O23" s="8"/>
      <c r="P23" s="8"/>
      <c r="Q23" s="8"/>
      <c r="R23" s="44"/>
      <c r="S23" s="45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103</v>
      </c>
      <c r="E24" s="28" t="s">
        <v>80</v>
      </c>
      <c r="F24" s="28"/>
      <c r="G24" s="43" t="s">
        <v>183</v>
      </c>
      <c r="H24" s="43" t="s">
        <v>127</v>
      </c>
      <c r="I24" s="8" t="s">
        <v>72</v>
      </c>
      <c r="J24" s="8" t="s">
        <v>72</v>
      </c>
      <c r="K24" s="8"/>
      <c r="L24" s="8"/>
      <c r="M24" s="8"/>
      <c r="N24" s="8"/>
      <c r="O24" s="8"/>
      <c r="P24" s="8"/>
      <c r="Q24" s="8"/>
      <c r="R24" s="44"/>
      <c r="S24" s="45"/>
      <c r="T24" s="124"/>
      <c r="U24" s="125"/>
    </row>
    <row r="25" spans="1:21" s="10" customFormat="1" x14ac:dyDescent="0.2">
      <c r="A25" s="22"/>
      <c r="B25" s="23"/>
      <c r="C25" s="23"/>
      <c r="D25" s="16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9"/>
      <c r="T25" s="9"/>
      <c r="U25" s="50"/>
    </row>
    <row r="26" spans="1:21" s="10" customFormat="1" x14ac:dyDescent="0.2">
      <c r="A26" s="59"/>
      <c r="U26" s="51"/>
    </row>
    <row r="27" spans="1:21" s="10" customFormat="1" x14ac:dyDescent="0.2">
      <c r="A27" s="59"/>
      <c r="U27" s="51"/>
    </row>
    <row r="28" spans="1:21" s="10" customFormat="1" x14ac:dyDescent="0.2">
      <c r="A28" s="59"/>
      <c r="U28" s="51"/>
    </row>
    <row r="29" spans="1:21" s="10" customFormat="1" x14ac:dyDescent="0.2">
      <c r="A29" s="6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52"/>
    </row>
  </sheetData>
  <mergeCells count="17">
    <mergeCell ref="T20:U20"/>
    <mergeCell ref="T21:U21"/>
    <mergeCell ref="T22:U22"/>
    <mergeCell ref="T23:U23"/>
    <mergeCell ref="T24:U24"/>
    <mergeCell ref="T19:U19"/>
    <mergeCell ref="T8:U8"/>
    <mergeCell ref="R9:S9"/>
    <mergeCell ref="T9:U9"/>
    <mergeCell ref="T11:U11"/>
    <mergeCell ref="T12:U12"/>
    <mergeCell ref="T13:U13"/>
    <mergeCell ref="T14:U14"/>
    <mergeCell ref="T15:U15"/>
    <mergeCell ref="T16:U16"/>
    <mergeCell ref="T17:U17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157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MGBDL0010</v>
      </c>
      <c r="I2" s="7" t="s">
        <v>19</v>
      </c>
      <c r="J2" s="8" t="s">
        <v>128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156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MGBDL_CalcCost</v>
      </c>
      <c r="I3" s="7" t="s">
        <v>22</v>
      </c>
      <c r="J3" s="8" t="s">
        <v>129</v>
      </c>
      <c r="K3" s="7" t="s">
        <v>11</v>
      </c>
      <c r="L3" s="58" t="str">
        <f>IF(LogicCommon!G3="","",LogicCommon!G3)</f>
        <v/>
      </c>
      <c r="M3" s="4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2" t="s">
        <v>27</v>
      </c>
      <c r="G4" s="7" t="s">
        <v>12</v>
      </c>
      <c r="H4" s="58" t="str">
        <f>IF(LogicCommon!E4="","",LogicCommon!E4)</f>
        <v>原価計算実行</v>
      </c>
      <c r="I4" s="7" t="s">
        <v>28</v>
      </c>
      <c r="J4" s="8" t="s">
        <v>130</v>
      </c>
      <c r="K4" s="7" t="s">
        <v>14</v>
      </c>
      <c r="L4" s="58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131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132</v>
      </c>
      <c r="B7" s="23"/>
      <c r="C7" s="23"/>
      <c r="D7" s="6"/>
      <c r="E7" s="6"/>
      <c r="F7" s="6"/>
      <c r="G7" s="6"/>
      <c r="H7" s="6"/>
      <c r="I7" s="6" t="s">
        <v>133</v>
      </c>
      <c r="J7" s="6"/>
      <c r="K7" s="8" t="s">
        <v>110</v>
      </c>
      <c r="L7" s="27" t="s">
        <v>134</v>
      </c>
      <c r="M7" s="28"/>
      <c r="N7" s="27" t="s">
        <v>41</v>
      </c>
      <c r="O7" s="28"/>
      <c r="P7" s="27" t="s">
        <v>41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34</v>
      </c>
      <c r="B8" s="68"/>
      <c r="C8" s="69"/>
      <c r="D8" s="27" t="s">
        <v>158</v>
      </c>
      <c r="E8" s="27" t="s">
        <v>159</v>
      </c>
      <c r="F8" s="25"/>
      <c r="G8" s="27" t="s">
        <v>42</v>
      </c>
      <c r="H8" s="27" t="s">
        <v>160</v>
      </c>
      <c r="I8" s="25"/>
      <c r="J8" s="3"/>
      <c r="K8" s="8"/>
      <c r="L8" s="27" t="s">
        <v>61</v>
      </c>
      <c r="M8" s="28"/>
      <c r="N8" s="27" t="s">
        <v>61</v>
      </c>
      <c r="O8" s="28"/>
      <c r="P8" s="27" t="s">
        <v>135</v>
      </c>
      <c r="Q8" s="28"/>
      <c r="R8" s="3"/>
      <c r="S8" s="21"/>
      <c r="T8" s="122" t="s">
        <v>169</v>
      </c>
      <c r="U8" s="123"/>
    </row>
    <row r="9" spans="1:21" s="10" customFormat="1" ht="60" customHeight="1" x14ac:dyDescent="0.2">
      <c r="A9" s="8" t="s">
        <v>34</v>
      </c>
      <c r="B9" s="31"/>
      <c r="C9" s="32"/>
      <c r="D9" s="27" t="s">
        <v>184</v>
      </c>
      <c r="E9" s="70" t="s">
        <v>185</v>
      </c>
      <c r="F9" s="27" t="s">
        <v>163</v>
      </c>
      <c r="G9" s="27" t="s">
        <v>164</v>
      </c>
      <c r="H9" s="27" t="s">
        <v>165</v>
      </c>
      <c r="I9" s="71" t="s">
        <v>166</v>
      </c>
      <c r="J9" s="27" t="s">
        <v>167</v>
      </c>
      <c r="K9" s="67"/>
      <c r="L9" s="71"/>
      <c r="M9" s="27"/>
      <c r="N9" s="27"/>
      <c r="O9" s="27"/>
      <c r="P9" s="27"/>
      <c r="Q9" s="27"/>
      <c r="R9" s="122" t="s">
        <v>168</v>
      </c>
      <c r="S9" s="123"/>
      <c r="T9" s="122" t="s">
        <v>170</v>
      </c>
      <c r="U9" s="123"/>
    </row>
    <row r="10" spans="1:21" s="10" customFormat="1" ht="39" x14ac:dyDescent="0.2">
      <c r="A10" s="31" t="s">
        <v>136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166</v>
      </c>
      <c r="M10" s="27" t="s">
        <v>167</v>
      </c>
      <c r="N10" s="27" t="s">
        <v>166</v>
      </c>
      <c r="O10" s="27" t="s">
        <v>167</v>
      </c>
      <c r="P10" s="27" t="s">
        <v>166</v>
      </c>
      <c r="Q10" s="27" t="s">
        <v>167</v>
      </c>
      <c r="R10" s="33"/>
      <c r="S10" s="33"/>
      <c r="T10" s="38"/>
      <c r="U10" s="56"/>
    </row>
    <row r="11" spans="1:21" s="10" customFormat="1" x14ac:dyDescent="0.2">
      <c r="A11" s="8">
        <v>10</v>
      </c>
      <c r="B11" s="31" t="s">
        <v>63</v>
      </c>
      <c r="C11" s="32"/>
      <c r="D11" s="24" t="s">
        <v>137</v>
      </c>
      <c r="E11" s="29" t="s">
        <v>138</v>
      </c>
      <c r="F11" s="39"/>
      <c r="G11" s="24" t="s">
        <v>139</v>
      </c>
      <c r="H11" s="30" t="s">
        <v>140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141</v>
      </c>
      <c r="E12" s="28" t="s">
        <v>69</v>
      </c>
      <c r="F12" s="28"/>
      <c r="G12" s="43" t="s">
        <v>171</v>
      </c>
      <c r="H12" s="43" t="s">
        <v>70</v>
      </c>
      <c r="I12" s="8" t="s">
        <v>71</v>
      </c>
      <c r="J12" s="8" t="s">
        <v>72</v>
      </c>
      <c r="K12" s="8"/>
      <c r="L12" s="8"/>
      <c r="M12" s="8"/>
      <c r="N12" s="8"/>
      <c r="O12" s="8"/>
      <c r="P12" s="8"/>
      <c r="Q12" s="8"/>
      <c r="R12" s="44"/>
      <c r="S12" s="45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142</v>
      </c>
      <c r="E13" s="28" t="s">
        <v>74</v>
      </c>
      <c r="F13" s="28"/>
      <c r="G13" s="43" t="s">
        <v>172</v>
      </c>
      <c r="H13" s="43" t="s">
        <v>75</v>
      </c>
      <c r="I13" s="8" t="s">
        <v>71</v>
      </c>
      <c r="J13" s="8" t="s">
        <v>72</v>
      </c>
      <c r="K13" s="8"/>
      <c r="L13" s="8"/>
      <c r="M13" s="8"/>
      <c r="N13" s="8"/>
      <c r="O13" s="8"/>
      <c r="P13" s="8"/>
      <c r="Q13" s="8"/>
      <c r="R13" s="44"/>
      <c r="S13" s="45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143</v>
      </c>
      <c r="E14" s="28" t="s">
        <v>101</v>
      </c>
      <c r="F14" s="28"/>
      <c r="G14" s="43" t="s">
        <v>182</v>
      </c>
      <c r="H14" s="43" t="s">
        <v>144</v>
      </c>
      <c r="I14" s="8" t="s">
        <v>72</v>
      </c>
      <c r="J14" s="8" t="s">
        <v>71</v>
      </c>
      <c r="K14" s="8"/>
      <c r="L14" s="8"/>
      <c r="M14" s="8"/>
      <c r="N14" s="8"/>
      <c r="O14" s="8"/>
      <c r="P14" s="8"/>
      <c r="Q14" s="8"/>
      <c r="R14" s="44"/>
      <c r="S14" s="45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145</v>
      </c>
      <c r="E15" s="28" t="s">
        <v>69</v>
      </c>
      <c r="F15" s="28"/>
      <c r="G15" s="43" t="s">
        <v>186</v>
      </c>
      <c r="H15" s="43" t="s">
        <v>146</v>
      </c>
      <c r="I15" s="8" t="s">
        <v>72</v>
      </c>
      <c r="J15" s="8" t="s">
        <v>71</v>
      </c>
      <c r="K15" s="8"/>
      <c r="L15" s="8"/>
      <c r="M15" s="8"/>
      <c r="N15" s="8"/>
      <c r="O15" s="8"/>
      <c r="P15" s="8"/>
      <c r="Q15" s="8"/>
      <c r="R15" s="44"/>
      <c r="S15" s="45"/>
      <c r="T15" s="124"/>
      <c r="U15" s="125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9"/>
      <c r="S16" s="9"/>
      <c r="T16" s="9"/>
      <c r="U16" s="50"/>
    </row>
    <row r="17" spans="1:21" s="10" customFormat="1" x14ac:dyDescent="0.2">
      <c r="A17" s="59"/>
      <c r="U17" s="51"/>
    </row>
    <row r="18" spans="1:21" s="10" customFormat="1" x14ac:dyDescent="0.2">
      <c r="A18" s="59"/>
      <c r="U18" s="51"/>
    </row>
    <row r="19" spans="1:21" s="10" customFormat="1" x14ac:dyDescent="0.2">
      <c r="A19" s="59"/>
      <c r="U19" s="51"/>
    </row>
    <row r="20" spans="1:21" s="10" customFormat="1" x14ac:dyDescent="0.2">
      <c r="A20" s="6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52"/>
    </row>
  </sheetData>
  <mergeCells count="8">
    <mergeCell ref="T14:U14"/>
    <mergeCell ref="T15:U15"/>
    <mergeCell ref="T8:U8"/>
    <mergeCell ref="R9:S9"/>
    <mergeCell ref="T9:U9"/>
    <mergeCell ref="T11:U11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57" width="2.08984375" style="53" customWidth="1"/>
    <col min="58" max="16384" width="9" style="53"/>
  </cols>
  <sheetData>
    <row r="1" spans="1:57" ht="38.25" customHeight="1" thickBot="1" x14ac:dyDescent="0.25">
      <c r="A1" s="72" t="s">
        <v>147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75" t="s">
        <v>148</v>
      </c>
      <c r="B3" s="76"/>
      <c r="C3" s="76"/>
      <c r="D3" s="76"/>
      <c r="E3" s="76"/>
      <c r="F3" s="76"/>
      <c r="G3" s="77"/>
      <c r="H3" s="78" t="s">
        <v>149</v>
      </c>
      <c r="I3" s="76"/>
      <c r="J3" s="76"/>
      <c r="K3" s="76"/>
      <c r="L3" s="76"/>
      <c r="M3" s="76"/>
      <c r="N3" s="77"/>
      <c r="O3" s="78" t="s">
        <v>150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151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152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/>
      <c r="I5" s="100"/>
      <c r="J5" s="100"/>
      <c r="K5" s="100"/>
      <c r="L5" s="100"/>
      <c r="M5" s="100"/>
      <c r="N5" s="101"/>
      <c r="O5" s="106" t="s">
        <v>187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188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5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Chk01</vt:lpstr>
      <vt:lpstr>Ins01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2026-03-27T05:50:51Z</dcterms:modified>
  <cp:category/>
</cp:coreProperties>
</file>