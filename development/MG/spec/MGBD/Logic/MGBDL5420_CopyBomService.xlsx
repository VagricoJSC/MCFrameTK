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8388E4C7-B3A4-4561-B27C-63662EAC4918}" xr6:coauthVersionLast="47" xr6:coauthVersionMax="47" xr10:uidLastSave="{00000000-0000-0000-0000-000000000000}"/>
  <bookViews>
    <workbookView xWindow="1710" yWindow="1710" windowWidth="21600" windowHeight="11265" activeTab="4" xr2:uid="{00000000-000D-0000-FFFF-FFFF00000000}"/>
  </bookViews>
  <sheets>
    <sheet name="LogicCommon" sheetId="1" r:id="rId1"/>
    <sheet name="CopyBom_Ins01" sheetId="2" r:id="rId2"/>
    <sheet name="CopyBom_Upd01" sheetId="3" r:id="rId3"/>
    <sheet name="CopyBom_Upd02" sheetId="4" r:id="rId4"/>
    <sheet name="来歴" sheetId="5" r:id="rId5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4" l="1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<sst xmlns="http://schemas.openxmlformats.org/spreadsheetml/2006/main" count="354" uniqueCount="134">
  <si>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</si>
  <si>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</si>
  <si>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</si>
  <si>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</si>
  <si>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MGBDL5420</t>
    <phoneticPr fontId="3"/>
  </si>
  <si>
    <t>Pj.ID :</t>
    <phoneticPr fontId="4"/>
  </si>
  <si>
    <t>MC</t>
    <phoneticPr fontId="3"/>
  </si>
  <si>
    <t>SubModuleID :</t>
    <phoneticPr fontId="4"/>
  </si>
  <si>
    <t>MGBD</t>
    <phoneticPr fontId="3"/>
  </si>
  <si>
    <t>LogicClass :</t>
    <phoneticPr fontId="4"/>
  </si>
  <si>
    <t>MGBDL_CopyBomService</t>
    <phoneticPr fontId="3"/>
  </si>
  <si>
    <t>SuperClassPj.ID :</t>
    <phoneticPr fontId="4"/>
  </si>
  <si>
    <t>LogicName :</t>
    <phoneticPr fontId="4"/>
  </si>
  <si>
    <t>原価品目連携サービス（ＢＯＭ）</t>
    <rPh sb="0" eb="2">
      <t>ゲンカ</t>
    </rPh>
    <rPh sb="2" eb="4">
      <t>ヒンモク</t>
    </rPh>
    <rPh sb="4" eb="6">
      <t>レンケイ</t>
    </rPh>
    <phoneticPr fontId="5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</si>
  <si>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</si>
  <si>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</si>
  <si>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</si>
  <si>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</si>
  <si>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</si>
  <si>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</si>
  <si>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CopyBom_Ins01</t>
    <phoneticPr fontId="3"/>
  </si>
  <si>
    <t xml:space="preserve">Ope.Body : </t>
    <phoneticPr fontId="4"/>
  </si>
  <si>
    <t>Ope.Method :</t>
    <phoneticPr fontId="4"/>
  </si>
  <si>
    <t>@</t>
    <phoneticPr fontId="3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</si>
  <si>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</si>
  <si>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</si>
  <si>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</si>
  <si>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</si>
  <si>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</si>
  <si>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取込対象作成</t>
    <phoneticPr fontId="3"/>
  </si>
  <si>
    <t>ImplOpe.ID:</t>
    <phoneticPr fontId="4"/>
  </si>
  <si>
    <t>ACType :</t>
    <phoneticPr fontId="4"/>
  </si>
  <si>
    <t>原価ＢＯＭ取込対象を作成します。</t>
    <rPh sb="0" eb="2">
      <t>ゲンカ</t>
    </rPh>
    <rPh sb="5" eb="7">
      <t>トリコミ</t>
    </rPh>
    <rPh sb="7" eb="9">
      <t>タイショウ</t>
    </rPh>
    <rPh sb="10" eb="12">
      <t>サクセイ</t>
    </rPh>
    <phoneticPr fontId="3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</si>
  <si>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</si>
  <si>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</si>
  <si>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</si>
  <si>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</si>
  <si>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</si>
  <si>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super/share</t>
    <phoneticPr fontId="4"/>
  </si>
  <si>
    <t>TargetName</t>
    <phoneticPr fontId="4"/>
  </si>
  <si>
    <t>#</t>
    <phoneticPr fontId="4"/>
  </si>
  <si>
    <t>*</t>
    <phoneticPr fontId="3"/>
  </si>
  <si>
    <t>CopyBom_Ins01_Cnd</t>
    <phoneticPr fontId="3"/>
  </si>
  <si>
    <t>R</t>
    <phoneticPr fontId="3"/>
  </si>
  <si>
    <t>calc_ctg_cd</t>
    <phoneticPr fontId="4"/>
  </si>
  <si>
    <t>#MA.CALC_CTG_CD</t>
    <phoneticPr fontId="3"/>
  </si>
  <si>
    <t>計算カテゴリＣＤ</t>
    <phoneticPr fontId="3"/>
  </si>
  <si>
    <t>E</t>
    <phoneticPr fontId="4"/>
  </si>
  <si>
    <t>-</t>
    <phoneticPr fontId="3"/>
  </si>
  <si>
    <t>wg_cd</t>
    <phoneticPr fontId="4"/>
  </si>
  <si>
    <t>#MA.WG_CD</t>
  </si>
  <si>
    <t>ワーキンググループＣＤ</t>
    <phoneticPr fontId="4"/>
  </si>
  <si>
    <t>term</t>
    <phoneticPr fontId="4"/>
  </si>
  <si>
    <t>#MA.YM</t>
    <phoneticPr fontId="3"/>
  </si>
  <si>
    <t>期</t>
    <phoneticPr fontId="1"/>
  </si>
  <si>
    <t>lump_flg</t>
    <phoneticPr fontId="4"/>
  </si>
  <si>
    <t>#MA.FLG</t>
    <phoneticPr fontId="3"/>
  </si>
  <si>
    <t>取込処理も行う</t>
    <phoneticPr fontId="3"/>
  </si>
  <si>
    <t>imp_ope_typ</t>
    <phoneticPr fontId="4"/>
  </si>
  <si>
    <t>#MG.IMP_OPE_TYP</t>
    <phoneticPr fontId="3"/>
  </si>
  <si>
    <t>マスタ取込処理区分</t>
    <phoneticPr fontId="3"/>
  </si>
  <si>
    <t>CopyBom_Upd01</t>
    <phoneticPr fontId="3"/>
  </si>
  <si>
    <t>@</t>
    <phoneticPr fontId="3"/>
  </si>
  <si>
    <t>選択取込</t>
    <rPh sb="0" eb="2">
      <t>センタク</t>
    </rPh>
    <rPh sb="2" eb="3">
      <t>ト</t>
    </rPh>
    <rPh sb="3" eb="4">
      <t>コ</t>
    </rPh>
    <phoneticPr fontId="3"/>
  </si>
  <si>
    <t>原価ＢＯＭ取込対象から原価ＢＯＭへ取り込みます。</t>
    <rPh sb="0" eb="2">
      <t>ゲンカ</t>
    </rPh>
    <rPh sb="5" eb="7">
      <t>トリコミ</t>
    </rPh>
    <rPh sb="7" eb="9">
      <t>タイショウ</t>
    </rPh>
    <rPh sb="11" eb="13">
      <t>ゲンカ</t>
    </rPh>
    <rPh sb="17" eb="18">
      <t>ト</t>
    </rPh>
    <rPh sb="19" eb="20">
      <t>コ</t>
    </rPh>
    <phoneticPr fontId="3"/>
  </si>
  <si>
    <t>K</t>
    <phoneticPr fontId="4"/>
  </si>
  <si>
    <t>TargetName</t>
    <phoneticPr fontId="4"/>
  </si>
  <si>
    <t>*</t>
  </si>
  <si>
    <t>CopyBom_Upd01_Dtl</t>
    <phoneticPr fontId="3"/>
  </si>
  <si>
    <t>GL</t>
    <phoneticPr fontId="3"/>
  </si>
  <si>
    <t>$super$</t>
    <phoneticPr fontId="4"/>
  </si>
  <si>
    <t>DBC:MG.MGW_IMP_BOM</t>
    <phoneticPr fontId="4"/>
  </si>
  <si>
    <t>E</t>
    <phoneticPr fontId="3"/>
  </si>
  <si>
    <t>wg_cd</t>
    <phoneticPr fontId="4"/>
  </si>
  <si>
    <t>term</t>
    <phoneticPr fontId="4"/>
  </si>
  <si>
    <t>#MA.YM</t>
    <phoneticPr fontId="3"/>
  </si>
  <si>
    <t>par_itm_cd</t>
  </si>
  <si>
    <t>#MA.ITM_CD</t>
  </si>
  <si>
    <t>親品目ＣＤ</t>
    <phoneticPr fontId="3"/>
  </si>
  <si>
    <t>par_itm_sub1</t>
  </si>
  <si>
    <t>#MA.ITM_SUB1</t>
  </si>
  <si>
    <t>親枝番１</t>
    <phoneticPr fontId="3"/>
  </si>
  <si>
    <t>par_itm_sub2</t>
  </si>
  <si>
    <t>#MA.ITM_SUB2</t>
  </si>
  <si>
    <t>親枝番２</t>
    <phoneticPr fontId="3"/>
  </si>
  <si>
    <t>par_itm_sub3</t>
  </si>
  <si>
    <t>#MA.ITM_SUB3</t>
  </si>
  <si>
    <t>親枝番３</t>
    <phoneticPr fontId="3"/>
  </si>
  <si>
    <t>CopyBom_Upd02</t>
    <phoneticPr fontId="3"/>
  </si>
  <si>
    <t>@</t>
    <phoneticPr fontId="3"/>
  </si>
  <si>
    <t>一括取込</t>
    <rPh sb="0" eb="2">
      <t>イッカツ</t>
    </rPh>
    <rPh sb="2" eb="3">
      <t>ト</t>
    </rPh>
    <rPh sb="3" eb="4">
      <t>コ</t>
    </rPh>
    <phoneticPr fontId="3"/>
  </si>
  <si>
    <t>原価ＢＯＭ取込対象から全て原価ＢＯＭへ取り込みます。</t>
    <rPh sb="0" eb="2">
      <t>ゲンカ</t>
    </rPh>
    <rPh sb="5" eb="7">
      <t>トリコミ</t>
    </rPh>
    <rPh sb="7" eb="9">
      <t>タイショウ</t>
    </rPh>
    <rPh sb="11" eb="12">
      <t>スベ</t>
    </rPh>
    <rPh sb="13" eb="15">
      <t>ゲンカ</t>
    </rPh>
    <rPh sb="19" eb="20">
      <t>ト</t>
    </rPh>
    <rPh sb="21" eb="22">
      <t>コ</t>
    </rPh>
    <phoneticPr fontId="3"/>
  </si>
  <si>
    <t>#</t>
    <phoneticPr fontId="4"/>
  </si>
  <si>
    <t>o</t>
    <phoneticPr fontId="4"/>
  </si>
  <si>
    <t>CopyBom_Upd02_Cnd</t>
    <phoneticPr fontId="3"/>
  </si>
  <si>
    <t>$share$</t>
    <phoneticPr fontId="4"/>
  </si>
  <si>
    <t>CopyBom_Ins01.CopyBom_Ins01_Cnd</t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</si>
  <si>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</si>
  <si>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</si>
  <si>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</si>
  <si>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</si>
  <si>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</si>
  <si>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</si>
  <si>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dt</t>
    <phoneticPr fontId="4"/>
  </si>
  <si>
    <t>#MA.DT</t>
    <phoneticPr fontId="3"/>
  </si>
  <si>
    <t>MG.MGUDL5010</t>
    <phoneticPr fontId="3"/>
  </si>
  <si>
    <t>"mcframe.serverMAUD.MAUDL5010.MAUDL_Operation"</t>
    <phoneticPr fontId="3"/>
  </si>
  <si>
    <t>対象日</t>
    <phoneticPr fontId="1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</si>
  <si>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</si>
  <si>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</si>
  <si>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</si>
  <si>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</si>
  <si>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</si>
  <si>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3"/>
  </si>
  <si>
    <t>型
Type</t>
    <phoneticPr fontId="3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</si>
  <si>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</si>
  <si>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</si>
  <si>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</si>
  <si>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</si>
  <si>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</si>
  <si>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</si>
  <si>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</si>
  <si>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Calculation category cd.</t>
  </si>
  <si>
    <t>WG cd.</t>
  </si>
  <si>
    <t>Term</t>
  </si>
  <si>
    <t>Date</t>
  </si>
  <si>
    <t>Include import</t>
  </si>
  <si>
    <t>Master import processing type</t>
  </si>
  <si>
    <t>Parent item cd.</t>
  </si>
  <si>
    <t>Parent branch No. 1</t>
  </si>
  <si>
    <t>Parent branch No. 2</t>
  </si>
  <si>
    <t>Parent branch No. 3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</si>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</sst>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0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2" borderId="5" xfId="0" applyFont="1" applyFill="1" applyBorder="1" applyAlignment="1"/>
    <xf numFmtId="0" fontId="2" fillId="0" borderId="11" xfId="0" applyFont="1" applyBorder="1" applyAlignment="1">
      <alignment wrapText="1"/>
    </xf>
    <xf numFmtId="0" fontId="2" fillId="3" borderId="11" xfId="0" applyFont="1" applyFill="1" applyBorder="1" applyAlignment="1"/>
    <xf numFmtId="0" fontId="2" fillId="3" borderId="5" xfId="0" applyFont="1" applyFill="1" applyBorder="1" applyAlignment="1"/>
    <xf numFmtId="0" fontId="2" fillId="3" borderId="3" xfId="0" applyFont="1" applyFill="1" applyBorder="1">
      <alignment vertical="top" wrapText="1"/>
    </xf>
    <xf numFmtId="0" fontId="2" fillId="0" borderId="11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>
      <alignment vertical="top" wrapText="1"/>
    </xf>
    <xf numFmtId="0" fontId="2" fillId="0" borderId="8" xfId="0" applyFont="1" applyBorder="1">
      <alignment vertical="top" wrapText="1"/>
    </xf>
    <xf numFmtId="0" fontId="2" fillId="0" borderId="7" xfId="0" applyFont="1" applyBorder="1" applyAlignment="1">
      <alignment vertical="center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5" xfId="0" applyFont="1" applyBorder="1" applyAlignment="1"/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105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906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8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3" t="s">
        <v>108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MGBDL5420</v>
      </c>
      <c r="I2" s="7" t="s">
        <v>19</v>
      </c>
      <c r="J2" s="8" t="s">
        <v>20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106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MGBD</v>
      </c>
      <c r="G3" s="7" t="s">
        <v>9</v>
      </c>
      <c r="H3" s="53" t="str">
        <f>IF(LogicCommon!E3="","",LogicCommon!E3)</f>
        <v>MGBDL_CopyBomService</v>
      </c>
      <c r="I3" s="7" t="s">
        <v>22</v>
      </c>
      <c r="J3" s="8" t="s">
        <v>23</v>
      </c>
      <c r="K3" s="7" t="s">
        <v>11</v>
      </c>
      <c r="L3" s="53" t="str">
        <f>IF(LogicCommon!G3="","",LogicCommon!G3)</f>
        <v/>
      </c>
      <c r="M3" s="42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17</v>
      </c>
      <c r="B4" s="55"/>
      <c r="C4" s="55"/>
      <c r="D4" s="4"/>
      <c r="E4" s="7" t="s">
        <v>26</v>
      </c>
      <c r="F4" s="57" t="s">
        <v>27</v>
      </c>
      <c r="G4" s="7" t="s">
        <v>12</v>
      </c>
      <c r="H4" s="53" t="str">
        <f>IF(LogicCommon!E4="","",LogicCommon!E4)</f>
        <v>原価品目連携サービス（ＢＯＭ）</v>
      </c>
      <c r="I4" s="7" t="s">
        <v>28</v>
      </c>
      <c r="J4" s="8" t="s">
        <v>29</v>
      </c>
      <c r="K4" s="7" t="s">
        <v>14</v>
      </c>
      <c r="L4" s="53" t="str">
        <f>IF(LogicCommon!G4="","",LogicCommon!G4)</f>
        <v>MG.MGUDL5010</v>
      </c>
      <c r="M4" s="58" t="s">
        <v>30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17</v>
      </c>
      <c r="B5" s="52"/>
      <c r="C5" s="52"/>
      <c r="D5" s="21"/>
      <c r="E5" s="7" t="s">
        <v>31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4" t="s">
        <v>17</v>
      </c>
      <c r="B6" s="55"/>
      <c r="C6" s="55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2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4"/>
      <c r="C8" s="65"/>
      <c r="D8" s="25" t="s">
        <v>109</v>
      </c>
      <c r="E8" s="25" t="s">
        <v>110</v>
      </c>
      <c r="F8" s="62"/>
      <c r="G8" s="25" t="s">
        <v>38</v>
      </c>
      <c r="H8" s="25" t="s">
        <v>111</v>
      </c>
      <c r="I8" s="62"/>
      <c r="J8" s="3"/>
      <c r="K8" s="8"/>
      <c r="L8" s="25" t="s">
        <v>39</v>
      </c>
      <c r="M8" s="26"/>
      <c r="N8" s="25" t="s">
        <v>39</v>
      </c>
      <c r="O8" s="26"/>
      <c r="P8" s="25" t="s">
        <v>39</v>
      </c>
      <c r="Q8" s="26"/>
      <c r="R8" s="3"/>
      <c r="S8" s="21"/>
      <c r="T8" s="118" t="s">
        <v>112</v>
      </c>
      <c r="U8" s="119"/>
    </row>
    <row r="9" spans="1:21" s="10" customFormat="1" ht="60" customHeight="1" x14ac:dyDescent="0.2">
      <c r="A9" s="8" t="s">
        <v>34</v>
      </c>
      <c r="B9" s="28"/>
      <c r="C9" s="29"/>
      <c r="D9" s="25" t="s">
        <v>113</v>
      </c>
      <c r="E9" s="66" t="s">
        <v>114</v>
      </c>
      <c r="F9" s="25" t="s">
        <v>115</v>
      </c>
      <c r="G9" s="25" t="s">
        <v>116</v>
      </c>
      <c r="H9" s="25" t="s">
        <v>117</v>
      </c>
      <c r="I9" s="67" t="s">
        <v>118</v>
      </c>
      <c r="J9" s="25" t="s">
        <v>119</v>
      </c>
      <c r="K9" s="63"/>
      <c r="L9" s="67"/>
      <c r="M9" s="25"/>
      <c r="N9" s="25"/>
      <c r="O9" s="25"/>
      <c r="P9" s="25"/>
      <c r="Q9" s="25"/>
      <c r="R9" s="118" t="s">
        <v>120</v>
      </c>
      <c r="S9" s="119"/>
      <c r="T9" s="118" t="s">
        <v>121</v>
      </c>
      <c r="U9" s="119"/>
    </row>
    <row r="10" spans="1:21" s="10" customFormat="1" ht="39" x14ac:dyDescent="0.2">
      <c r="A10" s="28" t="s">
        <v>40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118</v>
      </c>
      <c r="M10" s="25" t="s">
        <v>119</v>
      </c>
      <c r="N10" s="25" t="s">
        <v>118</v>
      </c>
      <c r="O10" s="25" t="s">
        <v>119</v>
      </c>
      <c r="P10" s="25" t="s">
        <v>118</v>
      </c>
      <c r="Q10" s="25" t="s">
        <v>119</v>
      </c>
      <c r="R10" s="30"/>
      <c r="S10" s="30"/>
      <c r="T10" s="35"/>
      <c r="U10" s="51"/>
    </row>
    <row r="11" spans="1:21" s="10" customFormat="1" x14ac:dyDescent="0.2">
      <c r="A11" s="8">
        <v>10</v>
      </c>
      <c r="B11" s="28" t="s">
        <v>41</v>
      </c>
      <c r="C11" s="29"/>
      <c r="D11" s="24" t="s">
        <v>42</v>
      </c>
      <c r="E11" s="27" t="s">
        <v>43</v>
      </c>
      <c r="F11" s="36"/>
      <c r="G11" s="24"/>
      <c r="H11" s="37"/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39"/>
      <c r="U11" s="40"/>
    </row>
    <row r="12" spans="1:21" s="10" customForma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41" t="s">
        <v>122</v>
      </c>
      <c r="H12" s="41" t="s">
        <v>46</v>
      </c>
      <c r="I12" s="8" t="s">
        <v>47</v>
      </c>
      <c r="J12" s="8" t="s">
        <v>48</v>
      </c>
      <c r="K12" s="8"/>
      <c r="L12" s="8"/>
      <c r="M12" s="8"/>
      <c r="N12" s="8"/>
      <c r="O12" s="8"/>
      <c r="P12" s="8"/>
      <c r="Q12" s="8"/>
      <c r="R12" s="42"/>
      <c r="S12" s="43"/>
      <c r="T12" s="39"/>
      <c r="U12" s="40"/>
    </row>
    <row r="13" spans="1:21" s="10" customFormat="1" x14ac:dyDescent="0.2">
      <c r="A13" s="8">
        <v>10</v>
      </c>
      <c r="B13" s="8"/>
      <c r="C13" s="8"/>
      <c r="D13" s="8" t="s">
        <v>49</v>
      </c>
      <c r="E13" s="26" t="s">
        <v>50</v>
      </c>
      <c r="F13" s="26"/>
      <c r="G13" s="41" t="s">
        <v>123</v>
      </c>
      <c r="H13" s="41" t="s">
        <v>51</v>
      </c>
      <c r="I13" s="8" t="s">
        <v>47</v>
      </c>
      <c r="J13" s="8" t="s">
        <v>48</v>
      </c>
      <c r="K13" s="8"/>
      <c r="L13" s="8"/>
      <c r="M13" s="8"/>
      <c r="N13" s="8"/>
      <c r="O13" s="8"/>
      <c r="P13" s="8"/>
      <c r="Q13" s="8"/>
      <c r="R13" s="42"/>
      <c r="S13" s="43"/>
      <c r="T13" s="39"/>
      <c r="U13" s="40"/>
    </row>
    <row r="14" spans="1:21" s="10" customFormat="1" x14ac:dyDescent="0.2">
      <c r="A14" s="8">
        <v>10</v>
      </c>
      <c r="B14" s="8"/>
      <c r="C14" s="8"/>
      <c r="D14" s="8" t="s">
        <v>52</v>
      </c>
      <c r="E14" s="26" t="s">
        <v>53</v>
      </c>
      <c r="F14" s="26"/>
      <c r="G14" s="41" t="s">
        <v>124</v>
      </c>
      <c r="H14" s="41" t="s">
        <v>54</v>
      </c>
      <c r="I14" s="8" t="s">
        <v>47</v>
      </c>
      <c r="J14" s="8" t="s">
        <v>48</v>
      </c>
      <c r="K14" s="8"/>
      <c r="L14" s="8"/>
      <c r="M14" s="8"/>
      <c r="N14" s="8"/>
      <c r="O14" s="8"/>
      <c r="P14" s="8"/>
      <c r="Q14" s="8"/>
      <c r="R14" s="42"/>
      <c r="S14" s="43"/>
      <c r="T14" s="39"/>
      <c r="U14" s="40"/>
    </row>
    <row r="15" spans="1:21" s="10" customFormat="1" x14ac:dyDescent="0.2">
      <c r="A15" s="8">
        <v>10</v>
      </c>
      <c r="B15" s="8"/>
      <c r="C15" s="8"/>
      <c r="D15" s="8" t="s">
        <v>103</v>
      </c>
      <c r="E15" s="26" t="s">
        <v>104</v>
      </c>
      <c r="F15" s="26"/>
      <c r="G15" s="41" t="s">
        <v>125</v>
      </c>
      <c r="H15" s="41" t="s">
        <v>107</v>
      </c>
      <c r="I15" s="8" t="s">
        <v>47</v>
      </c>
      <c r="J15" s="8" t="s">
        <v>48</v>
      </c>
      <c r="K15" s="8"/>
      <c r="L15" s="8"/>
      <c r="M15" s="8"/>
      <c r="N15" s="8"/>
      <c r="O15" s="8"/>
      <c r="P15" s="8"/>
      <c r="Q15" s="8"/>
      <c r="R15" s="42"/>
      <c r="S15" s="43"/>
      <c r="T15" s="39"/>
      <c r="U15" s="40"/>
    </row>
    <row r="16" spans="1:21" s="10" customFormat="1" x14ac:dyDescent="0.2">
      <c r="A16" s="8">
        <v>10</v>
      </c>
      <c r="B16" s="8"/>
      <c r="C16" s="8"/>
      <c r="D16" s="8" t="s">
        <v>55</v>
      </c>
      <c r="E16" s="26" t="s">
        <v>56</v>
      </c>
      <c r="F16" s="26"/>
      <c r="G16" s="41" t="s">
        <v>126</v>
      </c>
      <c r="H16" s="41" t="s">
        <v>57</v>
      </c>
      <c r="I16" s="8" t="s">
        <v>47</v>
      </c>
      <c r="J16" s="8" t="s">
        <v>48</v>
      </c>
      <c r="K16" s="8"/>
      <c r="L16" s="8"/>
      <c r="M16" s="8"/>
      <c r="N16" s="8"/>
      <c r="O16" s="8"/>
      <c r="P16" s="8"/>
      <c r="Q16" s="8"/>
      <c r="R16" s="42"/>
      <c r="S16" s="43"/>
      <c r="T16" s="39"/>
      <c r="U16" s="40"/>
    </row>
    <row r="17" spans="1:21" s="10" customFormat="1" x14ac:dyDescent="0.2">
      <c r="A17" s="8">
        <v>10</v>
      </c>
      <c r="B17" s="8"/>
      <c r="C17" s="8"/>
      <c r="D17" s="8" t="s">
        <v>58</v>
      </c>
      <c r="E17" s="26" t="s">
        <v>59</v>
      </c>
      <c r="F17" s="26"/>
      <c r="G17" s="41" t="s">
        <v>127</v>
      </c>
      <c r="H17" s="41" t="s">
        <v>60</v>
      </c>
      <c r="I17" s="8" t="s">
        <v>47</v>
      </c>
      <c r="J17" s="8" t="s">
        <v>48</v>
      </c>
      <c r="K17" s="8"/>
      <c r="L17" s="8"/>
      <c r="M17" s="8"/>
      <c r="N17" s="8"/>
      <c r="O17" s="8"/>
      <c r="P17" s="8"/>
      <c r="Q17" s="8"/>
      <c r="R17" s="42"/>
      <c r="S17" s="43"/>
      <c r="T17" s="39"/>
      <c r="U17" s="40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9"/>
      <c r="S18" s="9"/>
      <c r="T18" s="9"/>
      <c r="U18" s="44"/>
    </row>
    <row r="19" spans="1:21" s="10" customFormat="1" x14ac:dyDescent="0.2">
      <c r="A19" s="54"/>
      <c r="U19" s="45"/>
    </row>
    <row r="20" spans="1:21" s="10" customFormat="1" x14ac:dyDescent="0.2">
      <c r="A20" s="54"/>
      <c r="U20" s="45"/>
    </row>
    <row r="21" spans="1:21" s="10" customFormat="1" x14ac:dyDescent="0.2">
      <c r="A21" s="54"/>
      <c r="U21" s="45"/>
    </row>
    <row r="22" spans="1:21" s="10" customFormat="1" x14ac:dyDescent="0.2">
      <c r="A22" s="54"/>
      <c r="U22" s="45"/>
    </row>
    <row r="23" spans="1:21" s="10" customFormat="1" x14ac:dyDescent="0.2">
      <c r="A23" s="54"/>
      <c r="U23" s="45"/>
    </row>
    <row r="24" spans="1:21" s="10" customFormat="1" x14ac:dyDescent="0.2">
      <c r="A24" s="54"/>
      <c r="U24" s="45"/>
    </row>
    <row r="25" spans="1:21" s="10" customFormat="1" x14ac:dyDescent="0.2">
      <c r="A25" s="54"/>
      <c r="U25" s="45"/>
    </row>
    <row r="26" spans="1:21" s="10" customFormat="1" x14ac:dyDescent="0.2">
      <c r="A26" s="54"/>
      <c r="U26" s="45"/>
    </row>
    <row r="27" spans="1:21" s="10" customFormat="1" x14ac:dyDescent="0.2">
      <c r="A27" s="54"/>
      <c r="U27" s="45"/>
    </row>
    <row r="28" spans="1:21" s="10" customFormat="1" x14ac:dyDescent="0.2">
      <c r="A28" s="54"/>
      <c r="U28" s="45"/>
    </row>
    <row r="29" spans="1:21" s="10" customFormat="1" x14ac:dyDescent="0.2">
      <c r="A29" s="54"/>
      <c r="U29" s="45"/>
    </row>
    <row r="30" spans="1:21" s="10" customFormat="1" x14ac:dyDescent="0.2">
      <c r="A30" s="54"/>
      <c r="U30" s="45"/>
    </row>
    <row r="31" spans="1:21" s="10" customFormat="1" x14ac:dyDescent="0.2">
      <c r="A31" s="60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46"/>
    </row>
  </sheetData>
  <mergeCells count="3">
    <mergeCell ref="T8:U8"/>
    <mergeCell ref="R9:S9"/>
    <mergeCell ref="T9:U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90625" style="4" customWidth="1"/>
    <col min="3" max="3" width="8.984375E-2" style="4" hidden="1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41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3" t="s">
        <v>108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MGBDL5420</v>
      </c>
      <c r="I2" s="7" t="s">
        <v>19</v>
      </c>
      <c r="J2" s="8" t="s">
        <v>61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106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MGBD</v>
      </c>
      <c r="G3" s="7" t="s">
        <v>9</v>
      </c>
      <c r="H3" s="53" t="str">
        <f>IF(LogicCommon!E3="","",LogicCommon!E3)</f>
        <v>MGBDL_CopyBomService</v>
      </c>
      <c r="I3" s="7" t="s">
        <v>22</v>
      </c>
      <c r="J3" s="8" t="s">
        <v>62</v>
      </c>
      <c r="K3" s="7" t="s">
        <v>11</v>
      </c>
      <c r="L3" s="53" t="str">
        <f>IF(LogicCommon!G3="","",LogicCommon!G3)</f>
        <v/>
      </c>
      <c r="M3" s="42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17</v>
      </c>
      <c r="B4" s="55"/>
      <c r="C4" s="55"/>
      <c r="D4" s="4"/>
      <c r="E4" s="7" t="s">
        <v>26</v>
      </c>
      <c r="F4" s="57" t="s">
        <v>27</v>
      </c>
      <c r="G4" s="7" t="s">
        <v>12</v>
      </c>
      <c r="H4" s="53" t="str">
        <f>IF(LogicCommon!E4="","",LogicCommon!E4)</f>
        <v>原価品目連携サービス（ＢＯＭ）</v>
      </c>
      <c r="I4" s="7" t="s">
        <v>28</v>
      </c>
      <c r="J4" s="8" t="s">
        <v>63</v>
      </c>
      <c r="K4" s="7" t="s">
        <v>14</v>
      </c>
      <c r="L4" s="53" t="str">
        <f>IF(LogicCommon!G4="","",LogicCommon!G4)</f>
        <v>MG.MGUDL5010</v>
      </c>
      <c r="M4" s="58" t="s">
        <v>30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17</v>
      </c>
      <c r="B5" s="52"/>
      <c r="C5" s="52"/>
      <c r="D5" s="21"/>
      <c r="E5" s="7" t="s">
        <v>31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4" t="s">
        <v>17</v>
      </c>
      <c r="B6" s="55"/>
      <c r="C6" s="55"/>
      <c r="D6" s="4" t="s">
        <v>15</v>
      </c>
      <c r="E6" s="12" t="s">
        <v>64</v>
      </c>
      <c r="F6" s="12"/>
      <c r="G6" s="12"/>
      <c r="H6" s="12"/>
      <c r="I6" s="12"/>
      <c r="J6" s="12"/>
      <c r="K6" s="12"/>
      <c r="L6" s="62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65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4"/>
      <c r="C8" s="65"/>
      <c r="D8" s="25" t="s">
        <v>109</v>
      </c>
      <c r="E8" s="25" t="s">
        <v>110</v>
      </c>
      <c r="F8" s="62"/>
      <c r="G8" s="25" t="s">
        <v>38</v>
      </c>
      <c r="H8" s="25" t="s">
        <v>111</v>
      </c>
      <c r="I8" s="62"/>
      <c r="J8" s="3"/>
      <c r="K8" s="8"/>
      <c r="L8" s="25" t="s">
        <v>66</v>
      </c>
      <c r="M8" s="26"/>
      <c r="N8" s="25" t="s">
        <v>39</v>
      </c>
      <c r="O8" s="26"/>
      <c r="P8" s="25" t="s">
        <v>39</v>
      </c>
      <c r="Q8" s="26"/>
      <c r="R8" s="3"/>
      <c r="S8" s="21"/>
      <c r="T8" s="118" t="s">
        <v>112</v>
      </c>
      <c r="U8" s="119"/>
    </row>
    <row r="9" spans="1:21" s="10" customFormat="1" ht="60" customHeight="1" x14ac:dyDescent="0.2">
      <c r="A9" s="8" t="s">
        <v>34</v>
      </c>
      <c r="B9" s="28"/>
      <c r="C9" s="29"/>
      <c r="D9" s="25" t="s">
        <v>113</v>
      </c>
      <c r="E9" s="66" t="s">
        <v>114</v>
      </c>
      <c r="F9" s="25" t="s">
        <v>115</v>
      </c>
      <c r="G9" s="25" t="s">
        <v>116</v>
      </c>
      <c r="H9" s="25" t="s">
        <v>117</v>
      </c>
      <c r="I9" s="67" t="s">
        <v>118</v>
      </c>
      <c r="J9" s="25" t="s">
        <v>119</v>
      </c>
      <c r="K9" s="63"/>
      <c r="L9" s="67"/>
      <c r="M9" s="25"/>
      <c r="N9" s="25"/>
      <c r="O9" s="25"/>
      <c r="P9" s="25"/>
      <c r="Q9" s="25"/>
      <c r="R9" s="118" t="s">
        <v>120</v>
      </c>
      <c r="S9" s="119"/>
      <c r="T9" s="118" t="s">
        <v>121</v>
      </c>
      <c r="U9" s="119"/>
    </row>
    <row r="10" spans="1:21" s="10" customFormat="1" ht="39" x14ac:dyDescent="0.2">
      <c r="A10" s="28" t="s">
        <v>40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118</v>
      </c>
      <c r="M10" s="25" t="s">
        <v>119</v>
      </c>
      <c r="N10" s="25" t="s">
        <v>118</v>
      </c>
      <c r="O10" s="25" t="s">
        <v>119</v>
      </c>
      <c r="P10" s="25" t="s">
        <v>118</v>
      </c>
      <c r="Q10" s="25" t="s">
        <v>119</v>
      </c>
      <c r="R10" s="30"/>
      <c r="S10" s="30"/>
      <c r="T10" s="35"/>
      <c r="U10" s="51"/>
    </row>
    <row r="11" spans="1:21" s="10" customFormat="1" x14ac:dyDescent="0.2">
      <c r="A11" s="8">
        <v>10</v>
      </c>
      <c r="B11" s="28" t="s">
        <v>67</v>
      </c>
      <c r="C11" s="29"/>
      <c r="D11" s="24" t="s">
        <v>68</v>
      </c>
      <c r="E11" s="27" t="s">
        <v>69</v>
      </c>
      <c r="F11" s="36"/>
      <c r="G11" s="24" t="s">
        <v>70</v>
      </c>
      <c r="H11" s="37" t="s">
        <v>71</v>
      </c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39"/>
      <c r="U11" s="40"/>
    </row>
    <row r="12" spans="1:21" s="10" customForma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41" t="s">
        <v>122</v>
      </c>
      <c r="H12" s="41" t="s">
        <v>46</v>
      </c>
      <c r="I12" s="8" t="s">
        <v>72</v>
      </c>
      <c r="J12" s="8" t="s">
        <v>48</v>
      </c>
      <c r="K12" s="8"/>
      <c r="L12" s="8"/>
      <c r="M12" s="8"/>
      <c r="N12" s="8"/>
      <c r="O12" s="8"/>
      <c r="P12" s="8"/>
      <c r="Q12" s="8"/>
      <c r="R12" s="42"/>
      <c r="S12" s="43"/>
      <c r="T12" s="39"/>
      <c r="U12" s="40"/>
    </row>
    <row r="13" spans="1:21" s="10" customFormat="1" x14ac:dyDescent="0.2">
      <c r="A13" s="8">
        <v>10</v>
      </c>
      <c r="B13" s="8"/>
      <c r="C13" s="8"/>
      <c r="D13" s="8" t="s">
        <v>73</v>
      </c>
      <c r="E13" s="26" t="s">
        <v>50</v>
      </c>
      <c r="F13" s="26"/>
      <c r="G13" s="41" t="s">
        <v>123</v>
      </c>
      <c r="H13" s="41" t="s">
        <v>51</v>
      </c>
      <c r="I13" s="8" t="s">
        <v>72</v>
      </c>
      <c r="J13" s="8" t="s">
        <v>48</v>
      </c>
      <c r="K13" s="8"/>
      <c r="L13" s="8"/>
      <c r="M13" s="8"/>
      <c r="N13" s="8"/>
      <c r="O13" s="8"/>
      <c r="P13" s="8"/>
      <c r="Q13" s="8"/>
      <c r="R13" s="42"/>
      <c r="S13" s="43"/>
      <c r="T13" s="39"/>
      <c r="U13" s="40"/>
    </row>
    <row r="14" spans="1:21" s="10" customFormat="1" x14ac:dyDescent="0.2">
      <c r="A14" s="8">
        <v>10</v>
      </c>
      <c r="B14" s="8"/>
      <c r="C14" s="8"/>
      <c r="D14" s="8" t="s">
        <v>74</v>
      </c>
      <c r="E14" s="26" t="s">
        <v>75</v>
      </c>
      <c r="F14" s="26"/>
      <c r="G14" s="41" t="s">
        <v>124</v>
      </c>
      <c r="H14" s="41" t="s">
        <v>54</v>
      </c>
      <c r="I14" s="8" t="s">
        <v>72</v>
      </c>
      <c r="J14" s="8" t="s">
        <v>48</v>
      </c>
      <c r="K14" s="8"/>
      <c r="L14" s="8"/>
      <c r="M14" s="8"/>
      <c r="N14" s="8"/>
      <c r="O14" s="8"/>
      <c r="P14" s="8"/>
      <c r="Q14" s="8"/>
      <c r="R14" s="42"/>
      <c r="S14" s="43"/>
      <c r="T14" s="39"/>
      <c r="U14" s="40"/>
    </row>
    <row r="15" spans="1:21" s="10" customFormat="1" x14ac:dyDescent="0.2">
      <c r="A15" s="8">
        <v>10</v>
      </c>
      <c r="B15" s="8"/>
      <c r="C15" s="8"/>
      <c r="D15" s="8" t="s">
        <v>76</v>
      </c>
      <c r="E15" s="26" t="s">
        <v>77</v>
      </c>
      <c r="F15" s="26"/>
      <c r="G15" s="41" t="s">
        <v>128</v>
      </c>
      <c r="H15" s="41" t="s">
        <v>78</v>
      </c>
      <c r="I15" s="8" t="s">
        <v>72</v>
      </c>
      <c r="J15" s="8" t="s">
        <v>48</v>
      </c>
      <c r="K15" s="8"/>
      <c r="L15" s="8"/>
      <c r="M15" s="8"/>
      <c r="N15" s="8"/>
      <c r="O15" s="8"/>
      <c r="P15" s="8"/>
      <c r="Q15" s="8"/>
      <c r="R15" s="42"/>
      <c r="S15" s="43"/>
      <c r="T15" s="39"/>
      <c r="U15" s="40"/>
    </row>
    <row r="16" spans="1:21" s="10" customFormat="1" x14ac:dyDescent="0.2">
      <c r="A16" s="8">
        <v>10</v>
      </c>
      <c r="B16" s="8"/>
      <c r="C16" s="8"/>
      <c r="D16" s="8" t="s">
        <v>79</v>
      </c>
      <c r="E16" s="26" t="s">
        <v>80</v>
      </c>
      <c r="F16" s="26"/>
      <c r="G16" s="41" t="s">
        <v>129</v>
      </c>
      <c r="H16" s="41" t="s">
        <v>81</v>
      </c>
      <c r="I16" s="8" t="s">
        <v>72</v>
      </c>
      <c r="J16" s="8" t="s">
        <v>48</v>
      </c>
      <c r="K16" s="8"/>
      <c r="L16" s="8"/>
      <c r="M16" s="8"/>
      <c r="N16" s="8"/>
      <c r="O16" s="8"/>
      <c r="P16" s="8"/>
      <c r="Q16" s="8"/>
      <c r="R16" s="42"/>
      <c r="S16" s="43"/>
      <c r="T16" s="39"/>
      <c r="U16" s="40"/>
    </row>
    <row r="17" spans="1:21" s="10" customFormat="1" x14ac:dyDescent="0.2">
      <c r="A17" s="8">
        <v>10</v>
      </c>
      <c r="B17" s="8"/>
      <c r="C17" s="8"/>
      <c r="D17" s="8" t="s">
        <v>82</v>
      </c>
      <c r="E17" s="26" t="s">
        <v>83</v>
      </c>
      <c r="F17" s="26"/>
      <c r="G17" s="41" t="s">
        <v>130</v>
      </c>
      <c r="H17" s="41" t="s">
        <v>84</v>
      </c>
      <c r="I17" s="8" t="s">
        <v>72</v>
      </c>
      <c r="J17" s="8" t="s">
        <v>48</v>
      </c>
      <c r="K17" s="8"/>
      <c r="L17" s="8"/>
      <c r="M17" s="8"/>
      <c r="N17" s="8"/>
      <c r="O17" s="8"/>
      <c r="P17" s="8"/>
      <c r="Q17" s="8"/>
      <c r="R17" s="42"/>
      <c r="S17" s="43"/>
      <c r="T17" s="39"/>
      <c r="U17" s="40"/>
    </row>
    <row r="18" spans="1:21" s="10" customFormat="1" x14ac:dyDescent="0.2">
      <c r="A18" s="8">
        <v>10</v>
      </c>
      <c r="B18" s="8"/>
      <c r="C18" s="8"/>
      <c r="D18" s="8" t="s">
        <v>85</v>
      </c>
      <c r="E18" s="26" t="s">
        <v>86</v>
      </c>
      <c r="F18" s="26"/>
      <c r="G18" s="41" t="s">
        <v>131</v>
      </c>
      <c r="H18" s="41" t="s">
        <v>87</v>
      </c>
      <c r="I18" s="8" t="s">
        <v>72</v>
      </c>
      <c r="J18" s="8" t="s">
        <v>48</v>
      </c>
      <c r="K18" s="8"/>
      <c r="L18" s="8"/>
      <c r="M18" s="8"/>
      <c r="N18" s="8"/>
      <c r="O18" s="8"/>
      <c r="P18" s="8"/>
      <c r="Q18" s="8"/>
      <c r="R18" s="42"/>
      <c r="S18" s="43"/>
      <c r="T18" s="39"/>
      <c r="U18" s="40"/>
    </row>
    <row r="19" spans="1:21" s="10" customFormat="1" x14ac:dyDescent="0.2">
      <c r="A19" s="22"/>
      <c r="B19" s="23"/>
      <c r="C19" s="23"/>
      <c r="D19" s="16" t="s">
        <v>16</v>
      </c>
      <c r="E19" s="6"/>
      <c r="F19" s="6"/>
      <c r="G19" s="6"/>
      <c r="H19" s="6"/>
      <c r="I19" s="6"/>
      <c r="J19" s="4"/>
      <c r="K19" s="6"/>
      <c r="L19" s="6"/>
      <c r="M19" s="6"/>
      <c r="N19" s="6"/>
      <c r="O19" s="6"/>
      <c r="P19" s="6"/>
      <c r="Q19" s="6"/>
      <c r="R19" s="9"/>
      <c r="S19" s="9"/>
      <c r="T19" s="9"/>
      <c r="U19" s="47"/>
    </row>
    <row r="20" spans="1:21" s="10" customFormat="1" x14ac:dyDescent="0.2">
      <c r="A20" s="54"/>
      <c r="U20" s="45"/>
    </row>
    <row r="21" spans="1:21" s="10" customFormat="1" x14ac:dyDescent="0.2">
      <c r="A21" s="54"/>
      <c r="U21" s="45"/>
    </row>
    <row r="22" spans="1:21" s="10" customFormat="1" x14ac:dyDescent="0.2">
      <c r="A22" s="54"/>
      <c r="U22" s="45"/>
    </row>
    <row r="23" spans="1:21" s="10" customFormat="1" x14ac:dyDescent="0.2">
      <c r="A23" s="54"/>
      <c r="U23" s="45"/>
    </row>
    <row r="24" spans="1:21" s="10" customFormat="1" x14ac:dyDescent="0.2">
      <c r="A24" s="54"/>
      <c r="U24" s="45"/>
    </row>
    <row r="25" spans="1:21" s="10" customFormat="1" x14ac:dyDescent="0.2">
      <c r="A25" s="54"/>
      <c r="U25" s="45"/>
    </row>
    <row r="26" spans="1:21" s="10" customFormat="1" x14ac:dyDescent="0.2">
      <c r="A26" s="54"/>
      <c r="U26" s="45"/>
    </row>
    <row r="27" spans="1:21" s="10" customFormat="1" x14ac:dyDescent="0.2">
      <c r="A27" s="54"/>
      <c r="U27" s="45"/>
    </row>
    <row r="28" spans="1:21" s="10" customFormat="1" x14ac:dyDescent="0.2">
      <c r="A28" s="54"/>
      <c r="U28" s="45"/>
    </row>
    <row r="29" spans="1:21" s="10" customFormat="1" x14ac:dyDescent="0.2">
      <c r="A29" s="54"/>
      <c r="U29" s="45"/>
    </row>
    <row r="30" spans="1:21" s="10" customFormat="1" x14ac:dyDescent="0.2">
      <c r="A30" s="54"/>
      <c r="U30" s="45"/>
    </row>
    <row r="31" spans="1:21" s="10" customFormat="1" x14ac:dyDescent="0.2">
      <c r="A31" s="54"/>
      <c r="U31" s="45"/>
    </row>
    <row r="32" spans="1:21" s="10" customFormat="1" x14ac:dyDescent="0.2">
      <c r="A32" s="60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46"/>
    </row>
  </sheetData>
  <mergeCells count="3">
    <mergeCell ref="T8:U8"/>
    <mergeCell ref="R9:S9"/>
    <mergeCell ref="T9:U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90625" style="4" customWidth="1"/>
    <col min="3" max="3" width="8.984375E-2" style="4" hidden="1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41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3" t="s">
        <v>108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MGBDL5420</v>
      </c>
      <c r="I2" s="7" t="s">
        <v>19</v>
      </c>
      <c r="J2" s="8" t="s">
        <v>88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106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MGBD</v>
      </c>
      <c r="G3" s="7" t="s">
        <v>9</v>
      </c>
      <c r="H3" s="53" t="str">
        <f>IF(LogicCommon!E3="","",LogicCommon!E3)</f>
        <v>MGBDL_CopyBomService</v>
      </c>
      <c r="I3" s="7" t="s">
        <v>22</v>
      </c>
      <c r="J3" s="8" t="s">
        <v>89</v>
      </c>
      <c r="K3" s="7" t="s">
        <v>11</v>
      </c>
      <c r="L3" s="53" t="str">
        <f>IF(LogicCommon!G3="","",LogicCommon!G3)</f>
        <v/>
      </c>
      <c r="M3" s="42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17</v>
      </c>
      <c r="B4" s="55"/>
      <c r="C4" s="55"/>
      <c r="D4" s="4"/>
      <c r="E4" s="7" t="s">
        <v>26</v>
      </c>
      <c r="F4" s="57" t="s">
        <v>27</v>
      </c>
      <c r="G4" s="7" t="s">
        <v>12</v>
      </c>
      <c r="H4" s="53" t="str">
        <f>IF(LogicCommon!E4="","",LogicCommon!E4)</f>
        <v>原価品目連携サービス（ＢＯＭ）</v>
      </c>
      <c r="I4" s="7" t="s">
        <v>28</v>
      </c>
      <c r="J4" s="8" t="s">
        <v>90</v>
      </c>
      <c r="K4" s="7" t="s">
        <v>14</v>
      </c>
      <c r="L4" s="53" t="str">
        <f>IF(LogicCommon!G4="","",LogicCommon!G4)</f>
        <v>MG.MGUDL5010</v>
      </c>
      <c r="M4" s="58" t="s">
        <v>30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17</v>
      </c>
      <c r="B5" s="52"/>
      <c r="C5" s="52"/>
      <c r="D5" s="21"/>
      <c r="E5" s="7" t="s">
        <v>31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4" t="s">
        <v>17</v>
      </c>
      <c r="B6" s="55"/>
      <c r="C6" s="55"/>
      <c r="D6" s="4" t="s">
        <v>15</v>
      </c>
      <c r="E6" s="12" t="s">
        <v>91</v>
      </c>
      <c r="F6" s="12"/>
      <c r="G6" s="12"/>
      <c r="H6" s="12"/>
      <c r="I6" s="12"/>
      <c r="J6" s="12"/>
      <c r="K6" s="12"/>
      <c r="L6" s="62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92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65</v>
      </c>
      <c r="L7" s="25" t="s">
        <v>93</v>
      </c>
      <c r="M7" s="26"/>
      <c r="N7" s="25" t="s">
        <v>93</v>
      </c>
      <c r="O7" s="26"/>
      <c r="P7" s="25" t="s">
        <v>93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4"/>
      <c r="C8" s="65"/>
      <c r="D8" s="25" t="s">
        <v>109</v>
      </c>
      <c r="E8" s="25" t="s">
        <v>110</v>
      </c>
      <c r="F8" s="62"/>
      <c r="G8" s="25" t="s">
        <v>38</v>
      </c>
      <c r="H8" s="25" t="s">
        <v>111</v>
      </c>
      <c r="I8" s="62"/>
      <c r="J8" s="3"/>
      <c r="K8" s="8"/>
      <c r="L8" s="25" t="s">
        <v>39</v>
      </c>
      <c r="M8" s="26"/>
      <c r="N8" s="25" t="s">
        <v>66</v>
      </c>
      <c r="O8" s="26"/>
      <c r="P8" s="25" t="s">
        <v>66</v>
      </c>
      <c r="Q8" s="26"/>
      <c r="R8" s="3"/>
      <c r="S8" s="21"/>
      <c r="T8" s="118" t="s">
        <v>112</v>
      </c>
      <c r="U8" s="119"/>
    </row>
    <row r="9" spans="1:21" s="10" customFormat="1" ht="60" customHeight="1" x14ac:dyDescent="0.2">
      <c r="A9" s="8" t="s">
        <v>34</v>
      </c>
      <c r="B9" s="28"/>
      <c r="C9" s="29"/>
      <c r="D9" s="25" t="s">
        <v>113</v>
      </c>
      <c r="E9" s="66" t="s">
        <v>114</v>
      </c>
      <c r="F9" s="25" t="s">
        <v>115</v>
      </c>
      <c r="G9" s="25" t="s">
        <v>116</v>
      </c>
      <c r="H9" s="25" t="s">
        <v>117</v>
      </c>
      <c r="I9" s="67" t="s">
        <v>118</v>
      </c>
      <c r="J9" s="25" t="s">
        <v>119</v>
      </c>
      <c r="K9" s="63"/>
      <c r="L9" s="67"/>
      <c r="M9" s="25"/>
      <c r="N9" s="25"/>
      <c r="O9" s="25"/>
      <c r="P9" s="25"/>
      <c r="Q9" s="25"/>
      <c r="R9" s="118" t="s">
        <v>120</v>
      </c>
      <c r="S9" s="119"/>
      <c r="T9" s="118" t="s">
        <v>121</v>
      </c>
      <c r="U9" s="119"/>
    </row>
    <row r="10" spans="1:21" s="10" customFormat="1" ht="39" x14ac:dyDescent="0.2">
      <c r="A10" s="28" t="s">
        <v>40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118</v>
      </c>
      <c r="M10" s="25" t="s">
        <v>119</v>
      </c>
      <c r="N10" s="25" t="s">
        <v>118</v>
      </c>
      <c r="O10" s="25" t="s">
        <v>119</v>
      </c>
      <c r="P10" s="25" t="s">
        <v>118</v>
      </c>
      <c r="Q10" s="25" t="s">
        <v>119</v>
      </c>
      <c r="R10" s="30"/>
      <c r="S10" s="30"/>
      <c r="T10" s="35"/>
      <c r="U10" s="51"/>
    </row>
    <row r="11" spans="1:21" s="10" customFormat="1" x14ac:dyDescent="0.2">
      <c r="A11" s="8">
        <v>10</v>
      </c>
      <c r="B11" s="28" t="s">
        <v>41</v>
      </c>
      <c r="C11" s="29"/>
      <c r="D11" s="24" t="s">
        <v>94</v>
      </c>
      <c r="E11" s="27" t="s">
        <v>43</v>
      </c>
      <c r="F11" s="36"/>
      <c r="G11" s="24" t="s">
        <v>95</v>
      </c>
      <c r="H11" s="37" t="s">
        <v>96</v>
      </c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39"/>
      <c r="U11" s="40"/>
    </row>
    <row r="12" spans="1:21" s="10" customForma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41" t="s">
        <v>122</v>
      </c>
      <c r="H12" s="41" t="s">
        <v>46</v>
      </c>
      <c r="I12" s="8" t="s">
        <v>47</v>
      </c>
      <c r="J12" s="8" t="s">
        <v>48</v>
      </c>
      <c r="K12" s="8"/>
      <c r="L12" s="8"/>
      <c r="M12" s="8"/>
      <c r="N12" s="8"/>
      <c r="O12" s="8"/>
      <c r="P12" s="8"/>
      <c r="Q12" s="8"/>
      <c r="R12" s="42"/>
      <c r="S12" s="43"/>
      <c r="T12" s="39"/>
      <c r="U12" s="40"/>
    </row>
    <row r="13" spans="1:21" s="10" customFormat="1" x14ac:dyDescent="0.2">
      <c r="A13" s="8">
        <v>10</v>
      </c>
      <c r="B13" s="8"/>
      <c r="C13" s="8"/>
      <c r="D13" s="8" t="s">
        <v>49</v>
      </c>
      <c r="E13" s="26" t="s">
        <v>50</v>
      </c>
      <c r="F13" s="26"/>
      <c r="G13" s="41" t="s">
        <v>123</v>
      </c>
      <c r="H13" s="41" t="s">
        <v>51</v>
      </c>
      <c r="I13" s="8" t="s">
        <v>47</v>
      </c>
      <c r="J13" s="8" t="s">
        <v>48</v>
      </c>
      <c r="K13" s="8"/>
      <c r="L13" s="8"/>
      <c r="M13" s="8"/>
      <c r="N13" s="8"/>
      <c r="O13" s="8"/>
      <c r="P13" s="8"/>
      <c r="Q13" s="8"/>
      <c r="R13" s="42"/>
      <c r="S13" s="43"/>
      <c r="T13" s="39"/>
      <c r="U13" s="40"/>
    </row>
    <row r="14" spans="1:21" s="10" customFormat="1" x14ac:dyDescent="0.2">
      <c r="A14" s="8">
        <v>10</v>
      </c>
      <c r="B14" s="8"/>
      <c r="C14" s="8"/>
      <c r="D14" s="8" t="s">
        <v>52</v>
      </c>
      <c r="E14" s="26" t="s">
        <v>53</v>
      </c>
      <c r="F14" s="26"/>
      <c r="G14" s="41" t="s">
        <v>124</v>
      </c>
      <c r="H14" s="41" t="s">
        <v>54</v>
      </c>
      <c r="I14" s="8" t="s">
        <v>47</v>
      </c>
      <c r="J14" s="8" t="s">
        <v>48</v>
      </c>
      <c r="K14" s="8"/>
      <c r="L14" s="8"/>
      <c r="M14" s="8"/>
      <c r="N14" s="8"/>
      <c r="O14" s="8"/>
      <c r="P14" s="8"/>
      <c r="Q14" s="8"/>
      <c r="R14" s="42"/>
      <c r="S14" s="43"/>
      <c r="T14" s="39"/>
      <c r="U14" s="40"/>
    </row>
    <row r="15" spans="1:21" s="10" customFormat="1" x14ac:dyDescent="0.2">
      <c r="A15" s="8">
        <v>10</v>
      </c>
      <c r="B15" s="8"/>
      <c r="C15" s="8"/>
      <c r="D15" s="8" t="s">
        <v>55</v>
      </c>
      <c r="E15" s="26" t="s">
        <v>56</v>
      </c>
      <c r="F15" s="26"/>
      <c r="G15" s="41" t="s">
        <v>126</v>
      </c>
      <c r="H15" s="41" t="s">
        <v>57</v>
      </c>
      <c r="I15" s="8" t="s">
        <v>48</v>
      </c>
      <c r="J15" s="8" t="s">
        <v>48</v>
      </c>
      <c r="K15" s="8"/>
      <c r="L15" s="8"/>
      <c r="M15" s="8"/>
      <c r="N15" s="8"/>
      <c r="O15" s="8"/>
      <c r="P15" s="8"/>
      <c r="Q15" s="8"/>
      <c r="R15" s="42"/>
      <c r="S15" s="43"/>
      <c r="T15" s="39"/>
      <c r="U15" s="40"/>
    </row>
    <row r="16" spans="1:21" s="10" customFormat="1" x14ac:dyDescent="0.2">
      <c r="A16" s="8">
        <v>10</v>
      </c>
      <c r="B16" s="8"/>
      <c r="C16" s="8"/>
      <c r="D16" s="8" t="s">
        <v>58</v>
      </c>
      <c r="E16" s="26" t="s">
        <v>59</v>
      </c>
      <c r="F16" s="26"/>
      <c r="G16" s="41" t="s">
        <v>127</v>
      </c>
      <c r="H16" s="41" t="s">
        <v>60</v>
      </c>
      <c r="I16" s="8" t="s">
        <v>48</v>
      </c>
      <c r="J16" s="8" t="s">
        <v>48</v>
      </c>
      <c r="K16" s="8"/>
      <c r="L16" s="8"/>
      <c r="M16" s="8"/>
      <c r="N16" s="8"/>
      <c r="O16" s="8"/>
      <c r="P16" s="8"/>
      <c r="Q16" s="8"/>
      <c r="R16" s="42"/>
      <c r="S16" s="43"/>
      <c r="T16" s="39"/>
      <c r="U16" s="40"/>
    </row>
    <row r="17" spans="1:21" s="10" customFormat="1" x14ac:dyDescent="0.2">
      <c r="A17" s="22"/>
      <c r="B17" s="23"/>
      <c r="C17" s="23"/>
      <c r="D17" s="16" t="s">
        <v>16</v>
      </c>
      <c r="E17" s="6"/>
      <c r="F17" s="6"/>
      <c r="G17" s="6"/>
      <c r="H17" s="6"/>
      <c r="I17" s="6"/>
      <c r="J17" s="4"/>
      <c r="K17" s="6"/>
      <c r="L17" s="6"/>
      <c r="M17" s="6"/>
      <c r="N17" s="6"/>
      <c r="O17" s="6"/>
      <c r="P17" s="6"/>
      <c r="Q17" s="6"/>
      <c r="R17" s="9"/>
      <c r="S17" s="9"/>
      <c r="T17" s="9"/>
      <c r="U17" s="47"/>
    </row>
    <row r="18" spans="1:21" s="10" customFormat="1" x14ac:dyDescent="0.2">
      <c r="A18" s="54"/>
      <c r="U18" s="45"/>
    </row>
    <row r="19" spans="1:21" s="10" customFormat="1" x14ac:dyDescent="0.2">
      <c r="A19" s="54"/>
      <c r="U19" s="45"/>
    </row>
    <row r="20" spans="1:21" s="10" customFormat="1" x14ac:dyDescent="0.2">
      <c r="A20" s="54"/>
      <c r="U20" s="45"/>
    </row>
    <row r="21" spans="1:21" s="10" customFormat="1" x14ac:dyDescent="0.2">
      <c r="A21" s="54"/>
      <c r="U21" s="45"/>
    </row>
    <row r="22" spans="1:21" s="10" customFormat="1" x14ac:dyDescent="0.2">
      <c r="A22" s="54"/>
      <c r="U22" s="45"/>
    </row>
    <row r="23" spans="1:21" s="10" customFormat="1" x14ac:dyDescent="0.2">
      <c r="A23" s="54"/>
      <c r="U23" s="45"/>
    </row>
    <row r="24" spans="1:21" s="10" customFormat="1" x14ac:dyDescent="0.2">
      <c r="A24" s="54"/>
      <c r="U24" s="45"/>
    </row>
    <row r="25" spans="1:21" s="10" customFormat="1" x14ac:dyDescent="0.2">
      <c r="A25" s="54"/>
      <c r="U25" s="45"/>
    </row>
    <row r="26" spans="1:21" s="10" customFormat="1" x14ac:dyDescent="0.2">
      <c r="A26" s="54"/>
      <c r="U26" s="45"/>
    </row>
    <row r="27" spans="1:21" s="10" customFormat="1" x14ac:dyDescent="0.2">
      <c r="A27" s="54"/>
      <c r="U27" s="45"/>
    </row>
    <row r="28" spans="1:21" s="10" customFormat="1" x14ac:dyDescent="0.2">
      <c r="A28" s="54"/>
      <c r="U28" s="45"/>
    </row>
    <row r="29" spans="1:21" s="10" customFormat="1" x14ac:dyDescent="0.2">
      <c r="A29" s="54"/>
      <c r="U29" s="45"/>
    </row>
    <row r="30" spans="1:21" s="10" customFormat="1" x14ac:dyDescent="0.2">
      <c r="A30" s="60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46"/>
    </row>
  </sheetData>
  <mergeCells count="3">
    <mergeCell ref="T8:U8"/>
    <mergeCell ref="R9:S9"/>
    <mergeCell ref="T9:U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8" customWidth="1"/>
    <col min="43" max="44" width="2.08984375" style="50" customWidth="1"/>
    <col min="45" max="71" width="2.08984375" style="48" customWidth="1"/>
    <col min="72" max="256" width="9" style="48"/>
    <col min="257" max="327" width="2.08984375" style="48" customWidth="1"/>
    <col min="328" max="512" width="9" style="48"/>
    <col min="513" max="583" width="2.08984375" style="48" customWidth="1"/>
    <col min="584" max="768" width="9" style="48"/>
    <col min="769" max="839" width="2.08984375" style="48" customWidth="1"/>
    <col min="840" max="1024" width="9" style="48"/>
    <col min="1025" max="1095" width="2.08984375" style="48" customWidth="1"/>
    <col min="1096" max="1280" width="9" style="48"/>
    <col min="1281" max="1351" width="2.08984375" style="48" customWidth="1"/>
    <col min="1352" max="1536" width="9" style="48"/>
    <col min="1537" max="1607" width="2.08984375" style="48" customWidth="1"/>
    <col min="1608" max="1792" width="9" style="48"/>
    <col min="1793" max="1863" width="2.08984375" style="48" customWidth="1"/>
    <col min="1864" max="2048" width="9" style="48"/>
    <col min="2049" max="2119" width="2.08984375" style="48" customWidth="1"/>
    <col min="2120" max="2304" width="9" style="48"/>
    <col min="2305" max="2375" width="2.08984375" style="48" customWidth="1"/>
    <col min="2376" max="2560" width="9" style="48"/>
    <col min="2561" max="2631" width="2.08984375" style="48" customWidth="1"/>
    <col min="2632" max="2816" width="9" style="48"/>
    <col min="2817" max="2887" width="2.08984375" style="48" customWidth="1"/>
    <col min="2888" max="3072" width="9" style="48"/>
    <col min="3073" max="3143" width="2.08984375" style="48" customWidth="1"/>
    <col min="3144" max="3328" width="9" style="48"/>
    <col min="3329" max="3399" width="2.08984375" style="48" customWidth="1"/>
    <col min="3400" max="3584" width="9" style="48"/>
    <col min="3585" max="3655" width="2.08984375" style="48" customWidth="1"/>
    <col min="3656" max="3840" width="9" style="48"/>
    <col min="3841" max="3911" width="2.08984375" style="48" customWidth="1"/>
    <col min="3912" max="4096" width="9" style="48"/>
    <col min="4097" max="4167" width="2.08984375" style="48" customWidth="1"/>
    <col min="4168" max="4352" width="9" style="48"/>
    <col min="4353" max="4423" width="2.08984375" style="48" customWidth="1"/>
    <col min="4424" max="4608" width="9" style="48"/>
    <col min="4609" max="4679" width="2.08984375" style="48" customWidth="1"/>
    <col min="4680" max="4864" width="9" style="48"/>
    <col min="4865" max="4935" width="2.08984375" style="48" customWidth="1"/>
    <col min="4936" max="5120" width="9" style="48"/>
    <col min="5121" max="5191" width="2.08984375" style="48" customWidth="1"/>
    <col min="5192" max="5376" width="9" style="48"/>
    <col min="5377" max="5447" width="2.08984375" style="48" customWidth="1"/>
    <col min="5448" max="5632" width="9" style="48"/>
    <col min="5633" max="5703" width="2.08984375" style="48" customWidth="1"/>
    <col min="5704" max="5888" width="9" style="48"/>
    <col min="5889" max="5959" width="2.08984375" style="48" customWidth="1"/>
    <col min="5960" max="6144" width="9" style="48"/>
    <col min="6145" max="6215" width="2.08984375" style="48" customWidth="1"/>
    <col min="6216" max="6400" width="9" style="48"/>
    <col min="6401" max="6471" width="2.08984375" style="48" customWidth="1"/>
    <col min="6472" max="6656" width="9" style="48"/>
    <col min="6657" max="6727" width="2.08984375" style="48" customWidth="1"/>
    <col min="6728" max="6912" width="9" style="48"/>
    <col min="6913" max="6983" width="2.08984375" style="48" customWidth="1"/>
    <col min="6984" max="7168" width="9" style="48"/>
    <col min="7169" max="7239" width="2.08984375" style="48" customWidth="1"/>
    <col min="7240" max="7424" width="9" style="48"/>
    <col min="7425" max="7495" width="2.08984375" style="48" customWidth="1"/>
    <col min="7496" max="7680" width="9" style="48"/>
    <col min="7681" max="7751" width="2.08984375" style="48" customWidth="1"/>
    <col min="7752" max="7936" width="9" style="48"/>
    <col min="7937" max="8007" width="2.08984375" style="48" customWidth="1"/>
    <col min="8008" max="8192" width="9" style="48"/>
    <col min="8193" max="8263" width="2.08984375" style="48" customWidth="1"/>
    <col min="8264" max="8448" width="9" style="48"/>
    <col min="8449" max="8519" width="2.08984375" style="48" customWidth="1"/>
    <col min="8520" max="8704" width="9" style="48"/>
    <col min="8705" max="8775" width="2.08984375" style="48" customWidth="1"/>
    <col min="8776" max="8960" width="9" style="48"/>
    <col min="8961" max="9031" width="2.08984375" style="48" customWidth="1"/>
    <col min="9032" max="9216" width="9" style="48"/>
    <col min="9217" max="9287" width="2.08984375" style="48" customWidth="1"/>
    <col min="9288" max="9472" width="9" style="48"/>
    <col min="9473" max="9543" width="2.08984375" style="48" customWidth="1"/>
    <col min="9544" max="9728" width="9" style="48"/>
    <col min="9729" max="9799" width="2.08984375" style="48" customWidth="1"/>
    <col min="9800" max="9984" width="9" style="48"/>
    <col min="9985" max="10055" width="2.08984375" style="48" customWidth="1"/>
    <col min="10056" max="10240" width="9" style="48"/>
    <col min="10241" max="10311" width="2.08984375" style="48" customWidth="1"/>
    <col min="10312" max="10496" width="9" style="48"/>
    <col min="10497" max="10567" width="2.08984375" style="48" customWidth="1"/>
    <col min="10568" max="10752" width="9" style="48"/>
    <col min="10753" max="10823" width="2.08984375" style="48" customWidth="1"/>
    <col min="10824" max="11008" width="9" style="48"/>
    <col min="11009" max="11079" width="2.08984375" style="48" customWidth="1"/>
    <col min="11080" max="11264" width="9" style="48"/>
    <col min="11265" max="11335" width="2.08984375" style="48" customWidth="1"/>
    <col min="11336" max="11520" width="9" style="48"/>
    <col min="11521" max="11591" width="2.08984375" style="48" customWidth="1"/>
    <col min="11592" max="11776" width="9" style="48"/>
    <col min="11777" max="11847" width="2.08984375" style="48" customWidth="1"/>
    <col min="11848" max="12032" width="9" style="48"/>
    <col min="12033" max="12103" width="2.08984375" style="48" customWidth="1"/>
    <col min="12104" max="12288" width="9" style="48"/>
    <col min="12289" max="12359" width="2.08984375" style="48" customWidth="1"/>
    <col min="12360" max="12544" width="9" style="48"/>
    <col min="12545" max="12615" width="2.08984375" style="48" customWidth="1"/>
    <col min="12616" max="12800" width="9" style="48"/>
    <col min="12801" max="12871" width="2.08984375" style="48" customWidth="1"/>
    <col min="12872" max="13056" width="9" style="48"/>
    <col min="13057" max="13127" width="2.08984375" style="48" customWidth="1"/>
    <col min="13128" max="13312" width="9" style="48"/>
    <col min="13313" max="13383" width="2.08984375" style="48" customWidth="1"/>
    <col min="13384" max="13568" width="9" style="48"/>
    <col min="13569" max="13639" width="2.08984375" style="48" customWidth="1"/>
    <col min="13640" max="13824" width="9" style="48"/>
    <col min="13825" max="13895" width="2.08984375" style="48" customWidth="1"/>
    <col min="13896" max="14080" width="9" style="48"/>
    <col min="14081" max="14151" width="2.08984375" style="48" customWidth="1"/>
    <col min="14152" max="14336" width="9" style="48"/>
    <col min="14337" max="14407" width="2.08984375" style="48" customWidth="1"/>
    <col min="14408" max="14592" width="9" style="48"/>
    <col min="14593" max="14663" width="2.08984375" style="48" customWidth="1"/>
    <col min="14664" max="14848" width="9" style="48"/>
    <col min="14849" max="14919" width="2.08984375" style="48" customWidth="1"/>
    <col min="14920" max="15104" width="9" style="48"/>
    <col min="15105" max="15175" width="2.08984375" style="48" customWidth="1"/>
    <col min="15176" max="15360" width="9" style="48"/>
    <col min="15361" max="15431" width="2.08984375" style="48" customWidth="1"/>
    <col min="15432" max="15616" width="9" style="48"/>
    <col min="15617" max="15687" width="2.08984375" style="48" customWidth="1"/>
    <col min="15688" max="15872" width="9" style="48"/>
    <col min="15873" max="15943" width="2.08984375" style="48" customWidth="1"/>
    <col min="15944" max="16128" width="9" style="48"/>
    <col min="16129" max="16199" width="2.08984375" style="48" customWidth="1"/>
    <col min="16200" max="16384" width="9" style="48"/>
  </cols>
  <sheetData>
    <row r="1" spans="1:57" ht="38.25" customHeight="1" thickBot="1" x14ac:dyDescent="0.25">
      <c r="A1" s="97" t="s">
        <v>97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100" t="s">
        <v>98</v>
      </c>
      <c r="B3" s="101"/>
      <c r="C3" s="101"/>
      <c r="D3" s="101"/>
      <c r="E3" s="101"/>
      <c r="F3" s="101"/>
      <c r="G3" s="102"/>
      <c r="H3" s="103" t="s">
        <v>99</v>
      </c>
      <c r="I3" s="101"/>
      <c r="J3" s="101"/>
      <c r="K3" s="101"/>
      <c r="L3" s="101"/>
      <c r="M3" s="101"/>
      <c r="N3" s="102"/>
      <c r="O3" s="103" t="s">
        <v>100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101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1" t="s">
        <v>102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91" t="s">
        <v>132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133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8"/>
      <c r="I6" s="89"/>
      <c r="J6" s="89"/>
      <c r="K6" s="89"/>
      <c r="L6" s="89"/>
      <c r="M6" s="89"/>
      <c r="N6" s="90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8"/>
      <c r="I7" s="89"/>
      <c r="J7" s="89"/>
      <c r="K7" s="89"/>
      <c r="L7" s="89"/>
      <c r="M7" s="89"/>
      <c r="N7" s="90"/>
      <c r="O7" s="81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1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1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 x14ac:dyDescent="0.25">
      <c r="A35" s="68"/>
      <c r="B35" s="69"/>
      <c r="C35" s="69"/>
      <c r="D35" s="69"/>
      <c r="E35" s="69"/>
      <c r="F35" s="69"/>
      <c r="G35" s="70"/>
      <c r="H35" s="71"/>
      <c r="I35" s="72"/>
      <c r="J35" s="72"/>
      <c r="K35" s="72"/>
      <c r="L35" s="72"/>
      <c r="M35" s="72"/>
      <c r="N35" s="73"/>
      <c r="O35" s="71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76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CopyBom_Ins01</vt:lpstr>
      <vt:lpstr>CopyBom_Upd01</vt:lpstr>
      <vt:lpstr>CopyBom_Upd02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2026-03-27T05:51:14Z</dcterms:modified>
  <cp:category/>
</cp:coreProperties>
</file>