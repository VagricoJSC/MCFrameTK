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EBFA5834-B94A-4BBA-ABDA-B2BCCB10A862}" xr6:coauthVersionLast="47" xr6:coauthVersionMax="47" xr10:uidLastSave="{00000000-0000-0000-0000-000000000000}"/>
  <bookViews>
    <workbookView xWindow="1710" yWindow="1710" windowWidth="21600" windowHeight="11265" firstSheet="1" activeTab="5" xr2:uid="{00000000-000D-0000-FFFF-FFFF00000000}"/>
  </bookViews>
  <sheets>
    <sheet name="LogicCommon" sheetId="1" r:id="rId1"/>
    <sheet name="CalcCost_Ins01" sheetId="2" r:id="rId2"/>
    <sheet name="CalcRsltDel_Chk01" sheetId="3" r:id="rId3"/>
    <sheet name="CalcRsltDel_Del01" sheetId="4" r:id="rId4"/>
    <sheet name="CalcCost_Ins02" sheetId="6" r:id="rId5"/>
    <sheet name="来歴" sheetId="5" r:id="rId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<sst xmlns="http://schemas.openxmlformats.org/spreadsheetml/2006/main" count="602" uniqueCount="261">
  <si>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</si>
  <si>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</si>
  <si>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</si>
  <si>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</si>
  <si>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MGBDL5010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</si>
  <si>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</si>
  <si>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</si>
  <si>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</si>
  <si>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</si>
  <si>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</si>
  <si>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MGBDL_CalcCostService</t>
    <phoneticPr fontId="2"/>
  </si>
  <si>
    <t>SuperClassPj.ID :</t>
    <phoneticPr fontId="3"/>
  </si>
  <si>
    <t>LogicName :</t>
    <phoneticPr fontId="3"/>
  </si>
  <si>
    <t>原価計算サービス</t>
    <rPh sb="0" eb="2">
      <t>ゲンカ</t>
    </rPh>
    <rPh sb="2" eb="4">
      <t>ケイサン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</si>
  <si>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</si>
  <si>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</si>
  <si>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</si>
  <si>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</si>
  <si>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</si>
  <si>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</si>
  <si>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CalcCost_Ins01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</si>
  <si>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</si>
  <si>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</si>
  <si>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</si>
  <si>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</si>
  <si>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</si>
  <si>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</si>
  <si>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</si>
  <si>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</si>
  <si>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原価計算実行</t>
    <rPh sb="0" eb="2">
      <t>ゲンカ</t>
    </rPh>
    <rPh sb="2" eb="4">
      <t>ケイサン</t>
    </rPh>
    <rPh sb="4" eb="6">
      <t>ジッコウ</t>
    </rPh>
    <phoneticPr fontId="2"/>
  </si>
  <si>
    <t>ImplOpe.ID:</t>
    <phoneticPr fontId="3"/>
  </si>
  <si>
    <t>ACType :</t>
    <phoneticPr fontId="3"/>
  </si>
  <si>
    <t>原価計算を実行する。</t>
    <rPh sb="0" eb="2">
      <t>ゲンカ</t>
    </rPh>
    <rPh sb="2" eb="4">
      <t>ケイサン</t>
    </rPh>
    <rPh sb="5" eb="7">
      <t>ジッコウ</t>
    </rPh>
    <phoneticPr fontId="2"/>
  </si>
  <si>
    <t>ID</t>
    <phoneticPr fontId="3"/>
  </si>
  <si>
    <t>#</t>
    <phoneticPr fontId="3"/>
  </si>
  <si>
    <t>U</t>
    <phoneticPr fontId="3"/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</si>
  <si>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</si>
  <si>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</si>
  <si>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</si>
  <si>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</si>
  <si>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</si>
  <si>
    <t>SMALL_LARGE</t>
  </si>
  <si>
    <t>CHK_DT</t>
  </si>
  <si>
    <t>BEFORE_AFTER</t>
    <phoneticPr fontId="3"/>
  </si>
  <si>
    <t>CHK_PTN</t>
  </si>
  <si>
    <t>DUPLICATE</t>
  </si>
  <si>
    <t>TOO_MANY_INPUTS</t>
  </si>
  <si>
    <t>AT_LEAST_ONE</t>
  </si>
  <si>
    <t>ONLY_ONE_INPUT</t>
  </si>
  <si>
    <t>LIST_LOGIC</t>
    <phoneticPr fontId="3"/>
  </si>
  <si>
    <t>LIST_OUT</t>
  </si>
  <si>
    <t>LIST_OUT_BASE</t>
  </si>
  <si>
    <t>LIST_IN</t>
  </si>
  <si>
    <t>LIST_IN_BASE</t>
  </si>
  <si>
    <t>CONST</t>
  </si>
  <si>
    <t>NULL_VAL</t>
  </si>
  <si>
    <t>TargetName</t>
    <phoneticPr fontId="3"/>
  </si>
  <si>
    <t>*</t>
    <phoneticPr fontId="2"/>
  </si>
  <si>
    <t>CalcCost_Cnd</t>
    <phoneticPr fontId="2"/>
  </si>
  <si>
    <t>L</t>
    <phoneticPr fontId="2"/>
  </si>
  <si>
    <t>term</t>
    <phoneticPr fontId="3"/>
  </si>
  <si>
    <t>#MA.YM</t>
  </si>
  <si>
    <t>期</t>
    <phoneticPr fontId="3"/>
  </si>
  <si>
    <t>E</t>
    <phoneticPr fontId="3"/>
  </si>
  <si>
    <t>E</t>
    <phoneticPr fontId="2"/>
  </si>
  <si>
    <t>calc_grp_cd</t>
    <phoneticPr fontId="3"/>
  </si>
  <si>
    <t>#MA.CALC_GRP_CD</t>
  </si>
  <si>
    <t>計算グループＣＤ</t>
    <phoneticPr fontId="3"/>
  </si>
  <si>
    <t>MA.MAUAL0010.CalcGrp</t>
    <phoneticPr fontId="3"/>
  </si>
  <si>
    <t>xrate_cd</t>
    <phoneticPr fontId="3"/>
  </si>
  <si>
    <t>#MA.XRATE_CD</t>
  </si>
  <si>
    <t>為替レートＣＤ</t>
    <phoneticPr fontId="3"/>
  </si>
  <si>
    <t>carry_flg</t>
    <phoneticPr fontId="3"/>
  </si>
  <si>
    <t>#MA.FLG</t>
  </si>
  <si>
    <t>繰越</t>
    <phoneticPr fontId="3"/>
  </si>
  <si>
    <t>rmrks</t>
    <phoneticPr fontId="3"/>
  </si>
  <si>
    <t>#MG.CALC_ARG_RMRKS</t>
  </si>
  <si>
    <t>備考</t>
    <phoneticPr fontId="3"/>
  </si>
  <si>
    <t>sub_char1</t>
    <phoneticPr fontId="2"/>
  </si>
  <si>
    <t>#MG.CALC_ARG_SUB_CHAR1</t>
  </si>
  <si>
    <t>予備１</t>
    <phoneticPr fontId="2"/>
  </si>
  <si>
    <r>
      <t>sub_char2</t>
    </r>
    <r>
      <rPr>
        <b/>
        <sz val="10"/>
        <rFont val="ＭＳ Ｐ明朝"/>
        <family val="1"/>
        <charset val="128"/>
      </rPr>
      <t/>
    </r>
  </si>
  <si>
    <t>#MG.CALC_ARG_SUB_CHAR2</t>
  </si>
  <si>
    <t>予備２</t>
    <phoneticPr fontId="2"/>
  </si>
  <si>
    <r>
      <t>sub_char3</t>
    </r>
    <r>
      <rPr>
        <b/>
        <sz val="10"/>
        <rFont val="ＭＳ Ｐ明朝"/>
        <family val="1"/>
        <charset val="128"/>
      </rPr>
      <t/>
    </r>
  </si>
  <si>
    <t>#MG.CALC_ARG_SUB_CHAR3</t>
  </si>
  <si>
    <t>予備３</t>
    <phoneticPr fontId="2"/>
  </si>
  <si>
    <t>ym_fr</t>
    <phoneticPr fontId="3"/>
  </si>
  <si>
    <t>年月ＦＲＯＭ</t>
    <phoneticPr fontId="3"/>
  </si>
  <si>
    <t>ym_to:BF</t>
    <phoneticPr fontId="2"/>
  </si>
  <si>
    <t>ym_to</t>
    <phoneticPr fontId="3"/>
  </si>
  <si>
    <t>年月ＴＯ</t>
    <phoneticPr fontId="3"/>
  </si>
  <si>
    <t>err_proceed_flg</t>
    <phoneticPr fontId="2"/>
  </si>
  <si>
    <t>エラー時続行</t>
    <phoneticPr fontId="2"/>
  </si>
  <si>
    <t>data_check_flg</t>
    <phoneticPr fontId="3"/>
  </si>
  <si>
    <t>データ確認計算</t>
    <phoneticPr fontId="3"/>
  </si>
  <si>
    <t>itm_limit_flg</t>
    <phoneticPr fontId="3"/>
  </si>
  <si>
    <t>品目指定計算</t>
    <phoneticPr fontId="3"/>
  </si>
  <si>
    <t>calc_no</t>
    <phoneticPr fontId="3"/>
  </si>
  <si>
    <t>#MA.CALC_NO</t>
  </si>
  <si>
    <t>計算ＮＯ</t>
    <phoneticPr fontId="3"/>
  </si>
  <si>
    <t>err_flg</t>
  </si>
  <si>
    <t>エラー</t>
    <phoneticPr fontId="3"/>
  </si>
  <si>
    <t>CalcRsltDel_Chk01</t>
    <phoneticPr fontId="2"/>
  </si>
  <si>
    <t>@</t>
    <phoneticPr fontId="2"/>
  </si>
  <si>
    <t>原価計算結果削除前チェック</t>
    <rPh sb="0" eb="2">
      <t>ゲンカ</t>
    </rPh>
    <rPh sb="2" eb="4">
      <t>ケイサン</t>
    </rPh>
    <rPh sb="4" eb="6">
      <t>ケッカ</t>
    </rPh>
    <rPh sb="6" eb="8">
      <t>サクジョ</t>
    </rPh>
    <rPh sb="8" eb="9">
      <t>マエ</t>
    </rPh>
    <phoneticPr fontId="2"/>
  </si>
  <si>
    <t>原価計算結果削除前のチェックをする。</t>
    <rPh sb="0" eb="2">
      <t>ゲンカ</t>
    </rPh>
    <rPh sb="2" eb="4">
      <t>ケイサン</t>
    </rPh>
    <rPh sb="4" eb="6">
      <t>ケッカ</t>
    </rPh>
    <rPh sb="6" eb="8">
      <t>サクジョ</t>
    </rPh>
    <rPh sb="8" eb="9">
      <t>マエ</t>
    </rPh>
    <phoneticPr fontId="2"/>
  </si>
  <si>
    <t>K</t>
    <phoneticPr fontId="3"/>
  </si>
  <si>
    <t>*</t>
    <phoneticPr fontId="2"/>
  </si>
  <si>
    <t>CalcRsltDel_Dtl</t>
    <phoneticPr fontId="2"/>
  </si>
  <si>
    <t>GL</t>
    <phoneticPr fontId="2"/>
  </si>
  <si>
    <t>$super$</t>
    <phoneticPr fontId="2"/>
  </si>
  <si>
    <t>DBC:MG.MGT_ARG</t>
    <phoneticPr fontId="2"/>
  </si>
  <si>
    <t>calc_grp_cd</t>
    <phoneticPr fontId="3"/>
  </si>
  <si>
    <t>calc_no</t>
    <phoneticPr fontId="3"/>
  </si>
  <si>
    <t>原価計算ＮＯ</t>
    <phoneticPr fontId="3"/>
  </si>
  <si>
    <t>upd_cntr</t>
    <phoneticPr fontId="3"/>
  </si>
  <si>
    <t>#MA.INT</t>
  </si>
  <si>
    <t>更新カウンタ</t>
    <phoneticPr fontId="3"/>
  </si>
  <si>
    <t>err_flg</t>
    <phoneticPr fontId="3"/>
  </si>
  <si>
    <t>rtn_sts_typ</t>
    <phoneticPr fontId="3"/>
  </si>
  <si>
    <t>#MA.RTN_STS_TYP</t>
  </si>
  <si>
    <t>処理結果状況区分</t>
    <phoneticPr fontId="3"/>
  </si>
  <si>
    <t>CalcRsltDel_Del01</t>
    <phoneticPr fontId="2"/>
  </si>
  <si>
    <t>@</t>
    <phoneticPr fontId="2"/>
  </si>
  <si>
    <t>原価計算情報削除</t>
    <rPh sb="6" eb="8">
      <t>サクジョ</t>
    </rPh>
    <phoneticPr fontId="2"/>
  </si>
  <si>
    <t>原価計算情報を削除する。</t>
    <phoneticPr fontId="2"/>
  </si>
  <si>
    <t>*</t>
    <phoneticPr fontId="2"/>
  </si>
  <si>
    <t>GL</t>
    <phoneticPr fontId="2"/>
  </si>
  <si>
    <t>$share$</t>
    <phoneticPr fontId="3"/>
  </si>
  <si>
    <t>MG.MGBDL5010.CalcRsltDel_Chk01.CalcRsltDel_Dtl</t>
    <phoneticPr fontId="3"/>
  </si>
  <si>
    <t>upd_cntr</t>
    <phoneticPr fontId="3"/>
  </si>
  <si>
    <t>rtn_sts_typ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</si>
  <si>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</si>
  <si>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</si>
  <si>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</si>
  <si>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</si>
  <si>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</si>
  <si>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</si>
  <si>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マルチスレッドオペレーション実行</t>
    <rPh sb="14" eb="16">
      <t>ジッコウ</t>
    </rPh>
    <phoneticPr fontId="2"/>
  </si>
  <si>
    <t>CalcCost_Ins02</t>
    <phoneticPr fontId="2"/>
  </si>
  <si>
    <t>マルチスレッド実行の対象となるオペレーションを実行する。</t>
    <rPh sb="7" eb="9">
      <t>ジッコウ</t>
    </rPh>
    <rPh sb="10" eb="12">
      <t>タイショウ</t>
    </rPh>
    <rPh sb="23" eb="25">
      <t>ジッコウ</t>
    </rPh>
    <phoneticPr fontId="2"/>
  </si>
  <si>
    <t>Ins02_Cnd</t>
    <phoneticPr fontId="2"/>
  </si>
  <si>
    <t>*</t>
    <phoneticPr fontId="2"/>
  </si>
  <si>
    <t>R</t>
    <phoneticPr fontId="2"/>
  </si>
  <si>
    <t>arg</t>
    <phoneticPr fontId="3"/>
  </si>
  <si>
    <t>R</t>
    <phoneticPr fontId="3"/>
  </si>
  <si>
    <t>DBC:MG.MGT_ARG</t>
    <phoneticPr fontId="3"/>
  </si>
  <si>
    <t>RI</t>
  </si>
  <si>
    <t>arg.calc_no#</t>
    <phoneticPr fontId="3"/>
  </si>
  <si>
    <t>arg.st_ym#</t>
    <phoneticPr fontId="3"/>
  </si>
  <si>
    <t>arg.end_ym#</t>
    <phoneticPr fontId="3"/>
  </si>
  <si>
    <t>proc_typ</t>
    <phoneticPr fontId="3"/>
  </si>
  <si>
    <t>C</t>
    <phoneticPr fontId="2"/>
  </si>
  <si>
    <t>sql_no</t>
    <phoneticPr fontId="3"/>
  </si>
  <si>
    <t>N</t>
    <phoneticPr fontId="2"/>
  </si>
  <si>
    <t>ＳＱＬＮＯ</t>
    <phoneticPr fontId="3"/>
  </si>
  <si>
    <t>rpt_ptn_cd</t>
    <phoneticPr fontId="3"/>
  </si>
  <si>
    <t>#MA.RPT_PTN_CD</t>
    <phoneticPr fontId="2"/>
  </si>
  <si>
    <t>レポートパタンＣＤ</t>
    <phoneticPr fontId="2"/>
  </si>
  <si>
    <t>rpt_key_cd</t>
    <phoneticPr fontId="3"/>
  </si>
  <si>
    <t>レポートキーＣＤ</t>
    <phoneticPr fontId="2"/>
  </si>
  <si>
    <t>cost_io_id</t>
    <phoneticPr fontId="3"/>
  </si>
  <si>
    <t>wg_cd</t>
    <phoneticPr fontId="2"/>
  </si>
  <si>
    <t>#MA.WG_CD</t>
    <phoneticPr fontId="2"/>
  </si>
  <si>
    <t>ワーキンググループＣＤ</t>
    <phoneticPr fontId="2"/>
  </si>
  <si>
    <t>dpt_cd</t>
    <phoneticPr fontId="2"/>
  </si>
  <si>
    <t>#MA.COST_DPT_CD</t>
    <phoneticPr fontId="2"/>
  </si>
  <si>
    <t>itm_cd</t>
    <phoneticPr fontId="2"/>
  </si>
  <si>
    <t>#MA.ITM_CD</t>
    <phoneticPr fontId="2"/>
  </si>
  <si>
    <t>itm_sub1</t>
    <phoneticPr fontId="2"/>
  </si>
  <si>
    <t>#MA.ITM_SUB1</t>
    <phoneticPr fontId="2"/>
  </si>
  <si>
    <t>itm_sub2</t>
  </si>
  <si>
    <t>#MA.ITM_SUB2</t>
  </si>
  <si>
    <t>itm_sub3</t>
  </si>
  <si>
    <t>#MA.ITM_SUB3</t>
  </si>
  <si>
    <t>itm_jnl_cd</t>
    <phoneticPr fontId="2"/>
  </si>
  <si>
    <t>#MA.ITM_JNL_CD</t>
    <phoneticPr fontId="2"/>
  </si>
  <si>
    <t>itm_grp_typ</t>
    <phoneticPr fontId="2"/>
  </si>
  <si>
    <t>#MA.ITM_GRP_TYP</t>
    <phoneticPr fontId="2"/>
  </si>
  <si>
    <t>itm_grp_cd</t>
    <phoneticPr fontId="2"/>
  </si>
  <si>
    <t>#MA.ITM_GRP_CD</t>
    <phoneticPr fontId="2"/>
  </si>
  <si>
    <t>対象期間開始年月</t>
    <phoneticPr fontId="2"/>
  </si>
  <si>
    <t>対象期間終了年月</t>
    <phoneticPr fontId="2"/>
  </si>
  <si>
    <t>処理区分</t>
    <phoneticPr fontId="3"/>
  </si>
  <si>
    <t>受払表ＩＤ</t>
    <phoneticPr fontId="2"/>
  </si>
  <si>
    <t>管理部門ＣＤ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</si>
  <si>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</si>
  <si>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</si>
  <si>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</si>
  <si>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</si>
  <si>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品目仕訳ＣＤ</t>
    <phoneticPr fontId="2"/>
  </si>
  <si>
    <t>品目分類区分</t>
    <phoneticPr fontId="2"/>
  </si>
  <si>
    <t>品目分類ＣＤ</t>
    <phoneticPr fontId="2"/>
  </si>
  <si>
    <t>arg.calc_grp_cd#</t>
    <phoneticPr fontId="3"/>
  </si>
  <si>
    <t>#MA.RPT_KEY_CD</t>
    <phoneticPr fontId="2"/>
  </si>
  <si>
    <t>#MA.COST_IO_ID</t>
    <phoneticPr fontId="2"/>
  </si>
  <si>
    <t>MG.MGUDL5010</t>
  </si>
  <si>
    <t>"mcframe.serverMAUD.MAUDL5010.MAUDL_Operation"</t>
  </si>
  <si>
    <t>MA.MAUDL5010.Checker</t>
  </si>
  <si>
    <t>del_admin_flg</t>
    <phoneticPr fontId="3"/>
  </si>
  <si>
    <t>#MA.FLG</t>
    <phoneticPr fontId="2"/>
  </si>
  <si>
    <t>CalcRsltDel_Hdr</t>
    <phoneticPr fontId="2"/>
  </si>
  <si>
    <t>CalcRsltDel_Dtl</t>
    <phoneticPr fontId="2"/>
  </si>
  <si>
    <t>CalcRsltDel_Hdr</t>
    <phoneticPr fontId="2"/>
  </si>
  <si>
    <t>$share$</t>
  </si>
  <si>
    <t>MG.MGBDL5010.CalcRsltDel_Chk01.CalcRsltDel_Hdr</t>
    <phoneticPr fontId="2"/>
  </si>
  <si>
    <t>CalcRsltDel_Chk01、CalcRsltDel_Del01</t>
    <phoneticPr fontId="2"/>
  </si>
  <si>
    <t>CalcRsltDel_Hdrブロックを追加</t>
    <rPh sb="20" eb="22">
      <t>ツイカ</t>
    </rPh>
    <phoneticPr fontId="2"/>
  </si>
  <si>
    <t>MG7032#013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</si>
  <si>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</si>
  <si>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</si>
  <si>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</si>
  <si>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</si>
  <si>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</si>
  <si>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</si>
  <si>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</si>
  <si>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</si>
  <si>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</si>
  <si>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</si>
  <si>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</si>
  <si>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</si>
  <si>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</si>
  <si>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</si>
  <si>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Term</t>
  </si>
  <si>
    <t>Calculation group cd.</t>
  </si>
  <si>
    <t>Exchange rate cd.</t>
  </si>
  <si>
    <t>Carry-over</t>
  </si>
  <si>
    <t>Remarks</t>
  </si>
  <si>
    <t>Spare 1</t>
  </si>
  <si>
    <t>Spare 2</t>
  </si>
  <si>
    <t>Spare 3</t>
  </si>
  <si>
    <t>Month FROM</t>
  </si>
  <si>
    <t>Month TO</t>
  </si>
  <si>
    <t>Continue on error</t>
  </si>
  <si>
    <t>Calculation for data check</t>
  </si>
  <si>
    <t>Item specified calculation</t>
  </si>
  <si>
    <t>Calculation No.</t>
  </si>
  <si>
    <t>Error</t>
  </si>
  <si>
    <t>項目名
Field Name</t>
    <phoneticPr fontId="2"/>
  </si>
  <si>
    <t>型
Type</t>
    <phoneticPr fontId="2"/>
  </si>
  <si>
    <t>Update counter</t>
  </si>
  <si>
    <t>Process result status type</t>
  </si>
  <si>
    <t>Term start month</t>
  </si>
  <si>
    <t>End month of the term</t>
  </si>
  <si>
    <t>Process type</t>
  </si>
  <si>
    <t>SQL No.</t>
  </si>
  <si>
    <t>Report pattern cd.</t>
  </si>
  <si>
    <t>Report key cd.</t>
  </si>
  <si>
    <t>GR/GI list ID</t>
  </si>
  <si>
    <t>WG cd.</t>
  </si>
  <si>
    <t>Management dept. cd.</t>
  </si>
  <si>
    <t>Item cd.</t>
  </si>
  <si>
    <t>Branch No. 1</t>
  </si>
  <si>
    <t>Branch No. 2</t>
  </si>
  <si>
    <t>Branch No. 3</t>
  </si>
  <si>
    <t>Item journal cd.</t>
  </si>
  <si>
    <t>Item classification type</t>
  </si>
  <si>
    <t>Item classification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</si>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</sst>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54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3" borderId="10" xfId="0" applyFont="1" applyFill="1" applyBorder="1" applyAlignment="1"/>
    <xf numFmtId="0" fontId="1" fillId="3" borderId="7" xfId="0" applyFont="1" applyFill="1" applyBorder="1" applyAlignment="1"/>
    <xf numFmtId="0" fontId="1" fillId="3" borderId="12" xfId="0" applyFont="1" applyFill="1" applyBorder="1" applyAlignment="1"/>
    <xf numFmtId="0" fontId="1" fillId="3" borderId="8" xfId="0" applyFont="1" applyFill="1" applyBorder="1" applyAlignment="1"/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9" fillId="6" borderId="11" xfId="0" applyFont="1" applyFill="1" applyBorder="1" applyAlignment="1">
      <alignment vertical="top"/>
    </xf>
    <xf numFmtId="0" fontId="9" fillId="6" borderId="4" xfId="0" applyFont="1" applyFill="1" applyBorder="1" applyAlignment="1">
      <alignment vertical="top"/>
    </xf>
    <xf numFmtId="0" fontId="9" fillId="6" borderId="4" xfId="0" applyFont="1" applyFill="1" applyBorder="1">
      <alignment vertical="top" wrapText="1"/>
    </xf>
    <xf numFmtId="0" fontId="9" fillId="6" borderId="2" xfId="0" applyFont="1" applyFill="1" applyBorder="1" applyAlignment="1">
      <alignment wrapText="1"/>
    </xf>
    <xf numFmtId="0" fontId="9" fillId="6" borderId="4" xfId="0" applyFont="1" applyFill="1" applyBorder="1" applyAlignment="1">
      <alignment wrapText="1"/>
    </xf>
    <xf numFmtId="0" fontId="9" fillId="6" borderId="0" xfId="0" applyFont="1" applyFill="1" applyAlignment="1">
      <alignment wrapText="1"/>
    </xf>
    <xf numFmtId="0" fontId="9" fillId="6" borderId="3" xfId="0" applyFont="1" applyFill="1" applyBorder="1">
      <alignment vertical="top" wrapText="1"/>
    </xf>
    <xf numFmtId="0" fontId="9" fillId="6" borderId="4" xfId="0" applyFont="1" applyFill="1" applyBorder="1" applyAlignment="1"/>
    <xf numFmtId="0" fontId="9" fillId="6" borderId="5" xfId="0" applyFont="1" applyFill="1" applyBorder="1" applyAlignment="1"/>
    <xf numFmtId="0" fontId="9" fillId="6" borderId="3" xfId="0" applyFont="1" applyFill="1" applyBorder="1" applyAlignment="1">
      <alignment vertical="top"/>
    </xf>
    <xf numFmtId="0" fontId="9" fillId="6" borderId="5" xfId="0" applyFont="1" applyFill="1" applyBorder="1" applyAlignment="1">
      <alignment vertical="top"/>
    </xf>
    <xf numFmtId="0" fontId="9" fillId="6" borderId="3" xfId="0" applyFont="1" applyFill="1" applyBorder="1" applyAlignment="1">
      <alignment vertical="center"/>
    </xf>
    <xf numFmtId="0" fontId="9" fillId="6" borderId="3" xfId="0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9" fillId="6" borderId="11" xfId="0" applyFont="1" applyFill="1" applyBorder="1" applyAlignment="1">
      <alignment wrapText="1"/>
    </xf>
    <xf numFmtId="0" fontId="9" fillId="6" borderId="11" xfId="0" applyFont="1" applyFill="1" applyBorder="1" applyAlignment="1"/>
    <xf numFmtId="0" fontId="9" fillId="6" borderId="11" xfId="0" applyFont="1" applyFill="1" applyBorder="1" applyAlignment="1" applyProtection="1">
      <protection locked="0"/>
    </xf>
    <xf numFmtId="0" fontId="9" fillId="6" borderId="5" xfId="0" applyFont="1" applyFill="1" applyBorder="1" applyAlignment="1" applyProtection="1">
      <protection locked="0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9" fillId="6" borderId="11" xfId="0" applyFont="1" applyFill="1" applyBorder="1" applyAlignment="1" applyProtection="1">
      <protection locked="0"/>
    </xf>
    <xf numFmtId="0" fontId="9" fillId="6" borderId="5" xfId="0" applyFont="1" applyFill="1" applyBorder="1" applyAlignment="1"/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197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0" t="s">
        <v>17</v>
      </c>
      <c r="B1" s="60" t="s">
        <v>17</v>
      </c>
      <c r="C1" s="6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91" t="s">
        <v>210</v>
      </c>
      <c r="E2" s="7" t="s">
        <v>1</v>
      </c>
      <c r="F2" s="61" t="str">
        <f>IF(LogicCommon!C2="","",LogicCommon!C2)</f>
        <v>MG</v>
      </c>
      <c r="G2" s="7" t="s">
        <v>3</v>
      </c>
      <c r="H2" s="61" t="str">
        <f>IF(LogicCommon!E2="","",LogicCommon!E2)</f>
        <v>MGBDL5010</v>
      </c>
      <c r="I2" s="7" t="s">
        <v>19</v>
      </c>
      <c r="J2" s="8" t="s">
        <v>20</v>
      </c>
      <c r="K2" s="7" t="s">
        <v>5</v>
      </c>
      <c r="L2" s="61" t="str">
        <f>IF(LogicCommon!G2="","",LogicCommon!G2)</f>
        <v>MC</v>
      </c>
      <c r="M2" s="5" t="s">
        <v>21</v>
      </c>
      <c r="N2" s="24" t="s">
        <v>198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2" t="s">
        <v>17</v>
      </c>
      <c r="B3" s="63"/>
      <c r="C3" s="63"/>
      <c r="D3" s="64" t="str">
        <f>IF(LogicCommon!A3="","",LogicCommon!A3)</f>
        <v/>
      </c>
      <c r="E3" s="7" t="s">
        <v>7</v>
      </c>
      <c r="F3" s="61" t="str">
        <f>IF(LogicCommon!C3="","",LogicCommon!C3)</f>
        <v>MGBD</v>
      </c>
      <c r="G3" s="7" t="s">
        <v>9</v>
      </c>
      <c r="H3" s="61" t="str">
        <f>IF(LogicCommon!E3="","",LogicCommon!E3)</f>
        <v>MGBDL_CalcCostService</v>
      </c>
      <c r="I3" s="7" t="s">
        <v>22</v>
      </c>
      <c r="J3" s="8" t="s">
        <v>23</v>
      </c>
      <c r="K3" s="7" t="s">
        <v>11</v>
      </c>
      <c r="L3" s="61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2" t="s">
        <v>17</v>
      </c>
      <c r="B4" s="63"/>
      <c r="C4" s="63"/>
      <c r="D4" s="4"/>
      <c r="E4" s="7" t="s">
        <v>26</v>
      </c>
      <c r="F4" s="65" t="s">
        <v>27</v>
      </c>
      <c r="G4" s="7" t="s">
        <v>12</v>
      </c>
      <c r="H4" s="61" t="str">
        <f>IF(LogicCommon!E4="","",LogicCommon!E4)</f>
        <v>原価計算サービス</v>
      </c>
      <c r="I4" s="7" t="s">
        <v>28</v>
      </c>
      <c r="J4" s="8" t="s">
        <v>29</v>
      </c>
      <c r="K4" s="7" t="s">
        <v>14</v>
      </c>
      <c r="L4" s="61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60"/>
      <c r="C5" s="60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2" t="s">
        <v>17</v>
      </c>
      <c r="B6" s="63"/>
      <c r="C6" s="63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107</v>
      </c>
      <c r="L7" s="8" t="s">
        <v>107</v>
      </c>
      <c r="M7" s="8" t="s">
        <v>107</v>
      </c>
      <c r="N7" s="8" t="s">
        <v>107</v>
      </c>
      <c r="O7" s="8" t="s">
        <v>107</v>
      </c>
      <c r="P7" s="8" t="s">
        <v>107</v>
      </c>
      <c r="Q7" s="8" t="s">
        <v>107</v>
      </c>
      <c r="R7" s="8" t="s">
        <v>107</v>
      </c>
      <c r="S7" s="8" t="s">
        <v>107</v>
      </c>
      <c r="T7" s="8" t="s">
        <v>107</v>
      </c>
      <c r="U7" s="8" t="s">
        <v>107</v>
      </c>
      <c r="V7" s="8" t="s">
        <v>107</v>
      </c>
      <c r="W7" s="8" t="s">
        <v>107</v>
      </c>
      <c r="X7" s="8" t="s">
        <v>107</v>
      </c>
      <c r="Y7" s="8" t="s">
        <v>107</v>
      </c>
      <c r="Z7" s="8" t="s">
        <v>107</v>
      </c>
      <c r="AA7" s="8" t="s">
        <v>107</v>
      </c>
      <c r="AB7" s="8" t="s">
        <v>107</v>
      </c>
      <c r="AC7" s="26" t="s">
        <v>36</v>
      </c>
      <c r="AD7" s="27"/>
      <c r="AE7" s="26" t="s">
        <v>36</v>
      </c>
      <c r="AF7" s="27"/>
      <c r="AG7" s="26" t="s">
        <v>36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92"/>
      <c r="C8" s="93"/>
      <c r="D8" s="26" t="s">
        <v>211</v>
      </c>
      <c r="E8" s="26" t="s">
        <v>212</v>
      </c>
      <c r="F8" s="25"/>
      <c r="G8" s="26" t="s">
        <v>37</v>
      </c>
      <c r="H8" s="26" t="s">
        <v>213</v>
      </c>
      <c r="I8" s="25"/>
      <c r="J8" s="3"/>
      <c r="K8" s="8" t="s">
        <v>38</v>
      </c>
      <c r="L8" s="8" t="s">
        <v>39</v>
      </c>
      <c r="M8" s="8" t="s">
        <v>40</v>
      </c>
      <c r="N8" s="8" t="s">
        <v>41</v>
      </c>
      <c r="O8" s="8" t="s">
        <v>42</v>
      </c>
      <c r="P8" s="8" t="s">
        <v>43</v>
      </c>
      <c r="Q8" s="8" t="s">
        <v>44</v>
      </c>
      <c r="R8" s="8" t="s">
        <v>45</v>
      </c>
      <c r="S8" s="8" t="s">
        <v>46</v>
      </c>
      <c r="T8" s="8" t="s">
        <v>47</v>
      </c>
      <c r="U8" s="8" t="s">
        <v>48</v>
      </c>
      <c r="V8" s="8" t="s">
        <v>49</v>
      </c>
      <c r="W8" s="8" t="s">
        <v>50</v>
      </c>
      <c r="X8" s="8" t="s">
        <v>51</v>
      </c>
      <c r="Y8" s="8" t="s">
        <v>52</v>
      </c>
      <c r="Z8" s="8" t="s">
        <v>53</v>
      </c>
      <c r="AA8" s="8" t="s">
        <v>54</v>
      </c>
      <c r="AB8" s="8" t="s">
        <v>55</v>
      </c>
      <c r="AC8" s="26" t="s">
        <v>56</v>
      </c>
      <c r="AD8" s="27"/>
      <c r="AE8" s="26" t="s">
        <v>56</v>
      </c>
      <c r="AF8" s="27"/>
      <c r="AG8" s="26" t="s">
        <v>56</v>
      </c>
      <c r="AH8" s="27"/>
      <c r="AI8" s="3"/>
      <c r="AJ8" s="21"/>
      <c r="AK8" s="148" t="s">
        <v>222</v>
      </c>
      <c r="AL8" s="149"/>
    </row>
    <row r="9" spans="1:38" s="10" customFormat="1" ht="60" customHeight="1" x14ac:dyDescent="0.2">
      <c r="A9" s="8" t="s">
        <v>34</v>
      </c>
      <c r="B9" s="30"/>
      <c r="C9" s="31"/>
      <c r="D9" s="26" t="s">
        <v>214</v>
      </c>
      <c r="E9" s="94" t="s">
        <v>215</v>
      </c>
      <c r="F9" s="26" t="s">
        <v>216</v>
      </c>
      <c r="G9" s="26" t="s">
        <v>217</v>
      </c>
      <c r="H9" s="26" t="s">
        <v>218</v>
      </c>
      <c r="I9" s="95" t="s">
        <v>219</v>
      </c>
      <c r="J9" s="26" t="s">
        <v>220</v>
      </c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5"/>
      <c r="AD9" s="26"/>
      <c r="AE9" s="95"/>
      <c r="AF9" s="26"/>
      <c r="AG9" s="95"/>
      <c r="AH9" s="26"/>
      <c r="AI9" s="148" t="s">
        <v>221</v>
      </c>
      <c r="AJ9" s="149"/>
      <c r="AK9" s="148" t="s">
        <v>223</v>
      </c>
      <c r="AL9" s="149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219</v>
      </c>
      <c r="AD10" s="26" t="s">
        <v>220</v>
      </c>
      <c r="AE10" s="26" t="s">
        <v>219</v>
      </c>
      <c r="AF10" s="26" t="s">
        <v>220</v>
      </c>
      <c r="AG10" s="26" t="s">
        <v>219</v>
      </c>
      <c r="AH10" s="26" t="s">
        <v>220</v>
      </c>
      <c r="AI10" s="32"/>
      <c r="AJ10" s="32"/>
      <c r="AK10" s="37"/>
      <c r="AL10" s="59"/>
    </row>
    <row r="11" spans="1:38" s="10" customFormat="1" x14ac:dyDescent="0.2">
      <c r="A11" s="8">
        <v>10</v>
      </c>
      <c r="B11" s="30" t="s">
        <v>57</v>
      </c>
      <c r="C11" s="31"/>
      <c r="D11" s="24" t="s">
        <v>58</v>
      </c>
      <c r="E11" s="28" t="s">
        <v>59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60</v>
      </c>
      <c r="E12" s="27" t="s">
        <v>61</v>
      </c>
      <c r="F12" s="27"/>
      <c r="G12" s="42" t="s">
        <v>224</v>
      </c>
      <c r="H12" s="42" t="s">
        <v>62</v>
      </c>
      <c r="I12" s="8" t="s">
        <v>63</v>
      </c>
      <c r="J12" s="8"/>
      <c r="K12" s="8"/>
      <c r="L12" s="8" t="s">
        <v>64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5"/>
      <c r="AL12" s="46"/>
    </row>
    <row r="13" spans="1:38" s="10" customFormat="1" x14ac:dyDescent="0.2">
      <c r="A13" s="8">
        <v>10</v>
      </c>
      <c r="B13" s="8"/>
      <c r="C13" s="8"/>
      <c r="D13" s="8" t="s">
        <v>65</v>
      </c>
      <c r="E13" s="27" t="s">
        <v>66</v>
      </c>
      <c r="F13" s="27"/>
      <c r="G13" s="42" t="s">
        <v>225</v>
      </c>
      <c r="H13" s="42" t="s">
        <v>67</v>
      </c>
      <c r="I13" s="8" t="s">
        <v>63</v>
      </c>
      <c r="J13" s="8"/>
      <c r="K13" s="8"/>
      <c r="L13" s="8" t="s">
        <v>64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68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5"/>
      <c r="AL13" s="46"/>
    </row>
    <row r="14" spans="1:38" s="10" customFormat="1" x14ac:dyDescent="0.2">
      <c r="A14" s="8">
        <v>10</v>
      </c>
      <c r="B14" s="8"/>
      <c r="C14" s="8"/>
      <c r="D14" s="8" t="s">
        <v>69</v>
      </c>
      <c r="E14" s="27" t="s">
        <v>70</v>
      </c>
      <c r="F14" s="27"/>
      <c r="G14" s="42" t="s">
        <v>226</v>
      </c>
      <c r="H14" s="42" t="s">
        <v>71</v>
      </c>
      <c r="I14" s="8" t="s">
        <v>63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5"/>
      <c r="AL14" s="46"/>
    </row>
    <row r="15" spans="1:38" s="10" customFormat="1" x14ac:dyDescent="0.2">
      <c r="A15" s="8">
        <v>10</v>
      </c>
      <c r="B15" s="8"/>
      <c r="C15" s="8"/>
      <c r="D15" s="8" t="s">
        <v>72</v>
      </c>
      <c r="E15" s="27" t="s">
        <v>73</v>
      </c>
      <c r="F15" s="27"/>
      <c r="G15" s="42" t="s">
        <v>227</v>
      </c>
      <c r="H15" s="42" t="s">
        <v>74</v>
      </c>
      <c r="I15" s="8" t="s">
        <v>63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5"/>
      <c r="AL15" s="46"/>
    </row>
    <row r="16" spans="1:38" s="10" customFormat="1" x14ac:dyDescent="0.2">
      <c r="A16" s="8">
        <v>10</v>
      </c>
      <c r="B16" s="8"/>
      <c r="C16" s="8"/>
      <c r="D16" s="8" t="s">
        <v>75</v>
      </c>
      <c r="E16" s="27" t="s">
        <v>76</v>
      </c>
      <c r="F16" s="27"/>
      <c r="G16" s="42" t="s">
        <v>228</v>
      </c>
      <c r="H16" s="42" t="s">
        <v>77</v>
      </c>
      <c r="I16" s="8" t="s">
        <v>63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3"/>
      <c r="AJ16" s="44"/>
      <c r="AK16" s="45"/>
      <c r="AL16" s="46"/>
    </row>
    <row r="17" spans="1:38" s="10" customFormat="1" x14ac:dyDescent="0.2">
      <c r="A17" s="8">
        <v>10</v>
      </c>
      <c r="B17" s="8"/>
      <c r="C17" s="8"/>
      <c r="D17" s="8" t="s">
        <v>78</v>
      </c>
      <c r="E17" s="27" t="s">
        <v>79</v>
      </c>
      <c r="F17" s="27"/>
      <c r="G17" s="42" t="s">
        <v>229</v>
      </c>
      <c r="H17" s="42" t="s">
        <v>80</v>
      </c>
      <c r="I17" s="8" t="s">
        <v>63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3"/>
      <c r="AJ17" s="44"/>
      <c r="AK17" s="45"/>
      <c r="AL17" s="46"/>
    </row>
    <row r="18" spans="1:38" s="10" customFormat="1" x14ac:dyDescent="0.2">
      <c r="A18" s="8">
        <v>10</v>
      </c>
      <c r="B18" s="8"/>
      <c r="C18" s="8"/>
      <c r="D18" s="8" t="s">
        <v>81</v>
      </c>
      <c r="E18" s="27" t="s">
        <v>82</v>
      </c>
      <c r="F18" s="27"/>
      <c r="G18" s="42" t="s">
        <v>230</v>
      </c>
      <c r="H18" s="42" t="s">
        <v>83</v>
      </c>
      <c r="I18" s="8" t="s">
        <v>63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3"/>
      <c r="AJ18" s="44"/>
      <c r="AK18" s="45"/>
      <c r="AL18" s="46"/>
    </row>
    <row r="19" spans="1:38" s="10" customFormat="1" x14ac:dyDescent="0.2">
      <c r="A19" s="8">
        <v>10</v>
      </c>
      <c r="B19" s="8"/>
      <c r="C19" s="8"/>
      <c r="D19" s="8" t="s">
        <v>84</v>
      </c>
      <c r="E19" s="27" t="s">
        <v>85</v>
      </c>
      <c r="F19" s="27"/>
      <c r="G19" s="42" t="s">
        <v>231</v>
      </c>
      <c r="H19" s="42" t="s">
        <v>86</v>
      </c>
      <c r="I19" s="8" t="s">
        <v>63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3"/>
      <c r="AJ19" s="44"/>
      <c r="AK19" s="45"/>
      <c r="AL19" s="46"/>
    </row>
    <row r="20" spans="1:38" s="10" customFormat="1" x14ac:dyDescent="0.2">
      <c r="A20" s="8">
        <v>10</v>
      </c>
      <c r="B20" s="8"/>
      <c r="C20" s="8"/>
      <c r="D20" s="8" t="s">
        <v>87</v>
      </c>
      <c r="E20" s="27" t="s">
        <v>61</v>
      </c>
      <c r="F20" s="27"/>
      <c r="G20" s="42" t="s">
        <v>232</v>
      </c>
      <c r="H20" s="42" t="s">
        <v>88</v>
      </c>
      <c r="I20" s="8" t="s">
        <v>63</v>
      </c>
      <c r="J20" s="8"/>
      <c r="K20" s="8"/>
      <c r="L20" s="8" t="s">
        <v>64</v>
      </c>
      <c r="M20" s="8"/>
      <c r="N20" s="8"/>
      <c r="O20" s="8"/>
      <c r="P20" s="8" t="s">
        <v>89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3"/>
      <c r="AJ20" s="44"/>
      <c r="AK20" s="45"/>
      <c r="AL20" s="46"/>
    </row>
    <row r="21" spans="1:38" s="10" customFormat="1" x14ac:dyDescent="0.2">
      <c r="A21" s="8">
        <v>10</v>
      </c>
      <c r="B21" s="8"/>
      <c r="C21" s="8"/>
      <c r="D21" s="8" t="s">
        <v>90</v>
      </c>
      <c r="E21" s="27" t="s">
        <v>61</v>
      </c>
      <c r="F21" s="27"/>
      <c r="G21" s="42" t="s">
        <v>233</v>
      </c>
      <c r="H21" s="42" t="s">
        <v>91</v>
      </c>
      <c r="I21" s="8" t="s">
        <v>63</v>
      </c>
      <c r="J21" s="8"/>
      <c r="K21" s="8"/>
      <c r="L21" s="8" t="s">
        <v>64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3"/>
      <c r="AJ21" s="44"/>
      <c r="AK21" s="45"/>
      <c r="AL21" s="46"/>
    </row>
    <row r="22" spans="1:38" s="10" customFormat="1" x14ac:dyDescent="0.2">
      <c r="A22" s="8">
        <v>10</v>
      </c>
      <c r="B22" s="8"/>
      <c r="C22" s="8"/>
      <c r="D22" s="8" t="s">
        <v>92</v>
      </c>
      <c r="E22" s="27" t="s">
        <v>73</v>
      </c>
      <c r="F22" s="27"/>
      <c r="G22" s="42" t="s">
        <v>234</v>
      </c>
      <c r="H22" s="42" t="s">
        <v>93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3"/>
      <c r="AJ22" s="44"/>
      <c r="AK22" s="45"/>
      <c r="AL22" s="46"/>
    </row>
    <row r="23" spans="1:38" s="10" customFormat="1" x14ac:dyDescent="0.2">
      <c r="A23" s="8">
        <v>10</v>
      </c>
      <c r="B23" s="8"/>
      <c r="C23" s="8"/>
      <c r="D23" s="8" t="s">
        <v>94</v>
      </c>
      <c r="E23" s="27" t="s">
        <v>73</v>
      </c>
      <c r="F23" s="27"/>
      <c r="G23" s="42" t="s">
        <v>235</v>
      </c>
      <c r="H23" s="42" t="s">
        <v>95</v>
      </c>
      <c r="I23" s="8" t="s">
        <v>63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3"/>
      <c r="AJ23" s="44"/>
      <c r="AK23" s="45"/>
      <c r="AL23" s="46"/>
    </row>
    <row r="24" spans="1:38" s="10" customFormat="1" x14ac:dyDescent="0.2">
      <c r="A24" s="8">
        <v>10</v>
      </c>
      <c r="B24" s="8"/>
      <c r="C24" s="8"/>
      <c r="D24" s="8" t="s">
        <v>96</v>
      </c>
      <c r="E24" s="27" t="s">
        <v>73</v>
      </c>
      <c r="F24" s="27"/>
      <c r="G24" s="42" t="s">
        <v>236</v>
      </c>
      <c r="H24" s="42" t="s">
        <v>97</v>
      </c>
      <c r="I24" s="8" t="s">
        <v>63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3"/>
      <c r="AJ24" s="44"/>
      <c r="AK24" s="45"/>
      <c r="AL24" s="46"/>
    </row>
    <row r="25" spans="1:38" s="10" customFormat="1" x14ac:dyDescent="0.2">
      <c r="A25" s="8">
        <v>10</v>
      </c>
      <c r="B25" s="8"/>
      <c r="C25" s="8"/>
      <c r="D25" s="8" t="s">
        <v>98</v>
      </c>
      <c r="E25" s="27" t="s">
        <v>99</v>
      </c>
      <c r="F25" s="27"/>
      <c r="G25" s="42" t="s">
        <v>237</v>
      </c>
      <c r="H25" s="42" t="s">
        <v>100</v>
      </c>
      <c r="I25" s="8"/>
      <c r="J25" s="8" t="s">
        <v>63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3"/>
      <c r="AJ25" s="44"/>
      <c r="AK25" s="47"/>
      <c r="AL25" s="48"/>
    </row>
    <row r="26" spans="1:38" s="10" customFormat="1" x14ac:dyDescent="0.2">
      <c r="A26" s="8">
        <v>10</v>
      </c>
      <c r="B26" s="8"/>
      <c r="C26" s="8"/>
      <c r="D26" s="8" t="s">
        <v>101</v>
      </c>
      <c r="E26" s="27" t="s">
        <v>73</v>
      </c>
      <c r="F26" s="27"/>
      <c r="G26" s="42" t="s">
        <v>238</v>
      </c>
      <c r="H26" s="42" t="s">
        <v>102</v>
      </c>
      <c r="I26" s="8"/>
      <c r="J26" s="8" t="s">
        <v>63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3"/>
      <c r="AJ26" s="44"/>
      <c r="AK26" s="45"/>
      <c r="AL26" s="46"/>
    </row>
    <row r="27" spans="1:38" s="10" customFormat="1" x14ac:dyDescent="0.2">
      <c r="A27" s="22"/>
      <c r="B27" s="23"/>
      <c r="C27" s="23"/>
      <c r="D27" s="16" t="s">
        <v>16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9"/>
      <c r="AI27" s="9"/>
      <c r="AJ27" s="9"/>
      <c r="AK27" s="49"/>
      <c r="AL27" s="50"/>
    </row>
    <row r="28" spans="1:38" s="10" customFormat="1" x14ac:dyDescent="0.2">
      <c r="A28" s="62"/>
      <c r="AL28" s="51"/>
    </row>
    <row r="29" spans="1:38" s="10" customFormat="1" x14ac:dyDescent="0.2">
      <c r="A29" s="62"/>
      <c r="AL29" s="51"/>
    </row>
    <row r="30" spans="1:38" s="10" customFormat="1" x14ac:dyDescent="0.2">
      <c r="A30" s="62"/>
      <c r="AL30" s="51"/>
    </row>
    <row r="31" spans="1:38" s="10" customFormat="1" x14ac:dyDescent="0.2">
      <c r="A31" s="62"/>
      <c r="AL31" s="51"/>
    </row>
    <row r="32" spans="1:38" s="10" customFormat="1" x14ac:dyDescent="0.2">
      <c r="A32" s="62"/>
      <c r="AL32" s="51"/>
    </row>
    <row r="33" spans="1:38" s="10" customFormat="1" x14ac:dyDescent="0.2">
      <c r="A33" s="62"/>
      <c r="AL33" s="51"/>
    </row>
    <row r="34" spans="1:38" s="10" customFormat="1" x14ac:dyDescent="0.2">
      <c r="A34" s="62"/>
      <c r="AL34" s="51"/>
    </row>
    <row r="35" spans="1:38" s="10" customFormat="1" x14ac:dyDescent="0.2">
      <c r="A35" s="62"/>
      <c r="AL35" s="51"/>
    </row>
    <row r="36" spans="1:38" s="10" customFormat="1" x14ac:dyDescent="0.2">
      <c r="A36" s="62"/>
      <c r="AL36" s="51"/>
    </row>
    <row r="37" spans="1:38" s="10" customFormat="1" x14ac:dyDescent="0.2">
      <c r="A37" s="62"/>
      <c r="AL37" s="51"/>
    </row>
    <row r="38" spans="1:38" s="10" customFormat="1" x14ac:dyDescent="0.2">
      <c r="A38" s="62"/>
      <c r="AL38" s="51"/>
    </row>
    <row r="39" spans="1:38" s="10" customFormat="1" x14ac:dyDescent="0.2">
      <c r="A39" s="62"/>
      <c r="AL39" s="51"/>
    </row>
    <row r="40" spans="1:38" s="10" customFormat="1" x14ac:dyDescent="0.2">
      <c r="A40" s="6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52"/>
    </row>
  </sheetData>
  <mergeCells count="3">
    <mergeCell ref="AK8:AL8"/>
    <mergeCell ref="AI9:AJ9"/>
    <mergeCell ref="AK9:AL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3"/>
  <sheetViews>
    <sheetView zoomScale="85" zoomScaleNormal="85" workbookViewId="0">
      <selection activeCell="D47" sqref="D47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0" t="s">
        <v>17</v>
      </c>
      <c r="B1" s="60" t="s">
        <v>17</v>
      </c>
      <c r="C1" s="6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91" t="s">
        <v>210</v>
      </c>
      <c r="E2" s="7" t="s">
        <v>1</v>
      </c>
      <c r="F2" s="61" t="str">
        <f>IF(LogicCommon!C2="","",LogicCommon!C2)</f>
        <v>MG</v>
      </c>
      <c r="G2" s="7" t="s">
        <v>3</v>
      </c>
      <c r="H2" s="61" t="str">
        <f>IF(LogicCommon!E2="","",LogicCommon!E2)</f>
        <v>MGBDL5010</v>
      </c>
      <c r="I2" s="7" t="s">
        <v>19</v>
      </c>
      <c r="J2" s="8" t="s">
        <v>103</v>
      </c>
      <c r="K2" s="7" t="s">
        <v>5</v>
      </c>
      <c r="L2" s="61" t="str">
        <f>IF(LogicCommon!G2="","",LogicCommon!G2)</f>
        <v>MC</v>
      </c>
      <c r="M2" s="5" t="s">
        <v>21</v>
      </c>
      <c r="N2" s="24" t="s">
        <v>199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2" t="s">
        <v>17</v>
      </c>
      <c r="B3" s="63"/>
      <c r="C3" s="63"/>
      <c r="D3" s="64" t="str">
        <f>IF(LogicCommon!A3="","",LogicCommon!A3)</f>
        <v/>
      </c>
      <c r="E3" s="7" t="s">
        <v>7</v>
      </c>
      <c r="F3" s="61" t="str">
        <f>IF(LogicCommon!C3="","",LogicCommon!C3)</f>
        <v>MGBD</v>
      </c>
      <c r="G3" s="7" t="s">
        <v>9</v>
      </c>
      <c r="H3" s="61" t="str">
        <f>IF(LogicCommon!E3="","",LogicCommon!E3)</f>
        <v>MGBDL_CalcCostService</v>
      </c>
      <c r="I3" s="7" t="s">
        <v>22</v>
      </c>
      <c r="J3" s="8" t="s">
        <v>104</v>
      </c>
      <c r="K3" s="7" t="s">
        <v>11</v>
      </c>
      <c r="L3" s="61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2" t="s">
        <v>17</v>
      </c>
      <c r="B4" s="63"/>
      <c r="C4" s="63"/>
      <c r="D4" s="4"/>
      <c r="E4" s="7" t="s">
        <v>26</v>
      </c>
      <c r="F4" s="65" t="s">
        <v>27</v>
      </c>
      <c r="G4" s="7" t="s">
        <v>12</v>
      </c>
      <c r="H4" s="61" t="str">
        <f>IF(LogicCommon!E4="","",LogicCommon!E4)</f>
        <v>原価計算サービス</v>
      </c>
      <c r="I4" s="7" t="s">
        <v>28</v>
      </c>
      <c r="J4" s="8" t="s">
        <v>105</v>
      </c>
      <c r="K4" s="7" t="s">
        <v>14</v>
      </c>
      <c r="L4" s="61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60"/>
      <c r="C5" s="60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2" t="s">
        <v>17</v>
      </c>
      <c r="B6" s="63"/>
      <c r="C6" s="63"/>
      <c r="D6" s="4" t="s">
        <v>15</v>
      </c>
      <c r="E6" s="12" t="s">
        <v>106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107</v>
      </c>
      <c r="L7" s="26" t="s">
        <v>36</v>
      </c>
      <c r="M7" s="27"/>
      <c r="N7" s="26" t="s">
        <v>36</v>
      </c>
      <c r="O7" s="27"/>
      <c r="P7" s="26" t="s">
        <v>36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92"/>
      <c r="C8" s="93"/>
      <c r="D8" s="26" t="s">
        <v>211</v>
      </c>
      <c r="E8" s="26" t="s">
        <v>212</v>
      </c>
      <c r="F8" s="25"/>
      <c r="G8" s="26" t="s">
        <v>37</v>
      </c>
      <c r="H8" s="26" t="s">
        <v>213</v>
      </c>
      <c r="I8" s="25"/>
      <c r="J8" s="3"/>
      <c r="K8" s="8"/>
      <c r="L8" s="26" t="s">
        <v>56</v>
      </c>
      <c r="M8" s="27"/>
      <c r="N8" s="26" t="s">
        <v>56</v>
      </c>
      <c r="O8" s="27"/>
      <c r="P8" s="26" t="s">
        <v>56</v>
      </c>
      <c r="Q8" s="27"/>
      <c r="R8" s="3"/>
      <c r="S8" s="21"/>
      <c r="T8" s="148" t="s">
        <v>222</v>
      </c>
      <c r="U8" s="149"/>
    </row>
    <row r="9" spans="1:21" s="10" customFormat="1" ht="60" customHeight="1" x14ac:dyDescent="0.2">
      <c r="A9" s="8" t="s">
        <v>34</v>
      </c>
      <c r="B9" s="30"/>
      <c r="C9" s="31"/>
      <c r="D9" s="26" t="s">
        <v>239</v>
      </c>
      <c r="E9" s="94" t="s">
        <v>240</v>
      </c>
      <c r="F9" s="26" t="s">
        <v>216</v>
      </c>
      <c r="G9" s="26" t="s">
        <v>217</v>
      </c>
      <c r="H9" s="26" t="s">
        <v>218</v>
      </c>
      <c r="I9" s="95" t="s">
        <v>219</v>
      </c>
      <c r="J9" s="26" t="s">
        <v>220</v>
      </c>
      <c r="K9" s="91"/>
      <c r="L9" s="95"/>
      <c r="M9" s="26"/>
      <c r="N9" s="95"/>
      <c r="O9" s="26"/>
      <c r="P9" s="95"/>
      <c r="Q9" s="26"/>
      <c r="R9" s="148" t="s">
        <v>221</v>
      </c>
      <c r="S9" s="149"/>
      <c r="T9" s="148" t="s">
        <v>223</v>
      </c>
      <c r="U9" s="149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219</v>
      </c>
      <c r="M10" s="26" t="s">
        <v>220</v>
      </c>
      <c r="N10" s="26" t="s">
        <v>219</v>
      </c>
      <c r="O10" s="26" t="s">
        <v>220</v>
      </c>
      <c r="P10" s="26" t="s">
        <v>219</v>
      </c>
      <c r="Q10" s="26" t="s">
        <v>220</v>
      </c>
      <c r="R10" s="32"/>
      <c r="S10" s="32"/>
      <c r="T10" s="37"/>
      <c r="U10" s="59"/>
    </row>
    <row r="11" spans="1:21" s="10" customFormat="1" x14ac:dyDescent="0.2">
      <c r="A11" s="8">
        <v>10</v>
      </c>
      <c r="B11" s="30" t="s">
        <v>108</v>
      </c>
      <c r="C11" s="31"/>
      <c r="D11" s="24" t="s">
        <v>109</v>
      </c>
      <c r="E11" s="28" t="s">
        <v>110</v>
      </c>
      <c r="F11" s="38"/>
      <c r="G11" s="24" t="s">
        <v>111</v>
      </c>
      <c r="H11" s="29" t="s">
        <v>112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113</v>
      </c>
      <c r="E12" s="27" t="s">
        <v>66</v>
      </c>
      <c r="F12" s="27"/>
      <c r="G12" s="42" t="s">
        <v>225</v>
      </c>
      <c r="H12" s="42" t="s">
        <v>67</v>
      </c>
      <c r="I12" s="8" t="s">
        <v>63</v>
      </c>
      <c r="J12" s="8"/>
      <c r="K12" s="8"/>
      <c r="L12" s="8"/>
      <c r="M12" s="8"/>
      <c r="N12" s="8"/>
      <c r="O12" s="8"/>
      <c r="P12" s="8"/>
      <c r="Q12" s="8"/>
      <c r="R12" s="53"/>
      <c r="S12" s="54"/>
      <c r="T12" s="152"/>
      <c r="U12" s="153"/>
    </row>
    <row r="13" spans="1:21" s="10" customFormat="1" x14ac:dyDescent="0.2">
      <c r="A13" s="8">
        <v>10</v>
      </c>
      <c r="B13" s="8"/>
      <c r="C13" s="8"/>
      <c r="D13" s="8" t="s">
        <v>114</v>
      </c>
      <c r="E13" s="27" t="s">
        <v>99</v>
      </c>
      <c r="F13" s="27"/>
      <c r="G13" s="42" t="s">
        <v>237</v>
      </c>
      <c r="H13" s="42" t="s">
        <v>115</v>
      </c>
      <c r="I13" s="8" t="s">
        <v>63</v>
      </c>
      <c r="J13" s="8"/>
      <c r="K13" s="8"/>
      <c r="L13" s="8"/>
      <c r="M13" s="8"/>
      <c r="N13" s="8"/>
      <c r="O13" s="8"/>
      <c r="P13" s="8"/>
      <c r="Q13" s="8"/>
      <c r="R13" s="53"/>
      <c r="S13" s="54"/>
      <c r="T13" s="152"/>
      <c r="U13" s="153"/>
    </row>
    <row r="14" spans="1:21" s="10" customFormat="1" x14ac:dyDescent="0.2">
      <c r="A14" s="8">
        <v>10</v>
      </c>
      <c r="B14" s="8"/>
      <c r="C14" s="8"/>
      <c r="D14" s="8" t="s">
        <v>116</v>
      </c>
      <c r="E14" s="27" t="s">
        <v>117</v>
      </c>
      <c r="F14" s="27"/>
      <c r="G14" s="42" t="s">
        <v>241</v>
      </c>
      <c r="H14" s="42" t="s">
        <v>118</v>
      </c>
      <c r="I14" s="8" t="s">
        <v>64</v>
      </c>
      <c r="J14" s="8"/>
      <c r="K14" s="8"/>
      <c r="L14" s="8"/>
      <c r="M14" s="8"/>
      <c r="N14" s="8"/>
      <c r="O14" s="8"/>
      <c r="P14" s="8"/>
      <c r="Q14" s="8"/>
      <c r="R14" s="53"/>
      <c r="S14" s="54"/>
      <c r="T14" s="152"/>
      <c r="U14" s="153"/>
    </row>
    <row r="15" spans="1:21" s="10" customFormat="1" x14ac:dyDescent="0.2">
      <c r="A15" s="8">
        <v>10</v>
      </c>
      <c r="B15" s="8"/>
      <c r="C15" s="8"/>
      <c r="D15" s="8" t="s">
        <v>119</v>
      </c>
      <c r="E15" s="27" t="s">
        <v>73</v>
      </c>
      <c r="F15" s="27"/>
      <c r="G15" s="42" t="s">
        <v>238</v>
      </c>
      <c r="H15" s="42" t="s">
        <v>102</v>
      </c>
      <c r="I15" s="8"/>
      <c r="J15" s="8"/>
      <c r="K15" s="8"/>
      <c r="L15" s="8"/>
      <c r="M15" s="8"/>
      <c r="N15" s="8"/>
      <c r="O15" s="8"/>
      <c r="P15" s="8"/>
      <c r="Q15" s="8"/>
      <c r="R15" s="53"/>
      <c r="S15" s="54"/>
      <c r="T15" s="152"/>
      <c r="U15" s="153"/>
    </row>
    <row r="16" spans="1:21" s="10" customFormat="1" x14ac:dyDescent="0.2">
      <c r="A16" s="8">
        <v>10</v>
      </c>
      <c r="B16" s="8"/>
      <c r="C16" s="8"/>
      <c r="D16" s="8" t="s">
        <v>120</v>
      </c>
      <c r="E16" s="27" t="s">
        <v>121</v>
      </c>
      <c r="F16" s="27"/>
      <c r="G16" s="42" t="s">
        <v>242</v>
      </c>
      <c r="H16" s="42" t="s">
        <v>122</v>
      </c>
      <c r="I16" s="8"/>
      <c r="J16" s="8" t="s">
        <v>64</v>
      </c>
      <c r="K16" s="8"/>
      <c r="L16" s="8"/>
      <c r="M16" s="8"/>
      <c r="N16" s="8"/>
      <c r="O16" s="8"/>
      <c r="P16" s="8"/>
      <c r="Q16" s="8"/>
      <c r="R16" s="53"/>
      <c r="S16" s="54"/>
      <c r="T16" s="152"/>
      <c r="U16" s="153"/>
    </row>
    <row r="17" spans="1:21" s="10" customFormat="1" ht="39" x14ac:dyDescent="0.2">
      <c r="A17" s="73"/>
      <c r="B17" s="74"/>
      <c r="C17" s="74"/>
      <c r="D17" s="75"/>
      <c r="E17" s="76"/>
      <c r="F17" s="76"/>
      <c r="G17" s="77"/>
      <c r="H17" s="77"/>
      <c r="I17" s="76"/>
      <c r="J17" s="76"/>
      <c r="K17" s="78"/>
      <c r="L17" s="79" t="s">
        <v>219</v>
      </c>
      <c r="M17" s="79" t="s">
        <v>220</v>
      </c>
      <c r="N17" s="79" t="s">
        <v>219</v>
      </c>
      <c r="O17" s="79" t="s">
        <v>220</v>
      </c>
      <c r="P17" s="79" t="s">
        <v>219</v>
      </c>
      <c r="Q17" s="79" t="s">
        <v>220</v>
      </c>
      <c r="R17" s="76"/>
      <c r="S17" s="76"/>
      <c r="T17" s="80"/>
      <c r="U17" s="81"/>
    </row>
    <row r="18" spans="1:21" s="10" customFormat="1" x14ac:dyDescent="0.2">
      <c r="A18" s="82">
        <v>20</v>
      </c>
      <c r="B18" s="73" t="s">
        <v>57</v>
      </c>
      <c r="C18" s="83"/>
      <c r="D18" s="84" t="s">
        <v>202</v>
      </c>
      <c r="E18" s="85" t="s">
        <v>144</v>
      </c>
      <c r="F18" s="86"/>
      <c r="G18" s="84"/>
      <c r="H18" s="86"/>
      <c r="I18" s="87"/>
      <c r="J18" s="77"/>
      <c r="K18" s="77"/>
      <c r="L18" s="85"/>
      <c r="M18" s="85"/>
      <c r="N18" s="85"/>
      <c r="O18" s="85"/>
      <c r="P18" s="85"/>
      <c r="Q18" s="85"/>
      <c r="R18" s="87"/>
      <c r="S18" s="86"/>
      <c r="T18" s="88"/>
      <c r="U18" s="81"/>
    </row>
    <row r="19" spans="1:21" s="10" customFormat="1" x14ac:dyDescent="0.2">
      <c r="A19" s="82">
        <v>20</v>
      </c>
      <c r="B19" s="82"/>
      <c r="C19" s="82"/>
      <c r="D19" s="82" t="s">
        <v>200</v>
      </c>
      <c r="E19" s="79" t="s">
        <v>201</v>
      </c>
      <c r="F19" s="79"/>
      <c r="G19" s="79"/>
      <c r="H19" s="79"/>
      <c r="I19" s="82" t="s">
        <v>63</v>
      </c>
      <c r="J19" s="82"/>
      <c r="K19" s="82"/>
      <c r="L19" s="82"/>
      <c r="M19" s="82"/>
      <c r="N19" s="82"/>
      <c r="O19" s="82"/>
      <c r="P19" s="82"/>
      <c r="Q19" s="82"/>
      <c r="R19" s="89"/>
      <c r="S19" s="90"/>
      <c r="T19" s="150"/>
      <c r="U19" s="151"/>
    </row>
    <row r="20" spans="1:21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9"/>
      <c r="S20" s="9"/>
      <c r="T20" s="9"/>
      <c r="U20" s="49"/>
    </row>
    <row r="21" spans="1:21" s="10" customFormat="1" x14ac:dyDescent="0.2">
      <c r="A21" s="62"/>
      <c r="U21" s="51"/>
    </row>
    <row r="22" spans="1:21" s="10" customFormat="1" x14ac:dyDescent="0.2">
      <c r="A22" s="62"/>
      <c r="U22" s="51"/>
    </row>
    <row r="23" spans="1:21" s="10" customFormat="1" x14ac:dyDescent="0.2">
      <c r="A23" s="62"/>
      <c r="U23" s="51"/>
    </row>
    <row r="24" spans="1:21" s="10" customFormat="1" x14ac:dyDescent="0.2">
      <c r="A24" s="62"/>
      <c r="U24" s="51"/>
    </row>
    <row r="25" spans="1:21" s="10" customFormat="1" x14ac:dyDescent="0.2">
      <c r="A25" s="62"/>
      <c r="U25" s="51"/>
    </row>
    <row r="26" spans="1:21" s="10" customFormat="1" x14ac:dyDescent="0.2">
      <c r="A26" s="62"/>
      <c r="U26" s="51"/>
    </row>
    <row r="27" spans="1:21" s="10" customFormat="1" x14ac:dyDescent="0.2">
      <c r="A27" s="62"/>
      <c r="U27" s="51"/>
    </row>
    <row r="28" spans="1:21" s="10" customFormat="1" x14ac:dyDescent="0.2">
      <c r="A28" s="62"/>
      <c r="U28" s="51"/>
    </row>
    <row r="29" spans="1:21" s="10" customFormat="1" x14ac:dyDescent="0.2">
      <c r="A29" s="62"/>
      <c r="U29" s="51"/>
    </row>
    <row r="30" spans="1:21" s="10" customFormat="1" x14ac:dyDescent="0.2">
      <c r="A30" s="62"/>
      <c r="U30" s="51"/>
    </row>
    <row r="31" spans="1:21" s="10" customFormat="1" x14ac:dyDescent="0.2">
      <c r="A31" s="62"/>
      <c r="U31" s="51"/>
    </row>
    <row r="32" spans="1:21" s="10" customFormat="1" x14ac:dyDescent="0.2">
      <c r="A32" s="62"/>
      <c r="U32" s="51"/>
    </row>
    <row r="33" spans="1:21" s="10" customFormat="1" x14ac:dyDescent="0.2">
      <c r="A33" s="6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52"/>
    </row>
  </sheetData>
  <mergeCells count="9">
    <mergeCell ref="T19:U19"/>
    <mergeCell ref="T15:U15"/>
    <mergeCell ref="T16:U16"/>
    <mergeCell ref="T8:U8"/>
    <mergeCell ref="R9:S9"/>
    <mergeCell ref="T9:U9"/>
    <mergeCell ref="T12:U12"/>
    <mergeCell ref="T13:U13"/>
    <mergeCell ref="T14:U14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zoomScale="85" zoomScaleNormal="85" workbookViewId="0">
      <selection activeCell="J4" sqref="J4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0" t="s">
        <v>17</v>
      </c>
      <c r="B1" s="60" t="s">
        <v>17</v>
      </c>
      <c r="C1" s="6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91" t="s">
        <v>210</v>
      </c>
      <c r="E2" s="7" t="s">
        <v>1</v>
      </c>
      <c r="F2" s="61" t="str">
        <f>IF(LogicCommon!C2="","",LogicCommon!C2)</f>
        <v>MG</v>
      </c>
      <c r="G2" s="7" t="s">
        <v>3</v>
      </c>
      <c r="H2" s="61" t="str">
        <f>IF(LogicCommon!E2="","",LogicCommon!E2)</f>
        <v>MGBDL5010</v>
      </c>
      <c r="I2" s="7" t="s">
        <v>19</v>
      </c>
      <c r="J2" s="8" t="s">
        <v>123</v>
      </c>
      <c r="K2" s="7" t="s">
        <v>5</v>
      </c>
      <c r="L2" s="61" t="str">
        <f>IF(LogicCommon!G2="","",LogicCommon!G2)</f>
        <v>MC</v>
      </c>
      <c r="M2" s="5" t="s">
        <v>21</v>
      </c>
      <c r="N2" s="24" t="s">
        <v>198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2" t="s">
        <v>17</v>
      </c>
      <c r="B3" s="63"/>
      <c r="C3" s="63"/>
      <c r="D3" s="64" t="str">
        <f>IF(LogicCommon!A3="","",LogicCommon!A3)</f>
        <v/>
      </c>
      <c r="E3" s="7" t="s">
        <v>7</v>
      </c>
      <c r="F3" s="61" t="str">
        <f>IF(LogicCommon!C3="","",LogicCommon!C3)</f>
        <v>MGBD</v>
      </c>
      <c r="G3" s="7" t="s">
        <v>9</v>
      </c>
      <c r="H3" s="61" t="str">
        <f>IF(LogicCommon!E3="","",LogicCommon!E3)</f>
        <v>MGBDL_CalcCostService</v>
      </c>
      <c r="I3" s="7" t="s">
        <v>22</v>
      </c>
      <c r="J3" s="8" t="s">
        <v>124</v>
      </c>
      <c r="K3" s="7" t="s">
        <v>11</v>
      </c>
      <c r="L3" s="61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2" t="s">
        <v>17</v>
      </c>
      <c r="B4" s="63"/>
      <c r="C4" s="63"/>
      <c r="D4" s="4"/>
      <c r="E4" s="7" t="s">
        <v>26</v>
      </c>
      <c r="F4" s="65" t="s">
        <v>27</v>
      </c>
      <c r="G4" s="7" t="s">
        <v>12</v>
      </c>
      <c r="H4" s="61" t="str">
        <f>IF(LogicCommon!E4="","",LogicCommon!E4)</f>
        <v>原価計算サービス</v>
      </c>
      <c r="I4" s="7" t="s">
        <v>28</v>
      </c>
      <c r="J4" s="8" t="s">
        <v>125</v>
      </c>
      <c r="K4" s="7" t="s">
        <v>14</v>
      </c>
      <c r="L4" s="61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60"/>
      <c r="C5" s="60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2" t="s">
        <v>17</v>
      </c>
      <c r="B6" s="63"/>
      <c r="C6" s="63"/>
      <c r="D6" s="4" t="s">
        <v>15</v>
      </c>
      <c r="E6" s="12" t="s">
        <v>126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107</v>
      </c>
      <c r="L7" s="26" t="s">
        <v>36</v>
      </c>
      <c r="M7" s="27"/>
      <c r="N7" s="26" t="s">
        <v>36</v>
      </c>
      <c r="O7" s="27"/>
      <c r="P7" s="26" t="s">
        <v>36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92"/>
      <c r="C8" s="93"/>
      <c r="D8" s="26" t="s">
        <v>211</v>
      </c>
      <c r="E8" s="26" t="s">
        <v>212</v>
      </c>
      <c r="F8" s="25"/>
      <c r="G8" s="26" t="s">
        <v>37</v>
      </c>
      <c r="H8" s="26" t="s">
        <v>213</v>
      </c>
      <c r="I8" s="25"/>
      <c r="J8" s="3"/>
      <c r="K8" s="8"/>
      <c r="L8" s="26" t="s">
        <v>56</v>
      </c>
      <c r="M8" s="27"/>
      <c r="N8" s="26" t="s">
        <v>56</v>
      </c>
      <c r="O8" s="27"/>
      <c r="P8" s="26" t="s">
        <v>56</v>
      </c>
      <c r="Q8" s="27"/>
      <c r="R8" s="3"/>
      <c r="S8" s="21"/>
      <c r="T8" s="148" t="s">
        <v>222</v>
      </c>
      <c r="U8" s="149"/>
    </row>
    <row r="9" spans="1:21" s="10" customFormat="1" ht="60" customHeight="1" x14ac:dyDescent="0.2">
      <c r="A9" s="8" t="s">
        <v>34</v>
      </c>
      <c r="B9" s="30"/>
      <c r="C9" s="31"/>
      <c r="D9" s="26" t="s">
        <v>239</v>
      </c>
      <c r="E9" s="94" t="s">
        <v>240</v>
      </c>
      <c r="F9" s="26" t="s">
        <v>216</v>
      </c>
      <c r="G9" s="26" t="s">
        <v>217</v>
      </c>
      <c r="H9" s="26" t="s">
        <v>218</v>
      </c>
      <c r="I9" s="95" t="s">
        <v>219</v>
      </c>
      <c r="J9" s="26" t="s">
        <v>220</v>
      </c>
      <c r="K9" s="91"/>
      <c r="L9" s="95"/>
      <c r="M9" s="26"/>
      <c r="N9" s="95"/>
      <c r="O9" s="26"/>
      <c r="P9" s="95"/>
      <c r="Q9" s="26"/>
      <c r="R9" s="148" t="s">
        <v>221</v>
      </c>
      <c r="S9" s="149"/>
      <c r="T9" s="148" t="s">
        <v>223</v>
      </c>
      <c r="U9" s="149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219</v>
      </c>
      <c r="M10" s="26" t="s">
        <v>220</v>
      </c>
      <c r="N10" s="26" t="s">
        <v>219</v>
      </c>
      <c r="O10" s="26" t="s">
        <v>220</v>
      </c>
      <c r="P10" s="26" t="s">
        <v>219</v>
      </c>
      <c r="Q10" s="26" t="s">
        <v>220</v>
      </c>
      <c r="R10" s="32"/>
      <c r="S10" s="32"/>
      <c r="T10" s="37"/>
      <c r="U10" s="59"/>
    </row>
    <row r="11" spans="1:21" s="10" customFormat="1" ht="26" x14ac:dyDescent="0.2">
      <c r="A11" s="8">
        <v>10</v>
      </c>
      <c r="B11" s="30" t="s">
        <v>127</v>
      </c>
      <c r="C11" s="31"/>
      <c r="D11" s="24" t="s">
        <v>203</v>
      </c>
      <c r="E11" s="28" t="s">
        <v>128</v>
      </c>
      <c r="F11" s="38"/>
      <c r="G11" s="24" t="s">
        <v>129</v>
      </c>
      <c r="H11" s="29" t="s">
        <v>130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113</v>
      </c>
      <c r="E12" s="27" t="s">
        <v>66</v>
      </c>
      <c r="F12" s="27"/>
      <c r="G12" s="42" t="s">
        <v>225</v>
      </c>
      <c r="H12" s="42" t="s">
        <v>67</v>
      </c>
      <c r="I12" s="8" t="s">
        <v>63</v>
      </c>
      <c r="J12" s="8"/>
      <c r="K12" s="8"/>
      <c r="L12" s="8"/>
      <c r="M12" s="8"/>
      <c r="N12" s="8"/>
      <c r="O12" s="8"/>
      <c r="P12" s="8"/>
      <c r="Q12" s="8"/>
      <c r="R12" s="53"/>
      <c r="S12" s="54"/>
      <c r="T12" s="152"/>
      <c r="U12" s="153"/>
    </row>
    <row r="13" spans="1:21" s="10" customFormat="1" x14ac:dyDescent="0.2">
      <c r="A13" s="8">
        <v>10</v>
      </c>
      <c r="B13" s="8"/>
      <c r="C13" s="8"/>
      <c r="D13" s="8" t="s">
        <v>114</v>
      </c>
      <c r="E13" s="27" t="s">
        <v>99</v>
      </c>
      <c r="F13" s="27"/>
      <c r="G13" s="42" t="s">
        <v>237</v>
      </c>
      <c r="H13" s="42" t="s">
        <v>115</v>
      </c>
      <c r="I13" s="8" t="s">
        <v>63</v>
      </c>
      <c r="J13" s="8"/>
      <c r="K13" s="8"/>
      <c r="L13" s="8"/>
      <c r="M13" s="8"/>
      <c r="N13" s="8"/>
      <c r="O13" s="8"/>
      <c r="P13" s="8"/>
      <c r="Q13" s="8"/>
      <c r="R13" s="53"/>
      <c r="S13" s="54"/>
      <c r="T13" s="152"/>
      <c r="U13" s="153"/>
    </row>
    <row r="14" spans="1:21" s="10" customFormat="1" x14ac:dyDescent="0.2">
      <c r="A14" s="8">
        <v>10</v>
      </c>
      <c r="B14" s="8"/>
      <c r="C14" s="8"/>
      <c r="D14" s="8" t="s">
        <v>131</v>
      </c>
      <c r="E14" s="27" t="s">
        <v>117</v>
      </c>
      <c r="F14" s="27"/>
      <c r="G14" s="42" t="s">
        <v>241</v>
      </c>
      <c r="H14" s="42" t="s">
        <v>118</v>
      </c>
      <c r="I14" s="8" t="s">
        <v>64</v>
      </c>
      <c r="J14" s="8"/>
      <c r="K14" s="8"/>
      <c r="L14" s="8"/>
      <c r="M14" s="8"/>
      <c r="N14" s="8"/>
      <c r="O14" s="8"/>
      <c r="P14" s="8"/>
      <c r="Q14" s="8"/>
      <c r="R14" s="53"/>
      <c r="S14" s="54"/>
      <c r="T14" s="152"/>
      <c r="U14" s="153"/>
    </row>
    <row r="15" spans="1:21" s="10" customFormat="1" x14ac:dyDescent="0.2">
      <c r="A15" s="8">
        <v>10</v>
      </c>
      <c r="B15" s="8"/>
      <c r="C15" s="8"/>
      <c r="D15" s="8" t="s">
        <v>119</v>
      </c>
      <c r="E15" s="27" t="s">
        <v>73</v>
      </c>
      <c r="F15" s="27"/>
      <c r="G15" s="42" t="s">
        <v>238</v>
      </c>
      <c r="H15" s="42" t="s">
        <v>102</v>
      </c>
      <c r="I15" s="8"/>
      <c r="J15" s="8"/>
      <c r="K15" s="8"/>
      <c r="L15" s="8"/>
      <c r="M15" s="8"/>
      <c r="N15" s="8"/>
      <c r="O15" s="8"/>
      <c r="P15" s="8"/>
      <c r="Q15" s="8"/>
      <c r="R15" s="53"/>
      <c r="S15" s="54"/>
      <c r="T15" s="152"/>
      <c r="U15" s="153"/>
    </row>
    <row r="16" spans="1:21" s="10" customFormat="1" x14ac:dyDescent="0.2">
      <c r="A16" s="8">
        <v>10</v>
      </c>
      <c r="B16" s="8"/>
      <c r="C16" s="8"/>
      <c r="D16" s="8" t="s">
        <v>132</v>
      </c>
      <c r="E16" s="27" t="s">
        <v>121</v>
      </c>
      <c r="F16" s="27"/>
      <c r="G16" s="42" t="s">
        <v>242</v>
      </c>
      <c r="H16" s="42" t="s">
        <v>122</v>
      </c>
      <c r="I16" s="8"/>
      <c r="J16" s="8" t="s">
        <v>64</v>
      </c>
      <c r="K16" s="8"/>
      <c r="L16" s="8"/>
      <c r="M16" s="8"/>
      <c r="N16" s="8"/>
      <c r="O16" s="8"/>
      <c r="P16" s="8"/>
      <c r="Q16" s="8"/>
      <c r="R16" s="53"/>
      <c r="S16" s="54"/>
      <c r="T16" s="152"/>
      <c r="U16" s="153"/>
    </row>
    <row r="17" spans="1:21" s="10" customFormat="1" ht="39" x14ac:dyDescent="0.2">
      <c r="A17" s="73"/>
      <c r="B17" s="74"/>
      <c r="C17" s="74"/>
      <c r="D17" s="75"/>
      <c r="E17" s="76"/>
      <c r="F17" s="76"/>
      <c r="G17" s="77"/>
      <c r="H17" s="77"/>
      <c r="I17" s="76"/>
      <c r="J17" s="76"/>
      <c r="K17" s="78"/>
      <c r="L17" s="79" t="s">
        <v>219</v>
      </c>
      <c r="M17" s="79" t="s">
        <v>220</v>
      </c>
      <c r="N17" s="79" t="s">
        <v>219</v>
      </c>
      <c r="O17" s="79" t="s">
        <v>220</v>
      </c>
      <c r="P17" s="79" t="s">
        <v>219</v>
      </c>
      <c r="Q17" s="79" t="s">
        <v>220</v>
      </c>
      <c r="R17" s="76"/>
      <c r="S17" s="76"/>
      <c r="T17" s="80"/>
      <c r="U17" s="81"/>
    </row>
    <row r="18" spans="1:21" s="10" customFormat="1" ht="26" x14ac:dyDescent="0.2">
      <c r="A18" s="82">
        <v>20</v>
      </c>
      <c r="B18" s="73" t="s">
        <v>57</v>
      </c>
      <c r="C18" s="83"/>
      <c r="D18" s="84" t="s">
        <v>204</v>
      </c>
      <c r="E18" s="85" t="s">
        <v>144</v>
      </c>
      <c r="F18" s="86"/>
      <c r="G18" s="84" t="s">
        <v>205</v>
      </c>
      <c r="H18" s="86" t="s">
        <v>206</v>
      </c>
      <c r="I18" s="87"/>
      <c r="J18" s="77"/>
      <c r="K18" s="77"/>
      <c r="L18" s="85"/>
      <c r="M18" s="85"/>
      <c r="N18" s="85"/>
      <c r="O18" s="85"/>
      <c r="P18" s="85"/>
      <c r="Q18" s="85"/>
      <c r="R18" s="87"/>
      <c r="S18" s="86"/>
      <c r="T18" s="88"/>
      <c r="U18" s="81"/>
    </row>
    <row r="19" spans="1:21" s="10" customFormat="1" x14ac:dyDescent="0.2">
      <c r="A19" s="82">
        <v>20</v>
      </c>
      <c r="B19" s="82"/>
      <c r="C19" s="82"/>
      <c r="D19" s="82" t="s">
        <v>200</v>
      </c>
      <c r="E19" s="79" t="s">
        <v>201</v>
      </c>
      <c r="F19" s="79"/>
      <c r="G19" s="79"/>
      <c r="H19" s="79"/>
      <c r="I19" s="82" t="s">
        <v>63</v>
      </c>
      <c r="J19" s="82"/>
      <c r="K19" s="82"/>
      <c r="L19" s="82"/>
      <c r="M19" s="82"/>
      <c r="N19" s="82"/>
      <c r="O19" s="82"/>
      <c r="P19" s="82"/>
      <c r="Q19" s="82"/>
      <c r="R19" s="89"/>
      <c r="S19" s="90"/>
      <c r="T19" s="150"/>
      <c r="U19" s="151"/>
    </row>
    <row r="20" spans="1:21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9"/>
      <c r="S20" s="9"/>
      <c r="T20" s="9"/>
      <c r="U20" s="49"/>
    </row>
    <row r="21" spans="1:21" s="10" customFormat="1" x14ac:dyDescent="0.2">
      <c r="A21" s="62"/>
      <c r="U21" s="51"/>
    </row>
    <row r="22" spans="1:21" s="10" customFormat="1" x14ac:dyDescent="0.2">
      <c r="A22" s="62"/>
      <c r="U22" s="51"/>
    </row>
    <row r="23" spans="1:21" s="10" customFormat="1" x14ac:dyDescent="0.2">
      <c r="A23" s="62"/>
      <c r="U23" s="51"/>
    </row>
    <row r="24" spans="1:21" s="10" customFormat="1" x14ac:dyDescent="0.2">
      <c r="A24" s="62"/>
      <c r="U24" s="51"/>
    </row>
    <row r="25" spans="1:21" s="10" customFormat="1" x14ac:dyDescent="0.2">
      <c r="A25" s="62"/>
      <c r="U25" s="51"/>
    </row>
    <row r="26" spans="1:21" s="10" customFormat="1" x14ac:dyDescent="0.2">
      <c r="A26" s="62"/>
      <c r="U26" s="51"/>
    </row>
    <row r="27" spans="1:21" s="10" customFormat="1" x14ac:dyDescent="0.2">
      <c r="A27" s="62"/>
      <c r="U27" s="51"/>
    </row>
    <row r="28" spans="1:21" s="10" customFormat="1" x14ac:dyDescent="0.2">
      <c r="A28" s="62"/>
      <c r="U28" s="51"/>
    </row>
    <row r="29" spans="1:21" s="10" customFormat="1" x14ac:dyDescent="0.2">
      <c r="A29" s="62"/>
      <c r="U29" s="51"/>
    </row>
    <row r="30" spans="1:21" s="10" customFormat="1" x14ac:dyDescent="0.2">
      <c r="A30" s="62"/>
      <c r="U30" s="51"/>
    </row>
    <row r="31" spans="1:21" s="10" customFormat="1" x14ac:dyDescent="0.2">
      <c r="A31" s="62"/>
      <c r="U31" s="51"/>
    </row>
    <row r="32" spans="1:21" s="10" customFormat="1" x14ac:dyDescent="0.2">
      <c r="A32" s="62"/>
      <c r="U32" s="51"/>
    </row>
    <row r="33" spans="1:21" s="10" customFormat="1" x14ac:dyDescent="0.2">
      <c r="A33" s="6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52"/>
    </row>
  </sheetData>
  <mergeCells count="9">
    <mergeCell ref="T19:U19"/>
    <mergeCell ref="T15:U15"/>
    <mergeCell ref="T16:U16"/>
    <mergeCell ref="T8:U8"/>
    <mergeCell ref="R9:S9"/>
    <mergeCell ref="T9:U9"/>
    <mergeCell ref="T12:U12"/>
    <mergeCell ref="T13:U13"/>
    <mergeCell ref="T14:U14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8.90625" style="5" customWidth="1"/>
    <col min="20" max="20" width="17.1796875" style="5" customWidth="1"/>
    <col min="21" max="16384" width="9" style="5"/>
  </cols>
  <sheetData>
    <row r="1" spans="1:21" s="10" customFormat="1" x14ac:dyDescent="0.2">
      <c r="A1" s="60" t="s">
        <v>17</v>
      </c>
      <c r="B1" s="60" t="s">
        <v>17</v>
      </c>
      <c r="C1" s="6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91" t="s">
        <v>210</v>
      </c>
      <c r="E2" s="7" t="s">
        <v>1</v>
      </c>
      <c r="F2" s="61" t="str">
        <f>IF(LogicCommon!C2="","",LogicCommon!C2)</f>
        <v>MG</v>
      </c>
      <c r="G2" s="7" t="s">
        <v>3</v>
      </c>
      <c r="H2" s="61" t="str">
        <f>IF(LogicCommon!E2="","",LogicCommon!E2)</f>
        <v>MGBDL5010</v>
      </c>
      <c r="I2" s="7" t="s">
        <v>19</v>
      </c>
      <c r="J2" s="8" t="s">
        <v>140</v>
      </c>
      <c r="K2" s="7" t="s">
        <v>5</v>
      </c>
      <c r="L2" s="61" t="str">
        <f>IF(LogicCommon!G2="","",LogicCommon!G2)</f>
        <v>MC</v>
      </c>
      <c r="M2" s="5" t="s">
        <v>21</v>
      </c>
      <c r="N2" s="24" t="s">
        <v>198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2" t="s">
        <v>17</v>
      </c>
      <c r="B3" s="63"/>
      <c r="C3" s="63"/>
      <c r="D3" s="64" t="str">
        <f>IF(LogicCommon!A3="","",LogicCommon!A3)</f>
        <v/>
      </c>
      <c r="E3" s="7" t="s">
        <v>7</v>
      </c>
      <c r="F3" s="61" t="str">
        <f>IF(LogicCommon!C3="","",LogicCommon!C3)</f>
        <v>MGBD</v>
      </c>
      <c r="G3" s="7" t="s">
        <v>9</v>
      </c>
      <c r="H3" s="61" t="str">
        <f>IF(LogicCommon!E3="","",LogicCommon!E3)</f>
        <v>MGBDL_CalcCostService</v>
      </c>
      <c r="I3" s="7" t="s">
        <v>22</v>
      </c>
      <c r="J3" s="8" t="s">
        <v>23</v>
      </c>
      <c r="K3" s="7" t="s">
        <v>11</v>
      </c>
      <c r="L3" s="61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2" t="s">
        <v>17</v>
      </c>
      <c r="B4" s="63"/>
      <c r="C4" s="63"/>
      <c r="D4" s="4"/>
      <c r="E4" s="7" t="s">
        <v>26</v>
      </c>
      <c r="F4" s="65" t="s">
        <v>27</v>
      </c>
      <c r="G4" s="7" t="s">
        <v>12</v>
      </c>
      <c r="H4" s="61" t="str">
        <f>IF(LogicCommon!E4="","",LogicCommon!E4)</f>
        <v>原価計算サービス</v>
      </c>
      <c r="I4" s="7" t="s">
        <v>28</v>
      </c>
      <c r="J4" s="8" t="s">
        <v>139</v>
      </c>
      <c r="K4" s="7" t="s">
        <v>14</v>
      </c>
      <c r="L4" s="61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60"/>
      <c r="C5" s="60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2" t="s">
        <v>17</v>
      </c>
      <c r="B6" s="63"/>
      <c r="C6" s="63"/>
      <c r="D6" s="4" t="s">
        <v>15</v>
      </c>
      <c r="E6" s="12" t="s">
        <v>141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7"/>
      <c r="L7" s="26" t="s">
        <v>36</v>
      </c>
      <c r="M7" s="27"/>
      <c r="N7" s="26" t="s">
        <v>36</v>
      </c>
      <c r="O7" s="27"/>
      <c r="P7" s="26" t="s">
        <v>36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92"/>
      <c r="C8" s="93"/>
      <c r="D8" s="26" t="s">
        <v>211</v>
      </c>
      <c r="E8" s="26" t="s">
        <v>212</v>
      </c>
      <c r="F8" s="25"/>
      <c r="G8" s="26" t="s">
        <v>37</v>
      </c>
      <c r="H8" s="26" t="s">
        <v>213</v>
      </c>
      <c r="I8" s="25"/>
      <c r="J8" s="3"/>
      <c r="K8" s="27"/>
      <c r="L8" s="26" t="s">
        <v>56</v>
      </c>
      <c r="M8" s="27"/>
      <c r="N8" s="26" t="s">
        <v>56</v>
      </c>
      <c r="O8" s="27"/>
      <c r="P8" s="26" t="s">
        <v>56</v>
      </c>
      <c r="Q8" s="27"/>
      <c r="R8" s="3"/>
      <c r="S8" s="21"/>
      <c r="T8" s="148" t="s">
        <v>222</v>
      </c>
      <c r="U8" s="149"/>
    </row>
    <row r="9" spans="1:21" s="10" customFormat="1" ht="60" customHeight="1" x14ac:dyDescent="0.2">
      <c r="A9" s="8" t="s">
        <v>34</v>
      </c>
      <c r="B9" s="30"/>
      <c r="C9" s="31"/>
      <c r="D9" s="26" t="s">
        <v>214</v>
      </c>
      <c r="E9" s="94" t="s">
        <v>215</v>
      </c>
      <c r="F9" s="26" t="s">
        <v>216</v>
      </c>
      <c r="G9" s="26" t="s">
        <v>217</v>
      </c>
      <c r="H9" s="26" t="s">
        <v>218</v>
      </c>
      <c r="I9" s="95" t="s">
        <v>219</v>
      </c>
      <c r="J9" s="26" t="s">
        <v>220</v>
      </c>
      <c r="K9" s="26"/>
      <c r="L9" s="95"/>
      <c r="M9" s="26"/>
      <c r="N9" s="95"/>
      <c r="O9" s="26"/>
      <c r="P9" s="95"/>
      <c r="Q9" s="26"/>
      <c r="R9" s="148" t="s">
        <v>221</v>
      </c>
      <c r="S9" s="149"/>
      <c r="T9" s="148" t="s">
        <v>223</v>
      </c>
      <c r="U9" s="149"/>
    </row>
    <row r="10" spans="1:21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26"/>
      <c r="L10" s="26" t="s">
        <v>219</v>
      </c>
      <c r="M10" s="26" t="s">
        <v>220</v>
      </c>
      <c r="N10" s="26" t="s">
        <v>219</v>
      </c>
      <c r="O10" s="26" t="s">
        <v>220</v>
      </c>
      <c r="P10" s="26" t="s">
        <v>219</v>
      </c>
      <c r="Q10" s="26" t="s">
        <v>220</v>
      </c>
      <c r="R10" s="32"/>
      <c r="S10" s="32"/>
      <c r="T10" s="37"/>
      <c r="U10" s="59"/>
    </row>
    <row r="11" spans="1:21" s="10" customFormat="1" x14ac:dyDescent="0.2">
      <c r="A11" s="8">
        <v>10</v>
      </c>
      <c r="B11" s="30" t="s">
        <v>143</v>
      </c>
      <c r="C11" s="31"/>
      <c r="D11" s="24" t="s">
        <v>142</v>
      </c>
      <c r="E11" s="28" t="s">
        <v>144</v>
      </c>
      <c r="F11" s="38"/>
      <c r="G11" s="24"/>
      <c r="H11" s="29"/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40"/>
      <c r="U11" s="41"/>
    </row>
    <row r="12" spans="1:21" s="10" customFormat="1" x14ac:dyDescent="0.2">
      <c r="A12" s="70">
        <v>10</v>
      </c>
      <c r="B12" s="70"/>
      <c r="C12" s="70"/>
      <c r="D12" s="70" t="s">
        <v>145</v>
      </c>
      <c r="E12" s="70" t="s">
        <v>146</v>
      </c>
      <c r="F12" s="70" t="s">
        <v>147</v>
      </c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1"/>
      <c r="S12" s="72"/>
      <c r="T12" s="70"/>
      <c r="U12" s="70"/>
    </row>
    <row r="13" spans="1:21" s="10" customFormat="1" x14ac:dyDescent="0.2">
      <c r="A13" s="70">
        <v>10</v>
      </c>
      <c r="B13" s="8"/>
      <c r="C13" s="8"/>
      <c r="D13" s="8" t="s">
        <v>194</v>
      </c>
      <c r="E13" s="27" t="s">
        <v>148</v>
      </c>
      <c r="F13" s="27"/>
      <c r="G13" s="42" t="s">
        <v>225</v>
      </c>
      <c r="H13" s="42" t="s">
        <v>67</v>
      </c>
      <c r="I13" s="8" t="s">
        <v>63</v>
      </c>
      <c r="J13" s="8"/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70">
        <v>10</v>
      </c>
      <c r="B14" s="8"/>
      <c r="C14" s="8"/>
      <c r="D14" s="8" t="s">
        <v>149</v>
      </c>
      <c r="E14" s="27" t="s">
        <v>148</v>
      </c>
      <c r="F14" s="27"/>
      <c r="G14" s="42" t="s">
        <v>237</v>
      </c>
      <c r="H14" s="42" t="s">
        <v>100</v>
      </c>
      <c r="I14" s="8" t="s">
        <v>63</v>
      </c>
      <c r="J14" s="8"/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70">
        <v>10</v>
      </c>
      <c r="B15" s="8"/>
      <c r="C15" s="8"/>
      <c r="D15" s="8" t="s">
        <v>150</v>
      </c>
      <c r="E15" s="27" t="s">
        <v>148</v>
      </c>
      <c r="F15" s="27"/>
      <c r="G15" s="42" t="s">
        <v>243</v>
      </c>
      <c r="H15" s="42" t="s">
        <v>182</v>
      </c>
      <c r="I15" s="8" t="s">
        <v>63</v>
      </c>
      <c r="J15" s="8"/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70">
        <v>10</v>
      </c>
      <c r="B16" s="8"/>
      <c r="C16" s="8"/>
      <c r="D16" s="8" t="s">
        <v>151</v>
      </c>
      <c r="E16" s="27" t="s">
        <v>148</v>
      </c>
      <c r="F16" s="27"/>
      <c r="G16" s="42" t="s">
        <v>244</v>
      </c>
      <c r="H16" s="42" t="s">
        <v>183</v>
      </c>
      <c r="I16" s="8" t="s">
        <v>63</v>
      </c>
      <c r="J16" s="8"/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152</v>
      </c>
      <c r="E17" s="27" t="s">
        <v>153</v>
      </c>
      <c r="F17" s="27">
        <v>20</v>
      </c>
      <c r="G17" s="42" t="s">
        <v>245</v>
      </c>
      <c r="H17" s="42" t="s">
        <v>184</v>
      </c>
      <c r="I17" s="8" t="s">
        <v>63</v>
      </c>
      <c r="J17" s="8"/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154</v>
      </c>
      <c r="E18" s="27" t="s">
        <v>155</v>
      </c>
      <c r="F18" s="27">
        <v>3</v>
      </c>
      <c r="G18" s="42" t="s">
        <v>246</v>
      </c>
      <c r="H18" s="42" t="s">
        <v>156</v>
      </c>
      <c r="I18" s="8" t="s">
        <v>63</v>
      </c>
      <c r="J18" s="8"/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157</v>
      </c>
      <c r="E19" s="27" t="s">
        <v>158</v>
      </c>
      <c r="F19" s="27"/>
      <c r="G19" s="42" t="s">
        <v>247</v>
      </c>
      <c r="H19" s="42" t="s">
        <v>159</v>
      </c>
      <c r="I19" s="8" t="s">
        <v>63</v>
      </c>
      <c r="J19" s="8"/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160</v>
      </c>
      <c r="E20" s="27" t="s">
        <v>195</v>
      </c>
      <c r="F20" s="27"/>
      <c r="G20" s="42" t="s">
        <v>248</v>
      </c>
      <c r="H20" s="42" t="s">
        <v>161</v>
      </c>
      <c r="I20" s="8" t="s">
        <v>63</v>
      </c>
      <c r="J20" s="8"/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162</v>
      </c>
      <c r="E21" s="27" t="s">
        <v>196</v>
      </c>
      <c r="F21" s="27"/>
      <c r="G21" s="42" t="s">
        <v>249</v>
      </c>
      <c r="H21" s="42" t="s">
        <v>185</v>
      </c>
      <c r="I21" s="8" t="s">
        <v>63</v>
      </c>
      <c r="J21" s="8"/>
      <c r="K21" s="8"/>
      <c r="L21" s="8"/>
      <c r="M21" s="8"/>
      <c r="N21" s="8"/>
      <c r="O21" s="8"/>
      <c r="P21" s="8"/>
      <c r="Q21" s="8"/>
      <c r="R21" s="43"/>
      <c r="S21" s="44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163</v>
      </c>
      <c r="E22" s="27" t="s">
        <v>164</v>
      </c>
      <c r="F22" s="27"/>
      <c r="G22" s="42" t="s">
        <v>250</v>
      </c>
      <c r="H22" s="42" t="s">
        <v>165</v>
      </c>
      <c r="I22" s="8" t="s">
        <v>64</v>
      </c>
      <c r="J22" s="8"/>
      <c r="K22" s="8"/>
      <c r="L22" s="8"/>
      <c r="M22" s="8"/>
      <c r="N22" s="8"/>
      <c r="O22" s="8"/>
      <c r="P22" s="8"/>
      <c r="Q22" s="8"/>
      <c r="R22" s="43"/>
      <c r="S22" s="44"/>
      <c r="T22" s="40"/>
      <c r="U22" s="41"/>
    </row>
    <row r="23" spans="1:21" s="10" customFormat="1" x14ac:dyDescent="0.2">
      <c r="A23" s="8">
        <v>10</v>
      </c>
      <c r="B23" s="8"/>
      <c r="C23" s="8"/>
      <c r="D23" s="8" t="s">
        <v>166</v>
      </c>
      <c r="E23" s="27" t="s">
        <v>167</v>
      </c>
      <c r="F23" s="27"/>
      <c r="G23" s="42" t="s">
        <v>251</v>
      </c>
      <c r="H23" s="42" t="s">
        <v>186</v>
      </c>
      <c r="I23" s="8" t="s">
        <v>64</v>
      </c>
      <c r="J23" s="8"/>
      <c r="K23" s="8"/>
      <c r="L23" s="8"/>
      <c r="M23" s="8"/>
      <c r="N23" s="8"/>
      <c r="O23" s="8"/>
      <c r="P23" s="8"/>
      <c r="Q23" s="8"/>
      <c r="R23" s="43"/>
      <c r="S23" s="44"/>
      <c r="T23" s="40"/>
      <c r="U23" s="41"/>
    </row>
    <row r="24" spans="1:21" s="10" customFormat="1" x14ac:dyDescent="0.2">
      <c r="A24" s="8">
        <v>10</v>
      </c>
      <c r="B24" s="8"/>
      <c r="C24" s="8"/>
      <c r="D24" s="8" t="s">
        <v>168</v>
      </c>
      <c r="E24" s="27" t="s">
        <v>169</v>
      </c>
      <c r="F24" s="27"/>
      <c r="G24" s="42" t="s">
        <v>252</v>
      </c>
      <c r="H24" s="42" t="s">
        <v>187</v>
      </c>
      <c r="I24" s="8" t="s">
        <v>64</v>
      </c>
      <c r="J24" s="8"/>
      <c r="K24" s="8"/>
      <c r="L24" s="8"/>
      <c r="M24" s="8"/>
      <c r="N24" s="8"/>
      <c r="O24" s="8"/>
      <c r="P24" s="8"/>
      <c r="Q24" s="8"/>
      <c r="R24" s="43"/>
      <c r="S24" s="44"/>
      <c r="T24" s="40"/>
      <c r="U24" s="41"/>
    </row>
    <row r="25" spans="1:21" s="10" customFormat="1" x14ac:dyDescent="0.2">
      <c r="A25" s="8">
        <v>10</v>
      </c>
      <c r="B25" s="8"/>
      <c r="C25" s="8"/>
      <c r="D25" s="8" t="s">
        <v>170</v>
      </c>
      <c r="E25" s="27" t="s">
        <v>171</v>
      </c>
      <c r="F25" s="27"/>
      <c r="G25" s="42" t="s">
        <v>253</v>
      </c>
      <c r="H25" s="42" t="s">
        <v>188</v>
      </c>
      <c r="I25" s="8" t="s">
        <v>64</v>
      </c>
      <c r="J25" s="8"/>
      <c r="K25" s="8"/>
      <c r="L25" s="8"/>
      <c r="M25" s="8"/>
      <c r="N25" s="8"/>
      <c r="O25" s="8"/>
      <c r="P25" s="8"/>
      <c r="Q25" s="8"/>
      <c r="R25" s="43"/>
      <c r="S25" s="44"/>
      <c r="T25" s="40"/>
      <c r="U25" s="41"/>
    </row>
    <row r="26" spans="1:21" s="10" customFormat="1" x14ac:dyDescent="0.2">
      <c r="A26" s="8">
        <v>10</v>
      </c>
      <c r="B26" s="8"/>
      <c r="C26" s="8"/>
      <c r="D26" s="8" t="s">
        <v>172</v>
      </c>
      <c r="E26" s="27" t="s">
        <v>173</v>
      </c>
      <c r="F26" s="27"/>
      <c r="G26" s="42" t="s">
        <v>254</v>
      </c>
      <c r="H26" s="42" t="s">
        <v>189</v>
      </c>
      <c r="I26" s="8" t="s">
        <v>64</v>
      </c>
      <c r="J26" s="8"/>
      <c r="K26" s="8"/>
      <c r="L26" s="8"/>
      <c r="M26" s="8"/>
      <c r="N26" s="8"/>
      <c r="O26" s="8"/>
      <c r="P26" s="8"/>
      <c r="Q26" s="8"/>
      <c r="R26" s="43"/>
      <c r="S26" s="44"/>
      <c r="T26" s="40"/>
      <c r="U26" s="41"/>
    </row>
    <row r="27" spans="1:21" s="10" customFormat="1" x14ac:dyDescent="0.2">
      <c r="A27" s="8">
        <v>10</v>
      </c>
      <c r="B27" s="8"/>
      <c r="C27" s="8"/>
      <c r="D27" s="8" t="s">
        <v>174</v>
      </c>
      <c r="E27" s="27" t="s">
        <v>175</v>
      </c>
      <c r="F27" s="27"/>
      <c r="G27" s="42" t="s">
        <v>255</v>
      </c>
      <c r="H27" s="42" t="s">
        <v>190</v>
      </c>
      <c r="I27" s="8" t="s">
        <v>64</v>
      </c>
      <c r="J27" s="8"/>
      <c r="K27" s="8"/>
      <c r="L27" s="8"/>
      <c r="M27" s="8"/>
      <c r="N27" s="8"/>
      <c r="O27" s="8"/>
      <c r="P27" s="8"/>
      <c r="Q27" s="8"/>
      <c r="R27" s="43"/>
      <c r="S27" s="44"/>
      <c r="T27" s="40"/>
      <c r="U27" s="41"/>
    </row>
    <row r="28" spans="1:21" s="10" customFormat="1" x14ac:dyDescent="0.2">
      <c r="A28" s="8">
        <v>10</v>
      </c>
      <c r="B28" s="8"/>
      <c r="C28" s="8"/>
      <c r="D28" s="8" t="s">
        <v>176</v>
      </c>
      <c r="E28" s="27" t="s">
        <v>177</v>
      </c>
      <c r="F28" s="27"/>
      <c r="G28" s="42" t="s">
        <v>256</v>
      </c>
      <c r="H28" s="42" t="s">
        <v>191</v>
      </c>
      <c r="I28" s="8" t="s">
        <v>64</v>
      </c>
      <c r="J28" s="8"/>
      <c r="K28" s="8"/>
      <c r="L28" s="8"/>
      <c r="M28" s="8"/>
      <c r="N28" s="8"/>
      <c r="O28" s="8"/>
      <c r="P28" s="8"/>
      <c r="Q28" s="8"/>
      <c r="R28" s="43"/>
      <c r="S28" s="44"/>
      <c r="T28" s="40"/>
      <c r="U28" s="41"/>
    </row>
    <row r="29" spans="1:21" s="10" customFormat="1" x14ac:dyDescent="0.2">
      <c r="A29" s="8">
        <v>10</v>
      </c>
      <c r="B29" s="8"/>
      <c r="C29" s="8"/>
      <c r="D29" s="8" t="s">
        <v>178</v>
      </c>
      <c r="E29" s="27" t="s">
        <v>179</v>
      </c>
      <c r="F29" s="27"/>
      <c r="G29" s="42" t="s">
        <v>257</v>
      </c>
      <c r="H29" s="42" t="s">
        <v>192</v>
      </c>
      <c r="I29" s="8" t="s">
        <v>64</v>
      </c>
      <c r="J29" s="8"/>
      <c r="K29" s="8"/>
      <c r="L29" s="8"/>
      <c r="M29" s="8"/>
      <c r="N29" s="8"/>
      <c r="O29" s="8"/>
      <c r="P29" s="8"/>
      <c r="Q29" s="8"/>
      <c r="R29" s="43"/>
      <c r="S29" s="44"/>
      <c r="T29" s="40"/>
      <c r="U29" s="41"/>
    </row>
    <row r="30" spans="1:21" s="10" customFormat="1" x14ac:dyDescent="0.2">
      <c r="A30" s="8">
        <v>10</v>
      </c>
      <c r="B30" s="8"/>
      <c r="C30" s="8"/>
      <c r="D30" s="8" t="s">
        <v>180</v>
      </c>
      <c r="E30" s="27" t="s">
        <v>181</v>
      </c>
      <c r="F30" s="27"/>
      <c r="G30" s="42" t="s">
        <v>258</v>
      </c>
      <c r="H30" s="42" t="s">
        <v>193</v>
      </c>
      <c r="I30" s="8" t="s">
        <v>64</v>
      </c>
      <c r="J30" s="8"/>
      <c r="K30" s="8"/>
      <c r="L30" s="8"/>
      <c r="M30" s="8"/>
      <c r="N30" s="8"/>
      <c r="O30" s="8"/>
      <c r="P30" s="8"/>
      <c r="Q30" s="8"/>
      <c r="R30" s="43"/>
      <c r="S30" s="44"/>
      <c r="T30" s="40"/>
      <c r="U30" s="41"/>
    </row>
    <row r="31" spans="1:21" s="10" customFormat="1" x14ac:dyDescent="0.2">
      <c r="A31" s="22"/>
      <c r="B31" s="23"/>
      <c r="C31" s="23"/>
      <c r="D31" s="16" t="s">
        <v>16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9"/>
      <c r="R31" s="9"/>
      <c r="S31" s="9"/>
      <c r="T31" s="58"/>
      <c r="U31" s="49"/>
    </row>
    <row r="32" spans="1:21" s="10" customFormat="1" x14ac:dyDescent="0.2">
      <c r="A32" s="62"/>
      <c r="U32" s="51"/>
    </row>
    <row r="33" spans="1:21" s="10" customFormat="1" x14ac:dyDescent="0.2">
      <c r="A33" s="62"/>
      <c r="U33" s="51"/>
    </row>
    <row r="34" spans="1:21" s="10" customFormat="1" x14ac:dyDescent="0.2">
      <c r="A34" s="62"/>
      <c r="U34" s="51"/>
    </row>
    <row r="35" spans="1:21" s="10" customFormat="1" x14ac:dyDescent="0.2">
      <c r="A35" s="68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52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activeCell="O10" sqref="O10:AP10"/>
    </sheetView>
  </sheetViews>
  <sheetFormatPr defaultRowHeight="13" x14ac:dyDescent="0.2"/>
  <cols>
    <col min="1" max="42" width="2.08984375" style="55" customWidth="1"/>
    <col min="43" max="44" width="2.08984375" style="57" customWidth="1"/>
    <col min="45" max="71" width="2.08984375" style="55" customWidth="1"/>
    <col min="72" max="256" width="9" style="55"/>
    <col min="257" max="327" width="2.08984375" style="55" customWidth="1"/>
    <col min="328" max="512" width="9" style="55"/>
    <col min="513" max="583" width="2.08984375" style="55" customWidth="1"/>
    <col min="584" max="768" width="9" style="55"/>
    <col min="769" max="839" width="2.08984375" style="55" customWidth="1"/>
    <col min="840" max="1024" width="9" style="55"/>
    <col min="1025" max="1095" width="2.08984375" style="55" customWidth="1"/>
    <col min="1096" max="1280" width="9" style="55"/>
    <col min="1281" max="1351" width="2.08984375" style="55" customWidth="1"/>
    <col min="1352" max="1536" width="9" style="55"/>
    <col min="1537" max="1607" width="2.08984375" style="55" customWidth="1"/>
    <col min="1608" max="1792" width="9" style="55"/>
    <col min="1793" max="1863" width="2.08984375" style="55" customWidth="1"/>
    <col min="1864" max="2048" width="9" style="55"/>
    <col min="2049" max="2119" width="2.08984375" style="55" customWidth="1"/>
    <col min="2120" max="2304" width="9" style="55"/>
    <col min="2305" max="2375" width="2.08984375" style="55" customWidth="1"/>
    <col min="2376" max="2560" width="9" style="55"/>
    <col min="2561" max="2631" width="2.08984375" style="55" customWidth="1"/>
    <col min="2632" max="2816" width="9" style="55"/>
    <col min="2817" max="2887" width="2.08984375" style="55" customWidth="1"/>
    <col min="2888" max="3072" width="9" style="55"/>
    <col min="3073" max="3143" width="2.08984375" style="55" customWidth="1"/>
    <col min="3144" max="3328" width="9" style="55"/>
    <col min="3329" max="3399" width="2.08984375" style="55" customWidth="1"/>
    <col min="3400" max="3584" width="9" style="55"/>
    <col min="3585" max="3655" width="2.08984375" style="55" customWidth="1"/>
    <col min="3656" max="3840" width="9" style="55"/>
    <col min="3841" max="3911" width="2.08984375" style="55" customWidth="1"/>
    <col min="3912" max="4096" width="9" style="55"/>
    <col min="4097" max="4167" width="2.08984375" style="55" customWidth="1"/>
    <col min="4168" max="4352" width="9" style="55"/>
    <col min="4353" max="4423" width="2.08984375" style="55" customWidth="1"/>
    <col min="4424" max="4608" width="9" style="55"/>
    <col min="4609" max="4679" width="2.08984375" style="55" customWidth="1"/>
    <col min="4680" max="4864" width="9" style="55"/>
    <col min="4865" max="4935" width="2.08984375" style="55" customWidth="1"/>
    <col min="4936" max="5120" width="9" style="55"/>
    <col min="5121" max="5191" width="2.08984375" style="55" customWidth="1"/>
    <col min="5192" max="5376" width="9" style="55"/>
    <col min="5377" max="5447" width="2.08984375" style="55" customWidth="1"/>
    <col min="5448" max="5632" width="9" style="55"/>
    <col min="5633" max="5703" width="2.08984375" style="55" customWidth="1"/>
    <col min="5704" max="5888" width="9" style="55"/>
    <col min="5889" max="5959" width="2.08984375" style="55" customWidth="1"/>
    <col min="5960" max="6144" width="9" style="55"/>
    <col min="6145" max="6215" width="2.08984375" style="55" customWidth="1"/>
    <col min="6216" max="6400" width="9" style="55"/>
    <col min="6401" max="6471" width="2.08984375" style="55" customWidth="1"/>
    <col min="6472" max="6656" width="9" style="55"/>
    <col min="6657" max="6727" width="2.08984375" style="55" customWidth="1"/>
    <col min="6728" max="6912" width="9" style="55"/>
    <col min="6913" max="6983" width="2.08984375" style="55" customWidth="1"/>
    <col min="6984" max="7168" width="9" style="55"/>
    <col min="7169" max="7239" width="2.08984375" style="55" customWidth="1"/>
    <col min="7240" max="7424" width="9" style="55"/>
    <col min="7425" max="7495" width="2.08984375" style="55" customWidth="1"/>
    <col min="7496" max="7680" width="9" style="55"/>
    <col min="7681" max="7751" width="2.08984375" style="55" customWidth="1"/>
    <col min="7752" max="7936" width="9" style="55"/>
    <col min="7937" max="8007" width="2.08984375" style="55" customWidth="1"/>
    <col min="8008" max="8192" width="9" style="55"/>
    <col min="8193" max="8263" width="2.08984375" style="55" customWidth="1"/>
    <col min="8264" max="8448" width="9" style="55"/>
    <col min="8449" max="8519" width="2.08984375" style="55" customWidth="1"/>
    <col min="8520" max="8704" width="9" style="55"/>
    <col min="8705" max="8775" width="2.08984375" style="55" customWidth="1"/>
    <col min="8776" max="8960" width="9" style="55"/>
    <col min="8961" max="9031" width="2.08984375" style="55" customWidth="1"/>
    <col min="9032" max="9216" width="9" style="55"/>
    <col min="9217" max="9287" width="2.08984375" style="55" customWidth="1"/>
    <col min="9288" max="9472" width="9" style="55"/>
    <col min="9473" max="9543" width="2.08984375" style="55" customWidth="1"/>
    <col min="9544" max="9728" width="9" style="55"/>
    <col min="9729" max="9799" width="2.08984375" style="55" customWidth="1"/>
    <col min="9800" max="9984" width="9" style="55"/>
    <col min="9985" max="10055" width="2.08984375" style="55" customWidth="1"/>
    <col min="10056" max="10240" width="9" style="55"/>
    <col min="10241" max="10311" width="2.08984375" style="55" customWidth="1"/>
    <col min="10312" max="10496" width="9" style="55"/>
    <col min="10497" max="10567" width="2.08984375" style="55" customWidth="1"/>
    <col min="10568" max="10752" width="9" style="55"/>
    <col min="10753" max="10823" width="2.08984375" style="55" customWidth="1"/>
    <col min="10824" max="11008" width="9" style="55"/>
    <col min="11009" max="11079" width="2.08984375" style="55" customWidth="1"/>
    <col min="11080" max="11264" width="9" style="55"/>
    <col min="11265" max="11335" width="2.08984375" style="55" customWidth="1"/>
    <col min="11336" max="11520" width="9" style="55"/>
    <col min="11521" max="11591" width="2.08984375" style="55" customWidth="1"/>
    <col min="11592" max="11776" width="9" style="55"/>
    <col min="11777" max="11847" width="2.08984375" style="55" customWidth="1"/>
    <col min="11848" max="12032" width="9" style="55"/>
    <col min="12033" max="12103" width="2.08984375" style="55" customWidth="1"/>
    <col min="12104" max="12288" width="9" style="55"/>
    <col min="12289" max="12359" width="2.08984375" style="55" customWidth="1"/>
    <col min="12360" max="12544" width="9" style="55"/>
    <col min="12545" max="12615" width="2.08984375" style="55" customWidth="1"/>
    <col min="12616" max="12800" width="9" style="55"/>
    <col min="12801" max="12871" width="2.08984375" style="55" customWidth="1"/>
    <col min="12872" max="13056" width="9" style="55"/>
    <col min="13057" max="13127" width="2.08984375" style="55" customWidth="1"/>
    <col min="13128" max="13312" width="9" style="55"/>
    <col min="13313" max="13383" width="2.08984375" style="55" customWidth="1"/>
    <col min="13384" max="13568" width="9" style="55"/>
    <col min="13569" max="13639" width="2.08984375" style="55" customWidth="1"/>
    <col min="13640" max="13824" width="9" style="55"/>
    <col min="13825" max="13895" width="2.08984375" style="55" customWidth="1"/>
    <col min="13896" max="14080" width="9" style="55"/>
    <col min="14081" max="14151" width="2.08984375" style="55" customWidth="1"/>
    <col min="14152" max="14336" width="9" style="55"/>
    <col min="14337" max="14407" width="2.08984375" style="55" customWidth="1"/>
    <col min="14408" max="14592" width="9" style="55"/>
    <col min="14593" max="14663" width="2.08984375" style="55" customWidth="1"/>
    <col min="14664" max="14848" width="9" style="55"/>
    <col min="14849" max="14919" width="2.08984375" style="55" customWidth="1"/>
    <col min="14920" max="15104" width="9" style="55"/>
    <col min="15105" max="15175" width="2.08984375" style="55" customWidth="1"/>
    <col min="15176" max="15360" width="9" style="55"/>
    <col min="15361" max="15431" width="2.08984375" style="55" customWidth="1"/>
    <col min="15432" max="15616" width="9" style="55"/>
    <col min="15617" max="15687" width="2.08984375" style="55" customWidth="1"/>
    <col min="15688" max="15872" width="9" style="55"/>
    <col min="15873" max="15943" width="2.08984375" style="55" customWidth="1"/>
    <col min="15944" max="16128" width="9" style="55"/>
    <col min="16129" max="16199" width="2.08984375" style="55" customWidth="1"/>
    <col min="16200" max="16384" width="9" style="55"/>
  </cols>
  <sheetData>
    <row r="1" spans="1:57" ht="38.25" customHeight="1" thickBot="1" x14ac:dyDescent="0.25">
      <c r="A1" s="126" t="s">
        <v>133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8"/>
    </row>
    <row r="2" spans="1:57" ht="12" customHeight="1" thickBo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</row>
    <row r="3" spans="1:57" ht="15" customHeight="1" thickBot="1" x14ac:dyDescent="0.25">
      <c r="A3" s="129" t="s">
        <v>134</v>
      </c>
      <c r="B3" s="130"/>
      <c r="C3" s="130"/>
      <c r="D3" s="130"/>
      <c r="E3" s="130"/>
      <c r="F3" s="130"/>
      <c r="G3" s="131"/>
      <c r="H3" s="132" t="s">
        <v>135</v>
      </c>
      <c r="I3" s="130"/>
      <c r="J3" s="130"/>
      <c r="K3" s="130"/>
      <c r="L3" s="130"/>
      <c r="M3" s="130"/>
      <c r="N3" s="131"/>
      <c r="O3" s="132" t="s">
        <v>136</v>
      </c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4"/>
      <c r="AQ3" s="132" t="s">
        <v>137</v>
      </c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6"/>
    </row>
    <row r="4" spans="1:57" ht="15" customHeight="1" x14ac:dyDescent="0.2">
      <c r="A4" s="137">
        <v>1</v>
      </c>
      <c r="B4" s="138"/>
      <c r="C4" s="138"/>
      <c r="D4" s="138"/>
      <c r="E4" s="138"/>
      <c r="F4" s="138"/>
      <c r="G4" s="139"/>
      <c r="H4" s="140"/>
      <c r="I4" s="141"/>
      <c r="J4" s="141"/>
      <c r="K4" s="141"/>
      <c r="L4" s="141"/>
      <c r="M4" s="141"/>
      <c r="N4" s="142"/>
      <c r="O4" s="143" t="s">
        <v>138</v>
      </c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5"/>
      <c r="AQ4" s="146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7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99" t="s">
        <v>209</v>
      </c>
      <c r="I5" s="100"/>
      <c r="J5" s="100"/>
      <c r="K5" s="100"/>
      <c r="L5" s="100"/>
      <c r="M5" s="100"/>
      <c r="N5" s="101"/>
      <c r="O5" s="102" t="s">
        <v>208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207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6"/>
    </row>
    <row r="6" spans="1:57" ht="15" customHeight="1" x14ac:dyDescent="0.2">
      <c r="A6" s="96">
        <v>1.2000000000000002</v>
      </c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120" t="s">
        <v>259</v>
      </c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23" t="s">
        <v>260</v>
      </c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5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102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9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99"/>
      <c r="I8" s="100"/>
      <c r="J8" s="100"/>
      <c r="K8" s="100"/>
      <c r="L8" s="100"/>
      <c r="M8" s="100"/>
      <c r="N8" s="101"/>
      <c r="O8" s="102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99"/>
      <c r="I9" s="100"/>
      <c r="J9" s="100"/>
      <c r="K9" s="100"/>
      <c r="L9" s="100"/>
      <c r="M9" s="100"/>
      <c r="N9" s="101"/>
      <c r="O9" s="102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99"/>
      <c r="I10" s="100"/>
      <c r="J10" s="100"/>
      <c r="K10" s="100"/>
      <c r="L10" s="100"/>
      <c r="M10" s="100"/>
      <c r="N10" s="101"/>
      <c r="O10" s="102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99"/>
      <c r="I11" s="100"/>
      <c r="J11" s="100"/>
      <c r="K11" s="100"/>
      <c r="L11" s="100"/>
      <c r="M11" s="100"/>
      <c r="N11" s="101"/>
      <c r="O11" s="102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99"/>
      <c r="I12" s="100"/>
      <c r="J12" s="100"/>
      <c r="K12" s="100"/>
      <c r="L12" s="100"/>
      <c r="M12" s="100"/>
      <c r="N12" s="101"/>
      <c r="O12" s="102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99"/>
      <c r="I13" s="100"/>
      <c r="J13" s="100"/>
      <c r="K13" s="100"/>
      <c r="L13" s="100"/>
      <c r="M13" s="100"/>
      <c r="N13" s="101"/>
      <c r="O13" s="102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99"/>
      <c r="I14" s="100"/>
      <c r="J14" s="100"/>
      <c r="K14" s="100"/>
      <c r="L14" s="100"/>
      <c r="M14" s="100"/>
      <c r="N14" s="101"/>
      <c r="O14" s="102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99"/>
      <c r="I15" s="100"/>
      <c r="J15" s="100"/>
      <c r="K15" s="100"/>
      <c r="L15" s="100"/>
      <c r="M15" s="100"/>
      <c r="N15" s="101"/>
      <c r="O15" s="102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99"/>
      <c r="I16" s="100"/>
      <c r="J16" s="100"/>
      <c r="K16" s="100"/>
      <c r="L16" s="100"/>
      <c r="M16" s="100"/>
      <c r="N16" s="101"/>
      <c r="O16" s="102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99"/>
      <c r="I17" s="100"/>
      <c r="J17" s="100"/>
      <c r="K17" s="100"/>
      <c r="L17" s="100"/>
      <c r="M17" s="100"/>
      <c r="N17" s="101"/>
      <c r="O17" s="102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99"/>
      <c r="I18" s="100"/>
      <c r="J18" s="100"/>
      <c r="K18" s="100"/>
      <c r="L18" s="100"/>
      <c r="M18" s="100"/>
      <c r="N18" s="101"/>
      <c r="O18" s="102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99"/>
      <c r="I19" s="100"/>
      <c r="J19" s="100"/>
      <c r="K19" s="100"/>
      <c r="L19" s="100"/>
      <c r="M19" s="100"/>
      <c r="N19" s="101"/>
      <c r="O19" s="102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99"/>
      <c r="I20" s="100"/>
      <c r="J20" s="100"/>
      <c r="K20" s="100"/>
      <c r="L20" s="100"/>
      <c r="M20" s="100"/>
      <c r="N20" s="101"/>
      <c r="O20" s="102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99"/>
      <c r="I21" s="100"/>
      <c r="J21" s="100"/>
      <c r="K21" s="100"/>
      <c r="L21" s="100"/>
      <c r="M21" s="100"/>
      <c r="N21" s="101"/>
      <c r="O21" s="102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99"/>
      <c r="I22" s="100"/>
      <c r="J22" s="100"/>
      <c r="K22" s="100"/>
      <c r="L22" s="100"/>
      <c r="M22" s="100"/>
      <c r="N22" s="101"/>
      <c r="O22" s="102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99"/>
      <c r="I23" s="100"/>
      <c r="J23" s="100"/>
      <c r="K23" s="100"/>
      <c r="L23" s="100"/>
      <c r="M23" s="100"/>
      <c r="N23" s="101"/>
      <c r="O23" s="102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99"/>
      <c r="I24" s="100"/>
      <c r="J24" s="100"/>
      <c r="K24" s="100"/>
      <c r="L24" s="100"/>
      <c r="M24" s="100"/>
      <c r="N24" s="101"/>
      <c r="O24" s="102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99"/>
      <c r="I25" s="100"/>
      <c r="J25" s="100"/>
      <c r="K25" s="100"/>
      <c r="L25" s="100"/>
      <c r="M25" s="100"/>
      <c r="N25" s="101"/>
      <c r="O25" s="102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99"/>
      <c r="I26" s="100"/>
      <c r="J26" s="100"/>
      <c r="K26" s="100"/>
      <c r="L26" s="100"/>
      <c r="M26" s="100"/>
      <c r="N26" s="101"/>
      <c r="O26" s="102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99"/>
      <c r="I27" s="100"/>
      <c r="J27" s="100"/>
      <c r="K27" s="100"/>
      <c r="L27" s="100"/>
      <c r="M27" s="100"/>
      <c r="N27" s="101"/>
      <c r="O27" s="102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99"/>
      <c r="I28" s="100"/>
      <c r="J28" s="100"/>
      <c r="K28" s="100"/>
      <c r="L28" s="100"/>
      <c r="M28" s="100"/>
      <c r="N28" s="101"/>
      <c r="O28" s="102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99"/>
      <c r="I29" s="100"/>
      <c r="J29" s="100"/>
      <c r="K29" s="100"/>
      <c r="L29" s="100"/>
      <c r="M29" s="100"/>
      <c r="N29" s="101"/>
      <c r="O29" s="102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99"/>
      <c r="I30" s="100"/>
      <c r="J30" s="100"/>
      <c r="K30" s="100"/>
      <c r="L30" s="100"/>
      <c r="M30" s="100"/>
      <c r="N30" s="101"/>
      <c r="O30" s="102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99"/>
      <c r="I31" s="100"/>
      <c r="J31" s="100"/>
      <c r="K31" s="100"/>
      <c r="L31" s="100"/>
      <c r="M31" s="100"/>
      <c r="N31" s="101"/>
      <c r="O31" s="102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99"/>
      <c r="I32" s="100"/>
      <c r="J32" s="100"/>
      <c r="K32" s="100"/>
      <c r="L32" s="100"/>
      <c r="M32" s="100"/>
      <c r="N32" s="101"/>
      <c r="O32" s="102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99"/>
      <c r="I33" s="100"/>
      <c r="J33" s="100"/>
      <c r="K33" s="100"/>
      <c r="L33" s="100"/>
      <c r="M33" s="100"/>
      <c r="N33" s="101"/>
      <c r="O33" s="102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99"/>
      <c r="I34" s="100"/>
      <c r="J34" s="100"/>
      <c r="K34" s="100"/>
      <c r="L34" s="100"/>
      <c r="M34" s="100"/>
      <c r="N34" s="101"/>
      <c r="O34" s="102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3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CalcCost_Ins01</vt:lpstr>
      <vt:lpstr>CalcRsltDel_Chk01</vt:lpstr>
      <vt:lpstr>CalcRsltDel_Del01</vt:lpstr>
      <vt:lpstr>CalcCost_Ins02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2026-03-27T05:51:13Z</dcterms:modified>
  <cp:category/>
</cp:coreProperties>
</file>