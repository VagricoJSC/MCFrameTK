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453E6CBC-0658-4DCC-A890-05390F24BBD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<sst xmlns="http://schemas.openxmlformats.org/spreadsheetml/2006/main" count="952" uniqueCount="433">
  <si>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</si>
  <si>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</si>
  <si>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</si>
  <si>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</si>
  <si>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MGBDL0250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</si>
  <si>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</si>
  <si>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</si>
  <si>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</si>
  <si>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</si>
  <si>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</si>
  <si>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MGBDL_PreAlcChk</t>
    <phoneticPr fontId="3"/>
  </si>
  <si>
    <t>SuperClassPj.ID :</t>
    <phoneticPr fontId="4"/>
  </si>
  <si>
    <t>LogicName :</t>
    <phoneticPr fontId="4"/>
  </si>
  <si>
    <t>一次配賦計算結果照合</t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</si>
  <si>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</si>
  <si>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</si>
  <si>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</si>
  <si>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</si>
  <si>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</si>
  <si>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</si>
  <si>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</si>
  <si>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</si>
  <si>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</si>
  <si>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</si>
  <si>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</si>
  <si>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</si>
  <si>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</si>
  <si>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</si>
  <si>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</si>
  <si>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</si>
  <si>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</si>
  <si>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</si>
  <si>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</si>
  <si>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</si>
  <si>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</si>
  <si>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</si>
  <si>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</si>
  <si>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</si>
  <si>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</si>
  <si>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</si>
  <si>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</si>
  <si>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</si>
  <si>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4"/>
  </si>
  <si>
    <t>R</t>
    <phoneticPr fontId="4"/>
  </si>
  <si>
    <t>ope</t>
    <phoneticPr fontId="4"/>
  </si>
  <si>
    <t>C</t>
    <phoneticPr fontId="4"/>
  </si>
  <si>
    <t>操作種別</t>
    <phoneticPr fontId="4"/>
  </si>
  <si>
    <t>E</t>
    <phoneticPr fontId="4"/>
  </si>
  <si>
    <t>-</t>
    <phoneticPr fontId="4"/>
  </si>
  <si>
    <t>calc_grp_cd</t>
    <phoneticPr fontId="4"/>
  </si>
  <si>
    <t>#MA.CALC_GRP_CD</t>
    <phoneticPr fontId="4"/>
  </si>
  <si>
    <t>計算グループＣＤ</t>
    <phoneticPr fontId="4"/>
  </si>
  <si>
    <t>calc_no</t>
    <phoneticPr fontId="4"/>
  </si>
  <si>
    <t>#MA.CALC_NO</t>
    <phoneticPr fontId="4"/>
  </si>
  <si>
    <t>原価計算ＮＯ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</si>
  <si>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</si>
  <si>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</si>
  <si>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</si>
  <si>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</si>
  <si>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</si>
  <si>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dpt_cd</t>
    <phoneticPr fontId="4"/>
  </si>
  <si>
    <t>#MA.COST_DPT_CD</t>
  </si>
  <si>
    <t>部門ＣＤ</t>
    <phoneticPr fontId="4"/>
  </si>
  <si>
    <t>dpt_nm</t>
    <phoneticPr fontId="4"/>
  </si>
  <si>
    <t>#MA.COST_DPT_NM</t>
  </si>
  <si>
    <t>部門名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</si>
  <si>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</si>
  <si>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</si>
  <si>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</si>
  <si>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</si>
  <si>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</si>
  <si>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</si>
  <si>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oper_cd</t>
  </si>
  <si>
    <t>#MA.OPER_CD</t>
    <phoneticPr fontId="4"/>
  </si>
  <si>
    <t>工程ＣＤ</t>
    <phoneticPr fontId="4"/>
  </si>
  <si>
    <t>oper_nm</t>
    <phoneticPr fontId="4"/>
  </si>
  <si>
    <t>#MA.OPER_NM</t>
    <phoneticPr fontId="4"/>
  </si>
  <si>
    <t>工程名</t>
    <phoneticPr fontId="4"/>
  </si>
  <si>
    <t>bp_cd</t>
  </si>
  <si>
    <t>#MA.BP_CD</t>
  </si>
  <si>
    <t>取引先ＣＤ</t>
    <phoneticPr fontId="4"/>
  </si>
  <si>
    <t>bp_nm</t>
    <phoneticPr fontId="4"/>
  </si>
  <si>
    <t>#MA.BP_NM</t>
    <phoneticPr fontId="4"/>
  </si>
  <si>
    <t>取引先名</t>
    <phoneticPr fontId="4"/>
  </si>
  <si>
    <t>ctg_cd</t>
    <phoneticPr fontId="4"/>
  </si>
  <si>
    <t>#MA.COST_CTG_CD</t>
    <phoneticPr fontId="4"/>
  </si>
  <si>
    <t>品群ＣＤ</t>
    <phoneticPr fontId="4"/>
  </si>
  <si>
    <t>ctg_nm</t>
    <phoneticPr fontId="4"/>
  </si>
  <si>
    <t>#MA.COST_CTG_NM</t>
    <phoneticPr fontId="4"/>
  </si>
  <si>
    <t>品群名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</si>
  <si>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</si>
  <si>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</si>
  <si>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</si>
  <si>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</si>
  <si>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</si>
  <si>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</si>
  <si>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</si>
  <si>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</si>
  <si>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</si>
  <si>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</si>
  <si>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</si>
  <si>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</si>
  <si>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</si>
  <si>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</si>
  <si>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</si>
  <si>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</si>
  <si>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</si>
  <si>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</si>
  <si>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</si>
  <si>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</si>
  <si>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</si>
  <si>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</si>
  <si>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</si>
  <si>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</si>
  <si>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</si>
  <si>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</si>
  <si>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</si>
  <si>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</si>
  <si>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</si>
  <si>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</si>
  <si>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</si>
  <si>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</si>
  <si>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</si>
  <si>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</si>
  <si>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</si>
  <si>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</si>
  <si>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</si>
  <si>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</si>
  <si>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</si>
  <si>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</si>
  <si>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</si>
  <si>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</si>
  <si>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  <phoneticPr fontId="4"/>
  </si>
  <si>
    <t>#MA.ITM_MFG_INST_NO</t>
    <phoneticPr fontId="4"/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</si>
  <si>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</si>
  <si>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</si>
  <si>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</si>
  <si>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</si>
  <si>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</si>
  <si>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</si>
  <si>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</si>
  <si>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</si>
  <si>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</si>
  <si>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</si>
  <si>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src_wg_cd</t>
    <phoneticPr fontId="4"/>
  </si>
  <si>
    <t>#MA.WG_CD</t>
    <phoneticPr fontId="4"/>
  </si>
  <si>
    <t>配賦元ワーキンググループＣＤ</t>
    <phoneticPr fontId="4"/>
  </si>
  <si>
    <t>src_wg_nm</t>
    <phoneticPr fontId="4"/>
  </si>
  <si>
    <t>#MA.WG_NM</t>
    <phoneticPr fontId="4"/>
  </si>
  <si>
    <t>配賦元ワーキンググループ名</t>
    <phoneticPr fontId="5"/>
  </si>
  <si>
    <t>src_alc_ac_cd</t>
    <phoneticPr fontId="4"/>
  </si>
  <si>
    <t>#MA.ALC_AC_CD</t>
    <phoneticPr fontId="4"/>
  </si>
  <si>
    <t>配賦元配賦科目ＣＤ</t>
    <phoneticPr fontId="4"/>
  </si>
  <si>
    <t>src_alc_ac_nm</t>
    <phoneticPr fontId="4"/>
  </si>
  <si>
    <t>#MA.ALC_AC_NM</t>
    <phoneticPr fontId="4"/>
  </si>
  <si>
    <t>配賦元配賦科目名</t>
    <phoneticPr fontId="4"/>
  </si>
  <si>
    <t>src_alc_ac_grp_cd1</t>
    <phoneticPr fontId="4"/>
  </si>
  <si>
    <t>#MA.ALC_AC_GRP_CD</t>
    <phoneticPr fontId="4"/>
  </si>
  <si>
    <t>配賦元配賦科目グループＣＤ１</t>
    <phoneticPr fontId="4"/>
  </si>
  <si>
    <t>src_alc_ac_grp_nm1</t>
    <phoneticPr fontId="4"/>
  </si>
  <si>
    <t>#MA.ALC_AC_GRP_NM</t>
    <phoneticPr fontId="4"/>
  </si>
  <si>
    <t>配賦元配賦科目グループ名１</t>
    <phoneticPr fontId="4"/>
  </si>
  <si>
    <t>src_alc_ac_grp_cd2</t>
    <phoneticPr fontId="4"/>
  </si>
  <si>
    <t>#MA.ALC_AC_GRP_CD</t>
  </si>
  <si>
    <t>配賦元配賦科目グループＣＤ２</t>
    <phoneticPr fontId="4"/>
  </si>
  <si>
    <t>src_alc_ac_grp_nm2</t>
  </si>
  <si>
    <t>#MA.ALC_AC_GRP_NM</t>
    <phoneticPr fontId="4"/>
  </si>
  <si>
    <t>配賦元配賦科目グループ名２</t>
    <phoneticPr fontId="4"/>
  </si>
  <si>
    <t>src_alc_ac_grp_cd3</t>
    <phoneticPr fontId="4"/>
  </si>
  <si>
    <t>配賦元配賦科目グループＣＤ３</t>
    <phoneticPr fontId="4"/>
  </si>
  <si>
    <t>src_alc_ac_grp_nm3</t>
  </si>
  <si>
    <t>配賦元配賦科目グループ名３</t>
    <phoneticPr fontId="4"/>
  </si>
  <si>
    <t>dest_wg_cd</t>
    <phoneticPr fontId="4"/>
  </si>
  <si>
    <t>配賦先ワーキンググループＣＤ</t>
    <phoneticPr fontId="4"/>
  </si>
  <si>
    <t>dest_wg_nm</t>
    <phoneticPr fontId="4"/>
  </si>
  <si>
    <t>配賦先ワーキンググループ名</t>
    <phoneticPr fontId="5"/>
  </si>
  <si>
    <t>dest_alc_ac_cd</t>
    <phoneticPr fontId="4"/>
  </si>
  <si>
    <t>#MA.ALC_AC_CD</t>
    <phoneticPr fontId="4"/>
  </si>
  <si>
    <t>配賦先配賦科目ＣＤ</t>
    <phoneticPr fontId="4"/>
  </si>
  <si>
    <t>dest_alc_ac_nm</t>
    <phoneticPr fontId="4"/>
  </si>
  <si>
    <t>#MA.ALC_AC_NM</t>
    <phoneticPr fontId="4"/>
  </si>
  <si>
    <t>配賦先配賦科目名</t>
    <phoneticPr fontId="4"/>
  </si>
  <si>
    <t>dest_alc_ac_grp_cd1</t>
    <phoneticPr fontId="4"/>
  </si>
  <si>
    <t>配賦先配賦科目グループＣＤ１</t>
    <phoneticPr fontId="4"/>
  </si>
  <si>
    <t>dest_alc_ac_grp_nm1</t>
    <phoneticPr fontId="4"/>
  </si>
  <si>
    <t>配賦先配賦科目グループ名１</t>
    <phoneticPr fontId="4"/>
  </si>
  <si>
    <t>dest_alc_ac_grp_cd2</t>
    <phoneticPr fontId="4"/>
  </si>
  <si>
    <t>配賦先配賦科目グループＣＤ２</t>
    <phoneticPr fontId="4"/>
  </si>
  <si>
    <t>dest_alc_ac_grp_nm2</t>
  </si>
  <si>
    <t>#MA.ALC_AC_GRP_NM</t>
    <phoneticPr fontId="4"/>
  </si>
  <si>
    <t>配賦先配賦科目グループ名２</t>
    <phoneticPr fontId="4"/>
  </si>
  <si>
    <t>dest_alc_ac_grp_cd3</t>
    <phoneticPr fontId="4"/>
  </si>
  <si>
    <t>配賦先配賦科目グループＣＤ３</t>
    <phoneticPr fontId="4"/>
  </si>
  <si>
    <t>dest_alc_ac_grp_nm3</t>
  </si>
  <si>
    <t>配賦先配賦科目グループ名３</t>
    <phoneticPr fontId="4"/>
  </si>
  <si>
    <t>pre_alc_lvl_flg</t>
  </si>
  <si>
    <t>#MA.FLG</t>
  </si>
  <si>
    <t>階層</t>
    <phoneticPr fontId="4"/>
  </si>
  <si>
    <t>src_wg_flg</t>
    <phoneticPr fontId="4"/>
  </si>
  <si>
    <t>配賦元ワーキンググループ</t>
    <phoneticPr fontId="4"/>
  </si>
  <si>
    <t>src_alc_ac_flg</t>
  </si>
  <si>
    <t>配賦元配賦科目</t>
    <phoneticPr fontId="4"/>
  </si>
  <si>
    <t>dest_wg_flg</t>
    <phoneticPr fontId="4"/>
  </si>
  <si>
    <t>配賦先ワーキンググループ</t>
    <phoneticPr fontId="4"/>
  </si>
  <si>
    <t>dest_alc_ac_flg</t>
  </si>
  <si>
    <t>配賦先配賦科目</t>
    <phoneticPr fontId="4"/>
  </si>
  <si>
    <t>ym_flg</t>
  </si>
  <si>
    <t>年月</t>
    <phoneticPr fontId="4"/>
  </si>
  <si>
    <t>dpt_flg</t>
  </si>
  <si>
    <t>部門</t>
    <phoneticPr fontId="4"/>
  </si>
  <si>
    <t>loc_flg</t>
  </si>
  <si>
    <t>場所</t>
    <phoneticPr fontId="4"/>
  </si>
  <si>
    <t>oper_flg</t>
  </si>
  <si>
    <t>工程</t>
    <phoneticPr fontId="4"/>
  </si>
  <si>
    <t>bp_flg</t>
  </si>
  <si>
    <t>取引先</t>
    <phoneticPr fontId="4"/>
  </si>
  <si>
    <t>ctg_flg</t>
  </si>
  <si>
    <t>品群</t>
    <phoneticPr fontId="4"/>
  </si>
  <si>
    <t>itm_flg</t>
  </si>
  <si>
    <t>品目</t>
    <phoneticPr fontId="4"/>
  </si>
  <si>
    <t>itm_typ_flg</t>
  </si>
  <si>
    <t>itm_typ_d_flg</t>
  </si>
  <si>
    <t>品目区分詳細</t>
    <phoneticPr fontId="4"/>
  </si>
  <si>
    <t>lot_flg</t>
  </si>
  <si>
    <t>sublot_flg</t>
  </si>
  <si>
    <t>sno1_flg</t>
  </si>
  <si>
    <t>sno2_flg</t>
  </si>
  <si>
    <t>sno3_flg</t>
  </si>
  <si>
    <t>sno4_flg</t>
  </si>
  <si>
    <t>itm_mfg_inst_flg</t>
    <phoneticPr fontId="4"/>
  </si>
  <si>
    <t>品目製造指図</t>
    <phoneticPr fontId="4"/>
  </si>
  <si>
    <t>iv_flg</t>
  </si>
  <si>
    <t>インボイス</t>
    <phoneticPr fontId="4"/>
  </si>
  <si>
    <t>po_flg</t>
  </si>
  <si>
    <t>発注</t>
    <phoneticPr fontId="4"/>
  </si>
  <si>
    <t>slo_flg</t>
  </si>
  <si>
    <t>受注</t>
    <phoneticPr fontId="4"/>
  </si>
  <si>
    <t>down0_flg</t>
    <phoneticPr fontId="4"/>
  </si>
  <si>
    <t>down1_flg</t>
    <phoneticPr fontId="4"/>
  </si>
  <si>
    <t>Srch01_Rslt</t>
    <phoneticPr fontId="4"/>
  </si>
  <si>
    <t>L</t>
    <phoneticPr fontId="4"/>
  </si>
  <si>
    <t>dummy_term</t>
    <phoneticPr fontId="4"/>
  </si>
  <si>
    <t>#MA.YM</t>
    <phoneticPr fontId="4"/>
  </si>
  <si>
    <t>期マスタ（結合用ダミー）</t>
    <phoneticPr fontId="3"/>
  </si>
  <si>
    <t>-</t>
    <phoneticPr fontId="3"/>
  </si>
  <si>
    <t>dummy_itm</t>
    <phoneticPr fontId="4"/>
  </si>
  <si>
    <t>#MA.ITM_CD</t>
    <phoneticPr fontId="4"/>
  </si>
  <si>
    <t>品目マスタ（結合用ダミー）</t>
    <phoneticPr fontId="3"/>
  </si>
  <si>
    <t>pre_alc_lvl</t>
  </si>
  <si>
    <t>#MA.PRE_ALC_MAX_LVL</t>
    <phoneticPr fontId="4"/>
  </si>
  <si>
    <t>ym</t>
  </si>
  <si>
    <t>src_wg_cd</t>
    <phoneticPr fontId="4"/>
  </si>
  <si>
    <t>#MA.WG_CD</t>
    <phoneticPr fontId="4"/>
  </si>
  <si>
    <t>ワーキンググループＣＤ</t>
    <phoneticPr fontId="4"/>
  </si>
  <si>
    <t>ワーキンググループ名</t>
    <phoneticPr fontId="4"/>
  </si>
  <si>
    <t>配賦科目ＣＤ</t>
    <phoneticPr fontId="4"/>
  </si>
  <si>
    <t>#MA.ALC_AC_NM</t>
    <phoneticPr fontId="4"/>
  </si>
  <si>
    <t>配賦科目名</t>
    <phoneticPr fontId="4"/>
  </si>
  <si>
    <t>src_alc_ac_grp_nm1</t>
    <phoneticPr fontId="4"/>
  </si>
  <si>
    <t>dest_wg_cd</t>
    <phoneticPr fontId="4"/>
  </si>
  <si>
    <t>dest_wg_nm</t>
    <phoneticPr fontId="4"/>
  </si>
  <si>
    <t>#MA.WG_NM</t>
    <phoneticPr fontId="4"/>
  </si>
  <si>
    <t>#MA.ALC_AC_CD</t>
    <phoneticPr fontId="4"/>
  </si>
  <si>
    <t>配賦科目ＣＤ２</t>
    <phoneticPr fontId="4"/>
  </si>
  <si>
    <t>配賦科目名２</t>
    <phoneticPr fontId="4"/>
  </si>
  <si>
    <t>dest_alc_ac_grp_nm1</t>
  </si>
  <si>
    <t>wg_cd</t>
    <phoneticPr fontId="4"/>
  </si>
  <si>
    <t>wg_nm</t>
    <phoneticPr fontId="4"/>
  </si>
  <si>
    <t>alc_ac_cd</t>
  </si>
  <si>
    <t>alc_ac_nm</t>
  </si>
  <si>
    <t>wg_cd2</t>
    <phoneticPr fontId="4"/>
  </si>
  <si>
    <t>ワーキンググループＣＤ２</t>
    <phoneticPr fontId="4"/>
  </si>
  <si>
    <t>wg_nm2</t>
    <phoneticPr fontId="4"/>
  </si>
  <si>
    <t>ワーキンググループ名２</t>
    <phoneticPr fontId="4"/>
  </si>
  <si>
    <t>alc_ac_cd2</t>
  </si>
  <si>
    <t>alc_ac_nm2</t>
  </si>
  <si>
    <t>dpt_cd</t>
  </si>
  <si>
    <t>#MA.COST_DPT_CD</t>
    <phoneticPr fontId="4"/>
  </si>
  <si>
    <t>dpt_nm</t>
  </si>
  <si>
    <t>#MA.COST_DPT_NM</t>
    <phoneticPr fontId="4"/>
  </si>
  <si>
    <t>#MA.LOC_CD</t>
    <phoneticPr fontId="4"/>
  </si>
  <si>
    <t>#MA.LOC_NM</t>
    <phoneticPr fontId="4"/>
  </si>
  <si>
    <t>#MA.OPER_CD</t>
    <phoneticPr fontId="4"/>
  </si>
  <si>
    <t>oper_nm</t>
  </si>
  <si>
    <t>#MA.OPER_NM</t>
    <phoneticPr fontId="4"/>
  </si>
  <si>
    <t>#MA.BP_CD</t>
    <phoneticPr fontId="4"/>
  </si>
  <si>
    <t>bp_nm</t>
  </si>
  <si>
    <t>ctg_cd</t>
  </si>
  <si>
    <t>#MA.COST_CTG_CD</t>
    <phoneticPr fontId="4"/>
  </si>
  <si>
    <t>ctg_nm</t>
  </si>
  <si>
    <t>itm_typ</t>
    <phoneticPr fontId="4"/>
  </si>
  <si>
    <t>MAC_ITM_TYP</t>
    <phoneticPr fontId="4"/>
  </si>
  <si>
    <t>itm_typ_nm</t>
  </si>
  <si>
    <t>#MA.ITM_TYP_NM</t>
  </si>
  <si>
    <t>品目区分名</t>
    <phoneticPr fontId="4"/>
  </si>
  <si>
    <t>itm_typ_d_cd</t>
    <phoneticPr fontId="4"/>
  </si>
  <si>
    <t>itm_typ_d_nm</t>
    <phoneticPr fontId="3"/>
  </si>
  <si>
    <t>#MA.ITM_CD</t>
    <phoneticPr fontId="4"/>
  </si>
  <si>
    <t>itm_sub1</t>
    <phoneticPr fontId="3"/>
  </si>
  <si>
    <t>#MA.ITM_SUB1</t>
    <phoneticPr fontId="4"/>
  </si>
  <si>
    <t>枝番１</t>
    <phoneticPr fontId="3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</si>
  <si>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</si>
  <si>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t>枝番２</t>
    <phoneticPr fontId="3"/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</si>
  <si>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</si>
  <si>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枝番３</t>
    <phoneticPr fontId="3"/>
  </si>
  <si>
    <t>#MA.ITM_NM</t>
    <phoneticPr fontId="4"/>
  </si>
  <si>
    <t>sno1</t>
    <phoneticPr fontId="3"/>
  </si>
  <si>
    <t>#MA.SNO1</t>
    <phoneticPr fontId="3"/>
  </si>
  <si>
    <t>手配ＮＯ１</t>
    <phoneticPr fontId="3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</si>
  <si>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</si>
  <si>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</si>
  <si>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</si>
  <si>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</si>
  <si>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</si>
  <si>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</si>
  <si>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#MA.IV_NO</t>
    <phoneticPr fontId="4"/>
  </si>
  <si>
    <t>#MA.PO_NO</t>
    <phoneticPr fontId="4"/>
  </si>
  <si>
    <t>#MA.SLO_NO</t>
    <phoneticPr fontId="4"/>
  </si>
  <si>
    <t>ttl</t>
  </si>
  <si>
    <t>#MA.MONEY</t>
    <phoneticPr fontId="4"/>
  </si>
  <si>
    <t>合計</t>
    <phoneticPr fontId="4"/>
  </si>
  <si>
    <t>col_all</t>
  </si>
  <si>
    <t>C</t>
  </si>
  <si>
    <t>dpt_cd2</t>
    <phoneticPr fontId="4"/>
  </si>
  <si>
    <t>dpt_nm2</t>
    <phoneticPr fontId="4"/>
  </si>
  <si>
    <t>Srch01_Key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</si>
  <si>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</si>
  <si>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</si>
  <si>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</si>
  <si>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</si>
  <si>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</si>
  <si>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</si>
  <si>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</si>
  <si>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</si>
  <si>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</si>
  <si>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</si>
  <si>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</si>
  <si>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</si>
  <si>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</si>
  <si>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</si>
  <si>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</si>
  <si>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</si>
  <si>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</si>
  <si>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</si>
  <si>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</si>
  <si>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</si>
  <si>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</si>
  <si>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</si>
  <si>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</si>
  <si>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Operation type</t>
  </si>
  <si>
    <t>Calculation group cd.</t>
  </si>
  <si>
    <t>Calculation No.</t>
  </si>
  <si>
    <t>Month FROM</t>
  </si>
  <si>
    <t>Month TO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</si>
  <si>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</si>
  <si>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</si>
  <si>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</si>
  <si>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</si>
  <si>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</si>
  <si>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</si>
  <si>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</si>
  <si>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</si>
  <si>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</si>
  <si>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</si>
  <si>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</si>
  <si>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</si>
  <si>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</si>
  <si>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</si>
  <si>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</si>
  <si>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</si>
  <si>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</si>
  <si>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</si>
  <si>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</si>
  <si>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</si>
  <si>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</si>
  <si>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</si>
  <si>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</si>
  <si>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</si>
  <si>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</si>
  <si>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</si>
  <si>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</si>
  <si>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</si>
  <si>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source WG cd.</t>
  </si>
  <si>
    <t>Allocation source WG name</t>
  </si>
  <si>
    <t>Allocation source allocation account cd.</t>
  </si>
  <si>
    <t>Allocation source allocation account name</t>
  </si>
  <si>
    <t>Allocation source allocation account group cd. 1</t>
  </si>
  <si>
    <t>Allocation source allocation account group name 1</t>
  </si>
  <si>
    <t>Allocating source allocation account group cd. 2</t>
  </si>
  <si>
    <t>Allocating source allocation account group name 2</t>
  </si>
  <si>
    <t>Allocating source allocation account group cd. 3</t>
  </si>
  <si>
    <t>Allocating source allocation account group name 3</t>
  </si>
  <si>
    <t>Allocated WG cd.</t>
  </si>
  <si>
    <t>Allocated WG name</t>
  </si>
  <si>
    <t>Allocation destination allocation account cd.</t>
  </si>
  <si>
    <t>Allocation destination allocation account name</t>
  </si>
  <si>
    <t>Allocation destination allocation account group cd. 1</t>
  </si>
  <si>
    <t>Allocation destination allocation account group name 1</t>
  </si>
  <si>
    <t>Allocated destination allocation account group cd. 2</t>
  </si>
  <si>
    <t>Allocated destination allocation account group name 2</t>
  </si>
  <si>
    <t>Allocated destination allocation account group cd. 3</t>
  </si>
  <si>
    <t>Allocated destination allocation account group name 3</t>
  </si>
  <si>
    <t>Hierarchy</t>
  </si>
  <si>
    <t>Allocation source WG</t>
  </si>
  <si>
    <t>Allocation source allocation account</t>
  </si>
  <si>
    <t>Allocation destination WG</t>
  </si>
  <si>
    <t>Allocation destination allocation account</t>
  </si>
  <si>
    <t>Year month</t>
  </si>
  <si>
    <t>Dept.</t>
  </si>
  <si>
    <t>Location</t>
  </si>
  <si>
    <t>Operation</t>
  </si>
  <si>
    <t>BP</t>
  </si>
  <si>
    <t>Item category</t>
  </si>
  <si>
    <t>Item</t>
  </si>
  <si>
    <t>Item type details</t>
  </si>
  <si>
    <t>Item mfg. order</t>
  </si>
  <si>
    <t>Invoice</t>
  </si>
  <si>
    <t>PO</t>
  </si>
  <si>
    <t>Sales order</t>
  </si>
  <si>
    <t>Term master (Dummy for join)</t>
  </si>
  <si>
    <t>Item master (Dummy for join)</t>
  </si>
  <si>
    <t>WG cd.</t>
  </si>
  <si>
    <t>WG name</t>
  </si>
  <si>
    <t>Allocation account cd.</t>
  </si>
  <si>
    <t>Allocation account name</t>
  </si>
  <si>
    <t>Allocation account cd. 2</t>
  </si>
  <si>
    <t>Allocation account name 2</t>
  </si>
  <si>
    <t>WG cd. 2</t>
  </si>
  <si>
    <t>WG name 2</t>
  </si>
  <si>
    <t>Item type name</t>
  </si>
  <si>
    <t>Total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</si>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</sst>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9"/>
      <color rgb="FF9C0006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333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7.6328125" style="4" customWidth="1"/>
    <col min="12" max="12" width="18.36328125" style="4" bestFit="1" customWidth="1"/>
    <col min="13" max="13" width="39.90625" style="4" customWidth="1"/>
    <col min="14" max="14" width="50.81640625" style="4" customWidth="1"/>
    <col min="15" max="15" width="19.36328125" style="4" bestFit="1" customWidth="1"/>
    <col min="16" max="16" width="33.08984375" style="4" bestFit="1" customWidth="1"/>
    <col min="17" max="17" width="71.6328125" style="4" bestFit="1" customWidth="1"/>
    <col min="18" max="18" width="30.81640625" style="4" customWidth="1"/>
    <col min="19" max="19" width="10.81640625" style="5" bestFit="1" customWidth="1"/>
    <col min="20" max="20" width="15.81640625" style="5" customWidth="1"/>
    <col min="21" max="21" width="10.81640625" style="5" bestFit="1" customWidth="1"/>
    <col min="22" max="22" width="9.453125" style="5" bestFit="1" customWidth="1"/>
    <col min="23" max="23" width="10.81640625" style="5" bestFit="1" customWidth="1"/>
    <col min="24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335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MGBDL0250</v>
      </c>
      <c r="I2" s="7" t="s">
        <v>19</v>
      </c>
      <c r="J2" s="8" t="s">
        <v>20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334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MGBD</v>
      </c>
      <c r="G3" s="7" t="s">
        <v>9</v>
      </c>
      <c r="H3" s="51" t="str">
        <f>IF(LogicCommon!E3="","",LogicCommon!E3)</f>
        <v>MGBDL_PreAlcChk</v>
      </c>
      <c r="I3" s="7" t="s">
        <v>22</v>
      </c>
      <c r="J3" s="8" t="s">
        <v>23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一次配賦計算結果照合</v>
      </c>
      <c r="I4" s="7" t="s">
        <v>28</v>
      </c>
      <c r="J4" s="8" t="s">
        <v>29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1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336</v>
      </c>
      <c r="E8" s="25" t="s">
        <v>337</v>
      </c>
      <c r="F8" s="61"/>
      <c r="G8" s="25" t="s">
        <v>38</v>
      </c>
      <c r="H8" s="25" t="s">
        <v>338</v>
      </c>
      <c r="I8" s="61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5" t="s">
        <v>339</v>
      </c>
      <c r="U8" s="116"/>
    </row>
    <row r="9" spans="1:21" s="10" customFormat="1" ht="60" customHeight="1" x14ac:dyDescent="0.2">
      <c r="A9" s="8" t="s">
        <v>34</v>
      </c>
      <c r="B9" s="29"/>
      <c r="C9" s="30"/>
      <c r="D9" s="25" t="s">
        <v>340</v>
      </c>
      <c r="E9" s="47" t="s">
        <v>341</v>
      </c>
      <c r="F9" s="25" t="s">
        <v>342</v>
      </c>
      <c r="G9" s="25" t="s">
        <v>343</v>
      </c>
      <c r="H9" s="25" t="s">
        <v>344</v>
      </c>
      <c r="I9" s="48" t="s">
        <v>345</v>
      </c>
      <c r="J9" s="25" t="s">
        <v>346</v>
      </c>
      <c r="K9" s="62"/>
      <c r="L9" s="48"/>
      <c r="M9" s="25"/>
      <c r="N9" s="25"/>
      <c r="O9" s="25"/>
      <c r="P9" s="25"/>
      <c r="Q9" s="25"/>
      <c r="R9" s="115" t="s">
        <v>347</v>
      </c>
      <c r="S9" s="116"/>
      <c r="T9" s="115" t="s">
        <v>348</v>
      </c>
      <c r="U9" s="116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345</v>
      </c>
      <c r="M10" s="25" t="s">
        <v>346</v>
      </c>
      <c r="N10" s="25" t="s">
        <v>345</v>
      </c>
      <c r="O10" s="25" t="s">
        <v>346</v>
      </c>
      <c r="P10" s="25" t="s">
        <v>345</v>
      </c>
      <c r="Q10" s="25" t="s">
        <v>346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42</v>
      </c>
      <c r="E11" s="27" t="s">
        <v>43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349</v>
      </c>
      <c r="H12" s="39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350</v>
      </c>
      <c r="H13" s="39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351</v>
      </c>
      <c r="H14" s="39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352</v>
      </c>
      <c r="H15" s="39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56</v>
      </c>
      <c r="F16" s="26"/>
      <c r="G16" s="39" t="s">
        <v>353</v>
      </c>
      <c r="H16" s="39" t="s">
        <v>59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39" t="s">
        <v>354</v>
      </c>
      <c r="H17" s="39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355</v>
      </c>
      <c r="H18" s="39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356</v>
      </c>
      <c r="H19" s="39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357</v>
      </c>
      <c r="H20" s="39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358</v>
      </c>
      <c r="H21" s="39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359</v>
      </c>
      <c r="H22" s="39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360</v>
      </c>
      <c r="H23" s="39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361</v>
      </c>
      <c r="H24" s="39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362</v>
      </c>
      <c r="H25" s="39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363</v>
      </c>
      <c r="H26" s="39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364</v>
      </c>
      <c r="H27" s="39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365</v>
      </c>
      <c r="H28" s="39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366</v>
      </c>
      <c r="H29" s="39" t="s">
        <v>98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367</v>
      </c>
      <c r="H30" s="39" t="s">
        <v>101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368</v>
      </c>
      <c r="H31" s="39" t="s">
        <v>104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369</v>
      </c>
      <c r="H32" s="39" t="s">
        <v>107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370</v>
      </c>
      <c r="H33" s="39" t="s">
        <v>110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371</v>
      </c>
      <c r="H34" s="39" t="s">
        <v>113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372</v>
      </c>
      <c r="H35" s="39" t="s">
        <v>116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373</v>
      </c>
      <c r="H36" s="39" t="s">
        <v>119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374</v>
      </c>
      <c r="H37" s="39" t="s">
        <v>122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375</v>
      </c>
      <c r="H38" s="39" t="s">
        <v>125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376</v>
      </c>
      <c r="H39" s="39" t="s">
        <v>128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377</v>
      </c>
      <c r="H40" s="39" t="s">
        <v>131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378</v>
      </c>
      <c r="H41" s="39" t="s">
        <v>134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379</v>
      </c>
      <c r="H42" s="39" t="s">
        <v>137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380</v>
      </c>
      <c r="H43" s="39" t="s">
        <v>140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381</v>
      </c>
      <c r="H44" s="39" t="s">
        <v>143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382</v>
      </c>
      <c r="H45" s="39" t="s">
        <v>146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383</v>
      </c>
      <c r="H46" s="39" t="s">
        <v>149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ht="26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384</v>
      </c>
      <c r="H47" s="39" t="s">
        <v>152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ht="26" x14ac:dyDescent="0.2">
      <c r="A48" s="8">
        <v>10</v>
      </c>
      <c r="B48" s="8"/>
      <c r="C48" s="8"/>
      <c r="D48" s="8" t="s">
        <v>153</v>
      </c>
      <c r="E48" s="26" t="s">
        <v>154</v>
      </c>
      <c r="F48" s="26"/>
      <c r="G48" s="39" t="s">
        <v>385</v>
      </c>
      <c r="H48" s="39" t="s">
        <v>155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ht="26" x14ac:dyDescent="0.2">
      <c r="A49" s="8">
        <v>10</v>
      </c>
      <c r="B49" s="8"/>
      <c r="C49" s="8"/>
      <c r="D49" s="8" t="s">
        <v>156</v>
      </c>
      <c r="E49" s="26" t="s">
        <v>157</v>
      </c>
      <c r="F49" s="26"/>
      <c r="G49" s="39" t="s">
        <v>386</v>
      </c>
      <c r="H49" s="39" t="s">
        <v>158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ht="26" x14ac:dyDescent="0.2">
      <c r="A50" s="8">
        <v>10</v>
      </c>
      <c r="B50" s="8"/>
      <c r="C50" s="8"/>
      <c r="D50" s="8" t="s">
        <v>159</v>
      </c>
      <c r="E50" s="26" t="s">
        <v>160</v>
      </c>
      <c r="F50" s="26"/>
      <c r="G50" s="39" t="s">
        <v>387</v>
      </c>
      <c r="H50" s="39" t="s">
        <v>161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ht="26" x14ac:dyDescent="0.2">
      <c r="A51" s="8">
        <v>10</v>
      </c>
      <c r="B51" s="8"/>
      <c r="C51" s="8"/>
      <c r="D51" s="8" t="s">
        <v>162</v>
      </c>
      <c r="E51" s="26" t="s">
        <v>163</v>
      </c>
      <c r="F51" s="26"/>
      <c r="G51" s="39" t="s">
        <v>388</v>
      </c>
      <c r="H51" s="39" t="s">
        <v>164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ht="26" x14ac:dyDescent="0.2">
      <c r="A52" s="8">
        <v>10</v>
      </c>
      <c r="B52" s="8"/>
      <c r="C52" s="8"/>
      <c r="D52" s="8" t="s">
        <v>165</v>
      </c>
      <c r="E52" s="26" t="s">
        <v>166</v>
      </c>
      <c r="F52" s="26"/>
      <c r="G52" s="39" t="s">
        <v>389</v>
      </c>
      <c r="H52" s="39" t="s">
        <v>167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ht="26" x14ac:dyDescent="0.2">
      <c r="A53" s="8">
        <v>10</v>
      </c>
      <c r="B53" s="8"/>
      <c r="C53" s="8"/>
      <c r="D53" s="8" t="s">
        <v>168</v>
      </c>
      <c r="E53" s="26" t="s">
        <v>163</v>
      </c>
      <c r="F53" s="26"/>
      <c r="G53" s="39" t="s">
        <v>390</v>
      </c>
      <c r="H53" s="39" t="s">
        <v>169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ht="26" x14ac:dyDescent="0.2">
      <c r="A54" s="8">
        <v>10</v>
      </c>
      <c r="B54" s="8"/>
      <c r="C54" s="8"/>
      <c r="D54" s="8" t="s">
        <v>170</v>
      </c>
      <c r="E54" s="26" t="s">
        <v>166</v>
      </c>
      <c r="F54" s="26"/>
      <c r="G54" s="39" t="s">
        <v>391</v>
      </c>
      <c r="H54" s="39" t="s">
        <v>171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172</v>
      </c>
      <c r="E55" s="26" t="s">
        <v>145</v>
      </c>
      <c r="F55" s="26"/>
      <c r="G55" s="39" t="s">
        <v>392</v>
      </c>
      <c r="H55" s="39" t="s">
        <v>173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174</v>
      </c>
      <c r="E56" s="26" t="s">
        <v>148</v>
      </c>
      <c r="F56" s="26"/>
      <c r="G56" s="39" t="s">
        <v>393</v>
      </c>
      <c r="H56" s="39" t="s">
        <v>175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ht="26" x14ac:dyDescent="0.2">
      <c r="A57" s="8">
        <v>10</v>
      </c>
      <c r="B57" s="8"/>
      <c r="C57" s="8"/>
      <c r="D57" s="8" t="s">
        <v>176</v>
      </c>
      <c r="E57" s="26" t="s">
        <v>177</v>
      </c>
      <c r="F57" s="26"/>
      <c r="G57" s="39" t="s">
        <v>394</v>
      </c>
      <c r="H57" s="39" t="s">
        <v>178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ht="26" x14ac:dyDescent="0.2">
      <c r="A58" s="8">
        <v>10</v>
      </c>
      <c r="B58" s="8"/>
      <c r="C58" s="8"/>
      <c r="D58" s="8" t="s">
        <v>179</v>
      </c>
      <c r="E58" s="26" t="s">
        <v>180</v>
      </c>
      <c r="F58" s="26"/>
      <c r="G58" s="39" t="s">
        <v>395</v>
      </c>
      <c r="H58" s="39" t="s">
        <v>181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ht="26" x14ac:dyDescent="0.2">
      <c r="A59" s="8">
        <v>10</v>
      </c>
      <c r="B59" s="8"/>
      <c r="C59" s="8"/>
      <c r="D59" s="8" t="s">
        <v>182</v>
      </c>
      <c r="E59" s="26" t="s">
        <v>157</v>
      </c>
      <c r="F59" s="26"/>
      <c r="G59" s="39" t="s">
        <v>396</v>
      </c>
      <c r="H59" s="39" t="s">
        <v>183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ht="39" x14ac:dyDescent="0.2">
      <c r="A60" s="8">
        <v>10</v>
      </c>
      <c r="B60" s="8"/>
      <c r="C60" s="8"/>
      <c r="D60" s="8" t="s">
        <v>184</v>
      </c>
      <c r="E60" s="26" t="s">
        <v>166</v>
      </c>
      <c r="F60" s="26"/>
      <c r="G60" s="39" t="s">
        <v>397</v>
      </c>
      <c r="H60" s="39" t="s">
        <v>185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ht="26" x14ac:dyDescent="0.2">
      <c r="A61" s="8">
        <v>10</v>
      </c>
      <c r="B61" s="8"/>
      <c r="C61" s="8"/>
      <c r="D61" s="8" t="s">
        <v>186</v>
      </c>
      <c r="E61" s="26" t="s">
        <v>163</v>
      </c>
      <c r="F61" s="26"/>
      <c r="G61" s="39" t="s">
        <v>398</v>
      </c>
      <c r="H61" s="39" t="s">
        <v>187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ht="39" x14ac:dyDescent="0.2">
      <c r="A62" s="8">
        <v>10</v>
      </c>
      <c r="B62" s="8"/>
      <c r="C62" s="8"/>
      <c r="D62" s="8" t="s">
        <v>188</v>
      </c>
      <c r="E62" s="26" t="s">
        <v>189</v>
      </c>
      <c r="F62" s="26"/>
      <c r="G62" s="39" t="s">
        <v>399</v>
      </c>
      <c r="H62" s="39" t="s">
        <v>190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ht="26" x14ac:dyDescent="0.2">
      <c r="A63" s="8">
        <v>10</v>
      </c>
      <c r="B63" s="8"/>
      <c r="C63" s="8"/>
      <c r="D63" s="8" t="s">
        <v>191</v>
      </c>
      <c r="E63" s="26" t="s">
        <v>163</v>
      </c>
      <c r="F63" s="26"/>
      <c r="G63" s="39" t="s">
        <v>400</v>
      </c>
      <c r="H63" s="39" t="s">
        <v>192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ht="39" x14ac:dyDescent="0.2">
      <c r="A64" s="8">
        <v>10</v>
      </c>
      <c r="B64" s="8"/>
      <c r="C64" s="8"/>
      <c r="D64" s="8" t="s">
        <v>193</v>
      </c>
      <c r="E64" s="26" t="s">
        <v>166</v>
      </c>
      <c r="F64" s="26"/>
      <c r="G64" s="39" t="s">
        <v>401</v>
      </c>
      <c r="H64" s="39" t="s">
        <v>194</v>
      </c>
      <c r="I64" s="8" t="s">
        <v>47</v>
      </c>
      <c r="J64" s="8" t="s">
        <v>48</v>
      </c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195</v>
      </c>
      <c r="E65" s="26" t="s">
        <v>196</v>
      </c>
      <c r="F65" s="26"/>
      <c r="G65" s="39" t="s">
        <v>402</v>
      </c>
      <c r="H65" s="39" t="s">
        <v>197</v>
      </c>
      <c r="I65" s="8" t="s">
        <v>43</v>
      </c>
      <c r="J65" s="8" t="s">
        <v>48</v>
      </c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10</v>
      </c>
      <c r="B66" s="8"/>
      <c r="C66" s="8"/>
      <c r="D66" s="8" t="s">
        <v>198</v>
      </c>
      <c r="E66" s="26" t="s">
        <v>196</v>
      </c>
      <c r="F66" s="26"/>
      <c r="G66" s="39" t="s">
        <v>403</v>
      </c>
      <c r="H66" s="39" t="s">
        <v>199</v>
      </c>
      <c r="I66" s="8" t="s">
        <v>43</v>
      </c>
      <c r="J66" s="8" t="s">
        <v>48</v>
      </c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ht="26" x14ac:dyDescent="0.2">
      <c r="A67" s="8">
        <v>10</v>
      </c>
      <c r="B67" s="8"/>
      <c r="C67" s="8"/>
      <c r="D67" s="8" t="s">
        <v>200</v>
      </c>
      <c r="E67" s="26" t="s">
        <v>196</v>
      </c>
      <c r="F67" s="26"/>
      <c r="G67" s="39" t="s">
        <v>404</v>
      </c>
      <c r="H67" s="39" t="s">
        <v>201</v>
      </c>
      <c r="I67" s="8" t="s">
        <v>43</v>
      </c>
      <c r="J67" s="8" t="s">
        <v>48</v>
      </c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10</v>
      </c>
      <c r="B68" s="8"/>
      <c r="C68" s="8"/>
      <c r="D68" s="8" t="s">
        <v>202</v>
      </c>
      <c r="E68" s="26" t="s">
        <v>196</v>
      </c>
      <c r="F68" s="26"/>
      <c r="G68" s="39" t="s">
        <v>405</v>
      </c>
      <c r="H68" s="39" t="s">
        <v>203</v>
      </c>
      <c r="I68" s="8" t="s">
        <v>43</v>
      </c>
      <c r="J68" s="8" t="s">
        <v>48</v>
      </c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ht="26" x14ac:dyDescent="0.2">
      <c r="A69" s="8">
        <v>10</v>
      </c>
      <c r="B69" s="8"/>
      <c r="C69" s="8"/>
      <c r="D69" s="8" t="s">
        <v>204</v>
      </c>
      <c r="E69" s="26" t="s">
        <v>196</v>
      </c>
      <c r="F69" s="26"/>
      <c r="G69" s="39" t="s">
        <v>406</v>
      </c>
      <c r="H69" s="39" t="s">
        <v>205</v>
      </c>
      <c r="I69" s="8" t="s">
        <v>43</v>
      </c>
      <c r="J69" s="8" t="s">
        <v>48</v>
      </c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10</v>
      </c>
      <c r="B70" s="8"/>
      <c r="C70" s="8"/>
      <c r="D70" s="8" t="s">
        <v>206</v>
      </c>
      <c r="E70" s="26" t="s">
        <v>196</v>
      </c>
      <c r="F70" s="26"/>
      <c r="G70" s="39" t="s">
        <v>407</v>
      </c>
      <c r="H70" s="39" t="s">
        <v>207</v>
      </c>
      <c r="I70" s="8" t="s">
        <v>43</v>
      </c>
      <c r="J70" s="8" t="s">
        <v>48</v>
      </c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208</v>
      </c>
      <c r="E71" s="26" t="s">
        <v>196</v>
      </c>
      <c r="F71" s="26"/>
      <c r="G71" s="39" t="s">
        <v>408</v>
      </c>
      <c r="H71" s="39" t="s">
        <v>209</v>
      </c>
      <c r="I71" s="8" t="s">
        <v>43</v>
      </c>
      <c r="J71" s="8" t="s">
        <v>48</v>
      </c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210</v>
      </c>
      <c r="E72" s="26" t="s">
        <v>196</v>
      </c>
      <c r="F72" s="26"/>
      <c r="G72" s="39" t="s">
        <v>409</v>
      </c>
      <c r="H72" s="39" t="s">
        <v>211</v>
      </c>
      <c r="I72" s="8" t="s">
        <v>43</v>
      </c>
      <c r="J72" s="8" t="s">
        <v>48</v>
      </c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212</v>
      </c>
      <c r="E73" s="26" t="s">
        <v>196</v>
      </c>
      <c r="F73" s="26"/>
      <c r="G73" s="39" t="s">
        <v>410</v>
      </c>
      <c r="H73" s="39" t="s">
        <v>213</v>
      </c>
      <c r="I73" s="8" t="s">
        <v>43</v>
      </c>
      <c r="J73" s="8" t="s">
        <v>48</v>
      </c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214</v>
      </c>
      <c r="E74" s="26" t="s">
        <v>196</v>
      </c>
      <c r="F74" s="26"/>
      <c r="G74" s="39" t="s">
        <v>411</v>
      </c>
      <c r="H74" s="39" t="s">
        <v>215</v>
      </c>
      <c r="I74" s="8" t="s">
        <v>43</v>
      </c>
      <c r="J74" s="8" t="s">
        <v>48</v>
      </c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216</v>
      </c>
      <c r="E75" s="26" t="s">
        <v>196</v>
      </c>
      <c r="F75" s="26"/>
      <c r="G75" s="39" t="s">
        <v>412</v>
      </c>
      <c r="H75" s="39" t="s">
        <v>217</v>
      </c>
      <c r="I75" s="8" t="s">
        <v>43</v>
      </c>
      <c r="J75" s="8" t="s">
        <v>48</v>
      </c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218</v>
      </c>
      <c r="E76" s="26" t="s">
        <v>196</v>
      </c>
      <c r="F76" s="26"/>
      <c r="G76" s="39" t="s">
        <v>413</v>
      </c>
      <c r="H76" s="39" t="s">
        <v>219</v>
      </c>
      <c r="I76" s="8" t="s">
        <v>43</v>
      </c>
      <c r="J76" s="8" t="s">
        <v>48</v>
      </c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220</v>
      </c>
      <c r="E77" s="26" t="s">
        <v>196</v>
      </c>
      <c r="F77" s="26"/>
      <c r="G77" s="39" t="s">
        <v>364</v>
      </c>
      <c r="H77" s="39" t="s">
        <v>92</v>
      </c>
      <c r="I77" s="8" t="s">
        <v>43</v>
      </c>
      <c r="J77" s="8" t="s">
        <v>48</v>
      </c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221</v>
      </c>
      <c r="E78" s="26" t="s">
        <v>196</v>
      </c>
      <c r="F78" s="26"/>
      <c r="G78" s="39" t="s">
        <v>414</v>
      </c>
      <c r="H78" s="39" t="s">
        <v>222</v>
      </c>
      <c r="I78" s="8" t="s">
        <v>43</v>
      </c>
      <c r="J78" s="8" t="s">
        <v>48</v>
      </c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223</v>
      </c>
      <c r="E79" s="26" t="s">
        <v>196</v>
      </c>
      <c r="F79" s="26"/>
      <c r="G79" s="39" t="s">
        <v>372</v>
      </c>
      <c r="H79" s="39" t="s">
        <v>116</v>
      </c>
      <c r="I79" s="8" t="s">
        <v>43</v>
      </c>
      <c r="J79" s="8" t="s">
        <v>48</v>
      </c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224</v>
      </c>
      <c r="E80" s="26" t="s">
        <v>196</v>
      </c>
      <c r="F80" s="26"/>
      <c r="G80" s="39" t="s">
        <v>373</v>
      </c>
      <c r="H80" s="39" t="s">
        <v>119</v>
      </c>
      <c r="I80" s="8" t="s">
        <v>43</v>
      </c>
      <c r="J80" s="8" t="s">
        <v>48</v>
      </c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225</v>
      </c>
      <c r="E81" s="26" t="s">
        <v>196</v>
      </c>
      <c r="F81" s="26"/>
      <c r="G81" s="39" t="s">
        <v>374</v>
      </c>
      <c r="H81" s="39" t="s">
        <v>122</v>
      </c>
      <c r="I81" s="8" t="s">
        <v>43</v>
      </c>
      <c r="J81" s="8" t="s">
        <v>48</v>
      </c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226</v>
      </c>
      <c r="E82" s="26" t="s">
        <v>196</v>
      </c>
      <c r="F82" s="26"/>
      <c r="G82" s="39" t="s">
        <v>375</v>
      </c>
      <c r="H82" s="39" t="s">
        <v>125</v>
      </c>
      <c r="I82" s="8" t="s">
        <v>43</v>
      </c>
      <c r="J82" s="8" t="s">
        <v>48</v>
      </c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10</v>
      </c>
      <c r="B83" s="8"/>
      <c r="C83" s="8"/>
      <c r="D83" s="8" t="s">
        <v>227</v>
      </c>
      <c r="E83" s="26" t="s">
        <v>196</v>
      </c>
      <c r="F83" s="26"/>
      <c r="G83" s="39" t="s">
        <v>376</v>
      </c>
      <c r="H83" s="39" t="s">
        <v>128</v>
      </c>
      <c r="I83" s="8" t="s">
        <v>43</v>
      </c>
      <c r="J83" s="8" t="s">
        <v>48</v>
      </c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10</v>
      </c>
      <c r="B84" s="8"/>
      <c r="C84" s="8"/>
      <c r="D84" s="8" t="s">
        <v>228</v>
      </c>
      <c r="E84" s="26" t="s">
        <v>196</v>
      </c>
      <c r="F84" s="26"/>
      <c r="G84" s="39" t="s">
        <v>377</v>
      </c>
      <c r="H84" s="39" t="s">
        <v>131</v>
      </c>
      <c r="I84" s="8" t="s">
        <v>43</v>
      </c>
      <c r="J84" s="8" t="s">
        <v>48</v>
      </c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10</v>
      </c>
      <c r="B85" s="8"/>
      <c r="C85" s="8"/>
      <c r="D85" s="8" t="s">
        <v>229</v>
      </c>
      <c r="E85" s="26" t="s">
        <v>196</v>
      </c>
      <c r="F85" s="26"/>
      <c r="G85" s="39" t="s">
        <v>415</v>
      </c>
      <c r="H85" s="39" t="s">
        <v>230</v>
      </c>
      <c r="I85" s="8" t="s">
        <v>43</v>
      </c>
      <c r="J85" s="8" t="s">
        <v>48</v>
      </c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10</v>
      </c>
      <c r="B86" s="8"/>
      <c r="C86" s="8"/>
      <c r="D86" s="8" t="s">
        <v>231</v>
      </c>
      <c r="E86" s="26" t="s">
        <v>196</v>
      </c>
      <c r="F86" s="26"/>
      <c r="G86" s="39" t="s">
        <v>416</v>
      </c>
      <c r="H86" s="39" t="s">
        <v>232</v>
      </c>
      <c r="I86" s="8" t="s">
        <v>43</v>
      </c>
      <c r="J86" s="8" t="s">
        <v>48</v>
      </c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233</v>
      </c>
      <c r="E87" s="26" t="s">
        <v>196</v>
      </c>
      <c r="F87" s="26"/>
      <c r="G87" s="39" t="s">
        <v>417</v>
      </c>
      <c r="H87" s="39" t="s">
        <v>234</v>
      </c>
      <c r="I87" s="8" t="s">
        <v>43</v>
      </c>
      <c r="J87" s="8" t="s">
        <v>48</v>
      </c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235</v>
      </c>
      <c r="E88" s="26" t="s">
        <v>196</v>
      </c>
      <c r="F88" s="26"/>
      <c r="G88" s="39" t="s">
        <v>418</v>
      </c>
      <c r="H88" s="39" t="s">
        <v>236</v>
      </c>
      <c r="I88" s="8" t="s">
        <v>43</v>
      </c>
      <c r="J88" s="8" t="s">
        <v>48</v>
      </c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10</v>
      </c>
      <c r="B89" s="8"/>
      <c r="C89" s="8"/>
      <c r="D89" s="8" t="s">
        <v>237</v>
      </c>
      <c r="E89" s="26" t="s">
        <v>196</v>
      </c>
      <c r="F89" s="26"/>
      <c r="G89" s="39"/>
      <c r="H89" s="39"/>
      <c r="I89" s="8" t="s">
        <v>48</v>
      </c>
      <c r="J89" s="8" t="s">
        <v>48</v>
      </c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10</v>
      </c>
      <c r="B90" s="8"/>
      <c r="C90" s="8"/>
      <c r="D90" s="8" t="s">
        <v>238</v>
      </c>
      <c r="E90" s="26" t="s">
        <v>196</v>
      </c>
      <c r="F90" s="26"/>
      <c r="G90" s="39"/>
      <c r="H90" s="39"/>
      <c r="I90" s="8" t="s">
        <v>48</v>
      </c>
      <c r="J90" s="8" t="s">
        <v>48</v>
      </c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ht="39" x14ac:dyDescent="0.2">
      <c r="A91" s="52"/>
      <c r="L91" s="10" t="s">
        <v>345</v>
      </c>
      <c r="M91" s="10" t="s">
        <v>346</v>
      </c>
      <c r="N91" s="10" t="s">
        <v>345</v>
      </c>
      <c r="O91" s="10" t="s">
        <v>346</v>
      </c>
      <c r="P91" s="10" t="s">
        <v>345</v>
      </c>
      <c r="Q91" s="10" t="s">
        <v>346</v>
      </c>
      <c r="U91" s="40"/>
    </row>
    <row r="92" spans="1:21" s="10" customFormat="1" x14ac:dyDescent="0.2">
      <c r="A92" s="8">
        <v>20</v>
      </c>
      <c r="B92" s="29" t="s">
        <v>41</v>
      </c>
      <c r="C92" s="30"/>
      <c r="D92" s="41" t="s">
        <v>239</v>
      </c>
      <c r="E92" s="27" t="s">
        <v>240</v>
      </c>
      <c r="F92" s="42"/>
      <c r="G92" s="24"/>
      <c r="H92" s="26"/>
      <c r="I92" s="15"/>
      <c r="J92" s="15"/>
      <c r="K92" s="15"/>
      <c r="L92" s="27"/>
      <c r="M92" s="27"/>
      <c r="N92" s="27"/>
      <c r="O92" s="27"/>
      <c r="P92" s="27"/>
      <c r="Q92" s="27"/>
      <c r="R92" s="47"/>
      <c r="S92" s="48"/>
      <c r="T92" s="117"/>
      <c r="U92" s="118"/>
    </row>
    <row r="93" spans="1:21" s="10" customFormat="1" x14ac:dyDescent="0.2">
      <c r="A93" s="8">
        <v>20</v>
      </c>
      <c r="B93" s="8"/>
      <c r="C93" s="8"/>
      <c r="D93" s="8" t="s">
        <v>241</v>
      </c>
      <c r="E93" s="26" t="s">
        <v>242</v>
      </c>
      <c r="F93" s="26"/>
      <c r="G93" s="39" t="s">
        <v>419</v>
      </c>
      <c r="H93" s="39" t="s">
        <v>243</v>
      </c>
      <c r="I93" s="8" t="s">
        <v>244</v>
      </c>
      <c r="J93" s="8" t="s">
        <v>244</v>
      </c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20</v>
      </c>
      <c r="B94" s="8"/>
      <c r="C94" s="8"/>
      <c r="D94" s="8" t="s">
        <v>245</v>
      </c>
      <c r="E94" s="26" t="s">
        <v>246</v>
      </c>
      <c r="F94" s="26"/>
      <c r="G94" s="39" t="s">
        <v>420</v>
      </c>
      <c r="H94" s="39" t="s">
        <v>247</v>
      </c>
      <c r="I94" s="8" t="s">
        <v>244</v>
      </c>
      <c r="J94" s="8" t="s">
        <v>244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20</v>
      </c>
      <c r="B95" s="8"/>
      <c r="C95" s="8"/>
      <c r="D95" s="8" t="s">
        <v>248</v>
      </c>
      <c r="E95" s="26" t="s">
        <v>249</v>
      </c>
      <c r="F95" s="26"/>
      <c r="G95" s="39" t="s">
        <v>402</v>
      </c>
      <c r="H95" s="39" t="s">
        <v>197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20</v>
      </c>
      <c r="B96" s="8"/>
      <c r="C96" s="8"/>
      <c r="D96" s="8" t="s">
        <v>250</v>
      </c>
      <c r="E96" s="26" t="s">
        <v>242</v>
      </c>
      <c r="F96" s="26"/>
      <c r="G96" s="39" t="s">
        <v>407</v>
      </c>
      <c r="H96" s="39" t="s">
        <v>207</v>
      </c>
      <c r="I96" s="8" t="s">
        <v>48</v>
      </c>
      <c r="J96" s="8" t="s">
        <v>47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20</v>
      </c>
      <c r="B97" s="8"/>
      <c r="C97" s="8"/>
      <c r="D97" s="8" t="s">
        <v>251</v>
      </c>
      <c r="E97" s="26" t="s">
        <v>252</v>
      </c>
      <c r="F97" s="26"/>
      <c r="G97" s="39" t="s">
        <v>421</v>
      </c>
      <c r="H97" s="39" t="s">
        <v>253</v>
      </c>
      <c r="I97" s="8" t="s">
        <v>48</v>
      </c>
      <c r="J97" s="8" t="s">
        <v>48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20</v>
      </c>
      <c r="B98" s="8"/>
      <c r="C98" s="8"/>
      <c r="D98" s="8" t="s">
        <v>147</v>
      </c>
      <c r="E98" s="26" t="s">
        <v>148</v>
      </c>
      <c r="F98" s="26"/>
      <c r="G98" s="39" t="s">
        <v>422</v>
      </c>
      <c r="H98" s="39" t="s">
        <v>254</v>
      </c>
      <c r="I98" s="8" t="s">
        <v>48</v>
      </c>
      <c r="J98" s="8" t="s">
        <v>48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20</v>
      </c>
      <c r="B99" s="8"/>
      <c r="C99" s="8"/>
      <c r="D99" s="8" t="s">
        <v>150</v>
      </c>
      <c r="E99" s="26" t="s">
        <v>177</v>
      </c>
      <c r="F99" s="26"/>
      <c r="G99" s="39" t="s">
        <v>423</v>
      </c>
      <c r="H99" s="39" t="s">
        <v>255</v>
      </c>
      <c r="I99" s="8" t="s">
        <v>48</v>
      </c>
      <c r="J99" s="8" t="s">
        <v>48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20</v>
      </c>
      <c r="B100" s="8"/>
      <c r="C100" s="8"/>
      <c r="D100" s="8" t="s">
        <v>153</v>
      </c>
      <c r="E100" s="26" t="s">
        <v>256</v>
      </c>
      <c r="F100" s="26"/>
      <c r="G100" s="39" t="s">
        <v>424</v>
      </c>
      <c r="H100" s="39" t="s">
        <v>257</v>
      </c>
      <c r="I100" s="8" t="s">
        <v>48</v>
      </c>
      <c r="J100" s="8" t="s">
        <v>48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ht="26" x14ac:dyDescent="0.2">
      <c r="A101" s="8">
        <v>20</v>
      </c>
      <c r="B101" s="8"/>
      <c r="C101" s="8"/>
      <c r="D101" s="8" t="s">
        <v>258</v>
      </c>
      <c r="E101" s="26" t="s">
        <v>166</v>
      </c>
      <c r="F101" s="26"/>
      <c r="G101" s="39" t="s">
        <v>387</v>
      </c>
      <c r="H101" s="39" t="s">
        <v>161</v>
      </c>
      <c r="I101" s="8" t="s">
        <v>48</v>
      </c>
      <c r="J101" s="8" t="s">
        <v>48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ht="26" x14ac:dyDescent="0.2">
      <c r="A102" s="8">
        <v>20</v>
      </c>
      <c r="B102" s="8"/>
      <c r="C102" s="8"/>
      <c r="D102" s="8" t="s">
        <v>165</v>
      </c>
      <c r="E102" s="26" t="s">
        <v>189</v>
      </c>
      <c r="F102" s="26"/>
      <c r="G102" s="39" t="s">
        <v>389</v>
      </c>
      <c r="H102" s="39" t="s">
        <v>167</v>
      </c>
      <c r="I102" s="8" t="s">
        <v>48</v>
      </c>
      <c r="J102" s="8" t="s">
        <v>48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ht="26" x14ac:dyDescent="0.2">
      <c r="A103" s="8">
        <v>20</v>
      </c>
      <c r="B103" s="8"/>
      <c r="C103" s="8"/>
      <c r="D103" s="8" t="s">
        <v>170</v>
      </c>
      <c r="E103" s="26" t="s">
        <v>166</v>
      </c>
      <c r="F103" s="26"/>
      <c r="G103" s="39" t="s">
        <v>391</v>
      </c>
      <c r="H103" s="39" t="s">
        <v>171</v>
      </c>
      <c r="I103" s="8" t="s">
        <v>48</v>
      </c>
      <c r="J103" s="8" t="s">
        <v>48</v>
      </c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20</v>
      </c>
      <c r="B104" s="8"/>
      <c r="C104" s="8"/>
      <c r="D104" s="8" t="s">
        <v>259</v>
      </c>
      <c r="E104" s="26" t="s">
        <v>145</v>
      </c>
      <c r="F104" s="26"/>
      <c r="G104" s="39" t="s">
        <v>421</v>
      </c>
      <c r="H104" s="39" t="s">
        <v>253</v>
      </c>
      <c r="I104" s="8" t="s">
        <v>48</v>
      </c>
      <c r="J104" s="8" t="s">
        <v>48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20</v>
      </c>
      <c r="B105" s="8"/>
      <c r="C105" s="8"/>
      <c r="D105" s="8" t="s">
        <v>260</v>
      </c>
      <c r="E105" s="26" t="s">
        <v>261</v>
      </c>
      <c r="F105" s="26"/>
      <c r="G105" s="39" t="s">
        <v>422</v>
      </c>
      <c r="H105" s="39" t="s">
        <v>254</v>
      </c>
      <c r="I105" s="8" t="s">
        <v>48</v>
      </c>
      <c r="J105" s="8" t="s">
        <v>48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20</v>
      </c>
      <c r="B106" s="8"/>
      <c r="C106" s="8"/>
      <c r="D106" s="8" t="s">
        <v>176</v>
      </c>
      <c r="E106" s="26" t="s">
        <v>262</v>
      </c>
      <c r="F106" s="26"/>
      <c r="G106" s="39" t="s">
        <v>425</v>
      </c>
      <c r="H106" s="39" t="s">
        <v>263</v>
      </c>
      <c r="I106" s="8" t="s">
        <v>48</v>
      </c>
      <c r="J106" s="8" t="s">
        <v>48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20</v>
      </c>
      <c r="B107" s="8"/>
      <c r="C107" s="8"/>
      <c r="D107" s="8" t="s">
        <v>179</v>
      </c>
      <c r="E107" s="26" t="s">
        <v>256</v>
      </c>
      <c r="F107" s="26"/>
      <c r="G107" s="39" t="s">
        <v>426</v>
      </c>
      <c r="H107" s="39" t="s">
        <v>264</v>
      </c>
      <c r="I107" s="8" t="s">
        <v>48</v>
      </c>
      <c r="J107" s="8" t="s">
        <v>48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ht="26" x14ac:dyDescent="0.2">
      <c r="A108" s="8">
        <v>20</v>
      </c>
      <c r="B108" s="8"/>
      <c r="C108" s="8"/>
      <c r="D108" s="8" t="s">
        <v>265</v>
      </c>
      <c r="E108" s="26" t="s">
        <v>166</v>
      </c>
      <c r="F108" s="26"/>
      <c r="G108" s="39" t="s">
        <v>387</v>
      </c>
      <c r="H108" s="39" t="s">
        <v>161</v>
      </c>
      <c r="I108" s="8" t="s">
        <v>48</v>
      </c>
      <c r="J108" s="8" t="s">
        <v>48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ht="26" x14ac:dyDescent="0.2">
      <c r="A109" s="8">
        <v>20</v>
      </c>
      <c r="B109" s="8"/>
      <c r="C109" s="8"/>
      <c r="D109" s="8" t="s">
        <v>188</v>
      </c>
      <c r="E109" s="26" t="s">
        <v>160</v>
      </c>
      <c r="F109" s="26"/>
      <c r="G109" s="39" t="s">
        <v>389</v>
      </c>
      <c r="H109" s="39" t="s">
        <v>167</v>
      </c>
      <c r="I109" s="8" t="s">
        <v>48</v>
      </c>
      <c r="J109" s="8" t="s">
        <v>48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ht="26" x14ac:dyDescent="0.2">
      <c r="A110" s="8">
        <v>20</v>
      </c>
      <c r="B110" s="8"/>
      <c r="C110" s="8"/>
      <c r="D110" s="8" t="s">
        <v>193</v>
      </c>
      <c r="E110" s="26" t="s">
        <v>166</v>
      </c>
      <c r="F110" s="26"/>
      <c r="G110" s="39" t="s">
        <v>391</v>
      </c>
      <c r="H110" s="39" t="s">
        <v>171</v>
      </c>
      <c r="I110" s="8" t="s">
        <v>48</v>
      </c>
      <c r="J110" s="8" t="s">
        <v>48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20</v>
      </c>
      <c r="B111" s="8"/>
      <c r="C111" s="8"/>
      <c r="D111" s="8" t="s">
        <v>266</v>
      </c>
      <c r="E111" s="26" t="s">
        <v>252</v>
      </c>
      <c r="F111" s="26"/>
      <c r="G111" s="39" t="s">
        <v>421</v>
      </c>
      <c r="H111" s="39" t="s">
        <v>253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20</v>
      </c>
      <c r="B112" s="8"/>
      <c r="C112" s="8"/>
      <c r="D112" s="8" t="s">
        <v>267</v>
      </c>
      <c r="E112" s="26" t="s">
        <v>148</v>
      </c>
      <c r="F112" s="26"/>
      <c r="G112" s="39" t="s">
        <v>422</v>
      </c>
      <c r="H112" s="39" t="s">
        <v>254</v>
      </c>
      <c r="I112" s="8" t="s">
        <v>48</v>
      </c>
      <c r="J112" s="8" t="s">
        <v>47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20</v>
      </c>
      <c r="B113" s="8"/>
      <c r="C113" s="8"/>
      <c r="D113" s="8" t="s">
        <v>268</v>
      </c>
      <c r="E113" s="26" t="s">
        <v>177</v>
      </c>
      <c r="F113" s="26"/>
      <c r="G113" s="39" t="s">
        <v>423</v>
      </c>
      <c r="H113" s="39" t="s">
        <v>255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20</v>
      </c>
      <c r="B114" s="8"/>
      <c r="C114" s="8"/>
      <c r="D114" s="8" t="s">
        <v>269</v>
      </c>
      <c r="E114" s="26" t="s">
        <v>256</v>
      </c>
      <c r="F114" s="26"/>
      <c r="G114" s="39" t="s">
        <v>424</v>
      </c>
      <c r="H114" s="39" t="s">
        <v>257</v>
      </c>
      <c r="I114" s="8" t="s">
        <v>48</v>
      </c>
      <c r="J114" s="8" t="s">
        <v>47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20</v>
      </c>
      <c r="B115" s="8"/>
      <c r="C115" s="8"/>
      <c r="D115" s="8" t="s">
        <v>270</v>
      </c>
      <c r="E115" s="26" t="s">
        <v>145</v>
      </c>
      <c r="F115" s="26"/>
      <c r="G115" s="39" t="s">
        <v>427</v>
      </c>
      <c r="H115" s="39" t="s">
        <v>271</v>
      </c>
      <c r="I115" s="8" t="s">
        <v>48</v>
      </c>
      <c r="J115" s="8" t="s">
        <v>47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20</v>
      </c>
      <c r="B116" s="8"/>
      <c r="C116" s="8"/>
      <c r="D116" s="8" t="s">
        <v>272</v>
      </c>
      <c r="E116" s="26" t="s">
        <v>148</v>
      </c>
      <c r="F116" s="26"/>
      <c r="G116" s="39" t="s">
        <v>428</v>
      </c>
      <c r="H116" s="39" t="s">
        <v>273</v>
      </c>
      <c r="I116" s="8" t="s">
        <v>48</v>
      </c>
      <c r="J116" s="8" t="s">
        <v>47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20</v>
      </c>
      <c r="B117" s="8"/>
      <c r="C117" s="8"/>
      <c r="D117" s="8" t="s">
        <v>274</v>
      </c>
      <c r="E117" s="26" t="s">
        <v>177</v>
      </c>
      <c r="F117" s="26"/>
      <c r="G117" s="39" t="s">
        <v>425</v>
      </c>
      <c r="H117" s="39" t="s">
        <v>263</v>
      </c>
      <c r="I117" s="8" t="s">
        <v>48</v>
      </c>
      <c r="J117" s="8" t="s">
        <v>47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20</v>
      </c>
      <c r="B118" s="8"/>
      <c r="C118" s="8"/>
      <c r="D118" s="8" t="s">
        <v>275</v>
      </c>
      <c r="E118" s="26" t="s">
        <v>256</v>
      </c>
      <c r="F118" s="26"/>
      <c r="G118" s="39" t="s">
        <v>426</v>
      </c>
      <c r="H118" s="39" t="s">
        <v>264</v>
      </c>
      <c r="I118" s="8" t="s">
        <v>48</v>
      </c>
      <c r="J118" s="8" t="s">
        <v>47</v>
      </c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276</v>
      </c>
      <c r="E119" s="26" t="s">
        <v>277</v>
      </c>
      <c r="F119" s="26"/>
      <c r="G119" s="39" t="s">
        <v>354</v>
      </c>
      <c r="H119" s="39" t="s">
        <v>62</v>
      </c>
      <c r="I119" s="8" t="s">
        <v>48</v>
      </c>
      <c r="J119" s="8" t="s">
        <v>47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20</v>
      </c>
      <c r="B120" s="8"/>
      <c r="C120" s="8"/>
      <c r="D120" s="8" t="s">
        <v>278</v>
      </c>
      <c r="E120" s="26" t="s">
        <v>279</v>
      </c>
      <c r="F120" s="26"/>
      <c r="G120" s="39" t="s">
        <v>355</v>
      </c>
      <c r="H120" s="39" t="s">
        <v>65</v>
      </c>
      <c r="I120" s="8" t="s">
        <v>48</v>
      </c>
      <c r="J120" s="8" t="s">
        <v>47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20</v>
      </c>
      <c r="B121" s="8"/>
      <c r="C121" s="8"/>
      <c r="D121" s="8" t="s">
        <v>66</v>
      </c>
      <c r="E121" s="26" t="s">
        <v>280</v>
      </c>
      <c r="F121" s="26"/>
      <c r="G121" s="39" t="s">
        <v>356</v>
      </c>
      <c r="H121" s="39" t="s">
        <v>68</v>
      </c>
      <c r="I121" s="8" t="s">
        <v>48</v>
      </c>
      <c r="J121" s="8" t="s">
        <v>47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20</v>
      </c>
      <c r="B122" s="8"/>
      <c r="C122" s="8"/>
      <c r="D122" s="8" t="s">
        <v>69</v>
      </c>
      <c r="E122" s="26" t="s">
        <v>281</v>
      </c>
      <c r="F122" s="26"/>
      <c r="G122" s="39" t="s">
        <v>357</v>
      </c>
      <c r="H122" s="39" t="s">
        <v>71</v>
      </c>
      <c r="I122" s="8" t="s">
        <v>48</v>
      </c>
      <c r="J122" s="8" t="s">
        <v>47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72</v>
      </c>
      <c r="E123" s="26" t="s">
        <v>282</v>
      </c>
      <c r="F123" s="26"/>
      <c r="G123" s="39" t="s">
        <v>358</v>
      </c>
      <c r="H123" s="39" t="s">
        <v>74</v>
      </c>
      <c r="I123" s="8" t="s">
        <v>48</v>
      </c>
      <c r="J123" s="8" t="s">
        <v>47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283</v>
      </c>
      <c r="E124" s="26" t="s">
        <v>284</v>
      </c>
      <c r="F124" s="26"/>
      <c r="G124" s="39" t="s">
        <v>359</v>
      </c>
      <c r="H124" s="39" t="s">
        <v>77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20</v>
      </c>
      <c r="B125" s="8"/>
      <c r="C125" s="8"/>
      <c r="D125" s="8" t="s">
        <v>78</v>
      </c>
      <c r="E125" s="26" t="s">
        <v>285</v>
      </c>
      <c r="F125" s="26"/>
      <c r="G125" s="39" t="s">
        <v>360</v>
      </c>
      <c r="H125" s="39" t="s">
        <v>80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286</v>
      </c>
      <c r="E126" s="26" t="s">
        <v>82</v>
      </c>
      <c r="F126" s="26"/>
      <c r="G126" s="39" t="s">
        <v>361</v>
      </c>
      <c r="H126" s="39" t="s">
        <v>83</v>
      </c>
      <c r="I126" s="8" t="s">
        <v>48</v>
      </c>
      <c r="J126" s="8" t="s">
        <v>47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287</v>
      </c>
      <c r="E127" s="26" t="s">
        <v>288</v>
      </c>
      <c r="F127" s="26"/>
      <c r="G127" s="39" t="s">
        <v>362</v>
      </c>
      <c r="H127" s="39" t="s">
        <v>86</v>
      </c>
      <c r="I127" s="8" t="s">
        <v>48</v>
      </c>
      <c r="J127" s="8" t="s">
        <v>47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20</v>
      </c>
      <c r="B128" s="8"/>
      <c r="C128" s="8"/>
      <c r="D128" s="8" t="s">
        <v>289</v>
      </c>
      <c r="E128" s="26" t="s">
        <v>88</v>
      </c>
      <c r="F128" s="26"/>
      <c r="G128" s="39" t="s">
        <v>363</v>
      </c>
      <c r="H128" s="39" t="s">
        <v>89</v>
      </c>
      <c r="I128" s="8" t="s">
        <v>48</v>
      </c>
      <c r="J128" s="8" t="s">
        <v>47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20</v>
      </c>
      <c r="B129" s="8"/>
      <c r="C129" s="8"/>
      <c r="D129" s="8" t="s">
        <v>290</v>
      </c>
      <c r="E129" s="26" t="s">
        <v>91</v>
      </c>
      <c r="F129" s="26"/>
      <c r="G129" s="39" t="s">
        <v>364</v>
      </c>
      <c r="H129" s="39" t="s">
        <v>92</v>
      </c>
      <c r="I129" s="8" t="s">
        <v>48</v>
      </c>
      <c r="J129" s="8" t="s">
        <v>47</v>
      </c>
      <c r="K129" s="8" t="s">
        <v>291</v>
      </c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20</v>
      </c>
      <c r="B130" s="8"/>
      <c r="C130" s="8"/>
      <c r="D130" s="8" t="s">
        <v>292</v>
      </c>
      <c r="E130" s="26" t="s">
        <v>293</v>
      </c>
      <c r="F130" s="26"/>
      <c r="G130" s="39" t="s">
        <v>429</v>
      </c>
      <c r="H130" s="39" t="s">
        <v>294</v>
      </c>
      <c r="I130" s="8" t="s">
        <v>48</v>
      </c>
      <c r="J130" s="8" t="s">
        <v>47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295</v>
      </c>
      <c r="E131" s="26" t="s">
        <v>94</v>
      </c>
      <c r="F131" s="26"/>
      <c r="G131" s="39" t="s">
        <v>365</v>
      </c>
      <c r="H131" s="39" t="s">
        <v>95</v>
      </c>
      <c r="I131" s="8" t="s">
        <v>48</v>
      </c>
      <c r="J131" s="8" t="s">
        <v>47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296</v>
      </c>
      <c r="E132" s="26" t="s">
        <v>97</v>
      </c>
      <c r="F132" s="26"/>
      <c r="G132" s="39" t="s">
        <v>366</v>
      </c>
      <c r="H132" s="39" t="s">
        <v>98</v>
      </c>
      <c r="I132" s="8" t="s">
        <v>48</v>
      </c>
      <c r="J132" s="8" t="s">
        <v>47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99</v>
      </c>
      <c r="E133" s="26" t="s">
        <v>297</v>
      </c>
      <c r="F133" s="26"/>
      <c r="G133" s="39" t="s">
        <v>367</v>
      </c>
      <c r="H133" s="39" t="s">
        <v>101</v>
      </c>
      <c r="I133" s="8" t="s">
        <v>48</v>
      </c>
      <c r="J133" s="8" t="s">
        <v>47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298</v>
      </c>
      <c r="E134" s="26" t="s">
        <v>299</v>
      </c>
      <c r="F134" s="26"/>
      <c r="G134" s="39" t="s">
        <v>368</v>
      </c>
      <c r="H134" s="39" t="s">
        <v>300</v>
      </c>
      <c r="I134" s="8" t="s">
        <v>48</v>
      </c>
      <c r="J134" s="8" t="s">
        <v>47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ht="18" x14ac:dyDescent="0.2">
      <c r="A135" s="8">
        <v>20</v>
      </c>
      <c r="B135" s="8"/>
      <c r="C135" s="8"/>
      <c r="D135" s="8" t="s">
        <v>301</v>
      </c>
      <c r="E135" s="26" t="s">
        <v>106</v>
      </c>
      <c r="F135" s="26"/>
      <c r="G135" s="39" t="s">
        <v>369</v>
      </c>
      <c r="H135" s="39" t="s">
        <v>302</v>
      </c>
      <c r="I135" s="8" t="s">
        <v>48</v>
      </c>
      <c r="J135" s="8" t="s">
        <v>47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ht="18" x14ac:dyDescent="0.2">
      <c r="A136" s="8">
        <v>20</v>
      </c>
      <c r="B136" s="8"/>
      <c r="C136" s="8"/>
      <c r="D136" s="8" t="s">
        <v>303</v>
      </c>
      <c r="E136" s="26" t="s">
        <v>109</v>
      </c>
      <c r="F136" s="26"/>
      <c r="G136" s="39" t="s">
        <v>370</v>
      </c>
      <c r="H136" s="39" t="s">
        <v>304</v>
      </c>
      <c r="I136" s="8" t="s">
        <v>48</v>
      </c>
      <c r="J136" s="8" t="s">
        <v>47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20</v>
      </c>
      <c r="B137" s="8"/>
      <c r="C137" s="8"/>
      <c r="D137" s="8" t="s">
        <v>111</v>
      </c>
      <c r="E137" s="26" t="s">
        <v>305</v>
      </c>
      <c r="F137" s="26"/>
      <c r="G137" s="39" t="s">
        <v>371</v>
      </c>
      <c r="H137" s="39" t="s">
        <v>113</v>
      </c>
      <c r="I137" s="8" t="s">
        <v>48</v>
      </c>
      <c r="J137" s="8" t="s">
        <v>47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20</v>
      </c>
      <c r="B138" s="8"/>
      <c r="C138" s="8"/>
      <c r="D138" s="8" t="s">
        <v>114</v>
      </c>
      <c r="E138" s="26" t="s">
        <v>115</v>
      </c>
      <c r="F138" s="26"/>
      <c r="G138" s="39" t="s">
        <v>372</v>
      </c>
      <c r="H138" s="39" t="s">
        <v>116</v>
      </c>
      <c r="I138" s="8" t="s">
        <v>48</v>
      </c>
      <c r="J138" s="8" t="s">
        <v>47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20</v>
      </c>
      <c r="B139" s="8"/>
      <c r="C139" s="8"/>
      <c r="D139" s="8" t="s">
        <v>117</v>
      </c>
      <c r="E139" s="26" t="s">
        <v>118</v>
      </c>
      <c r="F139" s="26"/>
      <c r="G139" s="39" t="s">
        <v>373</v>
      </c>
      <c r="H139" s="39" t="s">
        <v>119</v>
      </c>
      <c r="I139" s="8" t="s">
        <v>48</v>
      </c>
      <c r="J139" s="8" t="s">
        <v>47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20</v>
      </c>
      <c r="B140" s="8"/>
      <c r="C140" s="8"/>
      <c r="D140" s="8" t="s">
        <v>306</v>
      </c>
      <c r="E140" s="26" t="s">
        <v>307</v>
      </c>
      <c r="F140" s="26"/>
      <c r="G140" s="39" t="s">
        <v>374</v>
      </c>
      <c r="H140" s="39" t="s">
        <v>308</v>
      </c>
      <c r="I140" s="8" t="s">
        <v>48</v>
      </c>
      <c r="J140" s="8" t="s">
        <v>47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20</v>
      </c>
      <c r="B141" s="8"/>
      <c r="C141" s="8"/>
      <c r="D141" s="8" t="s">
        <v>123</v>
      </c>
      <c r="E141" s="26" t="s">
        <v>309</v>
      </c>
      <c r="F141" s="26"/>
      <c r="G141" s="39" t="s">
        <v>375</v>
      </c>
      <c r="H141" s="39" t="s">
        <v>310</v>
      </c>
      <c r="I141" s="8" t="s">
        <v>48</v>
      </c>
      <c r="J141" s="8" t="s">
        <v>47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20</v>
      </c>
      <c r="B142" s="8"/>
      <c r="C142" s="8"/>
      <c r="D142" s="8" t="s">
        <v>126</v>
      </c>
      <c r="E142" s="26" t="s">
        <v>311</v>
      </c>
      <c r="F142" s="26"/>
      <c r="G142" s="39" t="s">
        <v>376</v>
      </c>
      <c r="H142" s="39" t="s">
        <v>312</v>
      </c>
      <c r="I142" s="8" t="s">
        <v>48</v>
      </c>
      <c r="J142" s="8" t="s">
        <v>47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20</v>
      </c>
      <c r="B143" s="8"/>
      <c r="C143" s="8"/>
      <c r="D143" s="8" t="s">
        <v>129</v>
      </c>
      <c r="E143" s="26" t="s">
        <v>313</v>
      </c>
      <c r="F143" s="26"/>
      <c r="G143" s="39" t="s">
        <v>377</v>
      </c>
      <c r="H143" s="39" t="s">
        <v>314</v>
      </c>
      <c r="I143" s="8" t="s">
        <v>48</v>
      </c>
      <c r="J143" s="8" t="s">
        <v>47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20</v>
      </c>
      <c r="B144" s="8"/>
      <c r="C144" s="8"/>
      <c r="D144" s="8" t="s">
        <v>132</v>
      </c>
      <c r="E144" s="26" t="s">
        <v>133</v>
      </c>
      <c r="F144" s="26"/>
      <c r="G144" s="39" t="s">
        <v>378</v>
      </c>
      <c r="H144" s="39" t="s">
        <v>134</v>
      </c>
      <c r="I144" s="8" t="s">
        <v>48</v>
      </c>
      <c r="J144" s="8" t="s">
        <v>47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20</v>
      </c>
      <c r="B145" s="8"/>
      <c r="C145" s="8"/>
      <c r="D145" s="8" t="s">
        <v>135</v>
      </c>
      <c r="E145" s="26" t="s">
        <v>315</v>
      </c>
      <c r="F145" s="26"/>
      <c r="G145" s="39" t="s">
        <v>379</v>
      </c>
      <c r="H145" s="39" t="s">
        <v>137</v>
      </c>
      <c r="I145" s="8" t="s">
        <v>48</v>
      </c>
      <c r="J145" s="8" t="s">
        <v>47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20</v>
      </c>
      <c r="B146" s="8"/>
      <c r="C146" s="8"/>
      <c r="D146" s="8" t="s">
        <v>138</v>
      </c>
      <c r="E146" s="26" t="s">
        <v>316</v>
      </c>
      <c r="F146" s="26"/>
      <c r="G146" s="39" t="s">
        <v>380</v>
      </c>
      <c r="H146" s="39" t="s">
        <v>140</v>
      </c>
      <c r="I146" s="8" t="s">
        <v>48</v>
      </c>
      <c r="J146" s="8" t="s">
        <v>47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20</v>
      </c>
      <c r="B147" s="8"/>
      <c r="C147" s="8"/>
      <c r="D147" s="8" t="s">
        <v>141</v>
      </c>
      <c r="E147" s="26" t="s">
        <v>317</v>
      </c>
      <c r="F147" s="26"/>
      <c r="G147" s="39" t="s">
        <v>381</v>
      </c>
      <c r="H147" s="39" t="s">
        <v>143</v>
      </c>
      <c r="I147" s="8" t="s">
        <v>48</v>
      </c>
      <c r="J147" s="8" t="s">
        <v>47</v>
      </c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8">
        <v>20</v>
      </c>
      <c r="B148" s="8"/>
      <c r="C148" s="8"/>
      <c r="D148" s="8" t="s">
        <v>318</v>
      </c>
      <c r="E148" s="26" t="s">
        <v>319</v>
      </c>
      <c r="F148" s="26"/>
      <c r="G148" s="39" t="s">
        <v>430</v>
      </c>
      <c r="H148" s="39" t="s">
        <v>320</v>
      </c>
      <c r="I148" s="8" t="s">
        <v>48</v>
      </c>
      <c r="J148" s="8" t="s">
        <v>47</v>
      </c>
      <c r="K148" s="8"/>
      <c r="L148" s="8"/>
      <c r="M148" s="8"/>
      <c r="N148" s="8"/>
      <c r="O148" s="8"/>
      <c r="P148" s="8"/>
      <c r="Q148" s="8"/>
      <c r="R148" s="115"/>
      <c r="S148" s="116"/>
      <c r="T148" s="117"/>
      <c r="U148" s="118"/>
    </row>
    <row r="149" spans="1:21" s="10" customFormat="1" x14ac:dyDescent="0.2">
      <c r="A149" s="8">
        <v>20</v>
      </c>
      <c r="B149" s="8"/>
      <c r="C149" s="8"/>
      <c r="D149" s="8" t="s">
        <v>321</v>
      </c>
      <c r="E149" s="26" t="s">
        <v>322</v>
      </c>
      <c r="F149" s="26"/>
      <c r="G149" s="39"/>
      <c r="H149" s="39"/>
      <c r="I149" s="8" t="s">
        <v>48</v>
      </c>
      <c r="J149" s="8" t="s">
        <v>47</v>
      </c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20</v>
      </c>
      <c r="B150" s="8"/>
      <c r="C150" s="8"/>
      <c r="D150" s="8" t="s">
        <v>323</v>
      </c>
      <c r="E150" s="26" t="s">
        <v>277</v>
      </c>
      <c r="F150" s="26"/>
      <c r="G150" s="39" t="s">
        <v>354</v>
      </c>
      <c r="H150" s="39" t="s">
        <v>62</v>
      </c>
      <c r="I150" s="8" t="s">
        <v>48</v>
      </c>
      <c r="J150" s="8" t="s">
        <v>48</v>
      </c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20</v>
      </c>
      <c r="B151" s="8"/>
      <c r="C151" s="8"/>
      <c r="D151" s="8" t="s">
        <v>324</v>
      </c>
      <c r="E151" s="26" t="s">
        <v>279</v>
      </c>
      <c r="F151" s="26"/>
      <c r="G151" s="39" t="s">
        <v>355</v>
      </c>
      <c r="H151" s="39" t="s">
        <v>65</v>
      </c>
      <c r="I151" s="8" t="s">
        <v>48</v>
      </c>
      <c r="J151" s="8" t="s">
        <v>48</v>
      </c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ht="39" x14ac:dyDescent="0.2">
      <c r="A152" s="52"/>
      <c r="L152" s="10" t="s">
        <v>345</v>
      </c>
      <c r="M152" s="10" t="s">
        <v>346</v>
      </c>
      <c r="N152" s="10" t="s">
        <v>345</v>
      </c>
      <c r="O152" s="10" t="s">
        <v>346</v>
      </c>
      <c r="P152" s="10" t="s">
        <v>345</v>
      </c>
      <c r="Q152" s="10" t="s">
        <v>346</v>
      </c>
      <c r="U152" s="40"/>
    </row>
    <row r="153" spans="1:21" s="10" customFormat="1" x14ac:dyDescent="0.2">
      <c r="A153" s="8">
        <v>30</v>
      </c>
      <c r="B153" s="29" t="s">
        <v>41</v>
      </c>
      <c r="C153" s="30"/>
      <c r="D153" s="41" t="s">
        <v>325</v>
      </c>
      <c r="E153" s="27" t="s">
        <v>326</v>
      </c>
      <c r="F153" s="42"/>
      <c r="G153" s="24"/>
      <c r="H153" s="26"/>
      <c r="I153" s="15"/>
      <c r="J153" s="15"/>
      <c r="K153" s="15"/>
      <c r="L153" s="27"/>
      <c r="M153" s="27"/>
      <c r="N153" s="27"/>
      <c r="O153" s="27"/>
      <c r="P153" s="27"/>
      <c r="Q153" s="27"/>
      <c r="R153" s="47"/>
      <c r="S153" s="48"/>
      <c r="T153" s="117"/>
      <c r="U153" s="118"/>
    </row>
    <row r="154" spans="1:21" s="10" customFormat="1" x14ac:dyDescent="0.2">
      <c r="A154" s="8">
        <v>30</v>
      </c>
      <c r="B154" s="8"/>
      <c r="C154" s="8"/>
      <c r="D154" s="8" t="s">
        <v>323</v>
      </c>
      <c r="E154" s="26" t="s">
        <v>61</v>
      </c>
      <c r="F154" s="26"/>
      <c r="G154" s="39" t="s">
        <v>354</v>
      </c>
      <c r="H154" s="39" t="s">
        <v>62</v>
      </c>
      <c r="I154" s="8" t="s">
        <v>48</v>
      </c>
      <c r="J154" s="8" t="s">
        <v>47</v>
      </c>
      <c r="K154" s="8"/>
      <c r="L154" s="8"/>
      <c r="M154" s="8"/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x14ac:dyDescent="0.2">
      <c r="A155" s="8">
        <v>30</v>
      </c>
      <c r="B155" s="8"/>
      <c r="C155" s="8"/>
      <c r="D155" s="8" t="s">
        <v>324</v>
      </c>
      <c r="E155" s="26" t="s">
        <v>64</v>
      </c>
      <c r="F155" s="26"/>
      <c r="G155" s="39" t="s">
        <v>355</v>
      </c>
      <c r="H155" s="39" t="s">
        <v>65</v>
      </c>
      <c r="I155" s="8" t="s">
        <v>48</v>
      </c>
      <c r="J155" s="8" t="s">
        <v>47</v>
      </c>
      <c r="K155" s="8"/>
      <c r="L155" s="8"/>
      <c r="M155" s="8"/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x14ac:dyDescent="0.2">
      <c r="A156" s="22"/>
      <c r="B156" s="23"/>
      <c r="C156" s="23"/>
      <c r="D156" s="16" t="s">
        <v>16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8"/>
    </row>
    <row r="157" spans="1:21" s="10" customFormat="1" x14ac:dyDescent="0.2">
      <c r="A157" s="52"/>
      <c r="U157" s="40"/>
    </row>
    <row r="158" spans="1:21" s="10" customFormat="1" x14ac:dyDescent="0.2">
      <c r="A158" s="52"/>
      <c r="U158" s="40"/>
    </row>
    <row r="159" spans="1:21" s="10" customFormat="1" x14ac:dyDescent="0.2">
      <c r="A159" s="52"/>
      <c r="U159" s="40"/>
    </row>
    <row r="160" spans="1:21" s="10" customFormat="1" x14ac:dyDescent="0.2">
      <c r="A160" s="52"/>
      <c r="U160" s="40"/>
    </row>
    <row r="161" spans="1:21" s="10" customFormat="1" x14ac:dyDescent="0.2">
      <c r="A161" s="52"/>
      <c r="U161" s="40"/>
    </row>
    <row r="162" spans="1:21" s="10" customFormat="1" x14ac:dyDescent="0.2">
      <c r="A162" s="52"/>
      <c r="U162" s="40"/>
    </row>
    <row r="163" spans="1:21" s="10" customFormat="1" x14ac:dyDescent="0.2">
      <c r="A163" s="52"/>
      <c r="U163" s="40"/>
    </row>
    <row r="164" spans="1:21" s="10" customFormat="1" x14ac:dyDescent="0.2">
      <c r="A164" s="5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43"/>
    </row>
  </sheetData>
  <mergeCells count="286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T92:U92"/>
    <mergeCell ref="R93:S93"/>
    <mergeCell ref="T93:U93"/>
    <mergeCell ref="R94:S94"/>
    <mergeCell ref="T94:U94"/>
    <mergeCell ref="R95:S95"/>
    <mergeCell ref="T95:U95"/>
    <mergeCell ref="R88:S88"/>
    <mergeCell ref="T88:U88"/>
    <mergeCell ref="R89:S89"/>
    <mergeCell ref="T89:U89"/>
    <mergeCell ref="R90:S90"/>
    <mergeCell ref="T90:U90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55:S155"/>
    <mergeCell ref="T155:U155"/>
    <mergeCell ref="R150:S150"/>
    <mergeCell ref="T150:U150"/>
    <mergeCell ref="R151:S151"/>
    <mergeCell ref="T151:U151"/>
    <mergeCell ref="T153:U153"/>
    <mergeCell ref="R154:S154"/>
    <mergeCell ref="T154:U1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94" t="s">
        <v>327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328</v>
      </c>
      <c r="B3" s="98"/>
      <c r="C3" s="98"/>
      <c r="D3" s="98"/>
      <c r="E3" s="98"/>
      <c r="F3" s="98"/>
      <c r="G3" s="99"/>
      <c r="H3" s="100" t="s">
        <v>329</v>
      </c>
      <c r="I3" s="98"/>
      <c r="J3" s="98"/>
      <c r="K3" s="98"/>
      <c r="L3" s="98"/>
      <c r="M3" s="98"/>
      <c r="N3" s="99"/>
      <c r="O3" s="100" t="s">
        <v>330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331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332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431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432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2026-03-27T05:50:58Z</dcterms:modified>
  <cp:category/>
</cp:coreProperties>
</file>