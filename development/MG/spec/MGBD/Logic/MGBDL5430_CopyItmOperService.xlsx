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3AAB8AE3-EC59-4946-BB46-2C3AD0B170D1}" xr6:coauthVersionLast="47" xr6:coauthVersionMax="47" xr10:uidLastSave="{00000000-0000-0000-0000-000000000000}"/>
  <bookViews>
    <workbookView xWindow="1710" yWindow="1710" windowWidth="21600" windowHeight="11265" firstSheet="1" activeTab="4" xr2:uid="{00000000-000D-0000-FFFF-FFFF00000000}"/>
  </bookViews>
  <sheets>
    <sheet name="LogicCommon" sheetId="1" r:id="rId1"/>
    <sheet name="CopyItmOper_Ins01" sheetId="2" r:id="rId2"/>
    <sheet name="CopyItmOper_Upd01" sheetId="3" r:id="rId3"/>
    <sheet name="CopyItmOper_Upd02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<sst xmlns="http://schemas.openxmlformats.org/spreadsheetml/2006/main" count="354" uniqueCount="136">
  <si>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</si>
  <si>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</si>
  <si>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</si>
  <si>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</si>
  <si>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MGBDL5430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</si>
  <si>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</si>
  <si>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</si>
  <si>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</si>
  <si>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</si>
  <si>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</si>
  <si>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MGBDL_CopyItmOperService</t>
    <phoneticPr fontId="3"/>
  </si>
  <si>
    <t>SuperClassPj.ID :</t>
    <phoneticPr fontId="4"/>
  </si>
  <si>
    <t>LogicName :</t>
    <phoneticPr fontId="4"/>
  </si>
  <si>
    <t>原価品目連携サービス（品目工程）</t>
    <rPh sb="0" eb="2">
      <t>ゲンカ</t>
    </rPh>
    <rPh sb="2" eb="4">
      <t>ヒンモク</t>
    </rPh>
    <rPh sb="4" eb="6">
      <t>レンケイ</t>
    </rPh>
    <rPh sb="11" eb="13">
      <t>ヒンモク</t>
    </rPh>
    <rPh sb="13" eb="15">
      <t>コウテイ</t>
    </rPh>
    <phoneticPr fontId="5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</si>
  <si>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</si>
  <si>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</si>
  <si>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</si>
  <si>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</si>
  <si>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</si>
  <si>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</si>
  <si>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CopyItmOper_Ins01</t>
    <phoneticPr fontId="3"/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</si>
  <si>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</si>
  <si>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</si>
  <si>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</si>
  <si>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</si>
  <si>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</si>
  <si>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</si>
  <si>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</si>
  <si>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</si>
  <si>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取込対象作成</t>
    <phoneticPr fontId="3"/>
  </si>
  <si>
    <t>ImplOpe.ID:</t>
    <phoneticPr fontId="4"/>
  </si>
  <si>
    <t>ACType :</t>
    <phoneticPr fontId="4"/>
  </si>
  <si>
    <t>原価品目工程取込対象を作成します。</t>
    <rPh sb="0" eb="2">
      <t>ゲンカ</t>
    </rPh>
    <rPh sb="2" eb="4">
      <t>ヒンモク</t>
    </rPh>
    <rPh sb="4" eb="6">
      <t>コウテイ</t>
    </rPh>
    <rPh sb="6" eb="8">
      <t>トリコミ</t>
    </rPh>
    <rPh sb="8" eb="10">
      <t>タイショウ</t>
    </rPh>
    <rPh sb="11" eb="13">
      <t>サクセイ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</si>
  <si>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</si>
  <si>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</si>
  <si>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</si>
  <si>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</si>
  <si>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</si>
  <si>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</si>
  <si>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TargetName</t>
    <phoneticPr fontId="4"/>
  </si>
  <si>
    <t>#</t>
    <phoneticPr fontId="4"/>
  </si>
  <si>
    <t>*</t>
    <phoneticPr fontId="3"/>
  </si>
  <si>
    <t>CopyItmOper_Ins01_Cnd</t>
    <phoneticPr fontId="3"/>
  </si>
  <si>
    <t>R</t>
    <phoneticPr fontId="3"/>
  </si>
  <si>
    <t>calc_ctg_cd</t>
    <phoneticPr fontId="4"/>
  </si>
  <si>
    <t>#MA.CALC_CTG_CD</t>
    <phoneticPr fontId="3"/>
  </si>
  <si>
    <t>計算カテゴリＣＤ</t>
    <phoneticPr fontId="3"/>
  </si>
  <si>
    <t>E</t>
    <phoneticPr fontId="4"/>
  </si>
  <si>
    <t>-</t>
    <phoneticPr fontId="3"/>
  </si>
  <si>
    <t>wg_cd</t>
    <phoneticPr fontId="4"/>
  </si>
  <si>
    <t>#MA.WG_CD</t>
  </si>
  <si>
    <t>ワーキンググループＣＤ</t>
    <phoneticPr fontId="4"/>
  </si>
  <si>
    <t>term</t>
    <phoneticPr fontId="4"/>
  </si>
  <si>
    <t>#MA.YM</t>
    <phoneticPr fontId="3"/>
  </si>
  <si>
    <t>期</t>
    <phoneticPr fontId="1"/>
  </si>
  <si>
    <t>lump_flg</t>
    <phoneticPr fontId="4"/>
  </si>
  <si>
    <t>#MA.FLG</t>
    <phoneticPr fontId="3"/>
  </si>
  <si>
    <t>取込処理も行う</t>
    <phoneticPr fontId="3"/>
  </si>
  <si>
    <t>imp_ope_typ</t>
    <phoneticPr fontId="4"/>
  </si>
  <si>
    <t>#MG.IMP_OPE_TYP</t>
    <phoneticPr fontId="3"/>
  </si>
  <si>
    <t>マスタ取込処理区分</t>
    <phoneticPr fontId="3"/>
  </si>
  <si>
    <t>CopyItmOper_Upd01</t>
    <phoneticPr fontId="3"/>
  </si>
  <si>
    <t>@</t>
    <phoneticPr fontId="3"/>
  </si>
  <si>
    <t>選択取込</t>
    <rPh sb="0" eb="2">
      <t>センタク</t>
    </rPh>
    <rPh sb="2" eb="3">
      <t>ト</t>
    </rPh>
    <rPh sb="3" eb="4">
      <t>コ</t>
    </rPh>
    <phoneticPr fontId="3"/>
  </si>
  <si>
    <t>原価品目工程取込対象から原価品目工程へ取り込みます。</t>
    <rPh sb="0" eb="2">
      <t>ゲンカ</t>
    </rPh>
    <rPh sb="2" eb="4">
      <t>ヒンモク</t>
    </rPh>
    <rPh sb="6" eb="8">
      <t>トリコミ</t>
    </rPh>
    <rPh sb="8" eb="10">
      <t>タイショウ</t>
    </rPh>
    <rPh sb="12" eb="14">
      <t>ゲンカ</t>
    </rPh>
    <rPh sb="14" eb="16">
      <t>ヒンモク</t>
    </rPh>
    <rPh sb="16" eb="18">
      <t>コウテイ</t>
    </rPh>
    <rPh sb="19" eb="20">
      <t>ト</t>
    </rPh>
    <rPh sb="21" eb="22">
      <t>コ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</si>
  <si>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</si>
  <si>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</si>
  <si>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</si>
  <si>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</si>
  <si>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*</t>
  </si>
  <si>
    <t>CopyItmOper_Upd01_Dtl</t>
    <phoneticPr fontId="3"/>
  </si>
  <si>
    <t>GL</t>
    <phoneticPr fontId="3"/>
  </si>
  <si>
    <t>$super$</t>
    <phoneticPr fontId="4"/>
  </si>
  <si>
    <t>DBC:MG.MGW_IMP_ITM_OPER</t>
    <phoneticPr fontId="4"/>
  </si>
  <si>
    <t>E</t>
    <phoneticPr fontId="3"/>
  </si>
  <si>
    <t>term</t>
    <phoneticPr fontId="4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</si>
  <si>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</si>
  <si>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</si>
  <si>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</si>
  <si>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</si>
  <si>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</si>
  <si>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</si>
  <si>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</si>
  <si>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</si>
  <si>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</si>
  <si>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</si>
  <si>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</si>
  <si>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</si>
  <si>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CopyItmOper_Upd02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</si>
  <si>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</si>
  <si>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原価品目工程取込対象から全て原価品目工程へ取り込みます。</t>
    <rPh sb="0" eb="2">
      <t>ゲンカ</t>
    </rPh>
    <rPh sb="2" eb="4">
      <t>ヒンモク</t>
    </rPh>
    <rPh sb="6" eb="8">
      <t>トリコミ</t>
    </rPh>
    <rPh sb="8" eb="10">
      <t>タイショウ</t>
    </rPh>
    <rPh sb="12" eb="13">
      <t>スベ</t>
    </rPh>
    <rPh sb="14" eb="16">
      <t>ゲンカ</t>
    </rPh>
    <rPh sb="16" eb="18">
      <t>ヒンモク</t>
    </rPh>
    <rPh sb="18" eb="20">
      <t>コウテイ</t>
    </rPh>
    <rPh sb="21" eb="22">
      <t>ト</t>
    </rPh>
    <rPh sb="23" eb="24">
      <t>コ</t>
    </rPh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</si>
  <si>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</si>
  <si>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</si>
  <si>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</si>
  <si>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</si>
  <si>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CopyItmOper_Upd02_Cnd</t>
    <phoneticPr fontId="3"/>
  </si>
  <si>
    <t>$share$</t>
    <phoneticPr fontId="4"/>
  </si>
  <si>
    <t>CopyItmOper_Ins01.CopyItmOper_Ins01_Cnd</t>
    <phoneticPr fontId="3"/>
  </si>
  <si>
    <t>#MA.FLG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</si>
  <si>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</si>
  <si>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</si>
  <si>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</si>
  <si>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</si>
  <si>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</si>
  <si>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</si>
  <si>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</si>
  <si>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</si>
  <si>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MG.MGUDL5010</t>
    <phoneticPr fontId="3"/>
  </si>
  <si>
    <t>"mcframe.serverMAUD.MAUDL5010.MAUDL_Operation"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</si>
  <si>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</si>
  <si>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</si>
  <si>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</si>
  <si>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</si>
  <si>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</si>
  <si>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</si>
  <si>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</si>
  <si>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</si>
  <si>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</si>
  <si>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</si>
  <si>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</si>
  <si>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</si>
  <si>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</si>
  <si>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</si>
  <si>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</si>
  <si>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</si>
  <si>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WG cd.</t>
  </si>
  <si>
    <t>Term</t>
  </si>
  <si>
    <t>Date</t>
  </si>
  <si>
    <t>Include import</t>
  </si>
  <si>
    <t>Master import processing type</t>
  </si>
  <si>
    <t>Item cd.</t>
  </si>
  <si>
    <t>Branch No. 1</t>
  </si>
  <si>
    <t>Branch No. 2</t>
  </si>
  <si>
    <t>Branch No.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</si>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</sst>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2" borderId="5" xfId="0" applyFont="1" applyFill="1" applyBorder="1" applyAlignment="1"/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/>
    <xf numFmtId="0" fontId="2" fillId="3" borderId="5" xfId="0" applyFont="1" applyFill="1" applyBorder="1" applyAlignment="1"/>
    <xf numFmtId="0" fontId="2" fillId="3" borderId="3" xfId="0" applyFont="1" applyFill="1" applyBorder="1">
      <alignment vertical="top" wrapText="1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0" borderId="7" xfId="0" applyFont="1" applyBorder="1" applyAlignment="1">
      <alignment vertical="center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8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110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MGBDL5430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MGBDL_CopyItmOperService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原価品目連携サービス（品目工程）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111</v>
      </c>
      <c r="E8" s="25" t="s">
        <v>112</v>
      </c>
      <c r="F8" s="62"/>
      <c r="G8" s="25" t="s">
        <v>38</v>
      </c>
      <c r="H8" s="25" t="s">
        <v>113</v>
      </c>
      <c r="I8" s="62"/>
      <c r="J8" s="3"/>
      <c r="K8" s="8"/>
      <c r="L8" s="25" t="s">
        <v>39</v>
      </c>
      <c r="M8" s="26"/>
      <c r="N8" s="25" t="s">
        <v>39</v>
      </c>
      <c r="O8" s="26"/>
      <c r="P8" s="25" t="s">
        <v>39</v>
      </c>
      <c r="Q8" s="26"/>
      <c r="R8" s="3"/>
      <c r="S8" s="21"/>
      <c r="T8" s="118" t="s">
        <v>114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115</v>
      </c>
      <c r="E9" s="66" t="s">
        <v>116</v>
      </c>
      <c r="F9" s="25" t="s">
        <v>117</v>
      </c>
      <c r="G9" s="25" t="s">
        <v>118</v>
      </c>
      <c r="H9" s="25" t="s">
        <v>119</v>
      </c>
      <c r="I9" s="67" t="s">
        <v>120</v>
      </c>
      <c r="J9" s="25" t="s">
        <v>121</v>
      </c>
      <c r="K9" s="63"/>
      <c r="L9" s="67"/>
      <c r="M9" s="25"/>
      <c r="N9" s="25"/>
      <c r="O9" s="25"/>
      <c r="P9" s="25"/>
      <c r="Q9" s="25"/>
      <c r="R9" s="118" t="s">
        <v>122</v>
      </c>
      <c r="S9" s="119"/>
      <c r="T9" s="118" t="s">
        <v>123</v>
      </c>
      <c r="U9" s="119"/>
    </row>
    <row r="10" spans="1:21" s="10" customFormat="1" ht="39" x14ac:dyDescent="0.2">
      <c r="A10" s="28" t="s">
        <v>40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120</v>
      </c>
      <c r="M10" s="25" t="s">
        <v>121</v>
      </c>
      <c r="N10" s="25" t="s">
        <v>120</v>
      </c>
      <c r="O10" s="25" t="s">
        <v>121</v>
      </c>
      <c r="P10" s="25" t="s">
        <v>120</v>
      </c>
      <c r="Q10" s="25" t="s">
        <v>121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41</v>
      </c>
      <c r="C11" s="29"/>
      <c r="D11" s="24" t="s">
        <v>42</v>
      </c>
      <c r="E11" s="27" t="s">
        <v>43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124</v>
      </c>
      <c r="H12" s="41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1" t="s">
        <v>125</v>
      </c>
      <c r="H13" s="41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41" t="s">
        <v>126</v>
      </c>
      <c r="H14" s="41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105</v>
      </c>
      <c r="E15" s="26" t="s">
        <v>106</v>
      </c>
      <c r="F15" s="26"/>
      <c r="G15" s="41" t="s">
        <v>127</v>
      </c>
      <c r="H15" s="41" t="s">
        <v>109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55</v>
      </c>
      <c r="E16" s="26" t="s">
        <v>56</v>
      </c>
      <c r="F16" s="26"/>
      <c r="G16" s="41" t="s">
        <v>128</v>
      </c>
      <c r="H16" s="41" t="s">
        <v>57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8">
        <v>10</v>
      </c>
      <c r="B17" s="8"/>
      <c r="C17" s="8"/>
      <c r="D17" s="8" t="s">
        <v>58</v>
      </c>
      <c r="E17" s="26" t="s">
        <v>59</v>
      </c>
      <c r="F17" s="26"/>
      <c r="G17" s="41" t="s">
        <v>129</v>
      </c>
      <c r="H17" s="41" t="s">
        <v>60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42"/>
      <c r="S17" s="43"/>
      <c r="T17" s="39"/>
      <c r="U17" s="40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9"/>
      <c r="S18" s="9"/>
      <c r="T18" s="9"/>
      <c r="U18" s="44"/>
    </row>
    <row r="19" spans="1:21" s="10" customFormat="1" x14ac:dyDescent="0.2">
      <c r="A19" s="54"/>
      <c r="U19" s="45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54"/>
      <c r="U30" s="45"/>
    </row>
    <row r="31" spans="1:21" s="10" customFormat="1" x14ac:dyDescent="0.2">
      <c r="A31" s="60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8.984375E-2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110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MGBDL5430</v>
      </c>
      <c r="I2" s="7" t="s">
        <v>19</v>
      </c>
      <c r="J2" s="8" t="s">
        <v>61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MGBDL_CopyItmOperService</v>
      </c>
      <c r="I3" s="7" t="s">
        <v>22</v>
      </c>
      <c r="J3" s="8" t="s">
        <v>62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原価品目連携サービス（品目工程）</v>
      </c>
      <c r="I4" s="7" t="s">
        <v>28</v>
      </c>
      <c r="J4" s="8" t="s">
        <v>63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64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65</v>
      </c>
      <c r="B7" s="23"/>
      <c r="C7" s="23"/>
      <c r="D7" s="6"/>
      <c r="E7" s="6"/>
      <c r="F7" s="6"/>
      <c r="G7" s="6"/>
      <c r="H7" s="6"/>
      <c r="I7" s="6" t="s">
        <v>66</v>
      </c>
      <c r="J7" s="6"/>
      <c r="K7" s="8" t="s">
        <v>67</v>
      </c>
      <c r="L7" s="25" t="s">
        <v>68</v>
      </c>
      <c r="M7" s="26"/>
      <c r="N7" s="25" t="s">
        <v>68</v>
      </c>
      <c r="O7" s="26"/>
      <c r="P7" s="25" t="s">
        <v>68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111</v>
      </c>
      <c r="E8" s="25" t="s">
        <v>112</v>
      </c>
      <c r="F8" s="62"/>
      <c r="G8" s="25" t="s">
        <v>38</v>
      </c>
      <c r="H8" s="25" t="s">
        <v>113</v>
      </c>
      <c r="I8" s="62"/>
      <c r="J8" s="3"/>
      <c r="K8" s="8"/>
      <c r="L8" s="25" t="s">
        <v>39</v>
      </c>
      <c r="M8" s="26"/>
      <c r="N8" s="25" t="s">
        <v>39</v>
      </c>
      <c r="O8" s="26"/>
      <c r="P8" s="25" t="s">
        <v>39</v>
      </c>
      <c r="Q8" s="26"/>
      <c r="R8" s="3"/>
      <c r="S8" s="21"/>
      <c r="T8" s="118" t="s">
        <v>114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115</v>
      </c>
      <c r="E9" s="66" t="s">
        <v>116</v>
      </c>
      <c r="F9" s="25" t="s">
        <v>117</v>
      </c>
      <c r="G9" s="25" t="s">
        <v>118</v>
      </c>
      <c r="H9" s="25" t="s">
        <v>119</v>
      </c>
      <c r="I9" s="67" t="s">
        <v>120</v>
      </c>
      <c r="J9" s="25" t="s">
        <v>121</v>
      </c>
      <c r="K9" s="63"/>
      <c r="L9" s="67"/>
      <c r="M9" s="25"/>
      <c r="N9" s="25"/>
      <c r="O9" s="25"/>
      <c r="P9" s="25"/>
      <c r="Q9" s="25"/>
      <c r="R9" s="118" t="s">
        <v>122</v>
      </c>
      <c r="S9" s="119"/>
      <c r="T9" s="118" t="s">
        <v>123</v>
      </c>
      <c r="U9" s="119"/>
    </row>
    <row r="10" spans="1:21" s="10" customFormat="1" ht="39" x14ac:dyDescent="0.2">
      <c r="A10" s="28" t="s">
        <v>40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120</v>
      </c>
      <c r="M10" s="25" t="s">
        <v>121</v>
      </c>
      <c r="N10" s="25" t="s">
        <v>120</v>
      </c>
      <c r="O10" s="25" t="s">
        <v>121</v>
      </c>
      <c r="P10" s="25" t="s">
        <v>120</v>
      </c>
      <c r="Q10" s="25" t="s">
        <v>121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69</v>
      </c>
      <c r="C11" s="29"/>
      <c r="D11" s="24" t="s">
        <v>70</v>
      </c>
      <c r="E11" s="27" t="s">
        <v>71</v>
      </c>
      <c r="F11" s="36"/>
      <c r="G11" s="24" t="s">
        <v>72</v>
      </c>
      <c r="H11" s="37" t="s">
        <v>73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124</v>
      </c>
      <c r="H12" s="41" t="s">
        <v>46</v>
      </c>
      <c r="I12" s="8" t="s">
        <v>74</v>
      </c>
      <c r="J12" s="8" t="s">
        <v>48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1" t="s">
        <v>125</v>
      </c>
      <c r="H13" s="41" t="s">
        <v>51</v>
      </c>
      <c r="I13" s="8" t="s">
        <v>74</v>
      </c>
      <c r="J13" s="8" t="s">
        <v>48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75</v>
      </c>
      <c r="E14" s="26" t="s">
        <v>53</v>
      </c>
      <c r="F14" s="26"/>
      <c r="G14" s="41" t="s">
        <v>126</v>
      </c>
      <c r="H14" s="41" t="s">
        <v>54</v>
      </c>
      <c r="I14" s="8" t="s">
        <v>74</v>
      </c>
      <c r="J14" s="8" t="s">
        <v>48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76</v>
      </c>
      <c r="E15" s="26" t="s">
        <v>77</v>
      </c>
      <c r="F15" s="26"/>
      <c r="G15" s="41" t="s">
        <v>130</v>
      </c>
      <c r="H15" s="41" t="s">
        <v>78</v>
      </c>
      <c r="I15" s="8" t="s">
        <v>74</v>
      </c>
      <c r="J15" s="8" t="s">
        <v>48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79</v>
      </c>
      <c r="E16" s="26" t="s">
        <v>80</v>
      </c>
      <c r="F16" s="26"/>
      <c r="G16" s="41" t="s">
        <v>131</v>
      </c>
      <c r="H16" s="41" t="s">
        <v>81</v>
      </c>
      <c r="I16" s="8" t="s">
        <v>74</v>
      </c>
      <c r="J16" s="8" t="s">
        <v>48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8">
        <v>10</v>
      </c>
      <c r="B17" s="8"/>
      <c r="C17" s="8"/>
      <c r="D17" s="8" t="s">
        <v>82</v>
      </c>
      <c r="E17" s="26" t="s">
        <v>83</v>
      </c>
      <c r="F17" s="26"/>
      <c r="G17" s="41" t="s">
        <v>132</v>
      </c>
      <c r="H17" s="41" t="s">
        <v>84</v>
      </c>
      <c r="I17" s="8" t="s">
        <v>74</v>
      </c>
      <c r="J17" s="8" t="s">
        <v>48</v>
      </c>
      <c r="K17" s="8"/>
      <c r="L17" s="8"/>
      <c r="M17" s="8"/>
      <c r="N17" s="8"/>
      <c r="O17" s="8"/>
      <c r="P17" s="8"/>
      <c r="Q17" s="8"/>
      <c r="R17" s="42"/>
      <c r="S17" s="43"/>
      <c r="T17" s="39"/>
      <c r="U17" s="40"/>
    </row>
    <row r="18" spans="1:21" s="10" customFormat="1" x14ac:dyDescent="0.2">
      <c r="A18" s="8">
        <v>10</v>
      </c>
      <c r="B18" s="8"/>
      <c r="C18" s="8"/>
      <c r="D18" s="8" t="s">
        <v>85</v>
      </c>
      <c r="E18" s="26" t="s">
        <v>86</v>
      </c>
      <c r="F18" s="26"/>
      <c r="G18" s="41" t="s">
        <v>133</v>
      </c>
      <c r="H18" s="41" t="s">
        <v>87</v>
      </c>
      <c r="I18" s="8" t="s">
        <v>74</v>
      </c>
      <c r="J18" s="8" t="s">
        <v>48</v>
      </c>
      <c r="K18" s="8"/>
      <c r="L18" s="8"/>
      <c r="M18" s="8"/>
      <c r="N18" s="8"/>
      <c r="O18" s="8"/>
      <c r="P18" s="8"/>
      <c r="Q18" s="8"/>
      <c r="R18" s="42"/>
      <c r="S18" s="43"/>
      <c r="T18" s="39"/>
      <c r="U18" s="40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4"/>
      <c r="K19" s="6"/>
      <c r="L19" s="6"/>
      <c r="M19" s="6"/>
      <c r="N19" s="6"/>
      <c r="O19" s="6"/>
      <c r="P19" s="6"/>
      <c r="Q19" s="6"/>
      <c r="R19" s="9"/>
      <c r="S19" s="9"/>
      <c r="T19" s="9"/>
      <c r="U19" s="47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54"/>
      <c r="U30" s="45"/>
    </row>
    <row r="31" spans="1:21" s="10" customFormat="1" x14ac:dyDescent="0.2">
      <c r="A31" s="54"/>
      <c r="U31" s="45"/>
    </row>
    <row r="32" spans="1:21" s="10" customFormat="1" x14ac:dyDescent="0.2">
      <c r="A32" s="60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8.984375E-2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110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MGBDL5430</v>
      </c>
      <c r="I2" s="7" t="s">
        <v>19</v>
      </c>
      <c r="J2" s="8" t="s">
        <v>88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108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MGBDL_CopyItmOperService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7" t="s">
        <v>27</v>
      </c>
      <c r="G4" s="7" t="s">
        <v>12</v>
      </c>
      <c r="H4" s="53" t="str">
        <f>IF(LogicCommon!E4="","",LogicCommon!E4)</f>
        <v>原価品目連携サービス（品目工程）</v>
      </c>
      <c r="I4" s="7" t="s">
        <v>28</v>
      </c>
      <c r="J4" s="8" t="s">
        <v>89</v>
      </c>
      <c r="K4" s="7" t="s">
        <v>14</v>
      </c>
      <c r="L4" s="53" t="str">
        <f>IF(LogicCommon!G4="","",LogicCommon!G4)</f>
        <v>MG.MGUDL5010</v>
      </c>
      <c r="M4" s="58" t="s">
        <v>30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17</v>
      </c>
      <c r="B5" s="52"/>
      <c r="C5" s="52"/>
      <c r="D5" s="21"/>
      <c r="E5" s="7" t="s">
        <v>31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90</v>
      </c>
      <c r="F6" s="12"/>
      <c r="G6" s="12"/>
      <c r="H6" s="12"/>
      <c r="I6" s="12"/>
      <c r="J6" s="12"/>
      <c r="K6" s="12"/>
      <c r="L6" s="62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91</v>
      </c>
      <c r="B7" s="23"/>
      <c r="C7" s="23"/>
      <c r="D7" s="6"/>
      <c r="E7" s="6"/>
      <c r="F7" s="6"/>
      <c r="G7" s="6"/>
      <c r="H7" s="6"/>
      <c r="I7" s="6" t="s">
        <v>92</v>
      </c>
      <c r="J7" s="6"/>
      <c r="K7" s="8" t="s">
        <v>93</v>
      </c>
      <c r="L7" s="25" t="s">
        <v>94</v>
      </c>
      <c r="M7" s="26"/>
      <c r="N7" s="25" t="s">
        <v>94</v>
      </c>
      <c r="O7" s="26"/>
      <c r="P7" s="25" t="s">
        <v>94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4"/>
      <c r="C8" s="65"/>
      <c r="D8" s="25" t="s">
        <v>111</v>
      </c>
      <c r="E8" s="25" t="s">
        <v>112</v>
      </c>
      <c r="F8" s="62"/>
      <c r="G8" s="25" t="s">
        <v>38</v>
      </c>
      <c r="H8" s="25" t="s">
        <v>113</v>
      </c>
      <c r="I8" s="62"/>
      <c r="J8" s="3"/>
      <c r="K8" s="8"/>
      <c r="L8" s="25" t="s">
        <v>39</v>
      </c>
      <c r="M8" s="26"/>
      <c r="N8" s="25" t="s">
        <v>39</v>
      </c>
      <c r="O8" s="26"/>
      <c r="P8" s="25" t="s">
        <v>39</v>
      </c>
      <c r="Q8" s="26"/>
      <c r="R8" s="3"/>
      <c r="S8" s="21"/>
      <c r="T8" s="118" t="s">
        <v>114</v>
      </c>
      <c r="U8" s="119"/>
    </row>
    <row r="9" spans="1:21" s="10" customFormat="1" ht="60" customHeight="1" x14ac:dyDescent="0.2">
      <c r="A9" s="8" t="s">
        <v>34</v>
      </c>
      <c r="B9" s="28"/>
      <c r="C9" s="29"/>
      <c r="D9" s="25" t="s">
        <v>115</v>
      </c>
      <c r="E9" s="66" t="s">
        <v>116</v>
      </c>
      <c r="F9" s="25" t="s">
        <v>117</v>
      </c>
      <c r="G9" s="25" t="s">
        <v>118</v>
      </c>
      <c r="H9" s="25" t="s">
        <v>119</v>
      </c>
      <c r="I9" s="67" t="s">
        <v>120</v>
      </c>
      <c r="J9" s="25" t="s">
        <v>121</v>
      </c>
      <c r="K9" s="63"/>
      <c r="L9" s="67"/>
      <c r="M9" s="25"/>
      <c r="N9" s="25"/>
      <c r="O9" s="25"/>
      <c r="P9" s="25"/>
      <c r="Q9" s="25"/>
      <c r="R9" s="118" t="s">
        <v>122</v>
      </c>
      <c r="S9" s="119"/>
      <c r="T9" s="118" t="s">
        <v>123</v>
      </c>
      <c r="U9" s="119"/>
    </row>
    <row r="10" spans="1:21" s="10" customFormat="1" ht="39" x14ac:dyDescent="0.2">
      <c r="A10" s="28" t="s">
        <v>40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120</v>
      </c>
      <c r="M10" s="25" t="s">
        <v>121</v>
      </c>
      <c r="N10" s="25" t="s">
        <v>120</v>
      </c>
      <c r="O10" s="25" t="s">
        <v>121</v>
      </c>
      <c r="P10" s="25" t="s">
        <v>120</v>
      </c>
      <c r="Q10" s="25" t="s">
        <v>121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41</v>
      </c>
      <c r="C11" s="29"/>
      <c r="D11" s="24" t="s">
        <v>95</v>
      </c>
      <c r="E11" s="27" t="s">
        <v>43</v>
      </c>
      <c r="F11" s="36"/>
      <c r="G11" s="24" t="s">
        <v>96</v>
      </c>
      <c r="H11" s="37" t="s">
        <v>97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1" t="s">
        <v>124</v>
      </c>
      <c r="H12" s="41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42"/>
      <c r="S12" s="43"/>
      <c r="T12" s="39"/>
      <c r="U12" s="40"/>
    </row>
    <row r="13" spans="1:21" s="10" customForma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1" t="s">
        <v>125</v>
      </c>
      <c r="H13" s="41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42"/>
      <c r="S13" s="43"/>
      <c r="T13" s="39"/>
      <c r="U13" s="40"/>
    </row>
    <row r="14" spans="1:21" s="10" customFormat="1" x14ac:dyDescent="0.2">
      <c r="A14" s="8">
        <v>10</v>
      </c>
      <c r="B14" s="8"/>
      <c r="C14" s="8"/>
      <c r="D14" s="8" t="s">
        <v>75</v>
      </c>
      <c r="E14" s="26" t="s">
        <v>53</v>
      </c>
      <c r="F14" s="26"/>
      <c r="G14" s="41" t="s">
        <v>126</v>
      </c>
      <c r="H14" s="41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42"/>
      <c r="S14" s="43"/>
      <c r="T14" s="39"/>
      <c r="U14" s="40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98</v>
      </c>
      <c r="F15" s="26"/>
      <c r="G15" s="41" t="s">
        <v>128</v>
      </c>
      <c r="H15" s="41" t="s">
        <v>57</v>
      </c>
      <c r="I15" s="8" t="s">
        <v>48</v>
      </c>
      <c r="J15" s="8" t="s">
        <v>48</v>
      </c>
      <c r="K15" s="8"/>
      <c r="L15" s="8"/>
      <c r="M15" s="8"/>
      <c r="N15" s="8"/>
      <c r="O15" s="8"/>
      <c r="P15" s="8"/>
      <c r="Q15" s="8"/>
      <c r="R15" s="42"/>
      <c r="S15" s="43"/>
      <c r="T15" s="39"/>
      <c r="U15" s="40"/>
    </row>
    <row r="16" spans="1:21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1" t="s">
        <v>129</v>
      </c>
      <c r="H16" s="41" t="s">
        <v>60</v>
      </c>
      <c r="I16" s="8" t="s">
        <v>48</v>
      </c>
      <c r="J16" s="8" t="s">
        <v>48</v>
      </c>
      <c r="K16" s="8"/>
      <c r="L16" s="8"/>
      <c r="M16" s="8"/>
      <c r="N16" s="8"/>
      <c r="O16" s="8"/>
      <c r="P16" s="8"/>
      <c r="Q16" s="8"/>
      <c r="R16" s="42"/>
      <c r="S16" s="43"/>
      <c r="T16" s="39"/>
      <c r="U16" s="40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4"/>
      <c r="K17" s="6"/>
      <c r="L17" s="6"/>
      <c r="M17" s="6"/>
      <c r="N17" s="6"/>
      <c r="O17" s="6"/>
      <c r="P17" s="6"/>
      <c r="Q17" s="6"/>
      <c r="R17" s="9"/>
      <c r="S17" s="9"/>
      <c r="T17" s="9"/>
      <c r="U17" s="47"/>
    </row>
    <row r="18" spans="1:21" s="10" customFormat="1" x14ac:dyDescent="0.2">
      <c r="A18" s="54"/>
      <c r="U18" s="45"/>
    </row>
    <row r="19" spans="1:21" s="10" customFormat="1" x14ac:dyDescent="0.2">
      <c r="A19" s="54"/>
      <c r="U19" s="45"/>
    </row>
    <row r="20" spans="1:21" s="10" customFormat="1" x14ac:dyDescent="0.2">
      <c r="A20" s="54"/>
      <c r="U20" s="45"/>
    </row>
    <row r="21" spans="1:21" s="10" customFormat="1" x14ac:dyDescent="0.2">
      <c r="A21" s="54"/>
      <c r="U21" s="45"/>
    </row>
    <row r="22" spans="1:21" s="10" customFormat="1" x14ac:dyDescent="0.2">
      <c r="A22" s="54"/>
      <c r="U22" s="45"/>
    </row>
    <row r="23" spans="1:21" s="10" customFormat="1" x14ac:dyDescent="0.2">
      <c r="A23" s="54"/>
      <c r="U23" s="45"/>
    </row>
    <row r="24" spans="1:21" s="10" customFormat="1" x14ac:dyDescent="0.2">
      <c r="A24" s="54"/>
      <c r="U24" s="45"/>
    </row>
    <row r="25" spans="1:21" s="10" customFormat="1" x14ac:dyDescent="0.2">
      <c r="A25" s="54"/>
      <c r="U25" s="45"/>
    </row>
    <row r="26" spans="1:21" s="10" customFormat="1" x14ac:dyDescent="0.2">
      <c r="A26" s="54"/>
      <c r="U26" s="45"/>
    </row>
    <row r="27" spans="1:21" s="10" customFormat="1" x14ac:dyDescent="0.2">
      <c r="A27" s="54"/>
      <c r="U27" s="45"/>
    </row>
    <row r="28" spans="1:21" s="10" customFormat="1" x14ac:dyDescent="0.2">
      <c r="A28" s="54"/>
      <c r="U28" s="45"/>
    </row>
    <row r="29" spans="1:21" s="10" customFormat="1" x14ac:dyDescent="0.2">
      <c r="A29" s="54"/>
      <c r="U29" s="45"/>
    </row>
    <row r="30" spans="1:21" s="10" customFormat="1" x14ac:dyDescent="0.2">
      <c r="A30" s="6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97" t="s">
        <v>99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0" t="s">
        <v>100</v>
      </c>
      <c r="B3" s="101"/>
      <c r="C3" s="101"/>
      <c r="D3" s="101"/>
      <c r="E3" s="101"/>
      <c r="F3" s="101"/>
      <c r="G3" s="102"/>
      <c r="H3" s="103" t="s">
        <v>101</v>
      </c>
      <c r="I3" s="101"/>
      <c r="J3" s="101"/>
      <c r="K3" s="101"/>
      <c r="L3" s="101"/>
      <c r="M3" s="101"/>
      <c r="N3" s="102"/>
      <c r="O3" s="103" t="s">
        <v>102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103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104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91" t="s">
        <v>134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135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8"/>
      <c r="I6" s="89"/>
      <c r="J6" s="89"/>
      <c r="K6" s="89"/>
      <c r="L6" s="89"/>
      <c r="M6" s="89"/>
      <c r="N6" s="90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8"/>
      <c r="I7" s="89"/>
      <c r="J7" s="89"/>
      <c r="K7" s="89"/>
      <c r="L7" s="89"/>
      <c r="M7" s="89"/>
      <c r="N7" s="90"/>
      <c r="O7" s="81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3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CopyItmOper_Ins01</vt:lpstr>
      <vt:lpstr>CopyItmOper_Upd01</vt:lpstr>
      <vt:lpstr>CopyItmOper_Upd02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2026-03-27T05:51:14Z</dcterms:modified>
  <cp:category/>
</cp:coreProperties>
</file>