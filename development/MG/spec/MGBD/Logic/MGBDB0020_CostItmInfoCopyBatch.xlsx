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C02EB028-6251-4498-91A0-D73F97DB7EF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CostItmInfoCopy_Chk01" sheetId="2" r:id="rId2"/>
    <sheet name="CostItmInfoCopy_Chk02" sheetId="3" r:id="rId3"/>
    <sheet name="CostItmInfoCopy_Upd01" sheetId="4" r:id="rId4"/>
    <sheet name="CostItmInfoCopy_Del01" sheetId="5" r:id="rId5"/>
    <sheet name="来歴" sheetId="6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<sst xmlns="http://schemas.openxmlformats.org/spreadsheetml/2006/main" count="765" uniqueCount="210">
  <si>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</si>
  <si>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</si>
  <si>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</si>
  <si>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</si>
  <si>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</si>
  <si>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</si>
  <si>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</si>
  <si>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</si>
  <si>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</si>
  <si>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</si>
  <si>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</si>
  <si>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</si>
  <si>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</si>
  <si>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</si>
  <si>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</si>
  <si>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</si>
  <si>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</si>
  <si>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</si>
  <si>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</si>
  <si>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</si>
  <si>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</si>
  <si>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</si>
  <si>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</si>
  <si>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</si>
  <si>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取込前チェック</t>
    <rPh sb="0" eb="2">
      <t>トリコミ</t>
    </rPh>
    <rPh sb="2" eb="3">
      <t>マエ</t>
    </rPh>
    <phoneticPr fontId="3"/>
  </si>
  <si>
    <t>ImplOpe.ID:</t>
    <phoneticPr fontId="3"/>
  </si>
  <si>
    <t>ACType :</t>
    <phoneticPr fontId="3"/>
  </si>
  <si>
    <t>取込する前のチェックを行う</t>
    <rPh sb="0" eb="2">
      <t>トリコミ</t>
    </rPh>
    <rPh sb="4" eb="5">
      <t>マエ</t>
    </rPh>
    <rPh sb="11" eb="12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</si>
  <si>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</si>
  <si>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</si>
  <si>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</si>
  <si>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</si>
  <si>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</si>
  <si>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</si>
  <si>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</si>
  <si>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</si>
  <si>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</si>
  <si>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</si>
  <si>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</si>
  <si>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</si>
  <si>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</si>
  <si>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</si>
  <si>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</si>
  <si>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</si>
  <si>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</si>
  <si>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</si>
  <si>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</si>
  <si>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</si>
  <si>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</si>
  <si>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</si>
  <si>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</si>
  <si>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</si>
  <si>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</si>
  <si>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</si>
  <si>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</si>
  <si>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#</t>
    <phoneticPr fontId="3"/>
  </si>
  <si>
    <t>*</t>
  </si>
  <si>
    <t>R</t>
    <phoneticPr fontId="3"/>
  </si>
  <si>
    <t>err_flg</t>
    <phoneticPr fontId="3"/>
  </si>
  <si>
    <t>#MA.FLG</t>
  </si>
  <si>
    <t>エラー</t>
    <phoneticPr fontId="3"/>
  </si>
  <si>
    <t>-</t>
    <phoneticPr fontId="3"/>
  </si>
  <si>
    <t>calc_ctg_cd</t>
    <phoneticPr fontId="3"/>
  </si>
  <si>
    <t>#MA.CALC_CTG_CD</t>
    <phoneticPr fontId="3"/>
  </si>
  <si>
    <t>計算カテゴリＣＤ</t>
    <phoneticPr fontId="3"/>
  </si>
  <si>
    <t>E</t>
    <phoneticPr fontId="3"/>
  </si>
  <si>
    <t>E</t>
    <phoneticPr fontId="2"/>
  </si>
  <si>
    <t>MA.MAUAL0010.CalcCtg</t>
    <phoneticPr fontId="3"/>
  </si>
  <si>
    <t>wg_cd</t>
    <phoneticPr fontId="3"/>
  </si>
  <si>
    <t>#MA.WG_CD</t>
    <phoneticPr fontId="3"/>
  </si>
  <si>
    <t>ワーキンググループＣＤ</t>
    <phoneticPr fontId="3"/>
  </si>
  <si>
    <t>MA.MAUAL0010.CostWg</t>
    <phoneticPr fontId="3"/>
  </si>
  <si>
    <t>term</t>
    <phoneticPr fontId="3"/>
  </si>
  <si>
    <t>#MA.YM</t>
  </si>
  <si>
    <t>期</t>
    <phoneticPr fontId="3"/>
  </si>
  <si>
    <t>MA.MAUAL0010.Term</t>
    <phoneticPr fontId="3"/>
  </si>
  <si>
    <t>lump_flg</t>
    <phoneticPr fontId="2"/>
  </si>
  <si>
    <t>取込処理も行う</t>
    <phoneticPr fontId="2"/>
  </si>
  <si>
    <t>cmn_flg</t>
    <phoneticPr fontId="2"/>
  </si>
  <si>
    <t>共通</t>
    <phoneticPr fontId="2"/>
  </si>
  <si>
    <t>wg_flg</t>
    <phoneticPr fontId="2"/>
  </si>
  <si>
    <t>ワーキンググループ</t>
    <phoneticPr fontId="3"/>
  </si>
  <si>
    <t>dtl_flg</t>
    <phoneticPr fontId="3"/>
  </si>
  <si>
    <t>原価品目詳細</t>
    <phoneticPr fontId="4"/>
  </si>
  <si>
    <t>oper_flg</t>
    <phoneticPr fontId="3"/>
  </si>
  <si>
    <t>原価品目工程</t>
    <phoneticPr fontId="4"/>
  </si>
  <si>
    <t>bom_flg</t>
    <phoneticPr fontId="3"/>
  </si>
  <si>
    <t>原価ＢＯＭ</t>
    <phoneticPr fontId="5"/>
  </si>
  <si>
    <t>wk_flg</t>
    <phoneticPr fontId="3"/>
  </si>
  <si>
    <t>原価品目工数</t>
    <phoneticPr fontId="5"/>
  </si>
  <si>
    <t>purc_flg</t>
    <phoneticPr fontId="3"/>
  </si>
  <si>
    <t>原価品目購買単価</t>
    <phoneticPr fontId="4"/>
  </si>
  <si>
    <t>proc_flg</t>
    <phoneticPr fontId="3"/>
  </si>
  <si>
    <t>原価品目加工単価</t>
    <phoneticPr fontId="4"/>
  </si>
  <si>
    <t>prov_flg</t>
    <phoneticPr fontId="3"/>
  </si>
  <si>
    <t>原価品目支給単価</t>
    <phoneticPr fontId="4"/>
  </si>
  <si>
    <t>sls_flg</t>
    <phoneticPr fontId="3"/>
  </si>
  <si>
    <t>原価品目販売単価</t>
    <phoneticPr fontId="4"/>
  </si>
  <si>
    <t>sls_upri_imp_typ</t>
  </si>
  <si>
    <t>#MA.SLS_UPRI_IMP_TYP</t>
    <phoneticPr fontId="3"/>
  </si>
  <si>
    <t>販売単価取込区分</t>
    <phoneticPr fontId="3"/>
  </si>
  <si>
    <t>MAC_SLS_UPRI_IMP_TYP</t>
    <phoneticPr fontId="3"/>
  </si>
  <si>
    <t>削除前チェック</t>
    <rPh sb="0" eb="2">
      <t>サクジョ</t>
    </rPh>
    <rPh sb="2" eb="3">
      <t>マエ</t>
    </rPh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</si>
  <si>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</si>
  <si>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</si>
  <si>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</si>
  <si>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</si>
  <si>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LIST_LOGIC</t>
    <phoneticPr fontId="3"/>
  </si>
  <si>
    <t>LIST_OUT</t>
    <phoneticPr fontId="3"/>
  </si>
  <si>
    <t>LIST_OUT_BASE</t>
    <phoneticPr fontId="3"/>
  </si>
  <si>
    <t>CONST</t>
    <phoneticPr fontId="2"/>
  </si>
  <si>
    <t>TargetName</t>
    <phoneticPr fontId="3"/>
  </si>
  <si>
    <t>err_flg</t>
    <phoneticPr fontId="3"/>
  </si>
  <si>
    <t>calc_ctg_cd</t>
    <phoneticPr fontId="3"/>
  </si>
  <si>
    <t>#MA.CALC_CTG_CD</t>
    <phoneticPr fontId="3"/>
  </si>
  <si>
    <t>wg_cd</t>
    <phoneticPr fontId="3"/>
  </si>
  <si>
    <t>#MA.WG_CD</t>
    <phoneticPr fontId="3"/>
  </si>
  <si>
    <t>term_fr</t>
    <phoneticPr fontId="3"/>
  </si>
  <si>
    <t>期ＦＲＯＭ</t>
    <phoneticPr fontId="3"/>
  </si>
  <si>
    <t>E1:BF</t>
    <phoneticPr fontId="3"/>
  </si>
  <si>
    <t>term_to</t>
    <phoneticPr fontId="3"/>
  </si>
  <si>
    <t>期ＴＯ</t>
    <phoneticPr fontId="3"/>
  </si>
  <si>
    <t>E1:AF</t>
    <phoneticPr fontId="3"/>
  </si>
  <si>
    <t>cmn_flg</t>
    <phoneticPr fontId="2"/>
  </si>
  <si>
    <t>wg_flg</t>
    <phoneticPr fontId="2"/>
  </si>
  <si>
    <t>dtl_flg</t>
    <phoneticPr fontId="3"/>
  </si>
  <si>
    <t>purc_flg</t>
    <phoneticPr fontId="3"/>
  </si>
  <si>
    <t>@</t>
    <phoneticPr fontId="3"/>
  </si>
  <si>
    <t>取込</t>
    <rPh sb="0" eb="2">
      <t>トリコミ</t>
    </rPh>
    <phoneticPr fontId="3"/>
  </si>
  <si>
    <t>取込処理をする</t>
    <rPh sb="0" eb="2">
      <t>トリコミ</t>
    </rPh>
    <rPh sb="2" eb="4">
      <t>ショリ</t>
    </rPh>
    <phoneticPr fontId="3"/>
  </si>
  <si>
    <t>R</t>
    <phoneticPr fontId="3"/>
  </si>
  <si>
    <t>$share$</t>
    <phoneticPr fontId="2"/>
  </si>
  <si>
    <t>term</t>
    <phoneticPr fontId="3"/>
  </si>
  <si>
    <t>lump_flg</t>
    <phoneticPr fontId="2"/>
  </si>
  <si>
    <t>wg_flg</t>
    <phoneticPr fontId="2"/>
  </si>
  <si>
    <t>oper_flg</t>
    <phoneticPr fontId="3"/>
  </si>
  <si>
    <t>wk_flg</t>
    <phoneticPr fontId="3"/>
  </si>
  <si>
    <t>prov_flg</t>
    <phoneticPr fontId="3"/>
  </si>
  <si>
    <t>sls_flg</t>
    <phoneticPr fontId="3"/>
  </si>
  <si>
    <t>#MA.SLS_UPRI_IMP_TYP</t>
    <phoneticPr fontId="3"/>
  </si>
  <si>
    <t>削除</t>
    <rPh sb="0" eb="2">
      <t>サクジョ</t>
    </rPh>
    <phoneticPr fontId="3"/>
  </si>
  <si>
    <t>削除処理をする</t>
    <rPh sb="0" eb="2">
      <t>サクジョ</t>
    </rPh>
    <rPh sb="2" eb="4">
      <t>ショリ</t>
    </rPh>
    <phoneticPr fontId="3"/>
  </si>
  <si>
    <t>R</t>
    <phoneticPr fontId="3"/>
  </si>
  <si>
    <t>calc_ctg_cd</t>
    <phoneticPr fontId="3"/>
  </si>
  <si>
    <t>#MA.CALC_CTG_CD</t>
    <phoneticPr fontId="3"/>
  </si>
  <si>
    <t>#MA.WG_CD</t>
    <phoneticPr fontId="3"/>
  </si>
  <si>
    <t>term_to</t>
    <phoneticPr fontId="3"/>
  </si>
  <si>
    <t>dtl_flg</t>
    <phoneticPr fontId="3"/>
  </si>
  <si>
    <t>oper_flg</t>
    <phoneticPr fontId="3"/>
  </si>
  <si>
    <t>wk_flg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</si>
  <si>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</si>
  <si>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</si>
  <si>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</si>
  <si>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</si>
  <si>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</si>
  <si>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</si>
  <si>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dt</t>
    <phoneticPr fontId="3"/>
  </si>
  <si>
    <t>#MA.DT</t>
    <phoneticPr fontId="2"/>
  </si>
  <si>
    <t>MG.MGUDL5010</t>
    <phoneticPr fontId="2"/>
  </si>
  <si>
    <t>MA.MAUDL5010.Checker</t>
  </si>
  <si>
    <t>"mcframe.serverMAUD.MAUDL5010.MAUDL_Operation"</t>
  </si>
  <si>
    <t>対象日</t>
    <phoneticPr fontId="3"/>
  </si>
  <si>
    <t>MGBDB0020</t>
  </si>
  <si>
    <t>原価品目情報一括取込バッチ</t>
    <phoneticPr fontId="2"/>
  </si>
  <si>
    <t>MGBDL_CostItmInfoCopyBatch</t>
    <phoneticPr fontId="2"/>
  </si>
  <si>
    <t>CostItmInfoCopy_Upd01_Cnd</t>
    <phoneticPr fontId="3"/>
  </si>
  <si>
    <t>CostItmInfoCopy_Chk01_Cnd</t>
    <phoneticPr fontId="3"/>
  </si>
  <si>
    <t>CostItmInfoCopy_Chk02_Cnd</t>
    <phoneticPr fontId="3"/>
  </si>
  <si>
    <t>CostItmInfoCopy_Del01_Cnd</t>
    <phoneticPr fontId="3"/>
  </si>
  <si>
    <t>MG.MGBDB0020.CostItmInfoCopy_Chk01.CostItmInfoCopy_Chk01_Cnd</t>
    <phoneticPr fontId="3"/>
  </si>
  <si>
    <t>MG.MGBDB0020.CostItmInfoCopy_Chk02.CostItmInfoCopy_Chk02_Cnd</t>
    <phoneticPr fontId="3"/>
  </si>
  <si>
    <t>CostItmInfoCopy_Chk01</t>
    <phoneticPr fontId="3"/>
  </si>
  <si>
    <t>CostItmInfoCopy_Chk02</t>
    <phoneticPr fontId="3"/>
  </si>
  <si>
    <t>CostItmInfoCopy_Upd01</t>
    <phoneticPr fontId="3"/>
  </si>
  <si>
    <t>CostItmInfoCopy_Del01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</si>
  <si>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</si>
  <si>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</si>
  <si>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</si>
  <si>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</si>
  <si>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</si>
  <si>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</si>
  <si>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</si>
  <si>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</si>
  <si>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</si>
  <si>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</si>
  <si>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</si>
  <si>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</si>
  <si>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</si>
  <si>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</si>
  <si>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Error</t>
  </si>
  <si>
    <t>Calculation category cd.</t>
  </si>
  <si>
    <t>WG cd.</t>
  </si>
  <si>
    <t>Term</t>
  </si>
  <si>
    <t>Date</t>
  </si>
  <si>
    <t>Include import</t>
  </si>
  <si>
    <t>Common</t>
  </si>
  <si>
    <t>WG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</si>
  <si>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</si>
  <si>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</si>
  <si>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</si>
  <si>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</si>
  <si>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</si>
  <si>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</si>
  <si>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</si>
  <si>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</si>
  <si>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Sales unit price import type</t>
  </si>
  <si>
    <t>Term FROM</t>
  </si>
  <si>
    <t>Term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</si>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</sst>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162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164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163</v>
      </c>
      <c r="F4" s="7" t="s">
        <v>11</v>
      </c>
      <c r="G4" s="8" t="s">
        <v>158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13.90625" style="5" bestFit="1" customWidth="1"/>
    <col min="21" max="21" width="14.90625" style="5" customWidth="1"/>
    <col min="22" max="22" width="22.81640625" style="5" bestFit="1" customWidth="1"/>
    <col min="23" max="26" width="9" style="5"/>
    <col min="27" max="27" width="22.81640625" style="5" bestFit="1" customWidth="1"/>
    <col min="28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8" t="s">
        <v>14</v>
      </c>
      <c r="B1" s="58" t="s">
        <v>14</v>
      </c>
      <c r="C1" s="58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14</v>
      </c>
      <c r="B2" s="23"/>
      <c r="C2" s="23"/>
      <c r="D2" s="72" t="s">
        <v>175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MGBDB0020</v>
      </c>
      <c r="I2" s="7" t="s">
        <v>16</v>
      </c>
      <c r="J2" s="8" t="s">
        <v>171</v>
      </c>
      <c r="K2" s="7" t="s">
        <v>4</v>
      </c>
      <c r="L2" s="59" t="str">
        <f>IF(LogicCommon!G2="","",LogicCommon!G2)</f>
        <v>MC</v>
      </c>
      <c r="M2" s="5" t="s">
        <v>17</v>
      </c>
      <c r="N2" s="24" t="s">
        <v>159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60" t="s">
        <v>14</v>
      </c>
      <c r="B3" s="61"/>
      <c r="C3" s="61"/>
      <c r="D3" s="62" t="str">
        <f>IF(LogicCommon!A3="","",LogicCommon!A3)</f>
        <v/>
      </c>
      <c r="E3" s="7" t="s">
        <v>6</v>
      </c>
      <c r="F3" s="59" t="str">
        <f>IF(LogicCommon!C3="","",LogicCommon!C3)</f>
        <v>MGBD</v>
      </c>
      <c r="G3" s="7" t="s">
        <v>8</v>
      </c>
      <c r="H3" s="59" t="str">
        <f>IF(LogicCommon!E3="","",LogicCommon!E3)</f>
        <v>MGBDL_CostItmInfoCopyBatch</v>
      </c>
      <c r="I3" s="7" t="s">
        <v>18</v>
      </c>
      <c r="J3" s="8" t="s">
        <v>127</v>
      </c>
      <c r="K3" s="7" t="s">
        <v>9</v>
      </c>
      <c r="L3" s="59" t="str">
        <f>IF(LogicCommon!G3="","",LogicCommon!G3)</f>
        <v/>
      </c>
      <c r="M3" s="63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60" t="s">
        <v>14</v>
      </c>
      <c r="B4" s="61"/>
      <c r="C4" s="61"/>
      <c r="D4" s="4"/>
      <c r="E4" s="7" t="s">
        <v>21</v>
      </c>
      <c r="F4" s="64" t="s">
        <v>22</v>
      </c>
      <c r="G4" s="7" t="s">
        <v>10</v>
      </c>
      <c r="H4" s="59" t="str">
        <f>IF(LogicCommon!E4="","",LogicCommon!E4)</f>
        <v>原価品目情報一括取込バッチ</v>
      </c>
      <c r="I4" s="7" t="s">
        <v>23</v>
      </c>
      <c r="J4" s="8" t="s">
        <v>24</v>
      </c>
      <c r="K4" s="7" t="s">
        <v>11</v>
      </c>
      <c r="L4" s="59" t="str">
        <f>IF(LogicCommon!G4="","",LogicCommon!G4)</f>
        <v>MG.MGUDL5010</v>
      </c>
      <c r="M4" s="65" t="s">
        <v>25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7" t="s">
        <v>14</v>
      </c>
      <c r="B5" s="58"/>
      <c r="C5" s="58"/>
      <c r="D5" s="21"/>
      <c r="E5" s="7" t="s">
        <v>26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60" t="s">
        <v>14</v>
      </c>
      <c r="B6" s="61"/>
      <c r="C6" s="61"/>
      <c r="D6" s="4" t="s">
        <v>12</v>
      </c>
      <c r="E6" s="12" t="s">
        <v>27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28</v>
      </c>
    </row>
    <row r="7" spans="1:34" s="10" customFormat="1" x14ac:dyDescent="0.2">
      <c r="A7" s="25" t="s">
        <v>29</v>
      </c>
      <c r="B7" s="25"/>
      <c r="C7" s="25"/>
      <c r="D7" s="26"/>
      <c r="E7" s="26"/>
      <c r="F7" s="27"/>
      <c r="G7" s="26"/>
      <c r="H7" s="26"/>
      <c r="I7" s="26" t="s">
        <v>30</v>
      </c>
      <c r="J7" s="26"/>
      <c r="K7" s="28" t="s">
        <v>31</v>
      </c>
      <c r="L7" s="28" t="s">
        <v>31</v>
      </c>
      <c r="M7" s="28" t="s">
        <v>31</v>
      </c>
      <c r="N7" s="28" t="s">
        <v>31</v>
      </c>
      <c r="O7" s="28" t="s">
        <v>31</v>
      </c>
      <c r="P7" s="28" t="s">
        <v>32</v>
      </c>
      <c r="Q7" s="28" t="s">
        <v>31</v>
      </c>
      <c r="R7" s="28" t="s">
        <v>32</v>
      </c>
      <c r="S7" s="28" t="s">
        <v>32</v>
      </c>
      <c r="T7" s="28" t="s">
        <v>32</v>
      </c>
      <c r="U7" s="28" t="s">
        <v>32</v>
      </c>
      <c r="V7" s="28" t="s">
        <v>31</v>
      </c>
      <c r="W7" s="28" t="s">
        <v>31</v>
      </c>
      <c r="X7" s="28" t="s">
        <v>31</v>
      </c>
      <c r="Y7" s="28" t="s">
        <v>31</v>
      </c>
      <c r="Z7" s="28" t="s">
        <v>31</v>
      </c>
      <c r="AA7" s="28" t="s">
        <v>31</v>
      </c>
      <c r="AB7" s="28" t="s">
        <v>31</v>
      </c>
      <c r="AC7" s="29" t="s">
        <v>33</v>
      </c>
      <c r="AD7" s="30"/>
      <c r="AE7" s="31"/>
      <c r="AF7" s="31"/>
      <c r="AG7" s="31"/>
      <c r="AH7" s="31"/>
    </row>
    <row r="8" spans="1:34" s="10" customFormat="1" ht="60" customHeight="1" x14ac:dyDescent="0.2">
      <c r="A8" s="47" t="s">
        <v>29</v>
      </c>
      <c r="B8" s="75"/>
      <c r="C8" s="76"/>
      <c r="D8" s="73" t="s">
        <v>176</v>
      </c>
      <c r="E8" s="73" t="s">
        <v>177</v>
      </c>
      <c r="F8" s="69"/>
      <c r="G8" s="73" t="s">
        <v>34</v>
      </c>
      <c r="H8" s="73" t="s">
        <v>178</v>
      </c>
      <c r="I8" s="69"/>
      <c r="J8" s="3"/>
      <c r="K8" s="8" t="s">
        <v>35</v>
      </c>
      <c r="L8" s="8" t="s">
        <v>36</v>
      </c>
      <c r="M8" s="28" t="s">
        <v>37</v>
      </c>
      <c r="N8" s="8" t="s">
        <v>38</v>
      </c>
      <c r="O8" s="28" t="s">
        <v>39</v>
      </c>
      <c r="P8" s="8" t="s">
        <v>40</v>
      </c>
      <c r="Q8" s="28" t="s">
        <v>41</v>
      </c>
      <c r="R8" s="8" t="s">
        <v>42</v>
      </c>
      <c r="S8" s="8" t="s">
        <v>43</v>
      </c>
      <c r="T8" s="8" t="s">
        <v>44</v>
      </c>
      <c r="U8" s="8" t="s">
        <v>45</v>
      </c>
      <c r="V8" s="8" t="s">
        <v>46</v>
      </c>
      <c r="W8" s="8" t="s">
        <v>47</v>
      </c>
      <c r="X8" s="8" t="s">
        <v>48</v>
      </c>
      <c r="Y8" s="8" t="s">
        <v>49</v>
      </c>
      <c r="Z8" s="8" t="s">
        <v>50</v>
      </c>
      <c r="AA8" s="28" t="s">
        <v>51</v>
      </c>
      <c r="AB8" s="8" t="s">
        <v>52</v>
      </c>
      <c r="AC8" s="29" t="s">
        <v>53</v>
      </c>
      <c r="AD8" s="8"/>
      <c r="AE8" s="77"/>
      <c r="AF8" s="78"/>
      <c r="AG8" s="79" t="s">
        <v>187</v>
      </c>
      <c r="AH8" s="80"/>
    </row>
    <row r="9" spans="1:34" s="10" customFormat="1" ht="60" customHeight="1" x14ac:dyDescent="0.2">
      <c r="A9" s="8" t="s">
        <v>29</v>
      </c>
      <c r="B9" s="33"/>
      <c r="C9" s="34"/>
      <c r="D9" s="73" t="s">
        <v>179</v>
      </c>
      <c r="E9" s="81" t="s">
        <v>180</v>
      </c>
      <c r="F9" s="73" t="s">
        <v>181</v>
      </c>
      <c r="G9" s="73" t="s">
        <v>182</v>
      </c>
      <c r="H9" s="73" t="s">
        <v>183</v>
      </c>
      <c r="I9" s="82" t="s">
        <v>184</v>
      </c>
      <c r="J9" s="73" t="s">
        <v>185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9" t="s">
        <v>186</v>
      </c>
      <c r="AF9" s="80"/>
      <c r="AG9" s="79" t="s">
        <v>188</v>
      </c>
      <c r="AH9" s="80"/>
    </row>
    <row r="10" spans="1:34" s="10" customFormat="1" ht="52" x14ac:dyDescent="0.2">
      <c r="A10" s="37" t="s">
        <v>55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74" t="s">
        <v>184</v>
      </c>
      <c r="AD10" s="74" t="s">
        <v>185</v>
      </c>
      <c r="AE10" s="39"/>
      <c r="AF10" s="39"/>
      <c r="AG10" s="41"/>
      <c r="AH10" s="36"/>
    </row>
    <row r="11" spans="1:34" s="10" customFormat="1" x14ac:dyDescent="0.2">
      <c r="A11" s="8">
        <v>10</v>
      </c>
      <c r="B11" s="33" t="s">
        <v>56</v>
      </c>
      <c r="C11" s="34"/>
      <c r="D11" s="24" t="s">
        <v>166</v>
      </c>
      <c r="E11" s="32" t="s">
        <v>57</v>
      </c>
      <c r="F11" s="42"/>
      <c r="G11" s="24"/>
      <c r="H11" s="43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35"/>
      <c r="AF11" s="36"/>
      <c r="AG11" s="56"/>
      <c r="AH11" s="46"/>
    </row>
    <row r="12" spans="1:34" s="10" customFormat="1" x14ac:dyDescent="0.2">
      <c r="A12" s="8">
        <v>10</v>
      </c>
      <c r="B12" s="8"/>
      <c r="C12" s="8"/>
      <c r="D12" s="8" t="s">
        <v>58</v>
      </c>
      <c r="E12" s="47" t="s">
        <v>59</v>
      </c>
      <c r="F12" s="47"/>
      <c r="G12" s="48" t="s">
        <v>189</v>
      </c>
      <c r="H12" s="48" t="s">
        <v>60</v>
      </c>
      <c r="I12" s="8" t="s">
        <v>61</v>
      </c>
      <c r="J12" s="8" t="s">
        <v>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5"/>
      <c r="AF12" s="36"/>
      <c r="AG12" s="83"/>
      <c r="AH12" s="84"/>
    </row>
    <row r="13" spans="1:34" s="10" customFormat="1" x14ac:dyDescent="0.2">
      <c r="A13" s="8">
        <v>10</v>
      </c>
      <c r="B13" s="8"/>
      <c r="C13" s="8"/>
      <c r="D13" s="8" t="s">
        <v>62</v>
      </c>
      <c r="E13" s="47" t="s">
        <v>63</v>
      </c>
      <c r="F13" s="47"/>
      <c r="G13" s="48" t="s">
        <v>190</v>
      </c>
      <c r="H13" s="48" t="s">
        <v>64</v>
      </c>
      <c r="I13" s="8" t="s">
        <v>65</v>
      </c>
      <c r="J13" s="8" t="s">
        <v>65</v>
      </c>
      <c r="K13" s="8"/>
      <c r="L13" s="8" t="s">
        <v>66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67</v>
      </c>
      <c r="W13" s="8"/>
      <c r="X13" s="8"/>
      <c r="Y13" s="8"/>
      <c r="Z13" s="8"/>
      <c r="AA13" s="8"/>
      <c r="AB13" s="8"/>
      <c r="AC13" s="8"/>
      <c r="AD13" s="8"/>
      <c r="AE13" s="35"/>
      <c r="AF13" s="36"/>
      <c r="AG13" s="83"/>
      <c r="AH13" s="84"/>
    </row>
    <row r="14" spans="1:34" s="10" customFormat="1" x14ac:dyDescent="0.2">
      <c r="A14" s="8">
        <v>10</v>
      </c>
      <c r="B14" s="8"/>
      <c r="C14" s="8"/>
      <c r="D14" s="8" t="s">
        <v>68</v>
      </c>
      <c r="E14" s="47" t="s">
        <v>69</v>
      </c>
      <c r="F14" s="47"/>
      <c r="G14" s="48" t="s">
        <v>191</v>
      </c>
      <c r="H14" s="48" t="s">
        <v>70</v>
      </c>
      <c r="I14" s="8" t="s">
        <v>65</v>
      </c>
      <c r="J14" s="8" t="s">
        <v>65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71</v>
      </c>
      <c r="W14" s="8"/>
      <c r="X14" s="8"/>
      <c r="Y14" s="8"/>
      <c r="Z14" s="8"/>
      <c r="AA14" s="8"/>
      <c r="AB14" s="8"/>
      <c r="AC14" s="8"/>
      <c r="AD14" s="8"/>
      <c r="AE14" s="35"/>
      <c r="AF14" s="36"/>
      <c r="AG14" s="83"/>
      <c r="AH14" s="84"/>
    </row>
    <row r="15" spans="1:34" s="10" customFormat="1" x14ac:dyDescent="0.2">
      <c r="A15" s="8">
        <v>10</v>
      </c>
      <c r="B15" s="8"/>
      <c r="C15" s="8"/>
      <c r="D15" s="8" t="s">
        <v>72</v>
      </c>
      <c r="E15" s="47" t="s">
        <v>73</v>
      </c>
      <c r="F15" s="47"/>
      <c r="G15" s="48" t="s">
        <v>192</v>
      </c>
      <c r="H15" s="48" t="s">
        <v>74</v>
      </c>
      <c r="I15" s="8" t="s">
        <v>65</v>
      </c>
      <c r="J15" s="8" t="s">
        <v>65</v>
      </c>
      <c r="K15" s="8"/>
      <c r="L15" s="8" t="s">
        <v>66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75</v>
      </c>
      <c r="W15" s="8"/>
      <c r="X15" s="8"/>
      <c r="Y15" s="8"/>
      <c r="Z15" s="8"/>
      <c r="AA15" s="8"/>
      <c r="AB15" s="8"/>
      <c r="AC15" s="8"/>
      <c r="AD15" s="8"/>
      <c r="AE15" s="35"/>
      <c r="AF15" s="36"/>
      <c r="AG15" s="83"/>
      <c r="AH15" s="84"/>
    </row>
    <row r="16" spans="1:34" s="10" customFormat="1" x14ac:dyDescent="0.2">
      <c r="A16" s="8">
        <v>10</v>
      </c>
      <c r="B16" s="8"/>
      <c r="C16" s="8"/>
      <c r="D16" s="8" t="s">
        <v>156</v>
      </c>
      <c r="E16" s="47" t="s">
        <v>157</v>
      </c>
      <c r="F16" s="47"/>
      <c r="G16" s="48" t="s">
        <v>193</v>
      </c>
      <c r="H16" s="48" t="s">
        <v>161</v>
      </c>
      <c r="I16" s="8" t="s">
        <v>65</v>
      </c>
      <c r="J16" s="8" t="s">
        <v>65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35"/>
      <c r="AF16" s="36"/>
      <c r="AG16" s="83"/>
      <c r="AH16" s="84"/>
    </row>
    <row r="17" spans="1:34" s="10" customFormat="1" x14ac:dyDescent="0.2">
      <c r="A17" s="8">
        <v>10</v>
      </c>
      <c r="B17" s="8"/>
      <c r="C17" s="8"/>
      <c r="D17" s="8" t="s">
        <v>76</v>
      </c>
      <c r="E17" s="47" t="s">
        <v>59</v>
      </c>
      <c r="F17" s="47"/>
      <c r="G17" s="48" t="s">
        <v>194</v>
      </c>
      <c r="H17" s="48" t="s">
        <v>77</v>
      </c>
      <c r="I17" s="8" t="s">
        <v>65</v>
      </c>
      <c r="J17" s="8" t="s">
        <v>65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35"/>
      <c r="AF17" s="36"/>
      <c r="AG17" s="56"/>
      <c r="AH17" s="57"/>
    </row>
    <row r="18" spans="1:34" s="10" customFormat="1" x14ac:dyDescent="0.2">
      <c r="A18" s="8">
        <v>10</v>
      </c>
      <c r="B18" s="8"/>
      <c r="C18" s="8"/>
      <c r="D18" s="8" t="s">
        <v>78</v>
      </c>
      <c r="E18" s="47" t="s">
        <v>59</v>
      </c>
      <c r="F18" s="47"/>
      <c r="G18" s="48" t="s">
        <v>195</v>
      </c>
      <c r="H18" s="48" t="s">
        <v>79</v>
      </c>
      <c r="I18" s="8" t="s">
        <v>65</v>
      </c>
      <c r="J18" s="8" t="s">
        <v>65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65</v>
      </c>
      <c r="V18" s="8"/>
      <c r="W18" s="8"/>
      <c r="X18" s="8"/>
      <c r="Y18" s="8"/>
      <c r="Z18" s="8"/>
      <c r="AA18" s="8"/>
      <c r="AB18" s="8"/>
      <c r="AC18" s="8"/>
      <c r="AD18" s="8"/>
      <c r="AE18" s="35"/>
      <c r="AF18" s="36"/>
      <c r="AG18" s="56"/>
      <c r="AH18" s="57"/>
    </row>
    <row r="19" spans="1:34" s="10" customFormat="1" x14ac:dyDescent="0.2">
      <c r="A19" s="8">
        <v>10</v>
      </c>
      <c r="B19" s="8"/>
      <c r="C19" s="8"/>
      <c r="D19" s="8" t="s">
        <v>80</v>
      </c>
      <c r="E19" s="47" t="s">
        <v>59</v>
      </c>
      <c r="F19" s="47"/>
      <c r="G19" s="48" t="s">
        <v>196</v>
      </c>
      <c r="H19" s="48" t="s">
        <v>81</v>
      </c>
      <c r="I19" s="8" t="s">
        <v>65</v>
      </c>
      <c r="J19" s="8" t="s">
        <v>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65</v>
      </c>
      <c r="V19" s="8"/>
      <c r="W19" s="8"/>
      <c r="X19" s="8"/>
      <c r="Y19" s="8"/>
      <c r="Z19" s="8"/>
      <c r="AA19" s="8"/>
      <c r="AB19" s="8"/>
      <c r="AC19" s="8"/>
      <c r="AD19" s="8"/>
      <c r="AE19" s="35"/>
      <c r="AF19" s="36"/>
      <c r="AG19" s="56"/>
      <c r="AH19" s="57"/>
    </row>
    <row r="20" spans="1:34" s="10" customFormat="1" x14ac:dyDescent="0.2">
      <c r="A20" s="8">
        <v>10</v>
      </c>
      <c r="B20" s="8"/>
      <c r="C20" s="8"/>
      <c r="D20" s="8" t="s">
        <v>82</v>
      </c>
      <c r="E20" s="47" t="s">
        <v>59</v>
      </c>
      <c r="F20" s="47"/>
      <c r="G20" s="48" t="s">
        <v>197</v>
      </c>
      <c r="H20" s="48" t="s">
        <v>83</v>
      </c>
      <c r="I20" s="8" t="s">
        <v>65</v>
      </c>
      <c r="J20" s="8" t="s">
        <v>65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65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35"/>
      <c r="AF20" s="36"/>
      <c r="AG20" s="83"/>
      <c r="AH20" s="84"/>
    </row>
    <row r="21" spans="1:34" s="10" customFormat="1" x14ac:dyDescent="0.2">
      <c r="A21" s="8">
        <v>10</v>
      </c>
      <c r="B21" s="8"/>
      <c r="C21" s="8"/>
      <c r="D21" s="8" t="s">
        <v>84</v>
      </c>
      <c r="E21" s="47" t="s">
        <v>59</v>
      </c>
      <c r="F21" s="47"/>
      <c r="G21" s="48" t="s">
        <v>198</v>
      </c>
      <c r="H21" s="48" t="s">
        <v>85</v>
      </c>
      <c r="I21" s="8" t="s">
        <v>65</v>
      </c>
      <c r="J21" s="8" t="s">
        <v>65</v>
      </c>
      <c r="K21" s="8"/>
      <c r="L21" s="8"/>
      <c r="M21" s="8"/>
      <c r="N21" s="8"/>
      <c r="O21" s="8"/>
      <c r="P21" s="8"/>
      <c r="Q21" s="8"/>
      <c r="R21" s="8"/>
      <c r="S21" s="8"/>
      <c r="T21" s="8" t="s">
        <v>65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35"/>
      <c r="AF21" s="36"/>
      <c r="AG21" s="56"/>
      <c r="AH21" s="57"/>
    </row>
    <row r="22" spans="1:34" s="10" customFormat="1" x14ac:dyDescent="0.2">
      <c r="A22" s="8">
        <v>10</v>
      </c>
      <c r="B22" s="8"/>
      <c r="C22" s="8"/>
      <c r="D22" s="8" t="s">
        <v>86</v>
      </c>
      <c r="E22" s="47" t="s">
        <v>59</v>
      </c>
      <c r="F22" s="47"/>
      <c r="G22" s="48" t="s">
        <v>199</v>
      </c>
      <c r="H22" s="48" t="s">
        <v>87</v>
      </c>
      <c r="I22" s="8" t="s">
        <v>65</v>
      </c>
      <c r="J22" s="8" t="s">
        <v>65</v>
      </c>
      <c r="K22" s="8"/>
      <c r="L22" s="8"/>
      <c r="M22" s="8"/>
      <c r="N22" s="8"/>
      <c r="O22" s="8"/>
      <c r="P22" s="8"/>
      <c r="Q22" s="8"/>
      <c r="R22" s="8"/>
      <c r="S22" s="8"/>
      <c r="T22" s="8" t="s">
        <v>65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35"/>
      <c r="AF22" s="36"/>
      <c r="AG22" s="56"/>
      <c r="AH22" s="57"/>
    </row>
    <row r="23" spans="1:34" s="10" customFormat="1" x14ac:dyDescent="0.2">
      <c r="A23" s="8">
        <v>10</v>
      </c>
      <c r="B23" s="8"/>
      <c r="C23" s="8"/>
      <c r="D23" s="8" t="s">
        <v>88</v>
      </c>
      <c r="E23" s="47" t="s">
        <v>59</v>
      </c>
      <c r="F23" s="47"/>
      <c r="G23" s="48" t="s">
        <v>200</v>
      </c>
      <c r="H23" s="48" t="s">
        <v>89</v>
      </c>
      <c r="I23" s="8" t="s">
        <v>65</v>
      </c>
      <c r="J23" s="8" t="s">
        <v>65</v>
      </c>
      <c r="K23" s="8"/>
      <c r="L23" s="8"/>
      <c r="M23" s="8"/>
      <c r="N23" s="8"/>
      <c r="O23" s="8"/>
      <c r="P23" s="8"/>
      <c r="Q23" s="8"/>
      <c r="R23" s="8"/>
      <c r="S23" s="8"/>
      <c r="T23" s="8" t="s">
        <v>65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35"/>
      <c r="AF23" s="36"/>
      <c r="AG23" s="56"/>
      <c r="AH23" s="57"/>
    </row>
    <row r="24" spans="1:34" s="10" customFormat="1" x14ac:dyDescent="0.2">
      <c r="A24" s="8">
        <v>10</v>
      </c>
      <c r="B24" s="8"/>
      <c r="C24" s="8"/>
      <c r="D24" s="8" t="s">
        <v>90</v>
      </c>
      <c r="E24" s="47" t="s">
        <v>59</v>
      </c>
      <c r="F24" s="47"/>
      <c r="G24" s="48" t="s">
        <v>201</v>
      </c>
      <c r="H24" s="48" t="s">
        <v>91</v>
      </c>
      <c r="I24" s="8" t="s">
        <v>65</v>
      </c>
      <c r="J24" s="8" t="s">
        <v>65</v>
      </c>
      <c r="K24" s="8"/>
      <c r="L24" s="8"/>
      <c r="M24" s="8"/>
      <c r="N24" s="8"/>
      <c r="O24" s="8"/>
      <c r="P24" s="8"/>
      <c r="Q24" s="8"/>
      <c r="R24" s="8"/>
      <c r="S24" s="8"/>
      <c r="T24" s="8" t="s">
        <v>65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35"/>
      <c r="AF24" s="36"/>
      <c r="AG24" s="56"/>
      <c r="AH24" s="57"/>
    </row>
    <row r="25" spans="1:34" s="10" customFormat="1" ht="26" x14ac:dyDescent="0.2">
      <c r="A25" s="8">
        <v>10</v>
      </c>
      <c r="B25" s="8"/>
      <c r="C25" s="8"/>
      <c r="D25" s="8" t="s">
        <v>92</v>
      </c>
      <c r="E25" s="47" t="s">
        <v>59</v>
      </c>
      <c r="F25" s="47"/>
      <c r="G25" s="48" t="s">
        <v>202</v>
      </c>
      <c r="H25" s="48" t="s">
        <v>93</v>
      </c>
      <c r="I25" s="8" t="s">
        <v>65</v>
      </c>
      <c r="J25" s="8" t="s">
        <v>65</v>
      </c>
      <c r="K25" s="8"/>
      <c r="L25" s="8"/>
      <c r="M25" s="8"/>
      <c r="N25" s="8"/>
      <c r="O25" s="8"/>
      <c r="P25" s="8"/>
      <c r="Q25" s="8"/>
      <c r="R25" s="8"/>
      <c r="S25" s="8"/>
      <c r="T25" s="8" t="s">
        <v>65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35"/>
      <c r="AF25" s="36"/>
      <c r="AG25" s="56"/>
      <c r="AH25" s="57"/>
    </row>
    <row r="26" spans="1:34" s="10" customFormat="1" x14ac:dyDescent="0.2">
      <c r="A26" s="8">
        <v>10</v>
      </c>
      <c r="B26" s="8"/>
      <c r="C26" s="8"/>
      <c r="D26" s="8" t="s">
        <v>94</v>
      </c>
      <c r="E26" s="47" t="s">
        <v>59</v>
      </c>
      <c r="F26" s="47"/>
      <c r="G26" s="48" t="s">
        <v>203</v>
      </c>
      <c r="H26" s="48" t="s">
        <v>95</v>
      </c>
      <c r="I26" s="8" t="s">
        <v>65</v>
      </c>
      <c r="J26" s="8" t="s">
        <v>65</v>
      </c>
      <c r="K26" s="8"/>
      <c r="L26" s="8"/>
      <c r="M26" s="8"/>
      <c r="N26" s="8"/>
      <c r="O26" s="8"/>
      <c r="P26" s="8"/>
      <c r="Q26" s="8"/>
      <c r="R26" s="8"/>
      <c r="S26" s="8"/>
      <c r="T26" s="8" t="s">
        <v>65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35"/>
      <c r="AF26" s="36"/>
      <c r="AG26" s="56"/>
      <c r="AH26" s="57"/>
    </row>
    <row r="27" spans="1:34" s="10" customFormat="1" x14ac:dyDescent="0.2">
      <c r="A27" s="8">
        <v>10</v>
      </c>
      <c r="B27" s="8"/>
      <c r="C27" s="8"/>
      <c r="D27" s="8" t="s">
        <v>96</v>
      </c>
      <c r="E27" s="47" t="s">
        <v>59</v>
      </c>
      <c r="F27" s="47"/>
      <c r="G27" s="48" t="s">
        <v>204</v>
      </c>
      <c r="H27" s="48" t="s">
        <v>97</v>
      </c>
      <c r="I27" s="8" t="s">
        <v>65</v>
      </c>
      <c r="J27" s="8" t="s">
        <v>65</v>
      </c>
      <c r="K27" s="8"/>
      <c r="L27" s="8"/>
      <c r="M27" s="8"/>
      <c r="N27" s="8"/>
      <c r="O27" s="8"/>
      <c r="P27" s="8"/>
      <c r="Q27" s="8"/>
      <c r="R27" s="8"/>
      <c r="S27" s="8"/>
      <c r="T27" s="8" t="s">
        <v>65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35"/>
      <c r="AF27" s="36"/>
      <c r="AG27" s="56"/>
      <c r="AH27" s="57"/>
    </row>
    <row r="28" spans="1:34" s="10" customFormat="1" x14ac:dyDescent="0.2">
      <c r="A28" s="8">
        <v>10</v>
      </c>
      <c r="B28" s="8"/>
      <c r="C28" s="8"/>
      <c r="D28" s="8" t="s">
        <v>98</v>
      </c>
      <c r="E28" s="47" t="s">
        <v>99</v>
      </c>
      <c r="F28" s="47"/>
      <c r="G28" s="48" t="s">
        <v>205</v>
      </c>
      <c r="H28" s="48" t="s">
        <v>100</v>
      </c>
      <c r="I28" s="8" t="s">
        <v>65</v>
      </c>
      <c r="J28" s="8" t="s">
        <v>65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 t="s">
        <v>101</v>
      </c>
      <c r="AB28" s="8"/>
      <c r="AC28" s="8"/>
      <c r="AD28" s="8"/>
      <c r="AE28" s="35"/>
      <c r="AF28" s="36"/>
      <c r="AG28" s="56"/>
      <c r="AH28" s="57"/>
    </row>
    <row r="29" spans="1:34" s="10" customFormat="1" x14ac:dyDescent="0.2">
      <c r="A29" s="22"/>
      <c r="B29" s="23"/>
      <c r="C29" s="23"/>
      <c r="D29" s="16" t="s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49"/>
      <c r="AD29" s="49"/>
      <c r="AE29" s="49"/>
      <c r="AF29" s="49"/>
      <c r="AG29" s="49"/>
      <c r="AH29" s="50"/>
    </row>
    <row r="30" spans="1:34" s="10" customFormat="1" x14ac:dyDescent="0.2">
      <c r="A30" s="60"/>
      <c r="AH30" s="51"/>
    </row>
    <row r="31" spans="1:34" s="10" customFormat="1" x14ac:dyDescent="0.2">
      <c r="A31" s="60"/>
      <c r="AH31" s="51"/>
    </row>
    <row r="32" spans="1:34" s="10" customFormat="1" x14ac:dyDescent="0.2">
      <c r="A32" s="60"/>
      <c r="AH32" s="51"/>
    </row>
    <row r="33" spans="1:34" s="10" customFormat="1" x14ac:dyDescent="0.2">
      <c r="A33" s="60"/>
      <c r="AH33" s="51"/>
    </row>
    <row r="34" spans="1:34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52"/>
    </row>
  </sheetData>
  <mergeCells count="6">
    <mergeCell ref="AG12:AH12"/>
    <mergeCell ref="AG13:AH13"/>
    <mergeCell ref="AG14:AH14"/>
    <mergeCell ref="AG15:AH15"/>
    <mergeCell ref="AG20:AH20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9" style="5"/>
    <col min="21" max="21" width="11.1796875" style="5" bestFit="1" customWidth="1"/>
    <col min="22" max="22" width="22.81640625" style="5" bestFit="1" customWidth="1"/>
    <col min="23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8" t="s">
        <v>14</v>
      </c>
      <c r="B1" s="58" t="s">
        <v>14</v>
      </c>
      <c r="C1" s="58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14</v>
      </c>
      <c r="B2" s="23"/>
      <c r="C2" s="23"/>
      <c r="D2" s="72" t="s">
        <v>175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MGBDB0020</v>
      </c>
      <c r="I2" s="7" t="s">
        <v>16</v>
      </c>
      <c r="J2" s="8" t="s">
        <v>172</v>
      </c>
      <c r="K2" s="7" t="s">
        <v>4</v>
      </c>
      <c r="L2" s="59" t="str">
        <f>IF(LogicCommon!G2="","",LogicCommon!G2)</f>
        <v>MC</v>
      </c>
      <c r="M2" s="5" t="s">
        <v>17</v>
      </c>
      <c r="N2" s="24" t="s">
        <v>159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60" t="s">
        <v>14</v>
      </c>
      <c r="B3" s="61"/>
      <c r="C3" s="61"/>
      <c r="D3" s="62" t="str">
        <f>IF(LogicCommon!A3="","",LogicCommon!A3)</f>
        <v/>
      </c>
      <c r="E3" s="7" t="s">
        <v>6</v>
      </c>
      <c r="F3" s="59" t="str">
        <f>IF(LogicCommon!C3="","",LogicCommon!C3)</f>
        <v>MGBD</v>
      </c>
      <c r="G3" s="7" t="s">
        <v>8</v>
      </c>
      <c r="H3" s="59" t="str">
        <f>IF(LogicCommon!E3="","",LogicCommon!E3)</f>
        <v>MGBDL_CostItmInfoCopyBatch</v>
      </c>
      <c r="I3" s="7" t="s">
        <v>18</v>
      </c>
      <c r="J3" s="8" t="s">
        <v>127</v>
      </c>
      <c r="K3" s="7" t="s">
        <v>9</v>
      </c>
      <c r="L3" s="59" t="str">
        <f>IF(LogicCommon!G3="","",LogicCommon!G3)</f>
        <v/>
      </c>
      <c r="M3" s="63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60" t="s">
        <v>14</v>
      </c>
      <c r="B4" s="61"/>
      <c r="C4" s="61"/>
      <c r="D4" s="4"/>
      <c r="E4" s="7" t="s">
        <v>21</v>
      </c>
      <c r="F4" s="64" t="s">
        <v>22</v>
      </c>
      <c r="G4" s="7" t="s">
        <v>10</v>
      </c>
      <c r="H4" s="59" t="str">
        <f>IF(LogicCommon!E4="","",LogicCommon!E4)</f>
        <v>原価品目情報一括取込バッチ</v>
      </c>
      <c r="I4" s="7" t="s">
        <v>23</v>
      </c>
      <c r="J4" s="8" t="s">
        <v>102</v>
      </c>
      <c r="K4" s="7" t="s">
        <v>11</v>
      </c>
      <c r="L4" s="59" t="str">
        <f>IF(LogicCommon!G4="","",LogicCommon!G4)</f>
        <v>MG.MGUDL5010</v>
      </c>
      <c r="M4" s="65" t="s">
        <v>25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7" t="s">
        <v>14</v>
      </c>
      <c r="B5" s="58"/>
      <c r="C5" s="58"/>
      <c r="D5" s="21"/>
      <c r="E5" s="7" t="s">
        <v>26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60" t="s">
        <v>14</v>
      </c>
      <c r="B6" s="61"/>
      <c r="C6" s="61"/>
      <c r="D6" s="4" t="s">
        <v>12</v>
      </c>
      <c r="E6" s="12" t="s">
        <v>103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28</v>
      </c>
    </row>
    <row r="7" spans="1:34" s="10" customFormat="1" x14ac:dyDescent="0.2">
      <c r="A7" s="25" t="s">
        <v>29</v>
      </c>
      <c r="B7" s="25"/>
      <c r="C7" s="25"/>
      <c r="D7" s="26"/>
      <c r="E7" s="26"/>
      <c r="F7" s="27"/>
      <c r="G7" s="26"/>
      <c r="H7" s="26"/>
      <c r="I7" s="26" t="s">
        <v>30</v>
      </c>
      <c r="J7" s="26"/>
      <c r="K7" s="28" t="s">
        <v>31</v>
      </c>
      <c r="L7" s="28" t="s">
        <v>31</v>
      </c>
      <c r="M7" s="28" t="s">
        <v>31</v>
      </c>
      <c r="N7" s="28" t="s">
        <v>31</v>
      </c>
      <c r="O7" s="28" t="s">
        <v>31</v>
      </c>
      <c r="P7" s="28" t="s">
        <v>32</v>
      </c>
      <c r="Q7" s="28" t="s">
        <v>31</v>
      </c>
      <c r="R7" s="28" t="s">
        <v>32</v>
      </c>
      <c r="S7" s="28" t="s">
        <v>32</v>
      </c>
      <c r="T7" s="28" t="s">
        <v>32</v>
      </c>
      <c r="U7" s="28" t="s">
        <v>32</v>
      </c>
      <c r="V7" s="28" t="s">
        <v>31</v>
      </c>
      <c r="W7" s="28" t="s">
        <v>31</v>
      </c>
      <c r="X7" s="28" t="s">
        <v>31</v>
      </c>
      <c r="Y7" s="28" t="s">
        <v>31</v>
      </c>
      <c r="Z7" s="28" t="s">
        <v>31</v>
      </c>
      <c r="AA7" s="28" t="s">
        <v>31</v>
      </c>
      <c r="AB7" s="28" t="s">
        <v>31</v>
      </c>
      <c r="AC7" s="29" t="s">
        <v>33</v>
      </c>
      <c r="AD7" s="30"/>
      <c r="AE7" s="31"/>
      <c r="AF7" s="31"/>
      <c r="AG7" s="31"/>
      <c r="AH7" s="31"/>
    </row>
    <row r="8" spans="1:34" s="10" customFormat="1" ht="60" customHeight="1" x14ac:dyDescent="0.2">
      <c r="A8" s="47" t="s">
        <v>29</v>
      </c>
      <c r="B8" s="75"/>
      <c r="C8" s="76"/>
      <c r="D8" s="73" t="s">
        <v>176</v>
      </c>
      <c r="E8" s="73" t="s">
        <v>177</v>
      </c>
      <c r="F8" s="69"/>
      <c r="G8" s="73" t="s">
        <v>34</v>
      </c>
      <c r="H8" s="73" t="s">
        <v>178</v>
      </c>
      <c r="I8" s="69"/>
      <c r="J8" s="3"/>
      <c r="K8" s="8" t="s">
        <v>104</v>
      </c>
      <c r="L8" s="8" t="s">
        <v>105</v>
      </c>
      <c r="M8" s="28" t="s">
        <v>106</v>
      </c>
      <c r="N8" s="8" t="s">
        <v>38</v>
      </c>
      <c r="O8" s="28" t="s">
        <v>39</v>
      </c>
      <c r="P8" s="8" t="s">
        <v>40</v>
      </c>
      <c r="Q8" s="28" t="s">
        <v>41</v>
      </c>
      <c r="R8" s="8" t="s">
        <v>42</v>
      </c>
      <c r="S8" s="8" t="s">
        <v>43</v>
      </c>
      <c r="T8" s="8" t="s">
        <v>44</v>
      </c>
      <c r="U8" s="8" t="s">
        <v>45</v>
      </c>
      <c r="V8" s="8" t="s">
        <v>107</v>
      </c>
      <c r="W8" s="8" t="s">
        <v>108</v>
      </c>
      <c r="X8" s="8" t="s">
        <v>109</v>
      </c>
      <c r="Y8" s="8" t="s">
        <v>49</v>
      </c>
      <c r="Z8" s="8" t="s">
        <v>50</v>
      </c>
      <c r="AA8" s="28" t="s">
        <v>110</v>
      </c>
      <c r="AB8" s="8" t="s">
        <v>52</v>
      </c>
      <c r="AC8" s="29" t="s">
        <v>111</v>
      </c>
      <c r="AD8" s="8"/>
      <c r="AE8" s="77"/>
      <c r="AF8" s="78"/>
      <c r="AG8" s="79" t="s">
        <v>187</v>
      </c>
      <c r="AH8" s="80"/>
    </row>
    <row r="9" spans="1:34" s="10" customFormat="1" ht="60" customHeight="1" x14ac:dyDescent="0.2">
      <c r="A9" s="8" t="s">
        <v>29</v>
      </c>
      <c r="B9" s="33"/>
      <c r="C9" s="34"/>
      <c r="D9" s="73" t="s">
        <v>179</v>
      </c>
      <c r="E9" s="81" t="s">
        <v>180</v>
      </c>
      <c r="F9" s="73" t="s">
        <v>181</v>
      </c>
      <c r="G9" s="73" t="s">
        <v>182</v>
      </c>
      <c r="H9" s="73" t="s">
        <v>183</v>
      </c>
      <c r="I9" s="82" t="s">
        <v>184</v>
      </c>
      <c r="J9" s="73" t="s">
        <v>185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9" t="s">
        <v>186</v>
      </c>
      <c r="AF9" s="80"/>
      <c r="AG9" s="79" t="s">
        <v>188</v>
      </c>
      <c r="AH9" s="80"/>
    </row>
    <row r="10" spans="1:34" s="10" customFormat="1" ht="52" x14ac:dyDescent="0.2">
      <c r="A10" s="37" t="s">
        <v>55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74" t="s">
        <v>184</v>
      </c>
      <c r="AD10" s="74" t="s">
        <v>185</v>
      </c>
      <c r="AE10" s="39"/>
      <c r="AF10" s="39"/>
      <c r="AG10" s="41"/>
      <c r="AH10" s="36"/>
    </row>
    <row r="11" spans="1:34" s="10" customFormat="1" x14ac:dyDescent="0.2">
      <c r="A11" s="8">
        <v>10</v>
      </c>
      <c r="B11" s="33" t="s">
        <v>56</v>
      </c>
      <c r="C11" s="34"/>
      <c r="D11" s="24" t="s">
        <v>167</v>
      </c>
      <c r="E11" s="32" t="s">
        <v>57</v>
      </c>
      <c r="F11" s="42"/>
      <c r="G11" s="24"/>
      <c r="H11" s="43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35"/>
      <c r="AF11" s="36"/>
      <c r="AG11" s="56"/>
      <c r="AH11" s="46"/>
    </row>
    <row r="12" spans="1:34" s="10" customFormat="1" x14ac:dyDescent="0.2">
      <c r="A12" s="8">
        <v>10</v>
      </c>
      <c r="B12" s="8"/>
      <c r="C12" s="8"/>
      <c r="D12" s="8" t="s">
        <v>112</v>
      </c>
      <c r="E12" s="47" t="s">
        <v>59</v>
      </c>
      <c r="F12" s="47"/>
      <c r="G12" s="48" t="s">
        <v>189</v>
      </c>
      <c r="H12" s="48" t="s">
        <v>60</v>
      </c>
      <c r="I12" s="8" t="s">
        <v>61</v>
      </c>
      <c r="J12" s="8" t="s">
        <v>61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5"/>
      <c r="AF12" s="36"/>
      <c r="AG12" s="83"/>
      <c r="AH12" s="84"/>
    </row>
    <row r="13" spans="1:34" s="10" customFormat="1" x14ac:dyDescent="0.2">
      <c r="A13" s="8">
        <v>10</v>
      </c>
      <c r="B13" s="8"/>
      <c r="C13" s="8"/>
      <c r="D13" s="8" t="s">
        <v>113</v>
      </c>
      <c r="E13" s="47" t="s">
        <v>114</v>
      </c>
      <c r="F13" s="47"/>
      <c r="G13" s="48" t="s">
        <v>190</v>
      </c>
      <c r="H13" s="48" t="s">
        <v>64</v>
      </c>
      <c r="I13" s="8" t="s">
        <v>65</v>
      </c>
      <c r="J13" s="8" t="s">
        <v>61</v>
      </c>
      <c r="K13" s="8"/>
      <c r="L13" s="8" t="s">
        <v>66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67</v>
      </c>
      <c r="W13" s="8"/>
      <c r="X13" s="8"/>
      <c r="Y13" s="8"/>
      <c r="Z13" s="8"/>
      <c r="AA13" s="8"/>
      <c r="AB13" s="8"/>
      <c r="AC13" s="8"/>
      <c r="AD13" s="8"/>
      <c r="AE13" s="35"/>
      <c r="AF13" s="36"/>
      <c r="AG13" s="83"/>
      <c r="AH13" s="84"/>
    </row>
    <row r="14" spans="1:34" s="10" customFormat="1" x14ac:dyDescent="0.2">
      <c r="A14" s="8">
        <v>10</v>
      </c>
      <c r="B14" s="8"/>
      <c r="C14" s="8"/>
      <c r="D14" s="8" t="s">
        <v>115</v>
      </c>
      <c r="E14" s="47" t="s">
        <v>116</v>
      </c>
      <c r="F14" s="47"/>
      <c r="G14" s="48" t="s">
        <v>191</v>
      </c>
      <c r="H14" s="48" t="s">
        <v>70</v>
      </c>
      <c r="I14" s="8" t="s">
        <v>65</v>
      </c>
      <c r="J14" s="8" t="s">
        <v>61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71</v>
      </c>
      <c r="W14" s="8"/>
      <c r="X14" s="8"/>
      <c r="Y14" s="8"/>
      <c r="Z14" s="8"/>
      <c r="AA14" s="8"/>
      <c r="AB14" s="8"/>
      <c r="AC14" s="8"/>
      <c r="AD14" s="8"/>
      <c r="AE14" s="35"/>
      <c r="AF14" s="36"/>
      <c r="AG14" s="83"/>
      <c r="AH14" s="84"/>
    </row>
    <row r="15" spans="1:34" s="10" customFormat="1" x14ac:dyDescent="0.2">
      <c r="A15" s="8">
        <v>10</v>
      </c>
      <c r="B15" s="8"/>
      <c r="C15" s="8"/>
      <c r="D15" s="8" t="s">
        <v>117</v>
      </c>
      <c r="E15" s="47" t="s">
        <v>73</v>
      </c>
      <c r="F15" s="47"/>
      <c r="G15" s="48" t="s">
        <v>206</v>
      </c>
      <c r="H15" s="48" t="s">
        <v>118</v>
      </c>
      <c r="I15" s="8" t="s">
        <v>65</v>
      </c>
      <c r="J15" s="8" t="s">
        <v>61</v>
      </c>
      <c r="K15" s="8"/>
      <c r="L15" s="8" t="s">
        <v>66</v>
      </c>
      <c r="M15" s="8"/>
      <c r="N15" s="8"/>
      <c r="O15" s="8"/>
      <c r="P15" s="8" t="s">
        <v>119</v>
      </c>
      <c r="Q15" s="8"/>
      <c r="R15" s="8"/>
      <c r="S15" s="8"/>
      <c r="T15" s="8"/>
      <c r="U15" s="8"/>
      <c r="V15" s="8" t="s">
        <v>75</v>
      </c>
      <c r="W15" s="8"/>
      <c r="X15" s="8"/>
      <c r="Y15" s="8"/>
      <c r="Z15" s="8"/>
      <c r="AA15" s="8"/>
      <c r="AB15" s="8"/>
      <c r="AC15" s="8"/>
      <c r="AD15" s="8"/>
      <c r="AE15" s="35"/>
      <c r="AF15" s="36"/>
      <c r="AG15" s="83"/>
      <c r="AH15" s="84"/>
    </row>
    <row r="16" spans="1:34" s="10" customFormat="1" x14ac:dyDescent="0.2">
      <c r="A16" s="8">
        <v>10</v>
      </c>
      <c r="B16" s="8"/>
      <c r="C16" s="8"/>
      <c r="D16" s="8" t="s">
        <v>120</v>
      </c>
      <c r="E16" s="47" t="s">
        <v>73</v>
      </c>
      <c r="F16" s="47"/>
      <c r="G16" s="48" t="s">
        <v>207</v>
      </c>
      <c r="H16" s="48" t="s">
        <v>121</v>
      </c>
      <c r="I16" s="8" t="s">
        <v>65</v>
      </c>
      <c r="J16" s="8" t="s">
        <v>61</v>
      </c>
      <c r="K16" s="8"/>
      <c r="L16" s="8" t="s">
        <v>66</v>
      </c>
      <c r="M16" s="8"/>
      <c r="N16" s="8"/>
      <c r="O16" s="8"/>
      <c r="P16" s="8" t="s">
        <v>122</v>
      </c>
      <c r="Q16" s="8"/>
      <c r="R16" s="8"/>
      <c r="S16" s="8"/>
      <c r="T16" s="8"/>
      <c r="U16" s="8"/>
      <c r="V16" s="8" t="s">
        <v>75</v>
      </c>
      <c r="W16" s="8"/>
      <c r="X16" s="8"/>
      <c r="Y16" s="8"/>
      <c r="Z16" s="8"/>
      <c r="AA16" s="8"/>
      <c r="AB16" s="8"/>
      <c r="AC16" s="8"/>
      <c r="AD16" s="8"/>
      <c r="AE16" s="35"/>
      <c r="AF16" s="36"/>
      <c r="AG16" s="83"/>
      <c r="AH16" s="84"/>
    </row>
    <row r="17" spans="1:34" s="10" customFormat="1" x14ac:dyDescent="0.2">
      <c r="A17" s="8">
        <v>10</v>
      </c>
      <c r="B17" s="8"/>
      <c r="C17" s="8"/>
      <c r="D17" s="8" t="s">
        <v>123</v>
      </c>
      <c r="E17" s="47" t="s">
        <v>59</v>
      </c>
      <c r="F17" s="47"/>
      <c r="G17" s="48" t="s">
        <v>195</v>
      </c>
      <c r="H17" s="48" t="s">
        <v>79</v>
      </c>
      <c r="I17" s="8" t="s">
        <v>65</v>
      </c>
      <c r="J17" s="8" t="s">
        <v>61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66</v>
      </c>
      <c r="V17" s="8"/>
      <c r="W17" s="8"/>
      <c r="X17" s="8"/>
      <c r="Y17" s="8"/>
      <c r="Z17" s="8"/>
      <c r="AA17" s="8"/>
      <c r="AB17" s="8"/>
      <c r="AC17" s="8"/>
      <c r="AD17" s="8"/>
      <c r="AE17" s="35"/>
      <c r="AF17" s="36"/>
      <c r="AG17" s="56"/>
      <c r="AH17" s="57"/>
    </row>
    <row r="18" spans="1:34" s="10" customFormat="1" x14ac:dyDescent="0.2">
      <c r="A18" s="8">
        <v>10</v>
      </c>
      <c r="B18" s="8"/>
      <c r="C18" s="8"/>
      <c r="D18" s="8" t="s">
        <v>124</v>
      </c>
      <c r="E18" s="47" t="s">
        <v>59</v>
      </c>
      <c r="F18" s="47"/>
      <c r="G18" s="48" t="s">
        <v>196</v>
      </c>
      <c r="H18" s="48" t="s">
        <v>81</v>
      </c>
      <c r="I18" s="8" t="s">
        <v>65</v>
      </c>
      <c r="J18" s="8" t="s">
        <v>61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66</v>
      </c>
      <c r="V18" s="8"/>
      <c r="W18" s="8"/>
      <c r="X18" s="8"/>
      <c r="Y18" s="8"/>
      <c r="Z18" s="8"/>
      <c r="AA18" s="8"/>
      <c r="AB18" s="8"/>
      <c r="AC18" s="8"/>
      <c r="AD18" s="8"/>
      <c r="AE18" s="35"/>
      <c r="AF18" s="36"/>
      <c r="AG18" s="56"/>
      <c r="AH18" s="57"/>
    </row>
    <row r="19" spans="1:34" s="10" customFormat="1" x14ac:dyDescent="0.2">
      <c r="A19" s="8">
        <v>10</v>
      </c>
      <c r="B19" s="8"/>
      <c r="C19" s="8"/>
      <c r="D19" s="8" t="s">
        <v>125</v>
      </c>
      <c r="E19" s="47" t="s">
        <v>59</v>
      </c>
      <c r="F19" s="47"/>
      <c r="G19" s="48" t="s">
        <v>197</v>
      </c>
      <c r="H19" s="48" t="s">
        <v>83</v>
      </c>
      <c r="I19" s="8" t="s">
        <v>65</v>
      </c>
      <c r="J19" s="8" t="s">
        <v>61</v>
      </c>
      <c r="K19" s="8"/>
      <c r="L19" s="8"/>
      <c r="M19" s="8"/>
      <c r="N19" s="8"/>
      <c r="O19" s="8"/>
      <c r="P19" s="8"/>
      <c r="Q19" s="8"/>
      <c r="R19" s="8"/>
      <c r="S19" s="8"/>
      <c r="T19" s="8" t="s">
        <v>65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35"/>
      <c r="AF19" s="36"/>
      <c r="AG19" s="83"/>
      <c r="AH19" s="84"/>
    </row>
    <row r="20" spans="1:34" s="10" customFormat="1" x14ac:dyDescent="0.2">
      <c r="A20" s="8">
        <v>10</v>
      </c>
      <c r="B20" s="8"/>
      <c r="C20" s="8"/>
      <c r="D20" s="8" t="s">
        <v>84</v>
      </c>
      <c r="E20" s="47" t="s">
        <v>59</v>
      </c>
      <c r="F20" s="47"/>
      <c r="G20" s="48" t="s">
        <v>198</v>
      </c>
      <c r="H20" s="48" t="s">
        <v>85</v>
      </c>
      <c r="I20" s="8" t="s">
        <v>65</v>
      </c>
      <c r="J20" s="8" t="s">
        <v>61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65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35"/>
      <c r="AF20" s="36"/>
      <c r="AG20" s="56"/>
      <c r="AH20" s="57"/>
    </row>
    <row r="21" spans="1:34" s="10" customFormat="1" x14ac:dyDescent="0.2">
      <c r="A21" s="8">
        <v>10</v>
      </c>
      <c r="B21" s="8"/>
      <c r="C21" s="8"/>
      <c r="D21" s="8" t="s">
        <v>86</v>
      </c>
      <c r="E21" s="47" t="s">
        <v>59</v>
      </c>
      <c r="F21" s="47"/>
      <c r="G21" s="48" t="s">
        <v>199</v>
      </c>
      <c r="H21" s="48" t="s">
        <v>87</v>
      </c>
      <c r="I21" s="8" t="s">
        <v>65</v>
      </c>
      <c r="J21" s="8" t="s">
        <v>61</v>
      </c>
      <c r="K21" s="8"/>
      <c r="L21" s="8"/>
      <c r="M21" s="8"/>
      <c r="N21" s="8"/>
      <c r="O21" s="8"/>
      <c r="P21" s="8"/>
      <c r="Q21" s="8"/>
      <c r="R21" s="8"/>
      <c r="S21" s="8"/>
      <c r="T21" s="8" t="s">
        <v>65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35"/>
      <c r="AF21" s="36"/>
      <c r="AG21" s="56"/>
      <c r="AH21" s="57"/>
    </row>
    <row r="22" spans="1:34" s="10" customFormat="1" x14ac:dyDescent="0.2">
      <c r="A22" s="8">
        <v>10</v>
      </c>
      <c r="B22" s="8"/>
      <c r="C22" s="8"/>
      <c r="D22" s="8" t="s">
        <v>88</v>
      </c>
      <c r="E22" s="47" t="s">
        <v>59</v>
      </c>
      <c r="F22" s="47"/>
      <c r="G22" s="48" t="s">
        <v>200</v>
      </c>
      <c r="H22" s="48" t="s">
        <v>89</v>
      </c>
      <c r="I22" s="8" t="s">
        <v>65</v>
      </c>
      <c r="J22" s="8" t="s">
        <v>61</v>
      </c>
      <c r="K22" s="8"/>
      <c r="L22" s="8"/>
      <c r="M22" s="8"/>
      <c r="N22" s="8"/>
      <c r="O22" s="8"/>
      <c r="P22" s="8"/>
      <c r="Q22" s="8"/>
      <c r="R22" s="8"/>
      <c r="S22" s="8"/>
      <c r="T22" s="8" t="s">
        <v>65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35"/>
      <c r="AF22" s="36"/>
      <c r="AG22" s="56"/>
      <c r="AH22" s="57"/>
    </row>
    <row r="23" spans="1:34" s="10" customFormat="1" x14ac:dyDescent="0.2">
      <c r="A23" s="8">
        <v>10</v>
      </c>
      <c r="B23" s="8"/>
      <c r="C23" s="8"/>
      <c r="D23" s="8" t="s">
        <v>126</v>
      </c>
      <c r="E23" s="47" t="s">
        <v>59</v>
      </c>
      <c r="F23" s="47"/>
      <c r="G23" s="48" t="s">
        <v>201</v>
      </c>
      <c r="H23" s="48" t="s">
        <v>91</v>
      </c>
      <c r="I23" s="8" t="s">
        <v>65</v>
      </c>
      <c r="J23" s="8" t="s">
        <v>61</v>
      </c>
      <c r="K23" s="8"/>
      <c r="L23" s="8"/>
      <c r="M23" s="8"/>
      <c r="N23" s="8"/>
      <c r="O23" s="8"/>
      <c r="P23" s="8"/>
      <c r="Q23" s="8"/>
      <c r="R23" s="8"/>
      <c r="S23" s="8"/>
      <c r="T23" s="8" t="s">
        <v>65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35"/>
      <c r="AF23" s="36"/>
      <c r="AG23" s="56"/>
      <c r="AH23" s="57"/>
    </row>
    <row r="24" spans="1:34" s="10" customFormat="1" ht="26" x14ac:dyDescent="0.2">
      <c r="A24" s="8">
        <v>10</v>
      </c>
      <c r="B24" s="8"/>
      <c r="C24" s="8"/>
      <c r="D24" s="8" t="s">
        <v>92</v>
      </c>
      <c r="E24" s="47" t="s">
        <v>59</v>
      </c>
      <c r="F24" s="47"/>
      <c r="G24" s="48" t="s">
        <v>202</v>
      </c>
      <c r="H24" s="48" t="s">
        <v>93</v>
      </c>
      <c r="I24" s="8" t="s">
        <v>65</v>
      </c>
      <c r="J24" s="8" t="s">
        <v>61</v>
      </c>
      <c r="K24" s="8"/>
      <c r="L24" s="8"/>
      <c r="M24" s="8"/>
      <c r="N24" s="8"/>
      <c r="O24" s="8"/>
      <c r="P24" s="8"/>
      <c r="Q24" s="8"/>
      <c r="R24" s="8"/>
      <c r="S24" s="8"/>
      <c r="T24" s="8" t="s">
        <v>65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35"/>
      <c r="AF24" s="36"/>
      <c r="AG24" s="56"/>
      <c r="AH24" s="57"/>
    </row>
    <row r="25" spans="1:34" s="10" customFormat="1" x14ac:dyDescent="0.2">
      <c r="A25" s="8">
        <v>10</v>
      </c>
      <c r="B25" s="8"/>
      <c r="C25" s="8"/>
      <c r="D25" s="8" t="s">
        <v>94</v>
      </c>
      <c r="E25" s="47" t="s">
        <v>59</v>
      </c>
      <c r="F25" s="47"/>
      <c r="G25" s="48" t="s">
        <v>203</v>
      </c>
      <c r="H25" s="48" t="s">
        <v>95</v>
      </c>
      <c r="I25" s="8" t="s">
        <v>65</v>
      </c>
      <c r="J25" s="8" t="s">
        <v>61</v>
      </c>
      <c r="K25" s="8"/>
      <c r="L25" s="8"/>
      <c r="M25" s="8"/>
      <c r="N25" s="8"/>
      <c r="O25" s="8"/>
      <c r="P25" s="8"/>
      <c r="Q25" s="8"/>
      <c r="R25" s="8"/>
      <c r="S25" s="8"/>
      <c r="T25" s="8" t="s">
        <v>65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35"/>
      <c r="AF25" s="36"/>
      <c r="AG25" s="56"/>
      <c r="AH25" s="57"/>
    </row>
    <row r="26" spans="1:34" s="10" customFormat="1" x14ac:dyDescent="0.2">
      <c r="A26" s="8">
        <v>10</v>
      </c>
      <c r="B26" s="8"/>
      <c r="C26" s="8"/>
      <c r="D26" s="8" t="s">
        <v>96</v>
      </c>
      <c r="E26" s="47" t="s">
        <v>59</v>
      </c>
      <c r="F26" s="47"/>
      <c r="G26" s="48" t="s">
        <v>204</v>
      </c>
      <c r="H26" s="48" t="s">
        <v>97</v>
      </c>
      <c r="I26" s="8" t="s">
        <v>65</v>
      </c>
      <c r="J26" s="8" t="s">
        <v>61</v>
      </c>
      <c r="K26" s="8"/>
      <c r="L26" s="8"/>
      <c r="M26" s="8"/>
      <c r="N26" s="8"/>
      <c r="O26" s="8"/>
      <c r="P26" s="8"/>
      <c r="Q26" s="8"/>
      <c r="R26" s="8"/>
      <c r="S26" s="8"/>
      <c r="T26" s="8" t="s">
        <v>65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35"/>
      <c r="AF26" s="36"/>
      <c r="AG26" s="56"/>
      <c r="AH26" s="57"/>
    </row>
    <row r="27" spans="1:34" s="10" customFormat="1" x14ac:dyDescent="0.2">
      <c r="A27" s="22"/>
      <c r="B27" s="23"/>
      <c r="C27" s="23"/>
      <c r="D27" s="16" t="s">
        <v>13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49"/>
      <c r="AD27" s="49"/>
      <c r="AE27" s="49"/>
      <c r="AF27" s="49"/>
      <c r="AG27" s="49"/>
      <c r="AH27" s="50"/>
    </row>
    <row r="28" spans="1:34" s="10" customFormat="1" x14ac:dyDescent="0.2">
      <c r="A28" s="60"/>
      <c r="AH28" s="51"/>
    </row>
    <row r="29" spans="1:34" s="10" customFormat="1" x14ac:dyDescent="0.2">
      <c r="A29" s="60"/>
      <c r="AH29" s="51"/>
    </row>
    <row r="30" spans="1:34" s="10" customFormat="1" x14ac:dyDescent="0.2">
      <c r="A30" s="60"/>
      <c r="AH30" s="51"/>
    </row>
    <row r="31" spans="1:34" s="10" customFormat="1" x14ac:dyDescent="0.2">
      <c r="A31" s="60"/>
      <c r="AH31" s="51"/>
    </row>
    <row r="32" spans="1:34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52"/>
    </row>
  </sheetData>
  <mergeCells count="6">
    <mergeCell ref="AG19:AH19"/>
    <mergeCell ref="AG12:AH12"/>
    <mergeCell ref="AG13:AH13"/>
    <mergeCell ref="AG14:AH14"/>
    <mergeCell ref="AG15:AH15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3.08984375" style="4" customWidth="1"/>
    <col min="14" max="14" width="50.81640625" style="4" customWidth="1"/>
    <col min="15" max="15" width="13.08984375" style="4" customWidth="1"/>
    <col min="16" max="16" width="16.453125" style="4" customWidth="1"/>
    <col min="17" max="17" width="13.08984375" style="5" customWidth="1"/>
    <col min="18" max="18" width="30.81640625" style="5" customWidth="1"/>
    <col min="19" max="19" width="9" style="5"/>
    <col min="20" max="20" width="15.81640625" style="5" customWidth="1"/>
    <col min="21" max="16384" width="9" style="5"/>
  </cols>
  <sheetData>
    <row r="1" spans="1:22" s="10" customFormat="1" x14ac:dyDescent="0.2">
      <c r="A1" s="58" t="s">
        <v>14</v>
      </c>
      <c r="B1" s="58" t="s">
        <v>14</v>
      </c>
      <c r="C1" s="58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14</v>
      </c>
      <c r="B2" s="23"/>
      <c r="C2" s="23"/>
      <c r="D2" s="72" t="s">
        <v>175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MGBDB0020</v>
      </c>
      <c r="I2" s="7" t="s">
        <v>16</v>
      </c>
      <c r="J2" s="8" t="s">
        <v>173</v>
      </c>
      <c r="K2" s="7" t="s">
        <v>4</v>
      </c>
      <c r="L2" s="59" t="str">
        <f>IF(LogicCommon!G2="","",LogicCommon!G2)</f>
        <v>MC</v>
      </c>
      <c r="M2" s="5" t="s">
        <v>17</v>
      </c>
      <c r="N2" s="24" t="s">
        <v>160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0" t="s">
        <v>14</v>
      </c>
      <c r="B3" s="61"/>
      <c r="C3" s="61"/>
      <c r="D3" s="62" t="str">
        <f>IF(LogicCommon!A3="","",LogicCommon!A3)</f>
        <v/>
      </c>
      <c r="E3" s="7" t="s">
        <v>6</v>
      </c>
      <c r="F3" s="59" t="str">
        <f>IF(LogicCommon!C3="","",LogicCommon!C3)</f>
        <v>MGBD</v>
      </c>
      <c r="G3" s="7" t="s">
        <v>8</v>
      </c>
      <c r="H3" s="59" t="str">
        <f>IF(LogicCommon!E3="","",LogicCommon!E3)</f>
        <v>MGBDL_CostItmInfoCopyBatch</v>
      </c>
      <c r="I3" s="7" t="s">
        <v>18</v>
      </c>
      <c r="J3" s="8" t="s">
        <v>127</v>
      </c>
      <c r="K3" s="7" t="s">
        <v>9</v>
      </c>
      <c r="L3" s="59" t="str">
        <f>IF(LogicCommon!G3="","",LogicCommon!G3)</f>
        <v/>
      </c>
      <c r="M3" s="63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</row>
    <row r="4" spans="1:22" s="10" customFormat="1" x14ac:dyDescent="0.2">
      <c r="A4" s="60" t="s">
        <v>14</v>
      </c>
      <c r="B4" s="61"/>
      <c r="C4" s="61"/>
      <c r="D4" s="4"/>
      <c r="E4" s="7" t="s">
        <v>21</v>
      </c>
      <c r="F4" s="64" t="s">
        <v>22</v>
      </c>
      <c r="G4" s="7" t="s">
        <v>10</v>
      </c>
      <c r="H4" s="59" t="str">
        <f>IF(LogicCommon!E4="","",LogicCommon!E4)</f>
        <v>原価品目情報一括取込バッチ</v>
      </c>
      <c r="I4" s="7" t="s">
        <v>23</v>
      </c>
      <c r="J4" s="8" t="s">
        <v>128</v>
      </c>
      <c r="K4" s="7" t="s">
        <v>11</v>
      </c>
      <c r="L4" s="59" t="str">
        <f>IF(LogicCommon!G4="","",LogicCommon!G4)</f>
        <v>MG.MGUDL5010</v>
      </c>
      <c r="M4" s="65" t="s">
        <v>25</v>
      </c>
      <c r="N4" s="24"/>
      <c r="O4" s="66"/>
      <c r="P4" s="4"/>
      <c r="Q4" s="4"/>
      <c r="R4" s="5"/>
      <c r="S4" s="5"/>
      <c r="T4" s="5"/>
      <c r="U4" s="5"/>
      <c r="V4" s="5"/>
    </row>
    <row r="5" spans="1:22" s="10" customFormat="1" x14ac:dyDescent="0.2">
      <c r="A5" s="67" t="s">
        <v>14</v>
      </c>
      <c r="B5" s="58"/>
      <c r="C5" s="58"/>
      <c r="D5" s="21"/>
      <c r="E5" s="7" t="s">
        <v>26</v>
      </c>
      <c r="F5" s="64"/>
      <c r="G5" s="68"/>
      <c r="H5" s="68"/>
      <c r="I5" s="68"/>
      <c r="J5" s="68"/>
      <c r="K5" s="68"/>
      <c r="L5" s="5"/>
      <c r="M5" s="5"/>
      <c r="N5" s="66"/>
      <c r="O5" s="4"/>
      <c r="P5" s="4"/>
      <c r="Q5" s="5"/>
      <c r="R5" s="5"/>
      <c r="S5" s="5"/>
      <c r="T5" s="5"/>
      <c r="U5" s="5"/>
    </row>
    <row r="6" spans="1:22" s="10" customFormat="1" x14ac:dyDescent="0.2">
      <c r="A6" s="60" t="s">
        <v>14</v>
      </c>
      <c r="B6" s="61"/>
      <c r="C6" s="61"/>
      <c r="D6" s="4" t="s">
        <v>12</v>
      </c>
      <c r="E6" s="12" t="s">
        <v>129</v>
      </c>
      <c r="F6" s="12"/>
      <c r="G6" s="12"/>
      <c r="H6" s="12"/>
      <c r="I6" s="12"/>
      <c r="J6" s="12"/>
      <c r="K6" s="12"/>
      <c r="L6" s="1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5"/>
      <c r="U6" s="5"/>
    </row>
    <row r="7" spans="1:22" s="10" customFormat="1" x14ac:dyDescent="0.2">
      <c r="A7" s="25" t="s">
        <v>29</v>
      </c>
      <c r="B7" s="25"/>
      <c r="C7" s="25"/>
      <c r="D7" s="26"/>
      <c r="E7" s="26"/>
      <c r="F7" s="27"/>
      <c r="G7" s="26"/>
      <c r="H7" s="26"/>
      <c r="I7" s="26" t="s">
        <v>30</v>
      </c>
      <c r="J7" s="26"/>
      <c r="K7" s="28" t="s">
        <v>31</v>
      </c>
      <c r="L7" s="29" t="s">
        <v>33</v>
      </c>
      <c r="M7" s="30"/>
      <c r="N7" s="29" t="s">
        <v>33</v>
      </c>
      <c r="O7" s="30"/>
      <c r="P7" s="29" t="s">
        <v>33</v>
      </c>
      <c r="Q7" s="30"/>
      <c r="R7" s="31"/>
      <c r="S7" s="31"/>
      <c r="T7" s="31"/>
      <c r="U7" s="31"/>
    </row>
    <row r="8" spans="1:22" s="10" customFormat="1" ht="60" customHeight="1" x14ac:dyDescent="0.2">
      <c r="A8" s="47" t="s">
        <v>29</v>
      </c>
      <c r="B8" s="75"/>
      <c r="C8" s="76"/>
      <c r="D8" s="73" t="s">
        <v>176</v>
      </c>
      <c r="E8" s="73" t="s">
        <v>177</v>
      </c>
      <c r="F8" s="69"/>
      <c r="G8" s="73" t="s">
        <v>34</v>
      </c>
      <c r="H8" s="73" t="s">
        <v>178</v>
      </c>
      <c r="I8" s="69"/>
      <c r="J8" s="3"/>
      <c r="K8" s="8"/>
      <c r="L8" s="29" t="s">
        <v>53</v>
      </c>
      <c r="M8" s="47"/>
      <c r="N8" s="29" t="s">
        <v>53</v>
      </c>
      <c r="O8" s="47"/>
      <c r="P8" s="29" t="s">
        <v>53</v>
      </c>
      <c r="Q8" s="47"/>
      <c r="R8" s="77"/>
      <c r="S8" s="78"/>
      <c r="T8" s="79" t="s">
        <v>187</v>
      </c>
      <c r="U8" s="80"/>
    </row>
    <row r="9" spans="1:22" s="10" customFormat="1" ht="60" customHeight="1" x14ac:dyDescent="0.2">
      <c r="A9" s="8" t="s">
        <v>29</v>
      </c>
      <c r="B9" s="33"/>
      <c r="C9" s="34"/>
      <c r="D9" s="73" t="s">
        <v>179</v>
      </c>
      <c r="E9" s="81" t="s">
        <v>180</v>
      </c>
      <c r="F9" s="73" t="s">
        <v>181</v>
      </c>
      <c r="G9" s="73" t="s">
        <v>182</v>
      </c>
      <c r="H9" s="73" t="s">
        <v>183</v>
      </c>
      <c r="I9" s="82" t="s">
        <v>184</v>
      </c>
      <c r="J9" s="73" t="s">
        <v>185</v>
      </c>
      <c r="K9" s="7"/>
      <c r="L9" s="29"/>
      <c r="M9" s="29"/>
      <c r="N9" s="29"/>
      <c r="O9" s="29"/>
      <c r="P9" s="29"/>
      <c r="Q9" s="29"/>
      <c r="R9" s="79" t="s">
        <v>186</v>
      </c>
      <c r="S9" s="80"/>
      <c r="T9" s="79" t="s">
        <v>188</v>
      </c>
      <c r="U9" s="80"/>
    </row>
    <row r="10" spans="1:22" s="10" customFormat="1" ht="52" x14ac:dyDescent="0.2">
      <c r="A10" s="37" t="s">
        <v>55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74" t="s">
        <v>184</v>
      </c>
      <c r="M10" s="74" t="s">
        <v>185</v>
      </c>
      <c r="N10" s="74" t="s">
        <v>184</v>
      </c>
      <c r="O10" s="74" t="s">
        <v>185</v>
      </c>
      <c r="P10" s="74" t="s">
        <v>184</v>
      </c>
      <c r="Q10" s="74" t="s">
        <v>185</v>
      </c>
      <c r="R10" s="39"/>
      <c r="S10" s="39"/>
      <c r="T10" s="41"/>
      <c r="U10" s="36"/>
    </row>
    <row r="11" spans="1:22" s="10" customFormat="1" x14ac:dyDescent="0.2">
      <c r="A11" s="8">
        <v>10</v>
      </c>
      <c r="B11" s="33" t="s">
        <v>56</v>
      </c>
      <c r="C11" s="34"/>
      <c r="D11" s="24" t="s">
        <v>165</v>
      </c>
      <c r="E11" s="32" t="s">
        <v>130</v>
      </c>
      <c r="F11" s="42"/>
      <c r="G11" s="24" t="s">
        <v>131</v>
      </c>
      <c r="H11" s="71" t="s">
        <v>169</v>
      </c>
      <c r="I11" s="44"/>
      <c r="J11" s="45"/>
      <c r="K11" s="45"/>
      <c r="L11" s="32"/>
      <c r="M11" s="8"/>
      <c r="N11" s="70"/>
      <c r="O11" s="8"/>
      <c r="P11" s="70"/>
      <c r="Q11" s="8"/>
      <c r="R11" s="35"/>
      <c r="S11" s="36"/>
      <c r="T11" s="56"/>
      <c r="U11" s="46"/>
    </row>
    <row r="12" spans="1:22" s="10" customFormat="1" x14ac:dyDescent="0.2">
      <c r="A12" s="8">
        <v>10</v>
      </c>
      <c r="B12" s="8"/>
      <c r="C12" s="8"/>
      <c r="D12" s="8" t="s">
        <v>113</v>
      </c>
      <c r="E12" s="47" t="s">
        <v>63</v>
      </c>
      <c r="F12" s="47"/>
      <c r="G12" s="48" t="s">
        <v>190</v>
      </c>
      <c r="H12" s="48" t="s">
        <v>64</v>
      </c>
      <c r="I12" s="8" t="s">
        <v>65</v>
      </c>
      <c r="J12" s="8" t="s">
        <v>61</v>
      </c>
      <c r="K12" s="8"/>
      <c r="L12" s="8"/>
      <c r="M12" s="8"/>
      <c r="N12" s="8"/>
      <c r="O12" s="8"/>
      <c r="P12" s="8"/>
      <c r="Q12" s="8"/>
      <c r="R12" s="35"/>
      <c r="S12" s="36"/>
      <c r="T12" s="83"/>
      <c r="U12" s="84"/>
    </row>
    <row r="13" spans="1:22" s="10" customFormat="1" x14ac:dyDescent="0.2">
      <c r="A13" s="8">
        <v>10</v>
      </c>
      <c r="B13" s="8"/>
      <c r="C13" s="8"/>
      <c r="D13" s="8" t="s">
        <v>68</v>
      </c>
      <c r="E13" s="47" t="s">
        <v>69</v>
      </c>
      <c r="F13" s="47"/>
      <c r="G13" s="48" t="s">
        <v>191</v>
      </c>
      <c r="H13" s="48" t="s">
        <v>70</v>
      </c>
      <c r="I13" s="8" t="s">
        <v>65</v>
      </c>
      <c r="J13" s="8" t="s">
        <v>61</v>
      </c>
      <c r="K13" s="8"/>
      <c r="L13" s="8"/>
      <c r="M13" s="8"/>
      <c r="N13" s="8"/>
      <c r="O13" s="8"/>
      <c r="P13" s="8"/>
      <c r="Q13" s="8"/>
      <c r="R13" s="35"/>
      <c r="S13" s="36"/>
      <c r="T13" s="83"/>
      <c r="U13" s="84"/>
    </row>
    <row r="14" spans="1:22" s="10" customFormat="1" x14ac:dyDescent="0.2">
      <c r="A14" s="8">
        <v>10</v>
      </c>
      <c r="B14" s="8"/>
      <c r="C14" s="8"/>
      <c r="D14" s="8" t="s">
        <v>132</v>
      </c>
      <c r="E14" s="47" t="s">
        <v>73</v>
      </c>
      <c r="F14" s="47"/>
      <c r="G14" s="48" t="s">
        <v>192</v>
      </c>
      <c r="H14" s="48" t="s">
        <v>74</v>
      </c>
      <c r="I14" s="8" t="s">
        <v>65</v>
      </c>
      <c r="J14" s="8" t="s">
        <v>61</v>
      </c>
      <c r="K14" s="8"/>
      <c r="L14" s="8"/>
      <c r="M14" s="8"/>
      <c r="N14" s="8"/>
      <c r="O14" s="8"/>
      <c r="P14" s="8"/>
      <c r="Q14" s="8"/>
      <c r="R14" s="35"/>
      <c r="S14" s="36"/>
      <c r="T14" s="83"/>
      <c r="U14" s="84"/>
    </row>
    <row r="15" spans="1:22" s="10" customFormat="1" x14ac:dyDescent="0.2">
      <c r="A15" s="8">
        <v>10</v>
      </c>
      <c r="B15" s="8"/>
      <c r="C15" s="8"/>
      <c r="D15" s="8" t="s">
        <v>156</v>
      </c>
      <c r="E15" s="47" t="s">
        <v>157</v>
      </c>
      <c r="F15" s="47"/>
      <c r="G15" s="48" t="s">
        <v>193</v>
      </c>
      <c r="H15" s="48" t="s">
        <v>161</v>
      </c>
      <c r="I15" s="8" t="s">
        <v>65</v>
      </c>
      <c r="J15" s="8" t="s">
        <v>61</v>
      </c>
      <c r="K15" s="8"/>
      <c r="L15" s="8"/>
      <c r="M15" s="8"/>
      <c r="N15" s="8"/>
      <c r="O15" s="8"/>
      <c r="P15" s="8"/>
      <c r="Q15" s="8"/>
      <c r="R15" s="35"/>
      <c r="S15" s="36"/>
      <c r="T15" s="83"/>
      <c r="U15" s="84"/>
    </row>
    <row r="16" spans="1:22" s="10" customFormat="1" x14ac:dyDescent="0.2">
      <c r="A16" s="8">
        <v>10</v>
      </c>
      <c r="B16" s="8"/>
      <c r="C16" s="8"/>
      <c r="D16" s="8" t="s">
        <v>133</v>
      </c>
      <c r="E16" s="47" t="s">
        <v>59</v>
      </c>
      <c r="F16" s="47"/>
      <c r="G16" s="48" t="s">
        <v>194</v>
      </c>
      <c r="H16" s="48" t="s">
        <v>77</v>
      </c>
      <c r="I16" s="8" t="s">
        <v>65</v>
      </c>
      <c r="J16" s="8" t="s">
        <v>61</v>
      </c>
      <c r="K16" s="8"/>
      <c r="L16" s="8"/>
      <c r="M16" s="8"/>
      <c r="N16" s="8"/>
      <c r="O16" s="8"/>
      <c r="P16" s="8"/>
      <c r="Q16" s="8"/>
      <c r="R16" s="35"/>
      <c r="S16" s="36"/>
      <c r="T16" s="56"/>
      <c r="U16" s="57"/>
    </row>
    <row r="17" spans="1:21" s="10" customFormat="1" x14ac:dyDescent="0.2">
      <c r="A17" s="8">
        <v>10</v>
      </c>
      <c r="B17" s="8"/>
      <c r="C17" s="8"/>
      <c r="D17" s="8" t="s">
        <v>78</v>
      </c>
      <c r="E17" s="47" t="s">
        <v>59</v>
      </c>
      <c r="F17" s="47"/>
      <c r="G17" s="48" t="s">
        <v>195</v>
      </c>
      <c r="H17" s="48" t="s">
        <v>79</v>
      </c>
      <c r="I17" s="8" t="s">
        <v>65</v>
      </c>
      <c r="J17" s="8" t="s">
        <v>61</v>
      </c>
      <c r="K17" s="8"/>
      <c r="L17" s="8"/>
      <c r="M17" s="8"/>
      <c r="N17" s="8"/>
      <c r="O17" s="8"/>
      <c r="P17" s="8"/>
      <c r="Q17" s="8"/>
      <c r="R17" s="35"/>
      <c r="S17" s="36"/>
      <c r="T17" s="56"/>
      <c r="U17" s="57"/>
    </row>
    <row r="18" spans="1:21" s="10" customFormat="1" x14ac:dyDescent="0.2">
      <c r="A18" s="8">
        <v>10</v>
      </c>
      <c r="B18" s="8"/>
      <c r="C18" s="8"/>
      <c r="D18" s="8" t="s">
        <v>134</v>
      </c>
      <c r="E18" s="47" t="s">
        <v>59</v>
      </c>
      <c r="F18" s="47"/>
      <c r="G18" s="48" t="s">
        <v>196</v>
      </c>
      <c r="H18" s="48" t="s">
        <v>81</v>
      </c>
      <c r="I18" s="8" t="s">
        <v>65</v>
      </c>
      <c r="J18" s="8" t="s">
        <v>61</v>
      </c>
      <c r="K18" s="8"/>
      <c r="L18" s="8"/>
      <c r="M18" s="8"/>
      <c r="N18" s="8"/>
      <c r="O18" s="8"/>
      <c r="P18" s="8"/>
      <c r="Q18" s="8"/>
      <c r="R18" s="35"/>
      <c r="S18" s="36"/>
      <c r="T18" s="56"/>
      <c r="U18" s="57"/>
    </row>
    <row r="19" spans="1:21" s="10" customFormat="1" x14ac:dyDescent="0.2">
      <c r="A19" s="8">
        <v>10</v>
      </c>
      <c r="B19" s="8"/>
      <c r="C19" s="8"/>
      <c r="D19" s="8" t="s">
        <v>82</v>
      </c>
      <c r="E19" s="47" t="s">
        <v>59</v>
      </c>
      <c r="F19" s="47"/>
      <c r="G19" s="48" t="s">
        <v>197</v>
      </c>
      <c r="H19" s="48" t="s">
        <v>83</v>
      </c>
      <c r="I19" s="8" t="s">
        <v>65</v>
      </c>
      <c r="J19" s="8" t="s">
        <v>61</v>
      </c>
      <c r="K19" s="8"/>
      <c r="L19" s="8"/>
      <c r="M19" s="8"/>
      <c r="N19" s="8"/>
      <c r="O19" s="8"/>
      <c r="P19" s="8"/>
      <c r="Q19" s="8"/>
      <c r="R19" s="35"/>
      <c r="S19" s="36"/>
      <c r="T19" s="56"/>
      <c r="U19" s="57"/>
    </row>
    <row r="20" spans="1:21" s="10" customFormat="1" x14ac:dyDescent="0.2">
      <c r="A20" s="8">
        <v>10</v>
      </c>
      <c r="B20" s="8"/>
      <c r="C20" s="8"/>
      <c r="D20" s="8" t="s">
        <v>135</v>
      </c>
      <c r="E20" s="47" t="s">
        <v>59</v>
      </c>
      <c r="F20" s="47"/>
      <c r="G20" s="48" t="s">
        <v>198</v>
      </c>
      <c r="H20" s="48" t="s">
        <v>85</v>
      </c>
      <c r="I20" s="8" t="s">
        <v>65</v>
      </c>
      <c r="J20" s="8" t="s">
        <v>61</v>
      </c>
      <c r="K20" s="8"/>
      <c r="L20" s="8"/>
      <c r="M20" s="8"/>
      <c r="N20" s="8"/>
      <c r="O20" s="8"/>
      <c r="P20" s="8"/>
      <c r="Q20" s="8"/>
      <c r="R20" s="35"/>
      <c r="S20" s="36"/>
      <c r="T20" s="56"/>
      <c r="U20" s="57"/>
    </row>
    <row r="21" spans="1:21" s="10" customFormat="1" x14ac:dyDescent="0.2">
      <c r="A21" s="8">
        <v>10</v>
      </c>
      <c r="B21" s="8"/>
      <c r="C21" s="8"/>
      <c r="D21" s="8" t="s">
        <v>86</v>
      </c>
      <c r="E21" s="47" t="s">
        <v>59</v>
      </c>
      <c r="F21" s="47"/>
      <c r="G21" s="48" t="s">
        <v>199</v>
      </c>
      <c r="H21" s="48" t="s">
        <v>87</v>
      </c>
      <c r="I21" s="8" t="s">
        <v>65</v>
      </c>
      <c r="J21" s="8" t="s">
        <v>61</v>
      </c>
      <c r="K21" s="8"/>
      <c r="L21" s="8"/>
      <c r="M21" s="8"/>
      <c r="N21" s="8"/>
      <c r="O21" s="8"/>
      <c r="P21" s="8"/>
      <c r="Q21" s="8"/>
      <c r="R21" s="35"/>
      <c r="S21" s="36"/>
      <c r="T21" s="83"/>
      <c r="U21" s="84"/>
    </row>
    <row r="22" spans="1:21" s="10" customFormat="1" x14ac:dyDescent="0.2">
      <c r="A22" s="8">
        <v>10</v>
      </c>
      <c r="B22" s="8"/>
      <c r="C22" s="8"/>
      <c r="D22" s="8" t="s">
        <v>136</v>
      </c>
      <c r="E22" s="47" t="s">
        <v>59</v>
      </c>
      <c r="F22" s="47"/>
      <c r="G22" s="48" t="s">
        <v>200</v>
      </c>
      <c r="H22" s="48" t="s">
        <v>89</v>
      </c>
      <c r="I22" s="8" t="s">
        <v>65</v>
      </c>
      <c r="J22" s="8" t="s">
        <v>61</v>
      </c>
      <c r="K22" s="8"/>
      <c r="L22" s="8"/>
      <c r="M22" s="8"/>
      <c r="N22" s="8"/>
      <c r="O22" s="8"/>
      <c r="P22" s="8"/>
      <c r="Q22" s="8"/>
      <c r="R22" s="35"/>
      <c r="S22" s="36"/>
      <c r="T22" s="83"/>
      <c r="U22" s="84"/>
    </row>
    <row r="23" spans="1:21" s="10" customFormat="1" x14ac:dyDescent="0.2">
      <c r="A23" s="8">
        <v>10</v>
      </c>
      <c r="B23" s="8"/>
      <c r="C23" s="8"/>
      <c r="D23" s="8" t="s">
        <v>90</v>
      </c>
      <c r="E23" s="47" t="s">
        <v>59</v>
      </c>
      <c r="F23" s="47"/>
      <c r="G23" s="48" t="s">
        <v>201</v>
      </c>
      <c r="H23" s="48" t="s">
        <v>91</v>
      </c>
      <c r="I23" s="8" t="s">
        <v>65</v>
      </c>
      <c r="J23" s="8" t="s">
        <v>61</v>
      </c>
      <c r="K23" s="8"/>
      <c r="L23" s="8"/>
      <c r="M23" s="8"/>
      <c r="N23" s="8"/>
      <c r="O23" s="8"/>
      <c r="P23" s="8"/>
      <c r="Q23" s="8"/>
      <c r="R23" s="35"/>
      <c r="S23" s="36"/>
      <c r="T23" s="83"/>
      <c r="U23" s="84"/>
    </row>
    <row r="24" spans="1:21" s="10" customFormat="1" ht="26" x14ac:dyDescent="0.2">
      <c r="A24" s="8">
        <v>10</v>
      </c>
      <c r="B24" s="8"/>
      <c r="C24" s="8"/>
      <c r="D24" s="8" t="s">
        <v>92</v>
      </c>
      <c r="E24" s="47" t="s">
        <v>59</v>
      </c>
      <c r="F24" s="47"/>
      <c r="G24" s="48" t="s">
        <v>202</v>
      </c>
      <c r="H24" s="48" t="s">
        <v>93</v>
      </c>
      <c r="I24" s="8" t="s">
        <v>65</v>
      </c>
      <c r="J24" s="8" t="s">
        <v>61</v>
      </c>
      <c r="K24" s="8"/>
      <c r="L24" s="8"/>
      <c r="M24" s="8"/>
      <c r="N24" s="8"/>
      <c r="O24" s="8"/>
      <c r="P24" s="8"/>
      <c r="Q24" s="8"/>
      <c r="R24" s="35"/>
      <c r="S24" s="36"/>
      <c r="T24" s="83"/>
      <c r="U24" s="84"/>
    </row>
    <row r="25" spans="1:21" s="10" customFormat="1" x14ac:dyDescent="0.2">
      <c r="A25" s="8">
        <v>10</v>
      </c>
      <c r="B25" s="8"/>
      <c r="C25" s="8"/>
      <c r="D25" s="8" t="s">
        <v>137</v>
      </c>
      <c r="E25" s="47" t="s">
        <v>59</v>
      </c>
      <c r="F25" s="47"/>
      <c r="G25" s="48" t="s">
        <v>203</v>
      </c>
      <c r="H25" s="48" t="s">
        <v>95</v>
      </c>
      <c r="I25" s="8" t="s">
        <v>65</v>
      </c>
      <c r="J25" s="8" t="s">
        <v>61</v>
      </c>
      <c r="K25" s="8"/>
      <c r="L25" s="8"/>
      <c r="M25" s="8"/>
      <c r="N25" s="8"/>
      <c r="O25" s="8"/>
      <c r="P25" s="8"/>
      <c r="Q25" s="8"/>
      <c r="R25" s="35"/>
      <c r="S25" s="36"/>
      <c r="T25" s="83"/>
      <c r="U25" s="84"/>
    </row>
    <row r="26" spans="1:21" s="10" customFormat="1" x14ac:dyDescent="0.2">
      <c r="A26" s="8">
        <v>10</v>
      </c>
      <c r="B26" s="8"/>
      <c r="C26" s="8"/>
      <c r="D26" s="8" t="s">
        <v>138</v>
      </c>
      <c r="E26" s="47" t="s">
        <v>59</v>
      </c>
      <c r="F26" s="47"/>
      <c r="G26" s="48" t="s">
        <v>204</v>
      </c>
      <c r="H26" s="48" t="s">
        <v>97</v>
      </c>
      <c r="I26" s="8" t="s">
        <v>65</v>
      </c>
      <c r="J26" s="8" t="s">
        <v>61</v>
      </c>
      <c r="K26" s="8"/>
      <c r="L26" s="8"/>
      <c r="M26" s="8"/>
      <c r="N26" s="8"/>
      <c r="O26" s="8"/>
      <c r="P26" s="8"/>
      <c r="Q26" s="8"/>
      <c r="R26" s="35"/>
      <c r="S26" s="36"/>
      <c r="T26" s="83"/>
      <c r="U26" s="84"/>
    </row>
    <row r="27" spans="1:21" s="10" customFormat="1" x14ac:dyDescent="0.2">
      <c r="A27" s="8">
        <v>10</v>
      </c>
      <c r="B27" s="8"/>
      <c r="C27" s="8"/>
      <c r="D27" s="8" t="s">
        <v>98</v>
      </c>
      <c r="E27" s="47" t="s">
        <v>139</v>
      </c>
      <c r="F27" s="47"/>
      <c r="G27" s="48" t="s">
        <v>205</v>
      </c>
      <c r="H27" s="48" t="s">
        <v>100</v>
      </c>
      <c r="I27" s="8" t="s">
        <v>65</v>
      </c>
      <c r="J27" s="8" t="s">
        <v>61</v>
      </c>
      <c r="K27" s="8"/>
      <c r="L27" s="8"/>
      <c r="M27" s="8"/>
      <c r="N27" s="8"/>
      <c r="O27" s="8"/>
      <c r="P27" s="8"/>
      <c r="Q27" s="8"/>
      <c r="R27" s="35"/>
      <c r="S27" s="36"/>
      <c r="T27" s="83"/>
      <c r="U27" s="84"/>
    </row>
    <row r="28" spans="1:21" s="10" customFormat="1" x14ac:dyDescent="0.2">
      <c r="A28" s="22"/>
      <c r="B28" s="23"/>
      <c r="C28" s="23"/>
      <c r="D28" s="16" t="s">
        <v>13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60"/>
      <c r="U29" s="51"/>
    </row>
    <row r="30" spans="1:21" s="10" customFormat="1" x14ac:dyDescent="0.2">
      <c r="A30" s="60"/>
      <c r="U30" s="51"/>
    </row>
    <row r="31" spans="1:21" s="10" customFormat="1" x14ac:dyDescent="0.2">
      <c r="A31" s="60"/>
      <c r="U31" s="51"/>
    </row>
    <row r="32" spans="1:21" s="10" customFormat="1" x14ac:dyDescent="0.2">
      <c r="A32" s="60"/>
      <c r="U32" s="51"/>
    </row>
    <row r="33" spans="1:21" s="10" customFormat="1" x14ac:dyDescent="0.2">
      <c r="A33" s="67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52"/>
    </row>
  </sheetData>
  <mergeCells count="11">
    <mergeCell ref="T22:U22"/>
    <mergeCell ref="T15:U15"/>
    <mergeCell ref="T12:U12"/>
    <mergeCell ref="T13:U13"/>
    <mergeCell ref="T14:U14"/>
    <mergeCell ref="T21:U21"/>
    <mergeCell ref="T24:U24"/>
    <mergeCell ref="T25:U25"/>
    <mergeCell ref="T26:U26"/>
    <mergeCell ref="T27:U27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5.81640625" style="4" customWidth="1"/>
    <col min="17" max="17" width="4.179687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8" t="s">
        <v>14</v>
      </c>
      <c r="B1" s="58" t="s">
        <v>14</v>
      </c>
      <c r="C1" s="58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14</v>
      </c>
      <c r="B2" s="23"/>
      <c r="C2" s="23"/>
      <c r="D2" s="72" t="s">
        <v>175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MGBDB0020</v>
      </c>
      <c r="I2" s="7" t="s">
        <v>16</v>
      </c>
      <c r="J2" s="8" t="s">
        <v>174</v>
      </c>
      <c r="K2" s="7" t="s">
        <v>4</v>
      </c>
      <c r="L2" s="59" t="str">
        <f>IF(LogicCommon!G2="","",LogicCommon!G2)</f>
        <v>MC</v>
      </c>
      <c r="M2" s="5" t="s">
        <v>17</v>
      </c>
      <c r="N2" s="24" t="s">
        <v>160</v>
      </c>
      <c r="O2" s="7"/>
      <c r="P2" s="7"/>
      <c r="Q2" s="4"/>
    </row>
    <row r="3" spans="1:17" s="10" customFormat="1" x14ac:dyDescent="0.2">
      <c r="A3" s="60" t="s">
        <v>14</v>
      </c>
      <c r="B3" s="61"/>
      <c r="C3" s="61"/>
      <c r="D3" s="62" t="str">
        <f>IF(LogicCommon!A3="","",LogicCommon!A3)</f>
        <v/>
      </c>
      <c r="E3" s="7" t="s">
        <v>6</v>
      </c>
      <c r="F3" s="59" t="str">
        <f>IF(LogicCommon!C3="","",LogicCommon!C3)</f>
        <v>MGBD</v>
      </c>
      <c r="G3" s="7" t="s">
        <v>8</v>
      </c>
      <c r="H3" s="59" t="str">
        <f>IF(LogicCommon!E3="","",LogicCommon!E3)</f>
        <v>MGBDL_CostItmInfoCopyBatch</v>
      </c>
      <c r="I3" s="7" t="s">
        <v>18</v>
      </c>
      <c r="J3" s="8" t="s">
        <v>127</v>
      </c>
      <c r="K3" s="7" t="s">
        <v>9</v>
      </c>
      <c r="L3" s="59" t="str">
        <f>IF(LogicCommon!G3="","",LogicCommon!G3)</f>
        <v/>
      </c>
      <c r="M3" s="63"/>
      <c r="N3" s="7"/>
      <c r="O3" s="7" t="s">
        <v>19</v>
      </c>
      <c r="P3" s="8" t="s">
        <v>20</v>
      </c>
      <c r="Q3" s="4"/>
    </row>
    <row r="4" spans="1:17" s="10" customFormat="1" x14ac:dyDescent="0.2">
      <c r="A4" s="60" t="s">
        <v>14</v>
      </c>
      <c r="B4" s="61"/>
      <c r="C4" s="61"/>
      <c r="D4" s="4"/>
      <c r="E4" s="7" t="s">
        <v>21</v>
      </c>
      <c r="F4" s="64" t="s">
        <v>22</v>
      </c>
      <c r="G4" s="7" t="s">
        <v>10</v>
      </c>
      <c r="H4" s="59" t="str">
        <f>IF(LogicCommon!E4="","",LogicCommon!E4)</f>
        <v>原価品目情報一括取込バッチ</v>
      </c>
      <c r="I4" s="7" t="s">
        <v>23</v>
      </c>
      <c r="J4" s="8" t="s">
        <v>140</v>
      </c>
      <c r="K4" s="7" t="s">
        <v>11</v>
      </c>
      <c r="L4" s="59" t="str">
        <f>IF(LogicCommon!G4="","",LogicCommon!G4)</f>
        <v>MG.MGUDL5010</v>
      </c>
      <c r="M4" s="65" t="s">
        <v>25</v>
      </c>
      <c r="N4" s="24"/>
      <c r="O4" s="66"/>
      <c r="P4" s="4"/>
      <c r="Q4" s="4"/>
    </row>
    <row r="5" spans="1:17" s="10" customFormat="1" x14ac:dyDescent="0.2">
      <c r="A5" s="67" t="s">
        <v>14</v>
      </c>
      <c r="B5" s="58"/>
      <c r="C5" s="58"/>
      <c r="D5" s="21"/>
      <c r="E5" s="7" t="s">
        <v>26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</row>
    <row r="6" spans="1:17" s="10" customFormat="1" x14ac:dyDescent="0.2">
      <c r="A6" s="60" t="s">
        <v>14</v>
      </c>
      <c r="B6" s="61"/>
      <c r="C6" s="61"/>
      <c r="D6" s="4" t="s">
        <v>12</v>
      </c>
      <c r="E6" s="12" t="s">
        <v>141</v>
      </c>
      <c r="F6" s="12"/>
      <c r="G6" s="12"/>
      <c r="H6" s="12"/>
      <c r="I6" s="12"/>
      <c r="J6" s="12"/>
      <c r="K6" s="12"/>
      <c r="L6" s="69"/>
      <c r="M6" s="15" t="s">
        <v>28</v>
      </c>
      <c r="N6" s="15"/>
      <c r="O6" s="15"/>
      <c r="P6" s="15"/>
      <c r="Q6" s="15"/>
    </row>
    <row r="7" spans="1:17" s="10" customFormat="1" x14ac:dyDescent="0.2">
      <c r="A7" s="25" t="s">
        <v>29</v>
      </c>
      <c r="B7" s="25"/>
      <c r="C7" s="25"/>
      <c r="D7" s="26"/>
      <c r="E7" s="26"/>
      <c r="F7" s="27"/>
      <c r="G7" s="26"/>
      <c r="H7" s="26"/>
      <c r="I7" s="26" t="s">
        <v>30</v>
      </c>
      <c r="J7" s="26"/>
      <c r="K7" s="28" t="s">
        <v>31</v>
      </c>
      <c r="L7" s="29" t="s">
        <v>33</v>
      </c>
      <c r="M7" s="30"/>
      <c r="N7" s="31"/>
      <c r="O7" s="31"/>
      <c r="P7" s="31"/>
      <c r="Q7" s="31"/>
    </row>
    <row r="8" spans="1:17" s="10" customFormat="1" ht="60" customHeight="1" x14ac:dyDescent="0.2">
      <c r="A8" s="47" t="s">
        <v>29</v>
      </c>
      <c r="B8" s="75"/>
      <c r="C8" s="76"/>
      <c r="D8" s="73" t="s">
        <v>176</v>
      </c>
      <c r="E8" s="73" t="s">
        <v>177</v>
      </c>
      <c r="F8" s="69"/>
      <c r="G8" s="73" t="s">
        <v>34</v>
      </c>
      <c r="H8" s="73" t="s">
        <v>178</v>
      </c>
      <c r="I8" s="69"/>
      <c r="J8" s="3"/>
      <c r="K8" s="8"/>
      <c r="L8" s="29" t="s">
        <v>111</v>
      </c>
      <c r="M8" s="8"/>
      <c r="N8" s="77"/>
      <c r="O8" s="78"/>
      <c r="P8" s="79" t="s">
        <v>187</v>
      </c>
      <c r="Q8" s="80"/>
    </row>
    <row r="9" spans="1:17" s="10" customFormat="1" ht="60" customHeight="1" x14ac:dyDescent="0.2">
      <c r="A9" s="8" t="s">
        <v>29</v>
      </c>
      <c r="B9" s="33"/>
      <c r="C9" s="34"/>
      <c r="D9" s="73" t="s">
        <v>179</v>
      </c>
      <c r="E9" s="81" t="s">
        <v>180</v>
      </c>
      <c r="F9" s="73" t="s">
        <v>181</v>
      </c>
      <c r="G9" s="73" t="s">
        <v>182</v>
      </c>
      <c r="H9" s="73" t="s">
        <v>183</v>
      </c>
      <c r="I9" s="82" t="s">
        <v>184</v>
      </c>
      <c r="J9" s="73" t="s">
        <v>185</v>
      </c>
      <c r="K9" s="7"/>
      <c r="L9" s="29"/>
      <c r="M9" s="29"/>
      <c r="N9" s="79" t="s">
        <v>186</v>
      </c>
      <c r="O9" s="80"/>
      <c r="P9" s="79" t="s">
        <v>188</v>
      </c>
      <c r="Q9" s="80"/>
    </row>
    <row r="10" spans="1:17" s="10" customFormat="1" ht="52" x14ac:dyDescent="0.2">
      <c r="A10" s="37" t="s">
        <v>54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74" t="s">
        <v>184</v>
      </c>
      <c r="M10" s="74" t="s">
        <v>185</v>
      </c>
      <c r="N10" s="39"/>
      <c r="O10" s="39"/>
      <c r="P10" s="41"/>
      <c r="Q10" s="36"/>
    </row>
    <row r="11" spans="1:17" s="10" customFormat="1" x14ac:dyDescent="0.2">
      <c r="A11" s="8">
        <v>10</v>
      </c>
      <c r="B11" s="33" t="s">
        <v>56</v>
      </c>
      <c r="C11" s="34"/>
      <c r="D11" s="24" t="s">
        <v>168</v>
      </c>
      <c r="E11" s="32" t="s">
        <v>142</v>
      </c>
      <c r="F11" s="42"/>
      <c r="G11" s="24" t="s">
        <v>131</v>
      </c>
      <c r="H11" s="43" t="s">
        <v>170</v>
      </c>
      <c r="I11" s="44"/>
      <c r="J11" s="45"/>
      <c r="K11" s="45"/>
      <c r="L11" s="45"/>
      <c r="M11" s="45"/>
      <c r="N11" s="35"/>
      <c r="O11" s="36"/>
      <c r="P11" s="56"/>
      <c r="Q11" s="46"/>
    </row>
    <row r="12" spans="1:17" s="10" customFormat="1" x14ac:dyDescent="0.2">
      <c r="A12" s="8">
        <v>10</v>
      </c>
      <c r="B12" s="8"/>
      <c r="C12" s="8"/>
      <c r="D12" s="8" t="s">
        <v>143</v>
      </c>
      <c r="E12" s="47" t="s">
        <v>144</v>
      </c>
      <c r="F12" s="47"/>
      <c r="G12" s="48" t="s">
        <v>190</v>
      </c>
      <c r="H12" s="48" t="s">
        <v>64</v>
      </c>
      <c r="I12" s="8" t="s">
        <v>65</v>
      </c>
      <c r="J12" s="8" t="s">
        <v>61</v>
      </c>
      <c r="K12" s="8"/>
      <c r="L12" s="8"/>
      <c r="M12" s="8"/>
      <c r="N12" s="35"/>
      <c r="O12" s="36"/>
      <c r="P12" s="83"/>
      <c r="Q12" s="84"/>
    </row>
    <row r="13" spans="1:17" s="10" customFormat="1" x14ac:dyDescent="0.2">
      <c r="A13" s="8">
        <v>10</v>
      </c>
      <c r="B13" s="8"/>
      <c r="C13" s="8"/>
      <c r="D13" s="8" t="s">
        <v>68</v>
      </c>
      <c r="E13" s="47" t="s">
        <v>145</v>
      </c>
      <c r="F13" s="47"/>
      <c r="G13" s="48" t="s">
        <v>191</v>
      </c>
      <c r="H13" s="48" t="s">
        <v>70</v>
      </c>
      <c r="I13" s="8" t="s">
        <v>65</v>
      </c>
      <c r="J13" s="8" t="s">
        <v>61</v>
      </c>
      <c r="K13" s="8"/>
      <c r="L13" s="8"/>
      <c r="M13" s="8"/>
      <c r="N13" s="35"/>
      <c r="O13" s="36"/>
      <c r="P13" s="83"/>
      <c r="Q13" s="84"/>
    </row>
    <row r="14" spans="1:17" s="10" customFormat="1" x14ac:dyDescent="0.2">
      <c r="A14" s="8">
        <v>10</v>
      </c>
      <c r="B14" s="8"/>
      <c r="C14" s="8"/>
      <c r="D14" s="8" t="s">
        <v>117</v>
      </c>
      <c r="E14" s="47" t="s">
        <v>73</v>
      </c>
      <c r="F14" s="47"/>
      <c r="G14" s="48" t="s">
        <v>206</v>
      </c>
      <c r="H14" s="48" t="s">
        <v>118</v>
      </c>
      <c r="I14" s="8" t="s">
        <v>65</v>
      </c>
      <c r="J14" s="8" t="s">
        <v>61</v>
      </c>
      <c r="K14" s="8"/>
      <c r="L14" s="8"/>
      <c r="M14" s="8"/>
      <c r="N14" s="35"/>
      <c r="O14" s="36"/>
      <c r="P14" s="83"/>
      <c r="Q14" s="84"/>
    </row>
    <row r="15" spans="1:17" s="10" customFormat="1" x14ac:dyDescent="0.2">
      <c r="A15" s="8">
        <v>10</v>
      </c>
      <c r="B15" s="8"/>
      <c r="C15" s="8"/>
      <c r="D15" s="8" t="s">
        <v>146</v>
      </c>
      <c r="E15" s="47" t="s">
        <v>73</v>
      </c>
      <c r="F15" s="47"/>
      <c r="G15" s="48" t="s">
        <v>207</v>
      </c>
      <c r="H15" s="48" t="s">
        <v>121</v>
      </c>
      <c r="I15" s="8" t="s">
        <v>65</v>
      </c>
      <c r="J15" s="8" t="s">
        <v>61</v>
      </c>
      <c r="K15" s="8"/>
      <c r="L15" s="8"/>
      <c r="M15" s="8"/>
      <c r="N15" s="35"/>
      <c r="O15" s="36"/>
      <c r="P15" s="56"/>
      <c r="Q15" s="57"/>
    </row>
    <row r="16" spans="1:17" s="10" customFormat="1" x14ac:dyDescent="0.2">
      <c r="A16" s="8">
        <v>10</v>
      </c>
      <c r="B16" s="8"/>
      <c r="C16" s="8"/>
      <c r="D16" s="8" t="s">
        <v>123</v>
      </c>
      <c r="E16" s="47" t="s">
        <v>59</v>
      </c>
      <c r="F16" s="47"/>
      <c r="G16" s="48" t="s">
        <v>195</v>
      </c>
      <c r="H16" s="48" t="s">
        <v>79</v>
      </c>
      <c r="I16" s="8" t="s">
        <v>65</v>
      </c>
      <c r="J16" s="8" t="s">
        <v>61</v>
      </c>
      <c r="K16" s="8"/>
      <c r="L16" s="8"/>
      <c r="M16" s="8"/>
      <c r="N16" s="35"/>
      <c r="O16" s="36"/>
      <c r="P16" s="56"/>
      <c r="Q16" s="57"/>
    </row>
    <row r="17" spans="1:17" s="10" customFormat="1" x14ac:dyDescent="0.2">
      <c r="A17" s="8">
        <v>10</v>
      </c>
      <c r="B17" s="8"/>
      <c r="C17" s="8"/>
      <c r="D17" s="8" t="s">
        <v>134</v>
      </c>
      <c r="E17" s="47" t="s">
        <v>59</v>
      </c>
      <c r="F17" s="47"/>
      <c r="G17" s="48" t="s">
        <v>196</v>
      </c>
      <c r="H17" s="48" t="s">
        <v>81</v>
      </c>
      <c r="I17" s="8" t="s">
        <v>65</v>
      </c>
      <c r="J17" s="8" t="s">
        <v>61</v>
      </c>
      <c r="K17" s="8"/>
      <c r="L17" s="8"/>
      <c r="M17" s="8"/>
      <c r="N17" s="35"/>
      <c r="O17" s="36"/>
      <c r="P17" s="56"/>
      <c r="Q17" s="57"/>
    </row>
    <row r="18" spans="1:17" s="10" customFormat="1" x14ac:dyDescent="0.2">
      <c r="A18" s="8">
        <v>10</v>
      </c>
      <c r="B18" s="8"/>
      <c r="C18" s="8"/>
      <c r="D18" s="8" t="s">
        <v>147</v>
      </c>
      <c r="E18" s="47" t="s">
        <v>59</v>
      </c>
      <c r="F18" s="47"/>
      <c r="G18" s="48" t="s">
        <v>197</v>
      </c>
      <c r="H18" s="48" t="s">
        <v>83</v>
      </c>
      <c r="I18" s="8" t="s">
        <v>65</v>
      </c>
      <c r="J18" s="8" t="s">
        <v>61</v>
      </c>
      <c r="K18" s="8"/>
      <c r="L18" s="8"/>
      <c r="M18" s="8"/>
      <c r="N18" s="35"/>
      <c r="O18" s="36"/>
      <c r="P18" s="56"/>
      <c r="Q18" s="57"/>
    </row>
    <row r="19" spans="1:17" s="10" customFormat="1" x14ac:dyDescent="0.2">
      <c r="A19" s="8">
        <v>10</v>
      </c>
      <c r="B19" s="8"/>
      <c r="C19" s="8"/>
      <c r="D19" s="8" t="s">
        <v>148</v>
      </c>
      <c r="E19" s="47" t="s">
        <v>59</v>
      </c>
      <c r="F19" s="47"/>
      <c r="G19" s="48" t="s">
        <v>198</v>
      </c>
      <c r="H19" s="48" t="s">
        <v>85</v>
      </c>
      <c r="I19" s="8" t="s">
        <v>65</v>
      </c>
      <c r="J19" s="8" t="s">
        <v>61</v>
      </c>
      <c r="K19" s="8"/>
      <c r="L19" s="8"/>
      <c r="M19" s="8"/>
      <c r="N19" s="35"/>
      <c r="O19" s="36"/>
      <c r="P19" s="83"/>
      <c r="Q19" s="84"/>
    </row>
    <row r="20" spans="1:17" s="10" customFormat="1" x14ac:dyDescent="0.2">
      <c r="A20" s="8">
        <v>10</v>
      </c>
      <c r="B20" s="8"/>
      <c r="C20" s="8"/>
      <c r="D20" s="8" t="s">
        <v>86</v>
      </c>
      <c r="E20" s="47" t="s">
        <v>59</v>
      </c>
      <c r="F20" s="47"/>
      <c r="G20" s="48" t="s">
        <v>199</v>
      </c>
      <c r="H20" s="48" t="s">
        <v>87</v>
      </c>
      <c r="I20" s="8" t="s">
        <v>65</v>
      </c>
      <c r="J20" s="8" t="s">
        <v>61</v>
      </c>
      <c r="K20" s="8"/>
      <c r="L20" s="8"/>
      <c r="M20" s="8"/>
      <c r="N20" s="35"/>
      <c r="O20" s="36"/>
      <c r="P20" s="83"/>
      <c r="Q20" s="84"/>
    </row>
    <row r="21" spans="1:17" s="10" customFormat="1" x14ac:dyDescent="0.2">
      <c r="A21" s="8">
        <v>10</v>
      </c>
      <c r="B21" s="8"/>
      <c r="C21" s="8"/>
      <c r="D21" s="8" t="s">
        <v>149</v>
      </c>
      <c r="E21" s="47" t="s">
        <v>59</v>
      </c>
      <c r="F21" s="47"/>
      <c r="G21" s="48" t="s">
        <v>200</v>
      </c>
      <c r="H21" s="48" t="s">
        <v>89</v>
      </c>
      <c r="I21" s="8" t="s">
        <v>65</v>
      </c>
      <c r="J21" s="8" t="s">
        <v>61</v>
      </c>
      <c r="K21" s="8"/>
      <c r="L21" s="8"/>
      <c r="M21" s="8"/>
      <c r="N21" s="35"/>
      <c r="O21" s="36"/>
      <c r="P21" s="83"/>
      <c r="Q21" s="84"/>
    </row>
    <row r="22" spans="1:17" s="10" customFormat="1" x14ac:dyDescent="0.2">
      <c r="A22" s="8">
        <v>10</v>
      </c>
      <c r="B22" s="8"/>
      <c r="C22" s="8"/>
      <c r="D22" s="8" t="s">
        <v>90</v>
      </c>
      <c r="E22" s="47" t="s">
        <v>59</v>
      </c>
      <c r="F22" s="47"/>
      <c r="G22" s="48" t="s">
        <v>201</v>
      </c>
      <c r="H22" s="48" t="s">
        <v>91</v>
      </c>
      <c r="I22" s="8" t="s">
        <v>65</v>
      </c>
      <c r="J22" s="8" t="s">
        <v>61</v>
      </c>
      <c r="K22" s="8"/>
      <c r="L22" s="8"/>
      <c r="M22" s="8"/>
      <c r="N22" s="35"/>
      <c r="O22" s="36"/>
      <c r="P22" s="83"/>
      <c r="Q22" s="84"/>
    </row>
    <row r="23" spans="1:17" s="10" customFormat="1" ht="26" x14ac:dyDescent="0.2">
      <c r="A23" s="8">
        <v>10</v>
      </c>
      <c r="B23" s="8"/>
      <c r="C23" s="8"/>
      <c r="D23" s="8" t="s">
        <v>92</v>
      </c>
      <c r="E23" s="47" t="s">
        <v>59</v>
      </c>
      <c r="F23" s="47"/>
      <c r="G23" s="48" t="s">
        <v>202</v>
      </c>
      <c r="H23" s="48" t="s">
        <v>93</v>
      </c>
      <c r="I23" s="8" t="s">
        <v>65</v>
      </c>
      <c r="J23" s="8" t="s">
        <v>61</v>
      </c>
      <c r="K23" s="8"/>
      <c r="L23" s="8"/>
      <c r="M23" s="8"/>
      <c r="N23" s="35"/>
      <c r="O23" s="36"/>
      <c r="P23" s="83"/>
      <c r="Q23" s="84"/>
    </row>
    <row r="24" spans="1:17" s="10" customFormat="1" x14ac:dyDescent="0.2">
      <c r="A24" s="8">
        <v>10</v>
      </c>
      <c r="B24" s="8"/>
      <c r="C24" s="8"/>
      <c r="D24" s="8" t="s">
        <v>94</v>
      </c>
      <c r="E24" s="47" t="s">
        <v>59</v>
      </c>
      <c r="F24" s="47"/>
      <c r="G24" s="48" t="s">
        <v>203</v>
      </c>
      <c r="H24" s="48" t="s">
        <v>95</v>
      </c>
      <c r="I24" s="8" t="s">
        <v>65</v>
      </c>
      <c r="J24" s="8" t="s">
        <v>61</v>
      </c>
      <c r="K24" s="8"/>
      <c r="L24" s="8"/>
      <c r="M24" s="8"/>
      <c r="N24" s="35"/>
      <c r="O24" s="36"/>
      <c r="P24" s="83"/>
      <c r="Q24" s="84"/>
    </row>
    <row r="25" spans="1:17" s="10" customFormat="1" x14ac:dyDescent="0.2">
      <c r="A25" s="8">
        <v>10</v>
      </c>
      <c r="B25" s="8"/>
      <c r="C25" s="8"/>
      <c r="D25" s="8" t="s">
        <v>96</v>
      </c>
      <c r="E25" s="47" t="s">
        <v>59</v>
      </c>
      <c r="F25" s="47"/>
      <c r="G25" s="48" t="s">
        <v>204</v>
      </c>
      <c r="H25" s="48" t="s">
        <v>97</v>
      </c>
      <c r="I25" s="8" t="s">
        <v>65</v>
      </c>
      <c r="J25" s="8" t="s">
        <v>61</v>
      </c>
      <c r="K25" s="8"/>
      <c r="L25" s="8"/>
      <c r="M25" s="8"/>
      <c r="N25" s="35"/>
      <c r="O25" s="36"/>
      <c r="P25" s="83"/>
      <c r="Q25" s="84"/>
    </row>
    <row r="26" spans="1:17" s="10" customFormat="1" x14ac:dyDescent="0.2">
      <c r="A26" s="22"/>
      <c r="B26" s="23"/>
      <c r="C26" s="23"/>
      <c r="D26" s="16" t="s">
        <v>13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8"/>
    </row>
    <row r="27" spans="1:17" s="10" customFormat="1" x14ac:dyDescent="0.2">
      <c r="A27" s="60"/>
      <c r="Q27" s="51"/>
    </row>
    <row r="28" spans="1:17" s="10" customFormat="1" x14ac:dyDescent="0.2">
      <c r="A28" s="60"/>
      <c r="Q28" s="51"/>
    </row>
    <row r="29" spans="1:17" s="10" customFormat="1" x14ac:dyDescent="0.2">
      <c r="A29" s="60"/>
      <c r="Q29" s="51"/>
    </row>
    <row r="30" spans="1:17" s="10" customFormat="1" x14ac:dyDescent="0.2">
      <c r="A30" s="60"/>
      <c r="Q30" s="51"/>
    </row>
    <row r="31" spans="1:17" s="10" customFormat="1" x14ac:dyDescent="0.2">
      <c r="A31" s="6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52"/>
    </row>
  </sheetData>
  <mergeCells count="10">
    <mergeCell ref="P22:Q22"/>
    <mergeCell ref="P23:Q23"/>
    <mergeCell ref="P24:Q24"/>
    <mergeCell ref="P25:Q25"/>
    <mergeCell ref="P12:Q12"/>
    <mergeCell ref="P13:Q13"/>
    <mergeCell ref="P14:Q14"/>
    <mergeCell ref="P19:Q19"/>
    <mergeCell ref="P20:Q20"/>
    <mergeCell ref="P21:Q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114" t="s">
        <v>150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6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117" t="s">
        <v>151</v>
      </c>
      <c r="B3" s="118"/>
      <c r="C3" s="118"/>
      <c r="D3" s="118"/>
      <c r="E3" s="118"/>
      <c r="F3" s="118"/>
      <c r="G3" s="119"/>
      <c r="H3" s="120" t="s">
        <v>152</v>
      </c>
      <c r="I3" s="118"/>
      <c r="J3" s="118"/>
      <c r="K3" s="118"/>
      <c r="L3" s="118"/>
      <c r="M3" s="118"/>
      <c r="N3" s="119"/>
      <c r="O3" s="120" t="s">
        <v>153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20" t="s">
        <v>154</v>
      </c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4"/>
    </row>
    <row r="4" spans="1:57" ht="15" customHeight="1" x14ac:dyDescent="0.2">
      <c r="A4" s="125">
        <v>1</v>
      </c>
      <c r="B4" s="126"/>
      <c r="C4" s="126"/>
      <c r="D4" s="126"/>
      <c r="E4" s="126"/>
      <c r="F4" s="126"/>
      <c r="G4" s="127"/>
      <c r="H4" s="128"/>
      <c r="I4" s="129"/>
      <c r="J4" s="129"/>
      <c r="K4" s="129"/>
      <c r="L4" s="129"/>
      <c r="M4" s="129"/>
      <c r="N4" s="130"/>
      <c r="O4" s="128" t="s">
        <v>155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8" t="s">
        <v>208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209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105"/>
      <c r="I6" s="106"/>
      <c r="J6" s="106"/>
      <c r="K6" s="106"/>
      <c r="L6" s="106"/>
      <c r="M6" s="106"/>
      <c r="N6" s="107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105"/>
      <c r="I7" s="106"/>
      <c r="J7" s="106"/>
      <c r="K7" s="106"/>
      <c r="L7" s="106"/>
      <c r="M7" s="106"/>
      <c r="N7" s="10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85"/>
      <c r="B35" s="86"/>
      <c r="C35" s="86"/>
      <c r="D35" s="86"/>
      <c r="E35" s="86"/>
      <c r="F35" s="86"/>
      <c r="G35" s="8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CostItmInfoCopy_Chk01</vt:lpstr>
      <vt:lpstr>CostItmInfoCopy_Chk02</vt:lpstr>
      <vt:lpstr>CostItmInfoCopy_Upd01</vt:lpstr>
      <vt:lpstr>CostItmInfoCopy_Del01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2026-03-27T05:50:50Z</dcterms:modified>
  <cp:category/>
</cp:coreProperties>
</file>