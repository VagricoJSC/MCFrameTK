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DFC9552A-C344-4F38-AFCB-1635AA4C5535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Chk01" sheetId="2" r:id="rId2"/>
    <sheet name="Ins01" sheetId="3" r:id="rId3"/>
    <sheet name="Ins02" sheetId="4" r:id="rId4"/>
    <sheet name="Ins03" sheetId="5" r:id="rId5"/>
    <sheet name="Ins04" sheetId="6" r:id="rId6"/>
    <sheet name="Srch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<sst xmlns="http://schemas.openxmlformats.org/spreadsheetml/2006/main" count="862" uniqueCount="211">
  <si>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</si>
  <si>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</si>
  <si>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</si>
  <si>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</si>
  <si>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MGBDL0300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</si>
  <si>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</si>
  <si>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</si>
  <si>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</si>
  <si>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</si>
  <si>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</si>
  <si>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MGBDL_CostTermCalcCtgPtnCopy</t>
    <phoneticPr fontId="2"/>
  </si>
  <si>
    <t>SuperClassPj.ID :</t>
    <phoneticPr fontId="3"/>
  </si>
  <si>
    <t>LogicName :</t>
    <phoneticPr fontId="3"/>
  </si>
  <si>
    <t>原価データコピー</t>
    <rPh sb="0" eb="2">
      <t>ゲンカ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</si>
  <si>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</si>
  <si>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</si>
  <si>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</si>
  <si>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</si>
  <si>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</si>
  <si>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</si>
  <si>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</si>
  <si>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</si>
  <si>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</si>
  <si>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</si>
  <si>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</si>
  <si>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</si>
  <si>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</si>
  <si>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</si>
  <si>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</si>
  <si>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コピー前チェック</t>
    <rPh sb="3" eb="4">
      <t>マエ</t>
    </rPh>
    <phoneticPr fontId="2"/>
  </si>
  <si>
    <t>ImplOpe.ID:</t>
    <phoneticPr fontId="3"/>
  </si>
  <si>
    <t>ACType :</t>
    <phoneticPr fontId="3"/>
  </si>
  <si>
    <t>コピーする前のチェックを行う</t>
    <rPh sb="5" eb="6">
      <t>マエ</t>
    </rPh>
    <rPh sb="12" eb="13">
      <t>オコナ</t>
    </rPh>
    <phoneticPr fontId="2"/>
  </si>
  <si>
    <t>ｄ</t>
    <phoneticPr fontId="2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</si>
  <si>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</si>
  <si>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</si>
  <si>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</si>
  <si>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</si>
  <si>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</si>
  <si>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</si>
  <si>
    <t>K</t>
    <phoneticPr fontId="2"/>
  </si>
  <si>
    <t>K</t>
    <phoneticPr fontId="2"/>
  </si>
  <si>
    <t>o</t>
    <phoneticPr fontId="3"/>
  </si>
  <si>
    <t>o</t>
    <phoneticPr fontId="3"/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</si>
  <si>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</si>
  <si>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</si>
  <si>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</si>
  <si>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</si>
  <si>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</si>
  <si>
    <t>SMALL_LARGE</t>
  </si>
  <si>
    <t>CHK_DT</t>
  </si>
  <si>
    <t>BEFORE_AFTER</t>
    <phoneticPr fontId="3"/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</si>
  <si>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</si>
  <si>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</si>
  <si>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</si>
  <si>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</si>
  <si>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</si>
  <si>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</si>
  <si>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</si>
  <si>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</si>
  <si>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</si>
  <si>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</si>
  <si>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</si>
  <si>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</si>
  <si>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</si>
  <si>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TargetName</t>
    <phoneticPr fontId="3"/>
  </si>
  <si>
    <t>*</t>
  </si>
  <si>
    <t>Hdr</t>
    <phoneticPr fontId="3"/>
  </si>
  <si>
    <t>R</t>
    <phoneticPr fontId="3"/>
  </si>
  <si>
    <t>calc_ctg_cd_fr</t>
    <phoneticPr fontId="3"/>
  </si>
  <si>
    <t>#MA.CALC_CTG_CD</t>
    <phoneticPr fontId="3"/>
  </si>
  <si>
    <t>コピー元計算カテゴリＣＤ</t>
    <phoneticPr fontId="3"/>
  </si>
  <si>
    <t>E</t>
    <phoneticPr fontId="3"/>
  </si>
  <si>
    <t>calc_ctg_cd_to</t>
    <phoneticPr fontId="3"/>
  </si>
  <si>
    <t>コピー先計算カテゴリＣＤ</t>
    <phoneticPr fontId="3"/>
  </si>
  <si>
    <t>term_fr</t>
  </si>
  <si>
    <t>#MA.YM</t>
  </si>
  <si>
    <t>コピー元期</t>
    <phoneticPr fontId="3"/>
  </si>
  <si>
    <t>term_to</t>
    <phoneticPr fontId="3"/>
  </si>
  <si>
    <t>コピー先期</t>
    <phoneticPr fontId="3"/>
  </si>
  <si>
    <t>ym_fr</t>
    <phoneticPr fontId="3"/>
  </si>
  <si>
    <t>コピー元年月</t>
    <phoneticPr fontId="3"/>
  </si>
  <si>
    <t>ym_to</t>
    <phoneticPr fontId="3"/>
  </si>
  <si>
    <t>コピー先年月</t>
    <phoneticPr fontId="3"/>
  </si>
  <si>
    <t>*</t>
    <phoneticPr fontId="2"/>
  </si>
  <si>
    <t>Dtl</t>
    <phoneticPr fontId="2"/>
  </si>
  <si>
    <t>L</t>
    <phoneticPr fontId="2"/>
  </si>
  <si>
    <t>tab_ctg_typ</t>
    <phoneticPr fontId="3"/>
  </si>
  <si>
    <t>#MG.TAB_CTG_TYP</t>
    <phoneticPr fontId="3"/>
  </si>
  <si>
    <t>テーブルカテゴリ区分</t>
    <phoneticPr fontId="3"/>
  </si>
  <si>
    <t>MGC_TAB_CTG_TYP</t>
    <phoneticPr fontId="2"/>
  </si>
  <si>
    <t>cost_copy_typ_key</t>
    <phoneticPr fontId="3"/>
  </si>
  <si>
    <t>C</t>
    <phoneticPr fontId="3"/>
  </si>
  <si>
    <t>原価コピー対象区分キー</t>
    <phoneticPr fontId="3"/>
  </si>
  <si>
    <t>cnt_fr</t>
    <phoneticPr fontId="3"/>
  </si>
  <si>
    <t>#MA.INT</t>
    <phoneticPr fontId="3"/>
  </si>
  <si>
    <t>コピー元件数</t>
    <phoneticPr fontId="3"/>
  </si>
  <si>
    <t>cnt_to</t>
    <phoneticPr fontId="3"/>
  </si>
  <si>
    <t>#MA.INT</t>
    <phoneticPr fontId="3"/>
  </si>
  <si>
    <t>コピー先件数</t>
    <phoneticPr fontId="3"/>
  </si>
  <si>
    <t>wg_cd</t>
    <phoneticPr fontId="2"/>
  </si>
  <si>
    <t>#MA.WG_CD</t>
    <phoneticPr fontId="3"/>
  </si>
  <si>
    <t>ワーキンググループＣＤ</t>
    <phoneticPr fontId="2"/>
  </si>
  <si>
    <t>E</t>
    <phoneticPr fontId="2"/>
  </si>
  <si>
    <t>DelDtl</t>
    <phoneticPr fontId="2"/>
  </si>
  <si>
    <t>L</t>
    <phoneticPr fontId="2"/>
  </si>
  <si>
    <t>$share$</t>
    <phoneticPr fontId="2"/>
  </si>
  <si>
    <t>MG.MGBDL0300.Chk01.Dtl</t>
    <phoneticPr fontId="2"/>
  </si>
  <si>
    <t>tab_ctg_typ</t>
    <phoneticPr fontId="3"/>
  </si>
  <si>
    <t>#MG.TAB_CTG_TYP</t>
    <phoneticPr fontId="3"/>
  </si>
  <si>
    <t>cost_copy_typ_key</t>
    <phoneticPr fontId="3"/>
  </si>
  <si>
    <t>C</t>
    <phoneticPr fontId="3"/>
  </si>
  <si>
    <t>cnt_fr</t>
    <phoneticPr fontId="3"/>
  </si>
  <si>
    <t>#MA.INT</t>
    <phoneticPr fontId="3"/>
  </si>
  <si>
    <t>cnt_to</t>
    <phoneticPr fontId="3"/>
  </si>
  <si>
    <t>#MA.INT</t>
    <phoneticPr fontId="3"/>
  </si>
  <si>
    <t>wg_cd</t>
    <phoneticPr fontId="2"/>
  </si>
  <si>
    <t>Ins01</t>
    <phoneticPr fontId="2"/>
  </si>
  <si>
    <t>計算カテゴリ別コピー</t>
    <rPh sb="0" eb="2">
      <t>ケイサン</t>
    </rPh>
    <rPh sb="6" eb="7">
      <t>ベツ</t>
    </rPh>
    <phoneticPr fontId="2"/>
  </si>
  <si>
    <t>計算カテゴリ別コピー処理をする</t>
    <rPh sb="0" eb="2">
      <t>ケイサン</t>
    </rPh>
    <rPh sb="6" eb="7">
      <t>ベツ</t>
    </rPh>
    <rPh sb="10" eb="12">
      <t>ショリ</t>
    </rPh>
    <phoneticPr fontId="2"/>
  </si>
  <si>
    <t>K</t>
    <phoneticPr fontId="3"/>
  </si>
  <si>
    <t>#</t>
    <phoneticPr fontId="3"/>
  </si>
  <si>
    <t>Hdr</t>
    <phoneticPr fontId="3"/>
  </si>
  <si>
    <t>R</t>
    <phoneticPr fontId="3"/>
  </si>
  <si>
    <t>$share$</t>
    <phoneticPr fontId="2"/>
  </si>
  <si>
    <t>MG.MGBDL0300.Chk01.Hdr</t>
    <phoneticPr fontId="2"/>
  </si>
  <si>
    <t>calc_ctg_cd_fr</t>
    <phoneticPr fontId="3"/>
  </si>
  <si>
    <t>term_to</t>
    <phoneticPr fontId="3"/>
  </si>
  <si>
    <t>ym_to</t>
    <phoneticPr fontId="3"/>
  </si>
  <si>
    <t>*</t>
    <phoneticPr fontId="2"/>
  </si>
  <si>
    <t>Dtl</t>
    <phoneticPr fontId="2"/>
  </si>
  <si>
    <t>C</t>
    <phoneticPr fontId="3"/>
  </si>
  <si>
    <t>cnt_fr</t>
    <phoneticPr fontId="3"/>
  </si>
  <si>
    <t>cnt_to</t>
    <phoneticPr fontId="3"/>
  </si>
  <si>
    <t>wg_cd</t>
    <phoneticPr fontId="2"/>
  </si>
  <si>
    <t>#MA.WG_CD</t>
    <phoneticPr fontId="3"/>
  </si>
  <si>
    <t>Ins02</t>
    <phoneticPr fontId="2"/>
  </si>
  <si>
    <t>@</t>
    <phoneticPr fontId="2"/>
  </si>
  <si>
    <t>期別コピー</t>
    <rPh sb="0" eb="1">
      <t>キ</t>
    </rPh>
    <rPh sb="1" eb="2">
      <t>ベツ</t>
    </rPh>
    <phoneticPr fontId="2"/>
  </si>
  <si>
    <t>期別コピー処理をする</t>
    <rPh sb="0" eb="1">
      <t>キ</t>
    </rPh>
    <rPh sb="1" eb="2">
      <t>ベツ</t>
    </rPh>
    <rPh sb="5" eb="7">
      <t>ショリ</t>
    </rPh>
    <phoneticPr fontId="2"/>
  </si>
  <si>
    <t>#</t>
    <phoneticPr fontId="3"/>
  </si>
  <si>
    <t>o</t>
    <phoneticPr fontId="3"/>
  </si>
  <si>
    <t>o</t>
    <phoneticPr fontId="3"/>
  </si>
  <si>
    <t>TargetName</t>
    <phoneticPr fontId="3"/>
  </si>
  <si>
    <t>R</t>
    <phoneticPr fontId="3"/>
  </si>
  <si>
    <t>$share$</t>
    <phoneticPr fontId="2"/>
  </si>
  <si>
    <t>calc_ctg_cd_fr</t>
    <phoneticPr fontId="3"/>
  </si>
  <si>
    <t>#MA.CALC_CTG_CD</t>
    <phoneticPr fontId="3"/>
  </si>
  <si>
    <t>calc_ctg_cd_to</t>
    <phoneticPr fontId="3"/>
  </si>
  <si>
    <t>ym_fr</t>
    <phoneticPr fontId="3"/>
  </si>
  <si>
    <t>ym_to</t>
    <phoneticPr fontId="3"/>
  </si>
  <si>
    <t>Ins03</t>
    <phoneticPr fontId="2"/>
  </si>
  <si>
    <t>計画コピー</t>
    <rPh sb="0" eb="2">
      <t>ケイカク</t>
    </rPh>
    <phoneticPr fontId="2"/>
  </si>
  <si>
    <t>計画コピー処理をする</t>
    <rPh sb="0" eb="2">
      <t>ケイカク</t>
    </rPh>
    <rPh sb="5" eb="7">
      <t>ショリ</t>
    </rPh>
    <phoneticPr fontId="2"/>
  </si>
  <si>
    <t>#MA.CALC_CTG_CD</t>
    <phoneticPr fontId="3"/>
  </si>
  <si>
    <t>Ins04</t>
    <phoneticPr fontId="2"/>
  </si>
  <si>
    <t>実績コピー</t>
    <rPh sb="0" eb="2">
      <t>ジッセキ</t>
    </rPh>
    <phoneticPr fontId="2"/>
  </si>
  <si>
    <t>実績コピー処理をする</t>
    <rPh sb="0" eb="2">
      <t>ジッセキ</t>
    </rPh>
    <rPh sb="5" eb="7">
      <t>ショリ</t>
    </rPh>
    <phoneticPr fontId="3"/>
  </si>
  <si>
    <t>calc_ctg_cd_to</t>
    <phoneticPr fontId="3"/>
  </si>
  <si>
    <t>ym_fr</t>
    <phoneticPr fontId="3"/>
  </si>
  <si>
    <t>L</t>
    <phoneticPr fontId="2"/>
  </si>
  <si>
    <t>cnt_fr</t>
    <phoneticPr fontId="3"/>
  </si>
  <si>
    <t>Srch01</t>
    <phoneticPr fontId="2"/>
  </si>
  <si>
    <t>@</t>
    <phoneticPr fontId="2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</si>
  <si>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</si>
  <si>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</si>
  <si>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</si>
  <si>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</si>
  <si>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</si>
  <si>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</si>
  <si>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</si>
  <si>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TargetName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</si>
  <si>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</si>
  <si>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</si>
  <si>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</si>
  <si>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</si>
  <si>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</si>
  <si>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</si>
  <si>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</si>
  <si>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</si>
  <si>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</si>
  <si>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</si>
  <si>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</si>
  <si>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</si>
  <si>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</si>
  <si>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</si>
  <si>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</si>
  <si>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</si>
  <si>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</si>
  <si>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</si>
  <si>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</si>
  <si>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</si>
  <si>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</si>
  <si>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</si>
  <si>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</si>
  <si>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</si>
  <si>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 (Copy from)</t>
  </si>
  <si>
    <t>Calculation category cd. (Copy to)</t>
  </si>
  <si>
    <t>Term (Copy from)</t>
  </si>
  <si>
    <t>Term (Copy to)</t>
  </si>
  <si>
    <t>Month (Copy from)</t>
  </si>
  <si>
    <t>Month (Copy to)</t>
  </si>
  <si>
    <t>Table category type</t>
  </si>
  <si>
    <t>Cost to copy type key</t>
  </si>
  <si>
    <t>Number of records (Copy-from)</t>
  </si>
  <si>
    <t>Number of records (Copy-to)</t>
  </si>
  <si>
    <t>WG cd.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</si>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</sst>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2" borderId="5" xfId="0" applyFont="1" applyFill="1" applyBorder="1" applyAlignment="1"/>
    <xf numFmtId="0" fontId="1" fillId="2" borderId="3" xfId="0" applyFont="1" applyFill="1" applyBorder="1" applyAlignment="1" applyProtection="1">
      <protection locked="0"/>
    </xf>
    <xf numFmtId="0" fontId="1" fillId="2" borderId="4" xfId="0" applyFont="1" applyFill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3" borderId="5" xfId="0" applyFont="1" applyFill="1" applyBorder="1" applyAlignment="1" applyProtection="1">
      <protection locked="0"/>
    </xf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3" borderId="5" xfId="0" applyFont="1" applyFill="1" applyBorder="1" applyAlignment="1"/>
    <xf numFmtId="0" fontId="1" fillId="3" borderId="10" xfId="0" applyFont="1" applyFill="1" applyBorder="1" applyAlignment="1"/>
    <xf numFmtId="0" fontId="1" fillId="3" borderId="7" xfId="0" applyFon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0" borderId="11" xfId="0" applyFont="1" applyBorder="1" applyAlignment="1"/>
    <xf numFmtId="0" fontId="1" fillId="0" borderId="5" xfId="0" applyFont="1" applyBorder="1" applyAlignment="1"/>
    <xf numFmtId="0" fontId="1" fillId="3" borderId="11" xfId="0" applyFont="1" applyFill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178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8.453125" style="5" bestFit="1" customWidth="1"/>
    <col min="22" max="22" width="16.6328125" style="5" customWidth="1"/>
    <col min="23" max="23" width="10.81640625" style="5" bestFit="1" customWidth="1"/>
    <col min="24" max="24" width="9.453125" style="5" bestFit="1" customWidth="1"/>
    <col min="25" max="25" width="10.81640625" style="5" bestFit="1" customWidth="1"/>
    <col min="26" max="26" width="9.453125" style="5" bestFit="1" customWidth="1"/>
    <col min="27" max="27" width="10.8164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9" t="s">
        <v>182</v>
      </c>
      <c r="E2" s="7" t="s">
        <v>1</v>
      </c>
      <c r="F2" s="70" t="str">
        <f>IF(LogicCommon!C2="","",LogicCommon!C2)</f>
        <v>MG</v>
      </c>
      <c r="G2" s="7" t="s">
        <v>3</v>
      </c>
      <c r="H2" s="70" t="str">
        <f>IF(LogicCommon!E2="","",LogicCommon!E2)</f>
        <v>MGBDL0300</v>
      </c>
      <c r="I2" s="7" t="s">
        <v>19</v>
      </c>
      <c r="J2" s="8" t="s">
        <v>20</v>
      </c>
      <c r="K2" s="7" t="s">
        <v>5</v>
      </c>
      <c r="L2" s="70" t="str">
        <f>IF(LogicCommon!G2="","",LogicCommon!G2)</f>
        <v>MC</v>
      </c>
      <c r="M2" s="5" t="s">
        <v>21</v>
      </c>
      <c r="N2" s="24" t="s">
        <v>179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7</v>
      </c>
      <c r="F3" s="70" t="str">
        <f>IF(LogicCommon!C3="","",LogicCommon!C3)</f>
        <v>MGBD</v>
      </c>
      <c r="G3" s="7" t="s">
        <v>9</v>
      </c>
      <c r="H3" s="70" t="str">
        <f>IF(LogicCommon!E3="","",LogicCommon!E3)</f>
        <v>MGBDL_CostTermCalcCtgPtnCopy</v>
      </c>
      <c r="I3" s="7" t="s">
        <v>22</v>
      </c>
      <c r="J3" s="8" t="s">
        <v>23</v>
      </c>
      <c r="K3" s="7" t="s">
        <v>11</v>
      </c>
      <c r="L3" s="70" t="str">
        <f>IF(LogicCommon!G3="","",LogicCommon!G3)</f>
        <v/>
      </c>
      <c r="M3" s="4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1" t="s">
        <v>17</v>
      </c>
      <c r="B4" s="72"/>
      <c r="C4" s="72"/>
      <c r="D4" s="4"/>
      <c r="E4" s="7" t="s">
        <v>26</v>
      </c>
      <c r="F4" s="74" t="s">
        <v>27</v>
      </c>
      <c r="G4" s="7" t="s">
        <v>12</v>
      </c>
      <c r="H4" s="70" t="str">
        <f>IF(LogicCommon!E4="","",LogicCommon!E4)</f>
        <v>原価データコピー</v>
      </c>
      <c r="I4" s="7" t="s">
        <v>28</v>
      </c>
      <c r="J4" s="8" t="s">
        <v>29</v>
      </c>
      <c r="K4" s="7" t="s">
        <v>14</v>
      </c>
      <c r="L4" s="70" t="str">
        <f>IF(LogicCommon!G4="","",LogicCommon!G4)</f>
        <v>MG.MGUDL5010</v>
      </c>
      <c r="M4" s="75" t="s">
        <v>30</v>
      </c>
      <c r="N4" s="24"/>
      <c r="O4" s="7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7" t="s">
        <v>17</v>
      </c>
      <c r="B5" s="69"/>
      <c r="C5" s="69"/>
      <c r="D5" s="21"/>
      <c r="E5" s="7" t="s">
        <v>31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1" t="s">
        <v>17</v>
      </c>
      <c r="B6" s="72"/>
      <c r="C6" s="72"/>
      <c r="D6" s="4" t="s">
        <v>15</v>
      </c>
      <c r="E6" s="12" t="s">
        <v>32</v>
      </c>
      <c r="F6" s="12"/>
      <c r="G6" s="12"/>
      <c r="H6" s="12"/>
      <c r="I6" s="12"/>
      <c r="J6" s="12" t="s">
        <v>33</v>
      </c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34</v>
      </c>
      <c r="AE6" s="15"/>
      <c r="AF6" s="15" t="s">
        <v>34</v>
      </c>
      <c r="AG6" s="15"/>
      <c r="AH6" s="15" t="s">
        <v>34</v>
      </c>
      <c r="AI6" s="4"/>
      <c r="AJ6" s="4"/>
      <c r="AK6" s="4"/>
      <c r="AL6" s="4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26" t="s">
        <v>37</v>
      </c>
      <c r="L7" s="26" t="s">
        <v>38</v>
      </c>
      <c r="M7" s="26" t="s">
        <v>39</v>
      </c>
      <c r="N7" s="26" t="s">
        <v>37</v>
      </c>
      <c r="O7" s="26" t="s">
        <v>38</v>
      </c>
      <c r="P7" s="26" t="s">
        <v>38</v>
      </c>
      <c r="Q7" s="26" t="s">
        <v>38</v>
      </c>
      <c r="R7" s="26" t="s">
        <v>39</v>
      </c>
      <c r="S7" s="26" t="s">
        <v>39</v>
      </c>
      <c r="T7" s="26" t="s">
        <v>39</v>
      </c>
      <c r="U7" s="26" t="s">
        <v>39</v>
      </c>
      <c r="V7" s="26" t="s">
        <v>38</v>
      </c>
      <c r="W7" s="26" t="s">
        <v>38</v>
      </c>
      <c r="X7" s="26" t="s">
        <v>38</v>
      </c>
      <c r="Y7" s="26" t="s">
        <v>40</v>
      </c>
      <c r="Z7" s="26" t="s">
        <v>41</v>
      </c>
      <c r="AA7" s="26" t="s">
        <v>37</v>
      </c>
      <c r="AB7" s="26" t="s">
        <v>38</v>
      </c>
      <c r="AC7" s="27" t="s">
        <v>42</v>
      </c>
      <c r="AD7" s="28"/>
      <c r="AE7" s="27" t="s">
        <v>43</v>
      </c>
      <c r="AF7" s="28"/>
      <c r="AG7" s="27" t="s">
        <v>44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35</v>
      </c>
      <c r="B8" s="80"/>
      <c r="C8" s="81"/>
      <c r="D8" s="27" t="s">
        <v>183</v>
      </c>
      <c r="E8" s="27" t="s">
        <v>184</v>
      </c>
      <c r="F8" s="25"/>
      <c r="G8" s="27" t="s">
        <v>45</v>
      </c>
      <c r="H8" s="27" t="s">
        <v>185</v>
      </c>
      <c r="I8" s="25"/>
      <c r="J8" s="3"/>
      <c r="K8" s="8" t="s">
        <v>46</v>
      </c>
      <c r="L8" s="8" t="s">
        <v>47</v>
      </c>
      <c r="M8" s="8" t="s">
        <v>48</v>
      </c>
      <c r="N8" s="8" t="s">
        <v>49</v>
      </c>
      <c r="O8" s="26" t="s">
        <v>50</v>
      </c>
      <c r="P8" s="26" t="s">
        <v>51</v>
      </c>
      <c r="Q8" s="26" t="s">
        <v>52</v>
      </c>
      <c r="R8" s="8" t="s">
        <v>53</v>
      </c>
      <c r="S8" s="8" t="s">
        <v>54</v>
      </c>
      <c r="T8" s="8" t="s">
        <v>55</v>
      </c>
      <c r="U8" s="8" t="s">
        <v>56</v>
      </c>
      <c r="V8" s="8" t="s">
        <v>57</v>
      </c>
      <c r="W8" s="8" t="s">
        <v>58</v>
      </c>
      <c r="X8" s="8" t="s">
        <v>59</v>
      </c>
      <c r="Y8" s="8" t="s">
        <v>60</v>
      </c>
      <c r="Z8" s="8" t="s">
        <v>61</v>
      </c>
      <c r="AA8" s="26" t="s">
        <v>62</v>
      </c>
      <c r="AB8" s="8" t="s">
        <v>63</v>
      </c>
      <c r="AC8" s="27" t="s">
        <v>64</v>
      </c>
      <c r="AD8" s="28"/>
      <c r="AE8" s="27" t="s">
        <v>65</v>
      </c>
      <c r="AF8" s="28"/>
      <c r="AG8" s="27" t="s">
        <v>64</v>
      </c>
      <c r="AH8" s="28"/>
      <c r="AI8" s="3"/>
      <c r="AJ8" s="21"/>
      <c r="AK8" s="136" t="s">
        <v>194</v>
      </c>
      <c r="AL8" s="137"/>
    </row>
    <row r="9" spans="1:38" s="10" customFormat="1" ht="60" customHeight="1" x14ac:dyDescent="0.2">
      <c r="A9" s="8" t="s">
        <v>35</v>
      </c>
      <c r="B9" s="32"/>
      <c r="C9" s="33"/>
      <c r="D9" s="27" t="s">
        <v>186</v>
      </c>
      <c r="E9" s="82" t="s">
        <v>187</v>
      </c>
      <c r="F9" s="27" t="s">
        <v>188</v>
      </c>
      <c r="G9" s="27" t="s">
        <v>189</v>
      </c>
      <c r="H9" s="27" t="s">
        <v>190</v>
      </c>
      <c r="I9" s="83" t="s">
        <v>191</v>
      </c>
      <c r="J9" s="27" t="s">
        <v>192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3"/>
      <c r="AD9" s="27"/>
      <c r="AE9" s="27"/>
      <c r="AF9" s="27"/>
      <c r="AG9" s="27"/>
      <c r="AH9" s="27"/>
      <c r="AI9" s="136" t="s">
        <v>193</v>
      </c>
      <c r="AJ9" s="137"/>
      <c r="AK9" s="136" t="s">
        <v>195</v>
      </c>
      <c r="AL9" s="137"/>
    </row>
    <row r="10" spans="1:38" s="10" customFormat="1" ht="52" x14ac:dyDescent="0.2">
      <c r="A10" s="32" t="s">
        <v>35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7" t="s">
        <v>191</v>
      </c>
      <c r="AD10" s="27" t="s">
        <v>192</v>
      </c>
      <c r="AE10" s="27" t="s">
        <v>191</v>
      </c>
      <c r="AF10" s="27" t="s">
        <v>192</v>
      </c>
      <c r="AG10" s="27" t="s">
        <v>191</v>
      </c>
      <c r="AH10" s="27" t="s">
        <v>192</v>
      </c>
      <c r="AI10" s="34"/>
      <c r="AJ10" s="34"/>
      <c r="AK10" s="39"/>
      <c r="AL10" s="67"/>
    </row>
    <row r="11" spans="1:38" s="10" customFormat="1" x14ac:dyDescent="0.2">
      <c r="A11" s="8">
        <v>10</v>
      </c>
      <c r="B11" s="32" t="s">
        <v>66</v>
      </c>
      <c r="C11" s="33"/>
      <c r="D11" s="24" t="s">
        <v>67</v>
      </c>
      <c r="E11" s="31" t="s">
        <v>68</v>
      </c>
      <c r="F11" s="67"/>
      <c r="G11" s="24"/>
      <c r="H11" s="40"/>
      <c r="I11" s="66"/>
      <c r="J11" s="39"/>
      <c r="K11" s="39"/>
      <c r="L11" s="41"/>
      <c r="M11" s="41"/>
      <c r="N11" s="42"/>
      <c r="O11" s="42"/>
      <c r="P11" s="42"/>
      <c r="Q11" s="42"/>
      <c r="R11" s="41"/>
      <c r="S11" s="41"/>
      <c r="T11" s="41"/>
      <c r="U11" s="41"/>
      <c r="V11" s="41"/>
      <c r="W11" s="41"/>
      <c r="X11" s="41"/>
      <c r="Y11" s="41"/>
      <c r="Z11" s="42"/>
      <c r="AA11" s="42"/>
      <c r="AB11" s="41"/>
      <c r="AC11" s="42"/>
      <c r="AD11" s="42"/>
      <c r="AE11" s="42"/>
      <c r="AF11" s="42"/>
      <c r="AG11" s="42"/>
      <c r="AH11" s="42"/>
      <c r="AI11" s="43"/>
      <c r="AJ11" s="44"/>
      <c r="AK11" s="65"/>
      <c r="AL11" s="45"/>
    </row>
    <row r="12" spans="1:38" s="10" customFormat="1" ht="26" x14ac:dyDescent="0.2">
      <c r="A12" s="8">
        <v>10</v>
      </c>
      <c r="B12" s="8"/>
      <c r="C12" s="8"/>
      <c r="D12" s="8" t="s">
        <v>69</v>
      </c>
      <c r="E12" s="28" t="s">
        <v>70</v>
      </c>
      <c r="F12" s="28"/>
      <c r="G12" s="46" t="s">
        <v>196</v>
      </c>
      <c r="H12" s="46" t="s">
        <v>71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7"/>
      <c r="AJ12" s="48"/>
      <c r="AK12" s="134"/>
      <c r="AL12" s="135"/>
    </row>
    <row r="13" spans="1:38" s="10" customFormat="1" ht="26" x14ac:dyDescent="0.2">
      <c r="A13" s="8">
        <v>10</v>
      </c>
      <c r="B13" s="8"/>
      <c r="C13" s="8"/>
      <c r="D13" s="8" t="s">
        <v>73</v>
      </c>
      <c r="E13" s="28" t="s">
        <v>70</v>
      </c>
      <c r="F13" s="28"/>
      <c r="G13" s="46" t="s">
        <v>197</v>
      </c>
      <c r="H13" s="46" t="s">
        <v>74</v>
      </c>
      <c r="I13" s="8" t="s">
        <v>72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138"/>
      <c r="AL13" s="135"/>
    </row>
    <row r="14" spans="1:38" s="10" customFormat="1" x14ac:dyDescent="0.2">
      <c r="A14" s="8">
        <v>10</v>
      </c>
      <c r="B14" s="8"/>
      <c r="C14" s="8"/>
      <c r="D14" s="8" t="s">
        <v>75</v>
      </c>
      <c r="E14" s="28" t="s">
        <v>76</v>
      </c>
      <c r="F14" s="28"/>
      <c r="G14" s="46" t="s">
        <v>198</v>
      </c>
      <c r="H14" s="46" t="s">
        <v>77</v>
      </c>
      <c r="I14" s="8" t="s">
        <v>72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138"/>
      <c r="AL14" s="135"/>
    </row>
    <row r="15" spans="1:38" s="10" customFormat="1" x14ac:dyDescent="0.2">
      <c r="A15" s="8">
        <v>10</v>
      </c>
      <c r="B15" s="8"/>
      <c r="C15" s="8"/>
      <c r="D15" s="8" t="s">
        <v>78</v>
      </c>
      <c r="E15" s="28" t="s">
        <v>76</v>
      </c>
      <c r="F15" s="28"/>
      <c r="G15" s="46" t="s">
        <v>199</v>
      </c>
      <c r="H15" s="46" t="s">
        <v>79</v>
      </c>
      <c r="I15" s="8" t="s">
        <v>72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7"/>
      <c r="AJ15" s="48"/>
      <c r="AK15" s="134"/>
      <c r="AL15" s="135"/>
    </row>
    <row r="16" spans="1:38" s="10" customFormat="1" x14ac:dyDescent="0.2">
      <c r="A16" s="8">
        <v>10</v>
      </c>
      <c r="B16" s="8"/>
      <c r="C16" s="8"/>
      <c r="D16" s="8" t="s">
        <v>80</v>
      </c>
      <c r="E16" s="28" t="s">
        <v>76</v>
      </c>
      <c r="F16" s="28"/>
      <c r="G16" s="46" t="s">
        <v>200</v>
      </c>
      <c r="H16" s="46" t="s">
        <v>81</v>
      </c>
      <c r="I16" s="8" t="s">
        <v>72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7"/>
      <c r="AJ16" s="48"/>
      <c r="AK16" s="134"/>
      <c r="AL16" s="135"/>
    </row>
    <row r="17" spans="1:38" s="10" customFormat="1" x14ac:dyDescent="0.2">
      <c r="A17" s="8">
        <v>10</v>
      </c>
      <c r="B17" s="8"/>
      <c r="C17" s="8"/>
      <c r="D17" s="8" t="s">
        <v>82</v>
      </c>
      <c r="E17" s="28" t="s">
        <v>76</v>
      </c>
      <c r="F17" s="28"/>
      <c r="G17" s="46" t="s">
        <v>201</v>
      </c>
      <c r="H17" s="46" t="s">
        <v>83</v>
      </c>
      <c r="I17" s="8" t="s">
        <v>72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7"/>
      <c r="AJ17" s="48"/>
      <c r="AK17" s="134"/>
      <c r="AL17" s="135"/>
    </row>
    <row r="18" spans="1:38" s="10" customFormat="1" x14ac:dyDescent="0.2">
      <c r="A18" s="71"/>
      <c r="AL18" s="51"/>
    </row>
    <row r="19" spans="1:38" s="10" customFormat="1" x14ac:dyDescent="0.2">
      <c r="A19" s="8">
        <v>20</v>
      </c>
      <c r="B19" s="32" t="s">
        <v>84</v>
      </c>
      <c r="C19" s="33"/>
      <c r="D19" s="24" t="s">
        <v>85</v>
      </c>
      <c r="E19" s="29" t="s">
        <v>86</v>
      </c>
      <c r="F19" s="52"/>
      <c r="G19" s="24"/>
      <c r="H19" s="30"/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29"/>
      <c r="AD19" s="29"/>
      <c r="AE19" s="29"/>
      <c r="AF19" s="29"/>
      <c r="AG19" s="29"/>
      <c r="AH19" s="29"/>
      <c r="AI19" s="55"/>
      <c r="AJ19" s="56"/>
      <c r="AK19" s="68"/>
      <c r="AL19" s="57"/>
    </row>
    <row r="20" spans="1:38" s="10" customFormat="1" x14ac:dyDescent="0.2">
      <c r="A20" s="8">
        <v>20</v>
      </c>
      <c r="B20" s="8"/>
      <c r="C20" s="8"/>
      <c r="D20" s="8" t="s">
        <v>87</v>
      </c>
      <c r="E20" s="28" t="s">
        <v>88</v>
      </c>
      <c r="F20" s="28"/>
      <c r="G20" s="46" t="s">
        <v>202</v>
      </c>
      <c r="H20" s="46" t="s">
        <v>89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90</v>
      </c>
      <c r="AB20" s="8"/>
      <c r="AC20" s="8"/>
      <c r="AD20" s="8"/>
      <c r="AE20" s="8"/>
      <c r="AF20" s="8"/>
      <c r="AG20" s="8"/>
      <c r="AH20" s="8"/>
      <c r="AI20" s="49"/>
      <c r="AJ20" s="50"/>
      <c r="AK20" s="58"/>
      <c r="AL20" s="59"/>
    </row>
    <row r="21" spans="1:38" s="10" customFormat="1" x14ac:dyDescent="0.2">
      <c r="A21" s="8">
        <v>20</v>
      </c>
      <c r="B21" s="8"/>
      <c r="C21" s="8"/>
      <c r="D21" s="8" t="s">
        <v>91</v>
      </c>
      <c r="E21" s="28" t="s">
        <v>92</v>
      </c>
      <c r="F21" s="28"/>
      <c r="G21" s="46" t="s">
        <v>203</v>
      </c>
      <c r="H21" s="46" t="s">
        <v>93</v>
      </c>
      <c r="I21" s="8" t="s">
        <v>72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8"/>
      <c r="AL21" s="59"/>
    </row>
    <row r="22" spans="1:38" s="10" customFormat="1" x14ac:dyDescent="0.2">
      <c r="A22" s="8">
        <v>20</v>
      </c>
      <c r="B22" s="8"/>
      <c r="C22" s="8"/>
      <c r="D22" s="8" t="s">
        <v>94</v>
      </c>
      <c r="E22" s="28" t="s">
        <v>95</v>
      </c>
      <c r="F22" s="28"/>
      <c r="G22" s="46" t="s">
        <v>204</v>
      </c>
      <c r="H22" s="46" t="s">
        <v>96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8"/>
      <c r="AL22" s="59"/>
    </row>
    <row r="23" spans="1:38" s="10" customFormat="1" x14ac:dyDescent="0.2">
      <c r="A23" s="8">
        <v>20</v>
      </c>
      <c r="B23" s="8"/>
      <c r="C23" s="8"/>
      <c r="D23" s="8" t="s">
        <v>97</v>
      </c>
      <c r="E23" s="28" t="s">
        <v>98</v>
      </c>
      <c r="F23" s="28"/>
      <c r="G23" s="46" t="s">
        <v>205</v>
      </c>
      <c r="H23" s="46" t="s">
        <v>99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8"/>
      <c r="AL23" s="59"/>
    </row>
    <row r="24" spans="1:38" s="10" customFormat="1" x14ac:dyDescent="0.2">
      <c r="A24" s="8">
        <v>20</v>
      </c>
      <c r="B24" s="8"/>
      <c r="C24" s="8"/>
      <c r="D24" s="8" t="s">
        <v>100</v>
      </c>
      <c r="E24" s="28" t="s">
        <v>101</v>
      </c>
      <c r="F24" s="28"/>
      <c r="G24" s="46" t="s">
        <v>206</v>
      </c>
      <c r="H24" s="46" t="s">
        <v>102</v>
      </c>
      <c r="I24" s="8"/>
      <c r="J24" s="8" t="s">
        <v>103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8"/>
      <c r="AL24" s="59"/>
    </row>
    <row r="25" spans="1:38" s="10" customFormat="1" x14ac:dyDescent="0.2">
      <c r="A25" s="71"/>
      <c r="AL25" s="51"/>
    </row>
    <row r="26" spans="1:38" s="10" customFormat="1" x14ac:dyDescent="0.2">
      <c r="A26" s="8">
        <v>30</v>
      </c>
      <c r="B26" s="32" t="s">
        <v>84</v>
      </c>
      <c r="C26" s="33"/>
      <c r="D26" s="24" t="s">
        <v>104</v>
      </c>
      <c r="E26" s="29" t="s">
        <v>105</v>
      </c>
      <c r="F26" s="52"/>
      <c r="G26" s="24" t="s">
        <v>106</v>
      </c>
      <c r="H26" s="30" t="s">
        <v>107</v>
      </c>
      <c r="I26" s="53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29"/>
      <c r="AD26" s="29"/>
      <c r="AE26" s="29"/>
      <c r="AF26" s="29"/>
      <c r="AG26" s="29"/>
      <c r="AH26" s="29"/>
      <c r="AI26" s="55"/>
      <c r="AJ26" s="56"/>
      <c r="AK26" s="68"/>
      <c r="AL26" s="57"/>
    </row>
    <row r="27" spans="1:38" s="10" customFormat="1" x14ac:dyDescent="0.2">
      <c r="A27" s="8">
        <v>30</v>
      </c>
      <c r="B27" s="8"/>
      <c r="C27" s="8"/>
      <c r="D27" s="8" t="s">
        <v>108</v>
      </c>
      <c r="E27" s="28" t="s">
        <v>109</v>
      </c>
      <c r="F27" s="28"/>
      <c r="G27" s="46" t="s">
        <v>202</v>
      </c>
      <c r="H27" s="46" t="s">
        <v>89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 t="s">
        <v>90</v>
      </c>
      <c r="AB27" s="8"/>
      <c r="AC27" s="8"/>
      <c r="AD27" s="8"/>
      <c r="AE27" s="8"/>
      <c r="AF27" s="8"/>
      <c r="AG27" s="8"/>
      <c r="AH27" s="8"/>
      <c r="AI27" s="49"/>
      <c r="AJ27" s="50"/>
      <c r="AK27" s="58"/>
      <c r="AL27" s="59"/>
    </row>
    <row r="28" spans="1:38" s="10" customFormat="1" x14ac:dyDescent="0.2">
      <c r="A28" s="8">
        <v>30</v>
      </c>
      <c r="B28" s="8"/>
      <c r="C28" s="8"/>
      <c r="D28" s="8" t="s">
        <v>110</v>
      </c>
      <c r="E28" s="28" t="s">
        <v>111</v>
      </c>
      <c r="F28" s="28"/>
      <c r="G28" s="46" t="s">
        <v>203</v>
      </c>
      <c r="H28" s="46" t="s">
        <v>93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8"/>
      <c r="AL28" s="59"/>
    </row>
    <row r="29" spans="1:38" s="10" customFormat="1" x14ac:dyDescent="0.2">
      <c r="A29" s="8">
        <v>30</v>
      </c>
      <c r="B29" s="8"/>
      <c r="C29" s="8"/>
      <c r="D29" s="8" t="s">
        <v>112</v>
      </c>
      <c r="E29" s="28" t="s">
        <v>113</v>
      </c>
      <c r="F29" s="28"/>
      <c r="G29" s="46" t="s">
        <v>204</v>
      </c>
      <c r="H29" s="46" t="s">
        <v>96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8"/>
      <c r="AL29" s="59"/>
    </row>
    <row r="30" spans="1:38" s="10" customFormat="1" x14ac:dyDescent="0.2">
      <c r="A30" s="8">
        <v>30</v>
      </c>
      <c r="B30" s="8"/>
      <c r="C30" s="8"/>
      <c r="D30" s="8" t="s">
        <v>114</v>
      </c>
      <c r="E30" s="28" t="s">
        <v>115</v>
      </c>
      <c r="F30" s="28"/>
      <c r="G30" s="46" t="s">
        <v>205</v>
      </c>
      <c r="H30" s="46" t="s">
        <v>99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8"/>
      <c r="AL30" s="59"/>
    </row>
    <row r="31" spans="1:38" s="10" customFormat="1" x14ac:dyDescent="0.2">
      <c r="A31" s="8">
        <v>30</v>
      </c>
      <c r="B31" s="8"/>
      <c r="C31" s="8"/>
      <c r="D31" s="8" t="s">
        <v>116</v>
      </c>
      <c r="E31" s="28" t="s">
        <v>101</v>
      </c>
      <c r="F31" s="28"/>
      <c r="G31" s="46" t="s">
        <v>206</v>
      </c>
      <c r="H31" s="46" t="s">
        <v>102</v>
      </c>
      <c r="I31" s="8"/>
      <c r="J31" s="8" t="s">
        <v>103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8"/>
      <c r="AL31" s="59"/>
    </row>
    <row r="32" spans="1:38" s="10" customFormat="1" x14ac:dyDescent="0.2">
      <c r="A32" s="22"/>
      <c r="B32" s="23"/>
      <c r="C32" s="23"/>
      <c r="D32" s="16" t="s">
        <v>16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9"/>
      <c r="AJ32" s="9"/>
      <c r="AK32" s="9"/>
      <c r="AL32" s="60"/>
    </row>
    <row r="33" spans="1:38" s="10" customFormat="1" x14ac:dyDescent="0.2">
      <c r="A33" s="71"/>
      <c r="AL33" s="51"/>
    </row>
    <row r="34" spans="1:38" s="10" customFormat="1" x14ac:dyDescent="0.2">
      <c r="A34" s="71"/>
      <c r="AL34" s="51"/>
    </row>
    <row r="35" spans="1:38" s="10" customFormat="1" x14ac:dyDescent="0.2">
      <c r="A35" s="71"/>
      <c r="AL35" s="51"/>
    </row>
    <row r="36" spans="1:38" s="10" customFormat="1" x14ac:dyDescent="0.2">
      <c r="A36" s="71"/>
      <c r="AL36" s="51"/>
    </row>
    <row r="37" spans="1:38" s="10" customFormat="1" x14ac:dyDescent="0.2">
      <c r="A37" s="77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61"/>
    </row>
  </sheetData>
  <mergeCells count="9">
    <mergeCell ref="AK15:AL15"/>
    <mergeCell ref="AK16:AL16"/>
    <mergeCell ref="AK17:AL17"/>
    <mergeCell ref="AK8:AL8"/>
    <mergeCell ref="AI9:AJ9"/>
    <mergeCell ref="AK9:AL9"/>
    <mergeCell ref="AK12:AL12"/>
    <mergeCell ref="AK13:AL13"/>
    <mergeCell ref="AK14:AL14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9" t="s">
        <v>182</v>
      </c>
      <c r="E2" s="7" t="s">
        <v>1</v>
      </c>
      <c r="F2" s="70" t="str">
        <f>IF(LogicCommon!C2="","",LogicCommon!C2)</f>
        <v>MG</v>
      </c>
      <c r="G2" s="7" t="s">
        <v>3</v>
      </c>
      <c r="H2" s="70" t="str">
        <f>IF(LogicCommon!E2="","",LogicCommon!E2)</f>
        <v>MGBDL0300</v>
      </c>
      <c r="I2" s="7" t="s">
        <v>19</v>
      </c>
      <c r="J2" s="8" t="s">
        <v>117</v>
      </c>
      <c r="K2" s="7" t="s">
        <v>5</v>
      </c>
      <c r="L2" s="70" t="str">
        <f>IF(LogicCommon!G2="","",LogicCommon!G2)</f>
        <v>MC</v>
      </c>
      <c r="M2" s="5" t="s">
        <v>21</v>
      </c>
      <c r="N2" s="24" t="s">
        <v>180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7</v>
      </c>
      <c r="F3" s="70" t="str">
        <f>IF(LogicCommon!C3="","",LogicCommon!C3)</f>
        <v>MGBD</v>
      </c>
      <c r="G3" s="7" t="s">
        <v>9</v>
      </c>
      <c r="H3" s="70" t="str">
        <f>IF(LogicCommon!E3="","",LogicCommon!E3)</f>
        <v>MGBDL_CostTermCalcCtgPtnCopy</v>
      </c>
      <c r="I3" s="7" t="s">
        <v>22</v>
      </c>
      <c r="J3" s="8" t="s">
        <v>23</v>
      </c>
      <c r="K3" s="7" t="s">
        <v>11</v>
      </c>
      <c r="L3" s="70" t="str">
        <f>IF(LogicCommon!G3="","",LogicCommon!G3)</f>
        <v/>
      </c>
      <c r="M3" s="4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26</v>
      </c>
      <c r="F4" s="74" t="s">
        <v>27</v>
      </c>
      <c r="G4" s="7" t="s">
        <v>12</v>
      </c>
      <c r="H4" s="70" t="str">
        <f>IF(LogicCommon!E4="","",LogicCommon!E4)</f>
        <v>原価データコピー</v>
      </c>
      <c r="I4" s="7" t="s">
        <v>28</v>
      </c>
      <c r="J4" s="8" t="s">
        <v>118</v>
      </c>
      <c r="K4" s="7" t="s">
        <v>14</v>
      </c>
      <c r="L4" s="70" t="str">
        <f>IF(LogicCommon!G4="","",LogicCommon!G4)</f>
        <v>MG.MGUDL5010</v>
      </c>
      <c r="M4" s="75" t="s">
        <v>30</v>
      </c>
      <c r="N4" s="24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17</v>
      </c>
      <c r="B5" s="69"/>
      <c r="C5" s="69"/>
      <c r="D5" s="21"/>
      <c r="E5" s="7" t="s">
        <v>31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15</v>
      </c>
      <c r="E6" s="12" t="s">
        <v>119</v>
      </c>
      <c r="F6" s="12"/>
      <c r="G6" s="12"/>
      <c r="H6" s="12"/>
      <c r="I6" s="12"/>
      <c r="J6" s="12"/>
      <c r="K6" s="12"/>
      <c r="L6" s="25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120</v>
      </c>
      <c r="L7" s="27" t="s">
        <v>44</v>
      </c>
      <c r="M7" s="28"/>
      <c r="N7" s="27" t="s">
        <v>44</v>
      </c>
      <c r="O7" s="28"/>
      <c r="P7" s="27" t="s">
        <v>44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35</v>
      </c>
      <c r="B8" s="80"/>
      <c r="C8" s="81"/>
      <c r="D8" s="27" t="s">
        <v>183</v>
      </c>
      <c r="E8" s="27" t="s">
        <v>184</v>
      </c>
      <c r="F8" s="25"/>
      <c r="G8" s="27" t="s">
        <v>45</v>
      </c>
      <c r="H8" s="27" t="s">
        <v>185</v>
      </c>
      <c r="I8" s="25"/>
      <c r="J8" s="3"/>
      <c r="K8" s="8"/>
      <c r="L8" s="27" t="s">
        <v>64</v>
      </c>
      <c r="M8" s="28"/>
      <c r="N8" s="27" t="s">
        <v>64</v>
      </c>
      <c r="O8" s="28"/>
      <c r="P8" s="27" t="s">
        <v>64</v>
      </c>
      <c r="Q8" s="28"/>
      <c r="R8" s="3"/>
      <c r="S8" s="21"/>
      <c r="T8" s="136" t="s">
        <v>194</v>
      </c>
      <c r="U8" s="137"/>
    </row>
    <row r="9" spans="1:21" s="10" customFormat="1" ht="60" customHeight="1" x14ac:dyDescent="0.2">
      <c r="A9" s="8" t="s">
        <v>35</v>
      </c>
      <c r="B9" s="32"/>
      <c r="C9" s="33"/>
      <c r="D9" s="27" t="s">
        <v>207</v>
      </c>
      <c r="E9" s="82" t="s">
        <v>208</v>
      </c>
      <c r="F9" s="27" t="s">
        <v>188</v>
      </c>
      <c r="G9" s="27" t="s">
        <v>189</v>
      </c>
      <c r="H9" s="27" t="s">
        <v>190</v>
      </c>
      <c r="I9" s="83" t="s">
        <v>191</v>
      </c>
      <c r="J9" s="27" t="s">
        <v>192</v>
      </c>
      <c r="K9" s="79"/>
      <c r="L9" s="83"/>
      <c r="M9" s="27"/>
      <c r="N9" s="27"/>
      <c r="O9" s="27"/>
      <c r="P9" s="27"/>
      <c r="Q9" s="27"/>
      <c r="R9" s="136" t="s">
        <v>193</v>
      </c>
      <c r="S9" s="137"/>
      <c r="T9" s="136" t="s">
        <v>195</v>
      </c>
      <c r="U9" s="137"/>
    </row>
    <row r="10" spans="1:21" s="10" customFormat="1" ht="39" x14ac:dyDescent="0.2">
      <c r="A10" s="32" t="s">
        <v>121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191</v>
      </c>
      <c r="M10" s="27" t="s">
        <v>192</v>
      </c>
      <c r="N10" s="27" t="s">
        <v>191</v>
      </c>
      <c r="O10" s="27" t="s">
        <v>192</v>
      </c>
      <c r="P10" s="27" t="s">
        <v>191</v>
      </c>
      <c r="Q10" s="27" t="s">
        <v>192</v>
      </c>
      <c r="R10" s="34"/>
      <c r="S10" s="34"/>
      <c r="T10" s="39"/>
      <c r="U10" s="67"/>
    </row>
    <row r="11" spans="1:21" s="10" customFormat="1" x14ac:dyDescent="0.2">
      <c r="A11" s="8">
        <v>10</v>
      </c>
      <c r="B11" s="32" t="s">
        <v>66</v>
      </c>
      <c r="C11" s="33"/>
      <c r="D11" s="24" t="s">
        <v>122</v>
      </c>
      <c r="E11" s="31" t="s">
        <v>123</v>
      </c>
      <c r="F11" s="67"/>
      <c r="G11" s="24" t="s">
        <v>124</v>
      </c>
      <c r="H11" s="40" t="s">
        <v>125</v>
      </c>
      <c r="I11" s="66"/>
      <c r="J11" s="37"/>
      <c r="K11" s="37"/>
      <c r="L11" s="29"/>
      <c r="M11" s="29"/>
      <c r="N11" s="29"/>
      <c r="O11" s="29"/>
      <c r="P11" s="29"/>
      <c r="Q11" s="29"/>
      <c r="R11" s="43"/>
      <c r="S11" s="44"/>
      <c r="T11" s="65"/>
      <c r="U11" s="57"/>
    </row>
    <row r="12" spans="1:21" s="10" customFormat="1" ht="26" x14ac:dyDescent="0.2">
      <c r="A12" s="8">
        <v>10</v>
      </c>
      <c r="B12" s="8"/>
      <c r="C12" s="8"/>
      <c r="D12" s="8" t="s">
        <v>126</v>
      </c>
      <c r="E12" s="28" t="s">
        <v>70</v>
      </c>
      <c r="F12" s="28"/>
      <c r="G12" s="46" t="s">
        <v>196</v>
      </c>
      <c r="H12" s="46" t="s">
        <v>71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65"/>
      <c r="U12" s="57"/>
    </row>
    <row r="13" spans="1:21" s="10" customFormat="1" ht="26" x14ac:dyDescent="0.2">
      <c r="A13" s="8">
        <v>10</v>
      </c>
      <c r="B13" s="8"/>
      <c r="C13" s="8"/>
      <c r="D13" s="8" t="s">
        <v>73</v>
      </c>
      <c r="E13" s="28" t="s">
        <v>70</v>
      </c>
      <c r="F13" s="28"/>
      <c r="G13" s="46" t="s">
        <v>197</v>
      </c>
      <c r="H13" s="46" t="s">
        <v>74</v>
      </c>
      <c r="I13" s="8" t="s">
        <v>72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65"/>
      <c r="U13" s="57"/>
    </row>
    <row r="14" spans="1:21" s="10" customFormat="1" x14ac:dyDescent="0.2">
      <c r="A14" s="8">
        <v>10</v>
      </c>
      <c r="B14" s="8"/>
      <c r="C14" s="8"/>
      <c r="D14" s="8" t="s">
        <v>75</v>
      </c>
      <c r="E14" s="28" t="s">
        <v>76</v>
      </c>
      <c r="F14" s="28"/>
      <c r="G14" s="46" t="s">
        <v>198</v>
      </c>
      <c r="H14" s="46" t="s">
        <v>77</v>
      </c>
      <c r="I14" s="8" t="s">
        <v>72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65"/>
      <c r="U14" s="57"/>
    </row>
    <row r="15" spans="1:21" s="10" customFormat="1" x14ac:dyDescent="0.2">
      <c r="A15" s="8">
        <v>10</v>
      </c>
      <c r="B15" s="8"/>
      <c r="C15" s="8"/>
      <c r="D15" s="8" t="s">
        <v>127</v>
      </c>
      <c r="E15" s="28" t="s">
        <v>76</v>
      </c>
      <c r="F15" s="28"/>
      <c r="G15" s="46" t="s">
        <v>199</v>
      </c>
      <c r="H15" s="46" t="s">
        <v>79</v>
      </c>
      <c r="I15" s="8" t="s">
        <v>72</v>
      </c>
      <c r="J15" s="8"/>
      <c r="K15" s="8"/>
      <c r="L15" s="8"/>
      <c r="M15" s="8"/>
      <c r="N15" s="8"/>
      <c r="O15" s="8"/>
      <c r="P15" s="8"/>
      <c r="Q15" s="8"/>
      <c r="R15" s="43"/>
      <c r="S15" s="44"/>
      <c r="T15" s="65"/>
      <c r="U15" s="57"/>
    </row>
    <row r="16" spans="1:21" s="10" customFormat="1" x14ac:dyDescent="0.2">
      <c r="A16" s="8">
        <v>10</v>
      </c>
      <c r="B16" s="8"/>
      <c r="C16" s="8"/>
      <c r="D16" s="8" t="s">
        <v>80</v>
      </c>
      <c r="E16" s="28" t="s">
        <v>76</v>
      </c>
      <c r="F16" s="28"/>
      <c r="G16" s="46" t="s">
        <v>200</v>
      </c>
      <c r="H16" s="46" t="s">
        <v>81</v>
      </c>
      <c r="I16" s="8"/>
      <c r="J16" s="8"/>
      <c r="K16" s="8"/>
      <c r="L16" s="8"/>
      <c r="M16" s="8"/>
      <c r="N16" s="8"/>
      <c r="O16" s="8"/>
      <c r="P16" s="8"/>
      <c r="Q16" s="8"/>
      <c r="R16" s="43"/>
      <c r="S16" s="44"/>
      <c r="T16" s="65"/>
      <c r="U16" s="57"/>
    </row>
    <row r="17" spans="1:21" s="10" customFormat="1" x14ac:dyDescent="0.2">
      <c r="A17" s="8">
        <v>10</v>
      </c>
      <c r="B17" s="8"/>
      <c r="C17" s="8"/>
      <c r="D17" s="8" t="s">
        <v>128</v>
      </c>
      <c r="E17" s="28" t="s">
        <v>76</v>
      </c>
      <c r="F17" s="28"/>
      <c r="G17" s="46" t="s">
        <v>201</v>
      </c>
      <c r="H17" s="46" t="s">
        <v>83</v>
      </c>
      <c r="I17" s="8"/>
      <c r="J17" s="8"/>
      <c r="K17" s="8"/>
      <c r="L17" s="8"/>
      <c r="M17" s="8"/>
      <c r="N17" s="8"/>
      <c r="O17" s="8"/>
      <c r="P17" s="8"/>
      <c r="Q17" s="8"/>
      <c r="R17" s="43"/>
      <c r="S17" s="44"/>
      <c r="T17" s="65"/>
      <c r="U17" s="57"/>
    </row>
    <row r="18" spans="1:21" s="10" customFormat="1" x14ac:dyDescent="0.2">
      <c r="A18" s="71"/>
      <c r="U18" s="51"/>
    </row>
    <row r="19" spans="1:21" s="10" customFormat="1" x14ac:dyDescent="0.2">
      <c r="A19" s="8">
        <v>20</v>
      </c>
      <c r="B19" s="32" t="s">
        <v>129</v>
      </c>
      <c r="C19" s="33"/>
      <c r="D19" s="24" t="s">
        <v>130</v>
      </c>
      <c r="E19" s="29" t="s">
        <v>86</v>
      </c>
      <c r="F19" s="52"/>
      <c r="G19" s="24" t="s">
        <v>124</v>
      </c>
      <c r="H19" s="40" t="s">
        <v>107</v>
      </c>
      <c r="I19" s="53"/>
      <c r="J19" s="8"/>
      <c r="K19" s="32"/>
      <c r="L19" s="32"/>
      <c r="M19" s="32"/>
      <c r="N19" s="32"/>
      <c r="O19" s="32"/>
      <c r="P19" s="32"/>
      <c r="Q19" s="32"/>
      <c r="R19" s="43"/>
      <c r="S19" s="44"/>
      <c r="T19" s="65"/>
      <c r="U19" s="57"/>
    </row>
    <row r="20" spans="1:21" s="10" customFormat="1" x14ac:dyDescent="0.2">
      <c r="A20" s="8">
        <v>20</v>
      </c>
      <c r="B20" s="8"/>
      <c r="C20" s="8"/>
      <c r="D20" s="8" t="s">
        <v>87</v>
      </c>
      <c r="E20" s="28" t="s">
        <v>88</v>
      </c>
      <c r="F20" s="28"/>
      <c r="G20" s="46" t="s">
        <v>202</v>
      </c>
      <c r="H20" s="46" t="s">
        <v>89</v>
      </c>
      <c r="I20" s="8"/>
      <c r="J20" s="8"/>
      <c r="K20" s="8"/>
      <c r="L20" s="8"/>
      <c r="M20" s="8"/>
      <c r="N20" s="8"/>
      <c r="O20" s="8"/>
      <c r="P20" s="8"/>
      <c r="Q20" s="8"/>
      <c r="R20" s="43"/>
      <c r="S20" s="44"/>
      <c r="T20" s="65"/>
      <c r="U20" s="57"/>
    </row>
    <row r="21" spans="1:21" s="10" customFormat="1" x14ac:dyDescent="0.2">
      <c r="A21" s="8">
        <v>20</v>
      </c>
      <c r="B21" s="8"/>
      <c r="C21" s="8"/>
      <c r="D21" s="8" t="s">
        <v>110</v>
      </c>
      <c r="E21" s="28" t="s">
        <v>131</v>
      </c>
      <c r="F21" s="28"/>
      <c r="G21" s="46" t="s">
        <v>203</v>
      </c>
      <c r="H21" s="46" t="s">
        <v>93</v>
      </c>
      <c r="I21" s="8" t="s">
        <v>72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65"/>
      <c r="U21" s="57"/>
    </row>
    <row r="22" spans="1:21" s="10" customFormat="1" x14ac:dyDescent="0.2">
      <c r="A22" s="8">
        <v>20</v>
      </c>
      <c r="B22" s="8"/>
      <c r="C22" s="8"/>
      <c r="D22" s="8" t="s">
        <v>132</v>
      </c>
      <c r="E22" s="28" t="s">
        <v>113</v>
      </c>
      <c r="F22" s="28"/>
      <c r="G22" s="46" t="s">
        <v>204</v>
      </c>
      <c r="H22" s="46" t="s">
        <v>96</v>
      </c>
      <c r="I22" s="8"/>
      <c r="J22" s="8"/>
      <c r="K22" s="8"/>
      <c r="L22" s="8"/>
      <c r="M22" s="8"/>
      <c r="N22" s="8"/>
      <c r="O22" s="8"/>
      <c r="P22" s="8"/>
      <c r="Q22" s="8"/>
      <c r="R22" s="43"/>
      <c r="S22" s="44"/>
      <c r="T22" s="65"/>
      <c r="U22" s="57"/>
    </row>
    <row r="23" spans="1:21" s="10" customFormat="1" x14ac:dyDescent="0.2">
      <c r="A23" s="8">
        <v>20</v>
      </c>
      <c r="B23" s="8"/>
      <c r="C23" s="8"/>
      <c r="D23" s="8" t="s">
        <v>133</v>
      </c>
      <c r="E23" s="28" t="s">
        <v>113</v>
      </c>
      <c r="F23" s="28"/>
      <c r="G23" s="46" t="s">
        <v>205</v>
      </c>
      <c r="H23" s="46" t="s">
        <v>99</v>
      </c>
      <c r="I23" s="8"/>
      <c r="J23" s="8"/>
      <c r="K23" s="8"/>
      <c r="L23" s="8"/>
      <c r="M23" s="8"/>
      <c r="N23" s="8"/>
      <c r="O23" s="8"/>
      <c r="P23" s="8"/>
      <c r="Q23" s="8"/>
      <c r="R23" s="43"/>
      <c r="S23" s="44"/>
      <c r="T23" s="65"/>
      <c r="U23" s="57"/>
    </row>
    <row r="24" spans="1:21" s="10" customFormat="1" x14ac:dyDescent="0.2">
      <c r="A24" s="8">
        <v>20</v>
      </c>
      <c r="B24" s="8"/>
      <c r="C24" s="8"/>
      <c r="D24" s="8" t="s">
        <v>134</v>
      </c>
      <c r="E24" s="28" t="s">
        <v>135</v>
      </c>
      <c r="F24" s="28"/>
      <c r="G24" s="46" t="s">
        <v>206</v>
      </c>
      <c r="H24" s="46" t="s">
        <v>102</v>
      </c>
      <c r="I24" s="8"/>
      <c r="J24" s="8"/>
      <c r="K24" s="8"/>
      <c r="L24" s="8"/>
      <c r="M24" s="8"/>
      <c r="N24" s="8"/>
      <c r="O24" s="8"/>
      <c r="P24" s="8"/>
      <c r="Q24" s="8"/>
      <c r="R24" s="43"/>
      <c r="S24" s="44"/>
      <c r="T24" s="65"/>
      <c r="U24" s="57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60"/>
    </row>
    <row r="26" spans="1:21" s="10" customFormat="1" x14ac:dyDescent="0.2">
      <c r="A26" s="71"/>
      <c r="U26" s="51"/>
    </row>
    <row r="27" spans="1:21" s="10" customFormat="1" x14ac:dyDescent="0.2">
      <c r="A27" s="71"/>
      <c r="U27" s="51"/>
    </row>
    <row r="28" spans="1:21" s="10" customFormat="1" x14ac:dyDescent="0.2">
      <c r="A28" s="71"/>
      <c r="U28" s="51"/>
    </row>
    <row r="29" spans="1:21" s="10" customFormat="1" x14ac:dyDescent="0.2">
      <c r="A29" s="7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6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9" t="s">
        <v>182</v>
      </c>
      <c r="E2" s="7" t="s">
        <v>1</v>
      </c>
      <c r="F2" s="70" t="str">
        <f>IF(LogicCommon!C2="","",LogicCommon!C2)</f>
        <v>MG</v>
      </c>
      <c r="G2" s="7" t="s">
        <v>3</v>
      </c>
      <c r="H2" s="70" t="str">
        <f>IF(LogicCommon!E2="","",LogicCommon!E2)</f>
        <v>MGBDL0300</v>
      </c>
      <c r="I2" s="7" t="s">
        <v>19</v>
      </c>
      <c r="J2" s="8" t="s">
        <v>136</v>
      </c>
      <c r="K2" s="7" t="s">
        <v>5</v>
      </c>
      <c r="L2" s="70" t="str">
        <f>IF(LogicCommon!G2="","",LogicCommon!G2)</f>
        <v>MC</v>
      </c>
      <c r="M2" s="5" t="s">
        <v>21</v>
      </c>
      <c r="N2" s="24" t="s">
        <v>180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7</v>
      </c>
      <c r="F3" s="70" t="str">
        <f>IF(LogicCommon!C3="","",LogicCommon!C3)</f>
        <v>MGBD</v>
      </c>
      <c r="G3" s="7" t="s">
        <v>9</v>
      </c>
      <c r="H3" s="70" t="str">
        <f>IF(LogicCommon!E3="","",LogicCommon!E3)</f>
        <v>MGBDL_CostTermCalcCtgPtnCopy</v>
      </c>
      <c r="I3" s="7" t="s">
        <v>22</v>
      </c>
      <c r="J3" s="8" t="s">
        <v>137</v>
      </c>
      <c r="K3" s="7" t="s">
        <v>11</v>
      </c>
      <c r="L3" s="70" t="str">
        <f>IF(LogicCommon!G3="","",LogicCommon!G3)</f>
        <v/>
      </c>
      <c r="M3" s="4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26</v>
      </c>
      <c r="F4" s="74" t="s">
        <v>27</v>
      </c>
      <c r="G4" s="7" t="s">
        <v>12</v>
      </c>
      <c r="H4" s="70" t="str">
        <f>IF(LogicCommon!E4="","",LogicCommon!E4)</f>
        <v>原価データコピー</v>
      </c>
      <c r="I4" s="7" t="s">
        <v>28</v>
      </c>
      <c r="J4" s="8" t="s">
        <v>138</v>
      </c>
      <c r="K4" s="7" t="s">
        <v>14</v>
      </c>
      <c r="L4" s="70" t="str">
        <f>IF(LogicCommon!G4="","",LogicCommon!G4)</f>
        <v>MG.MGUDL5010</v>
      </c>
      <c r="M4" s="75" t="s">
        <v>30</v>
      </c>
      <c r="N4" s="24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17</v>
      </c>
      <c r="B5" s="69"/>
      <c r="C5" s="69"/>
      <c r="D5" s="21"/>
      <c r="E5" s="7" t="s">
        <v>31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15</v>
      </c>
      <c r="E6" s="12" t="s">
        <v>139</v>
      </c>
      <c r="F6" s="12"/>
      <c r="G6" s="12"/>
      <c r="H6" s="12"/>
      <c r="I6" s="12"/>
      <c r="J6" s="12"/>
      <c r="K6" s="12"/>
      <c r="L6" s="25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140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120</v>
      </c>
      <c r="L7" s="27" t="s">
        <v>141</v>
      </c>
      <c r="M7" s="28"/>
      <c r="N7" s="27" t="s">
        <v>44</v>
      </c>
      <c r="O7" s="28"/>
      <c r="P7" s="27" t="s">
        <v>142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35</v>
      </c>
      <c r="B8" s="80"/>
      <c r="C8" s="81"/>
      <c r="D8" s="27" t="s">
        <v>183</v>
      </c>
      <c r="E8" s="27" t="s">
        <v>184</v>
      </c>
      <c r="F8" s="25"/>
      <c r="G8" s="27" t="s">
        <v>45</v>
      </c>
      <c r="H8" s="27" t="s">
        <v>185</v>
      </c>
      <c r="I8" s="25"/>
      <c r="J8" s="3"/>
      <c r="K8" s="8"/>
      <c r="L8" s="27" t="s">
        <v>143</v>
      </c>
      <c r="M8" s="28"/>
      <c r="N8" s="27" t="s">
        <v>65</v>
      </c>
      <c r="O8" s="28"/>
      <c r="P8" s="27" t="s">
        <v>64</v>
      </c>
      <c r="Q8" s="28"/>
      <c r="R8" s="3"/>
      <c r="S8" s="21"/>
      <c r="T8" s="136" t="s">
        <v>194</v>
      </c>
      <c r="U8" s="137"/>
    </row>
    <row r="9" spans="1:21" s="10" customFormat="1" ht="60" customHeight="1" x14ac:dyDescent="0.2">
      <c r="A9" s="8" t="s">
        <v>35</v>
      </c>
      <c r="B9" s="32"/>
      <c r="C9" s="33"/>
      <c r="D9" s="27" t="s">
        <v>207</v>
      </c>
      <c r="E9" s="82" t="s">
        <v>208</v>
      </c>
      <c r="F9" s="27" t="s">
        <v>188</v>
      </c>
      <c r="G9" s="27" t="s">
        <v>189</v>
      </c>
      <c r="H9" s="27" t="s">
        <v>190</v>
      </c>
      <c r="I9" s="83" t="s">
        <v>191</v>
      </c>
      <c r="J9" s="27" t="s">
        <v>192</v>
      </c>
      <c r="K9" s="79"/>
      <c r="L9" s="83"/>
      <c r="M9" s="27"/>
      <c r="N9" s="27"/>
      <c r="O9" s="27"/>
      <c r="P9" s="27"/>
      <c r="Q9" s="27"/>
      <c r="R9" s="136" t="s">
        <v>193</v>
      </c>
      <c r="S9" s="137"/>
      <c r="T9" s="136" t="s">
        <v>195</v>
      </c>
      <c r="U9" s="137"/>
    </row>
    <row r="10" spans="1:21" s="10" customFormat="1" ht="39" x14ac:dyDescent="0.2">
      <c r="A10" s="32" t="s">
        <v>121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191</v>
      </c>
      <c r="M10" s="27" t="s">
        <v>192</v>
      </c>
      <c r="N10" s="27" t="s">
        <v>191</v>
      </c>
      <c r="O10" s="27" t="s">
        <v>192</v>
      </c>
      <c r="P10" s="27" t="s">
        <v>191</v>
      </c>
      <c r="Q10" s="27" t="s">
        <v>192</v>
      </c>
      <c r="R10" s="34"/>
      <c r="S10" s="34"/>
      <c r="T10" s="39"/>
      <c r="U10" s="67"/>
    </row>
    <row r="11" spans="1:21" s="10" customFormat="1" x14ac:dyDescent="0.2">
      <c r="A11" s="8">
        <v>10</v>
      </c>
      <c r="B11" s="32" t="s">
        <v>66</v>
      </c>
      <c r="C11" s="33"/>
      <c r="D11" s="24" t="s">
        <v>67</v>
      </c>
      <c r="E11" s="31" t="s">
        <v>144</v>
      </c>
      <c r="F11" s="67"/>
      <c r="G11" s="24" t="s">
        <v>145</v>
      </c>
      <c r="H11" s="40" t="s">
        <v>125</v>
      </c>
      <c r="I11" s="66"/>
      <c r="J11" s="37"/>
      <c r="K11" s="37"/>
      <c r="L11" s="29"/>
      <c r="M11" s="29"/>
      <c r="N11" s="29"/>
      <c r="O11" s="29"/>
      <c r="P11" s="29"/>
      <c r="Q11" s="29"/>
      <c r="R11" s="43"/>
      <c r="S11" s="44"/>
      <c r="T11" s="65"/>
      <c r="U11" s="57"/>
    </row>
    <row r="12" spans="1:21" s="10" customFormat="1" ht="26" x14ac:dyDescent="0.2">
      <c r="A12" s="8">
        <v>10</v>
      </c>
      <c r="B12" s="8"/>
      <c r="C12" s="8"/>
      <c r="D12" s="8" t="s">
        <v>146</v>
      </c>
      <c r="E12" s="28" t="s">
        <v>147</v>
      </c>
      <c r="F12" s="28"/>
      <c r="G12" s="46" t="s">
        <v>196</v>
      </c>
      <c r="H12" s="46" t="s">
        <v>71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65"/>
      <c r="U12" s="57"/>
    </row>
    <row r="13" spans="1:21" s="10" customFormat="1" ht="26" x14ac:dyDescent="0.2">
      <c r="A13" s="8">
        <v>10</v>
      </c>
      <c r="B13" s="8"/>
      <c r="C13" s="8"/>
      <c r="D13" s="8" t="s">
        <v>148</v>
      </c>
      <c r="E13" s="28" t="s">
        <v>70</v>
      </c>
      <c r="F13" s="28"/>
      <c r="G13" s="46" t="s">
        <v>197</v>
      </c>
      <c r="H13" s="46" t="s">
        <v>74</v>
      </c>
      <c r="I13" s="8" t="s">
        <v>72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65"/>
      <c r="U13" s="57"/>
    </row>
    <row r="14" spans="1:21" s="10" customFormat="1" x14ac:dyDescent="0.2">
      <c r="A14" s="8">
        <v>10</v>
      </c>
      <c r="B14" s="8"/>
      <c r="C14" s="8"/>
      <c r="D14" s="8" t="s">
        <v>75</v>
      </c>
      <c r="E14" s="28" t="s">
        <v>76</v>
      </c>
      <c r="F14" s="28"/>
      <c r="G14" s="46" t="s">
        <v>198</v>
      </c>
      <c r="H14" s="46" t="s">
        <v>77</v>
      </c>
      <c r="I14" s="8" t="s">
        <v>72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65"/>
      <c r="U14" s="57"/>
    </row>
    <row r="15" spans="1:21" s="10" customFormat="1" x14ac:dyDescent="0.2">
      <c r="A15" s="8">
        <v>10</v>
      </c>
      <c r="B15" s="8"/>
      <c r="C15" s="8"/>
      <c r="D15" s="8" t="s">
        <v>127</v>
      </c>
      <c r="E15" s="28" t="s">
        <v>76</v>
      </c>
      <c r="F15" s="28"/>
      <c r="G15" s="46" t="s">
        <v>199</v>
      </c>
      <c r="H15" s="46" t="s">
        <v>79</v>
      </c>
      <c r="I15" s="8" t="s">
        <v>72</v>
      </c>
      <c r="J15" s="8"/>
      <c r="K15" s="8"/>
      <c r="L15" s="8"/>
      <c r="M15" s="8"/>
      <c r="N15" s="8"/>
      <c r="O15" s="8"/>
      <c r="P15" s="8"/>
      <c r="Q15" s="8"/>
      <c r="R15" s="43"/>
      <c r="S15" s="44"/>
      <c r="T15" s="65"/>
      <c r="U15" s="57"/>
    </row>
    <row r="16" spans="1:21" s="10" customFormat="1" x14ac:dyDescent="0.2">
      <c r="A16" s="8">
        <v>10</v>
      </c>
      <c r="B16" s="8"/>
      <c r="C16" s="8"/>
      <c r="D16" s="8" t="s">
        <v>149</v>
      </c>
      <c r="E16" s="28" t="s">
        <v>76</v>
      </c>
      <c r="F16" s="28"/>
      <c r="G16" s="46" t="s">
        <v>200</v>
      </c>
      <c r="H16" s="46" t="s">
        <v>81</v>
      </c>
      <c r="I16" s="8"/>
      <c r="J16" s="8"/>
      <c r="K16" s="8"/>
      <c r="L16" s="8"/>
      <c r="M16" s="8"/>
      <c r="N16" s="8"/>
      <c r="O16" s="8"/>
      <c r="P16" s="8"/>
      <c r="Q16" s="8"/>
      <c r="R16" s="43"/>
      <c r="S16" s="44"/>
      <c r="T16" s="65"/>
      <c r="U16" s="57"/>
    </row>
    <row r="17" spans="1:21" s="10" customFormat="1" x14ac:dyDescent="0.2">
      <c r="A17" s="8">
        <v>10</v>
      </c>
      <c r="B17" s="8"/>
      <c r="C17" s="8"/>
      <c r="D17" s="8" t="s">
        <v>150</v>
      </c>
      <c r="E17" s="28" t="s">
        <v>76</v>
      </c>
      <c r="F17" s="28"/>
      <c r="G17" s="46" t="s">
        <v>201</v>
      </c>
      <c r="H17" s="46" t="s">
        <v>83</v>
      </c>
      <c r="I17" s="8"/>
      <c r="J17" s="8"/>
      <c r="K17" s="8"/>
      <c r="L17" s="8"/>
      <c r="M17" s="8"/>
      <c r="N17" s="8"/>
      <c r="O17" s="8"/>
      <c r="P17" s="8"/>
      <c r="Q17" s="8"/>
      <c r="R17" s="43"/>
      <c r="S17" s="44"/>
      <c r="T17" s="65"/>
      <c r="U17" s="57"/>
    </row>
    <row r="18" spans="1:21" s="10" customFormat="1" x14ac:dyDescent="0.2">
      <c r="A18" s="71"/>
      <c r="U18" s="51"/>
    </row>
    <row r="19" spans="1:21" s="10" customFormat="1" x14ac:dyDescent="0.2">
      <c r="A19" s="8">
        <v>20</v>
      </c>
      <c r="B19" s="32" t="s">
        <v>129</v>
      </c>
      <c r="C19" s="33"/>
      <c r="D19" s="24" t="s">
        <v>130</v>
      </c>
      <c r="E19" s="29" t="s">
        <v>86</v>
      </c>
      <c r="F19" s="52"/>
      <c r="G19" s="24" t="s">
        <v>124</v>
      </c>
      <c r="H19" s="40" t="s">
        <v>107</v>
      </c>
      <c r="I19" s="53"/>
      <c r="J19" s="8"/>
      <c r="K19" s="32"/>
      <c r="L19" s="32"/>
      <c r="M19" s="32"/>
      <c r="N19" s="32"/>
      <c r="O19" s="32"/>
      <c r="P19" s="32"/>
      <c r="Q19" s="32"/>
      <c r="R19" s="43"/>
      <c r="S19" s="44"/>
      <c r="T19" s="65"/>
      <c r="U19" s="57"/>
    </row>
    <row r="20" spans="1:21" s="10" customFormat="1" x14ac:dyDescent="0.2">
      <c r="A20" s="8">
        <v>20</v>
      </c>
      <c r="B20" s="8"/>
      <c r="C20" s="8"/>
      <c r="D20" s="8" t="s">
        <v>87</v>
      </c>
      <c r="E20" s="28" t="s">
        <v>88</v>
      </c>
      <c r="F20" s="28"/>
      <c r="G20" s="46" t="s">
        <v>202</v>
      </c>
      <c r="H20" s="46" t="s">
        <v>89</v>
      </c>
      <c r="I20" s="8"/>
      <c r="J20" s="8"/>
      <c r="K20" s="8"/>
      <c r="L20" s="8"/>
      <c r="M20" s="8"/>
      <c r="N20" s="8"/>
      <c r="O20" s="8"/>
      <c r="P20" s="8"/>
      <c r="Q20" s="8"/>
      <c r="R20" s="43"/>
      <c r="S20" s="44"/>
      <c r="T20" s="65"/>
      <c r="U20" s="57"/>
    </row>
    <row r="21" spans="1:21" s="10" customFormat="1" x14ac:dyDescent="0.2">
      <c r="A21" s="8">
        <v>20</v>
      </c>
      <c r="B21" s="8"/>
      <c r="C21" s="8"/>
      <c r="D21" s="8" t="s">
        <v>110</v>
      </c>
      <c r="E21" s="28" t="s">
        <v>111</v>
      </c>
      <c r="F21" s="28"/>
      <c r="G21" s="46" t="s">
        <v>203</v>
      </c>
      <c r="H21" s="46" t="s">
        <v>93</v>
      </c>
      <c r="I21" s="8" t="s">
        <v>72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65"/>
      <c r="U21" s="57"/>
    </row>
    <row r="22" spans="1:21" s="10" customFormat="1" x14ac:dyDescent="0.2">
      <c r="A22" s="8">
        <v>20</v>
      </c>
      <c r="B22" s="8"/>
      <c r="C22" s="8"/>
      <c r="D22" s="8" t="s">
        <v>132</v>
      </c>
      <c r="E22" s="28" t="s">
        <v>113</v>
      </c>
      <c r="F22" s="28"/>
      <c r="G22" s="46" t="s">
        <v>204</v>
      </c>
      <c r="H22" s="46" t="s">
        <v>96</v>
      </c>
      <c r="I22" s="8"/>
      <c r="J22" s="8"/>
      <c r="K22" s="8"/>
      <c r="L22" s="8"/>
      <c r="M22" s="8"/>
      <c r="N22" s="8"/>
      <c r="O22" s="8"/>
      <c r="P22" s="8"/>
      <c r="Q22" s="8"/>
      <c r="R22" s="43"/>
      <c r="S22" s="44"/>
      <c r="T22" s="65"/>
      <c r="U22" s="57"/>
    </row>
    <row r="23" spans="1:21" s="10" customFormat="1" x14ac:dyDescent="0.2">
      <c r="A23" s="8">
        <v>20</v>
      </c>
      <c r="B23" s="8"/>
      <c r="C23" s="8"/>
      <c r="D23" s="8" t="s">
        <v>133</v>
      </c>
      <c r="E23" s="28" t="s">
        <v>98</v>
      </c>
      <c r="F23" s="28"/>
      <c r="G23" s="46" t="s">
        <v>205</v>
      </c>
      <c r="H23" s="46" t="s">
        <v>99</v>
      </c>
      <c r="I23" s="8"/>
      <c r="J23" s="8"/>
      <c r="K23" s="8"/>
      <c r="L23" s="8"/>
      <c r="M23" s="8"/>
      <c r="N23" s="8"/>
      <c r="O23" s="8"/>
      <c r="P23" s="8"/>
      <c r="Q23" s="8"/>
      <c r="R23" s="43"/>
      <c r="S23" s="44"/>
      <c r="T23" s="65"/>
      <c r="U23" s="57"/>
    </row>
    <row r="24" spans="1:21" s="10" customFormat="1" x14ac:dyDescent="0.2">
      <c r="A24" s="8">
        <v>20</v>
      </c>
      <c r="B24" s="8"/>
      <c r="C24" s="8"/>
      <c r="D24" s="8" t="s">
        <v>134</v>
      </c>
      <c r="E24" s="28" t="s">
        <v>135</v>
      </c>
      <c r="F24" s="28"/>
      <c r="G24" s="46" t="s">
        <v>206</v>
      </c>
      <c r="H24" s="46" t="s">
        <v>102</v>
      </c>
      <c r="I24" s="8"/>
      <c r="J24" s="8"/>
      <c r="K24" s="8"/>
      <c r="L24" s="8"/>
      <c r="M24" s="8"/>
      <c r="N24" s="8"/>
      <c r="O24" s="8"/>
      <c r="P24" s="8"/>
      <c r="Q24" s="8"/>
      <c r="R24" s="43"/>
      <c r="S24" s="44"/>
      <c r="T24" s="65"/>
      <c r="U24" s="57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60"/>
    </row>
    <row r="26" spans="1:21" s="10" customFormat="1" x14ac:dyDescent="0.2">
      <c r="A26" s="71"/>
      <c r="U26" s="51"/>
    </row>
    <row r="27" spans="1:21" s="10" customFormat="1" x14ac:dyDescent="0.2">
      <c r="A27" s="71"/>
      <c r="U27" s="51"/>
    </row>
    <row r="28" spans="1:21" s="10" customFormat="1" x14ac:dyDescent="0.2">
      <c r="A28" s="71"/>
      <c r="U28" s="51"/>
    </row>
    <row r="29" spans="1:21" s="10" customFormat="1" x14ac:dyDescent="0.2">
      <c r="A29" s="7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6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9" t="s">
        <v>182</v>
      </c>
      <c r="E2" s="7" t="s">
        <v>1</v>
      </c>
      <c r="F2" s="70" t="str">
        <f>IF(LogicCommon!C2="","",LogicCommon!C2)</f>
        <v>MG</v>
      </c>
      <c r="G2" s="7" t="s">
        <v>3</v>
      </c>
      <c r="H2" s="70" t="str">
        <f>IF(LogicCommon!E2="","",LogicCommon!E2)</f>
        <v>MGBDL0300</v>
      </c>
      <c r="I2" s="7" t="s">
        <v>19</v>
      </c>
      <c r="J2" s="8" t="s">
        <v>151</v>
      </c>
      <c r="K2" s="7" t="s">
        <v>5</v>
      </c>
      <c r="L2" s="70" t="str">
        <f>IF(LogicCommon!G2="","",LogicCommon!G2)</f>
        <v>MC</v>
      </c>
      <c r="M2" s="5" t="s">
        <v>21</v>
      </c>
      <c r="N2" s="24" t="s">
        <v>180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7</v>
      </c>
      <c r="F3" s="70" t="str">
        <f>IF(LogicCommon!C3="","",LogicCommon!C3)</f>
        <v>MGBD</v>
      </c>
      <c r="G3" s="7" t="s">
        <v>9</v>
      </c>
      <c r="H3" s="70" t="str">
        <f>IF(LogicCommon!E3="","",LogicCommon!E3)</f>
        <v>MGBDL_CostTermCalcCtgPtnCopy</v>
      </c>
      <c r="I3" s="7" t="s">
        <v>22</v>
      </c>
      <c r="J3" s="8" t="s">
        <v>23</v>
      </c>
      <c r="K3" s="7" t="s">
        <v>11</v>
      </c>
      <c r="L3" s="70" t="str">
        <f>IF(LogicCommon!G3="","",LogicCommon!G3)</f>
        <v/>
      </c>
      <c r="M3" s="4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26</v>
      </c>
      <c r="F4" s="74" t="s">
        <v>27</v>
      </c>
      <c r="G4" s="7" t="s">
        <v>12</v>
      </c>
      <c r="H4" s="70" t="str">
        <f>IF(LogicCommon!E4="","",LogicCommon!E4)</f>
        <v>原価データコピー</v>
      </c>
      <c r="I4" s="7" t="s">
        <v>28</v>
      </c>
      <c r="J4" s="8" t="s">
        <v>152</v>
      </c>
      <c r="K4" s="7" t="s">
        <v>14</v>
      </c>
      <c r="L4" s="70" t="str">
        <f>IF(LogicCommon!G4="","",LogicCommon!G4)</f>
        <v>MG.MGUDL5010</v>
      </c>
      <c r="M4" s="75" t="s">
        <v>30</v>
      </c>
      <c r="N4" s="24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17</v>
      </c>
      <c r="B5" s="69"/>
      <c r="C5" s="69"/>
      <c r="D5" s="21"/>
      <c r="E5" s="7" t="s">
        <v>31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15</v>
      </c>
      <c r="E6" s="12" t="s">
        <v>153</v>
      </c>
      <c r="F6" s="12"/>
      <c r="G6" s="12"/>
      <c r="H6" s="12"/>
      <c r="I6" s="12"/>
      <c r="J6" s="12"/>
      <c r="K6" s="12"/>
      <c r="L6" s="25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120</v>
      </c>
      <c r="L7" s="27" t="s">
        <v>44</v>
      </c>
      <c r="M7" s="28"/>
      <c r="N7" s="27" t="s">
        <v>44</v>
      </c>
      <c r="O7" s="28"/>
      <c r="P7" s="27" t="s">
        <v>44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35</v>
      </c>
      <c r="B8" s="80"/>
      <c r="C8" s="81"/>
      <c r="D8" s="27" t="s">
        <v>183</v>
      </c>
      <c r="E8" s="27" t="s">
        <v>184</v>
      </c>
      <c r="F8" s="25"/>
      <c r="G8" s="27" t="s">
        <v>45</v>
      </c>
      <c r="H8" s="27" t="s">
        <v>185</v>
      </c>
      <c r="I8" s="25"/>
      <c r="J8" s="3"/>
      <c r="K8" s="8"/>
      <c r="L8" s="27" t="s">
        <v>65</v>
      </c>
      <c r="M8" s="28"/>
      <c r="N8" s="27" t="s">
        <v>64</v>
      </c>
      <c r="O8" s="28"/>
      <c r="P8" s="27" t="s">
        <v>65</v>
      </c>
      <c r="Q8" s="28"/>
      <c r="R8" s="3"/>
      <c r="S8" s="21"/>
      <c r="T8" s="136" t="s">
        <v>194</v>
      </c>
      <c r="U8" s="137"/>
    </row>
    <row r="9" spans="1:21" s="10" customFormat="1" ht="60" customHeight="1" x14ac:dyDescent="0.2">
      <c r="A9" s="8" t="s">
        <v>35</v>
      </c>
      <c r="B9" s="32"/>
      <c r="C9" s="33"/>
      <c r="D9" s="27" t="s">
        <v>207</v>
      </c>
      <c r="E9" s="82" t="s">
        <v>208</v>
      </c>
      <c r="F9" s="27" t="s">
        <v>188</v>
      </c>
      <c r="G9" s="27" t="s">
        <v>189</v>
      </c>
      <c r="H9" s="27" t="s">
        <v>190</v>
      </c>
      <c r="I9" s="83" t="s">
        <v>191</v>
      </c>
      <c r="J9" s="27" t="s">
        <v>192</v>
      </c>
      <c r="K9" s="79"/>
      <c r="L9" s="83"/>
      <c r="M9" s="27"/>
      <c r="N9" s="27"/>
      <c r="O9" s="27"/>
      <c r="P9" s="27"/>
      <c r="Q9" s="27"/>
      <c r="R9" s="136" t="s">
        <v>193</v>
      </c>
      <c r="S9" s="137"/>
      <c r="T9" s="136" t="s">
        <v>195</v>
      </c>
      <c r="U9" s="137"/>
    </row>
    <row r="10" spans="1:21" s="10" customFormat="1" ht="39" x14ac:dyDescent="0.2">
      <c r="A10" s="32" t="s">
        <v>35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191</v>
      </c>
      <c r="M10" s="27" t="s">
        <v>192</v>
      </c>
      <c r="N10" s="27" t="s">
        <v>191</v>
      </c>
      <c r="O10" s="27" t="s">
        <v>192</v>
      </c>
      <c r="P10" s="27" t="s">
        <v>191</v>
      </c>
      <c r="Q10" s="27" t="s">
        <v>192</v>
      </c>
      <c r="R10" s="34"/>
      <c r="S10" s="34"/>
      <c r="T10" s="39"/>
      <c r="U10" s="67"/>
    </row>
    <row r="11" spans="1:21" s="10" customFormat="1" x14ac:dyDescent="0.2">
      <c r="A11" s="8">
        <v>10</v>
      </c>
      <c r="B11" s="32" t="s">
        <v>66</v>
      </c>
      <c r="C11" s="33"/>
      <c r="D11" s="24" t="s">
        <v>122</v>
      </c>
      <c r="E11" s="31" t="s">
        <v>123</v>
      </c>
      <c r="F11" s="67"/>
      <c r="G11" s="24" t="s">
        <v>106</v>
      </c>
      <c r="H11" s="40" t="s">
        <v>125</v>
      </c>
      <c r="I11" s="66"/>
      <c r="J11" s="37"/>
      <c r="K11" s="37"/>
      <c r="L11" s="29"/>
      <c r="M11" s="29"/>
      <c r="N11" s="29"/>
      <c r="O11" s="29"/>
      <c r="P11" s="29"/>
      <c r="Q11" s="29"/>
      <c r="R11" s="43"/>
      <c r="S11" s="44"/>
      <c r="T11" s="65"/>
      <c r="U11" s="57"/>
    </row>
    <row r="12" spans="1:21" s="10" customFormat="1" ht="26" x14ac:dyDescent="0.2">
      <c r="A12" s="8">
        <v>10</v>
      </c>
      <c r="B12" s="8"/>
      <c r="C12" s="8"/>
      <c r="D12" s="8" t="s">
        <v>69</v>
      </c>
      <c r="E12" s="28" t="s">
        <v>70</v>
      </c>
      <c r="F12" s="28"/>
      <c r="G12" s="46" t="s">
        <v>196</v>
      </c>
      <c r="H12" s="46" t="s">
        <v>71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65"/>
      <c r="U12" s="57"/>
    </row>
    <row r="13" spans="1:21" s="10" customFormat="1" ht="26" x14ac:dyDescent="0.2">
      <c r="A13" s="8">
        <v>10</v>
      </c>
      <c r="B13" s="8"/>
      <c r="C13" s="8"/>
      <c r="D13" s="8" t="s">
        <v>73</v>
      </c>
      <c r="E13" s="28" t="s">
        <v>154</v>
      </c>
      <c r="F13" s="28"/>
      <c r="G13" s="46" t="s">
        <v>197</v>
      </c>
      <c r="H13" s="46" t="s">
        <v>74</v>
      </c>
      <c r="I13" s="8" t="s">
        <v>72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65"/>
      <c r="U13" s="57"/>
    </row>
    <row r="14" spans="1:21" s="10" customFormat="1" x14ac:dyDescent="0.2">
      <c r="A14" s="8">
        <v>10</v>
      </c>
      <c r="B14" s="8"/>
      <c r="C14" s="8"/>
      <c r="D14" s="8" t="s">
        <v>75</v>
      </c>
      <c r="E14" s="28" t="s">
        <v>76</v>
      </c>
      <c r="F14" s="28"/>
      <c r="G14" s="46" t="s">
        <v>198</v>
      </c>
      <c r="H14" s="46" t="s">
        <v>77</v>
      </c>
      <c r="I14" s="8"/>
      <c r="J14" s="8"/>
      <c r="K14" s="8"/>
      <c r="L14" s="8"/>
      <c r="M14" s="8"/>
      <c r="N14" s="8"/>
      <c r="O14" s="8"/>
      <c r="P14" s="8"/>
      <c r="Q14" s="8"/>
      <c r="R14" s="43"/>
      <c r="S14" s="44"/>
      <c r="T14" s="65"/>
      <c r="U14" s="57"/>
    </row>
    <row r="15" spans="1:21" s="10" customFormat="1" x14ac:dyDescent="0.2">
      <c r="A15" s="8">
        <v>10</v>
      </c>
      <c r="B15" s="8"/>
      <c r="C15" s="8"/>
      <c r="D15" s="8" t="s">
        <v>78</v>
      </c>
      <c r="E15" s="28" t="s">
        <v>76</v>
      </c>
      <c r="F15" s="28"/>
      <c r="G15" s="46" t="s">
        <v>199</v>
      </c>
      <c r="H15" s="46" t="s">
        <v>79</v>
      </c>
      <c r="I15" s="8"/>
      <c r="J15" s="8"/>
      <c r="K15" s="8"/>
      <c r="L15" s="8"/>
      <c r="M15" s="8"/>
      <c r="N15" s="8"/>
      <c r="O15" s="8"/>
      <c r="P15" s="8"/>
      <c r="Q15" s="8"/>
      <c r="R15" s="43"/>
      <c r="S15" s="44"/>
      <c r="T15" s="65"/>
      <c r="U15" s="57"/>
    </row>
    <row r="16" spans="1:21" s="10" customFormat="1" x14ac:dyDescent="0.2">
      <c r="A16" s="8">
        <v>10</v>
      </c>
      <c r="B16" s="8"/>
      <c r="C16" s="8"/>
      <c r="D16" s="8" t="s">
        <v>80</v>
      </c>
      <c r="E16" s="28" t="s">
        <v>76</v>
      </c>
      <c r="F16" s="28"/>
      <c r="G16" s="46" t="s">
        <v>200</v>
      </c>
      <c r="H16" s="46" t="s">
        <v>81</v>
      </c>
      <c r="I16" s="8" t="s">
        <v>72</v>
      </c>
      <c r="J16" s="8"/>
      <c r="K16" s="8"/>
      <c r="L16" s="8"/>
      <c r="M16" s="8"/>
      <c r="N16" s="8"/>
      <c r="O16" s="8"/>
      <c r="P16" s="8"/>
      <c r="Q16" s="8"/>
      <c r="R16" s="43"/>
      <c r="S16" s="44"/>
      <c r="T16" s="65"/>
      <c r="U16" s="57"/>
    </row>
    <row r="17" spans="1:21" s="10" customFormat="1" x14ac:dyDescent="0.2">
      <c r="A17" s="8">
        <v>10</v>
      </c>
      <c r="B17" s="8"/>
      <c r="C17" s="8"/>
      <c r="D17" s="8" t="s">
        <v>82</v>
      </c>
      <c r="E17" s="28" t="s">
        <v>76</v>
      </c>
      <c r="F17" s="28"/>
      <c r="G17" s="46" t="s">
        <v>201</v>
      </c>
      <c r="H17" s="46" t="s">
        <v>83</v>
      </c>
      <c r="I17" s="8" t="s">
        <v>72</v>
      </c>
      <c r="J17" s="8"/>
      <c r="K17" s="8"/>
      <c r="L17" s="8"/>
      <c r="M17" s="8"/>
      <c r="N17" s="8"/>
      <c r="O17" s="8"/>
      <c r="P17" s="8"/>
      <c r="Q17" s="8"/>
      <c r="R17" s="43"/>
      <c r="S17" s="44"/>
      <c r="T17" s="65"/>
      <c r="U17" s="57"/>
    </row>
    <row r="18" spans="1:21" s="10" customFormat="1" x14ac:dyDescent="0.2">
      <c r="A18" s="71"/>
      <c r="U18" s="51"/>
    </row>
    <row r="19" spans="1:21" s="10" customFormat="1" x14ac:dyDescent="0.2">
      <c r="A19" s="8">
        <v>20</v>
      </c>
      <c r="B19" s="32" t="s">
        <v>129</v>
      </c>
      <c r="C19" s="33"/>
      <c r="D19" s="24" t="s">
        <v>85</v>
      </c>
      <c r="E19" s="29" t="s">
        <v>86</v>
      </c>
      <c r="F19" s="52"/>
      <c r="G19" s="24" t="s">
        <v>124</v>
      </c>
      <c r="H19" s="40" t="s">
        <v>107</v>
      </c>
      <c r="I19" s="53"/>
      <c r="J19" s="8"/>
      <c r="K19" s="32"/>
      <c r="L19" s="32"/>
      <c r="M19" s="32"/>
      <c r="N19" s="32"/>
      <c r="O19" s="32"/>
      <c r="P19" s="32"/>
      <c r="Q19" s="32"/>
      <c r="R19" s="43"/>
      <c r="S19" s="44"/>
      <c r="T19" s="65"/>
      <c r="U19" s="57"/>
    </row>
    <row r="20" spans="1:21" s="10" customFormat="1" x14ac:dyDescent="0.2">
      <c r="A20" s="8">
        <v>20</v>
      </c>
      <c r="B20" s="8"/>
      <c r="C20" s="8"/>
      <c r="D20" s="8" t="s">
        <v>87</v>
      </c>
      <c r="E20" s="28" t="s">
        <v>88</v>
      </c>
      <c r="F20" s="28"/>
      <c r="G20" s="46" t="s">
        <v>202</v>
      </c>
      <c r="H20" s="46" t="s">
        <v>89</v>
      </c>
      <c r="I20" s="8"/>
      <c r="J20" s="8"/>
      <c r="K20" s="8"/>
      <c r="L20" s="8"/>
      <c r="M20" s="8"/>
      <c r="N20" s="8"/>
      <c r="O20" s="8"/>
      <c r="P20" s="8"/>
      <c r="Q20" s="8"/>
      <c r="R20" s="43"/>
      <c r="S20" s="44"/>
      <c r="T20" s="65"/>
      <c r="U20" s="57"/>
    </row>
    <row r="21" spans="1:21" s="10" customFormat="1" x14ac:dyDescent="0.2">
      <c r="A21" s="8">
        <v>20</v>
      </c>
      <c r="B21" s="8"/>
      <c r="C21" s="8"/>
      <c r="D21" s="8" t="s">
        <v>110</v>
      </c>
      <c r="E21" s="28" t="s">
        <v>131</v>
      </c>
      <c r="F21" s="28"/>
      <c r="G21" s="46" t="s">
        <v>203</v>
      </c>
      <c r="H21" s="46" t="s">
        <v>93</v>
      </c>
      <c r="I21" s="8" t="s">
        <v>72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65"/>
      <c r="U21" s="57"/>
    </row>
    <row r="22" spans="1:21" s="10" customFormat="1" x14ac:dyDescent="0.2">
      <c r="A22" s="8">
        <v>20</v>
      </c>
      <c r="B22" s="8"/>
      <c r="C22" s="8"/>
      <c r="D22" s="8" t="s">
        <v>94</v>
      </c>
      <c r="E22" s="28" t="s">
        <v>113</v>
      </c>
      <c r="F22" s="28"/>
      <c r="G22" s="46" t="s">
        <v>204</v>
      </c>
      <c r="H22" s="46" t="s">
        <v>96</v>
      </c>
      <c r="I22" s="8"/>
      <c r="J22" s="8"/>
      <c r="K22" s="8"/>
      <c r="L22" s="8"/>
      <c r="M22" s="8"/>
      <c r="N22" s="8"/>
      <c r="O22" s="8"/>
      <c r="P22" s="8"/>
      <c r="Q22" s="8"/>
      <c r="R22" s="43"/>
      <c r="S22" s="44"/>
      <c r="T22" s="65"/>
      <c r="U22" s="57"/>
    </row>
    <row r="23" spans="1:21" s="10" customFormat="1" x14ac:dyDescent="0.2">
      <c r="A23" s="8">
        <v>20</v>
      </c>
      <c r="B23" s="8"/>
      <c r="C23" s="8"/>
      <c r="D23" s="8" t="s">
        <v>114</v>
      </c>
      <c r="E23" s="28" t="s">
        <v>113</v>
      </c>
      <c r="F23" s="28"/>
      <c r="G23" s="46" t="s">
        <v>205</v>
      </c>
      <c r="H23" s="46" t="s">
        <v>99</v>
      </c>
      <c r="I23" s="8"/>
      <c r="J23" s="8"/>
      <c r="K23" s="8"/>
      <c r="L23" s="8"/>
      <c r="M23" s="8"/>
      <c r="N23" s="8"/>
      <c r="O23" s="8"/>
      <c r="P23" s="8"/>
      <c r="Q23" s="8"/>
      <c r="R23" s="43"/>
      <c r="S23" s="44"/>
      <c r="T23" s="65"/>
      <c r="U23" s="57"/>
    </row>
    <row r="24" spans="1:21" s="10" customFormat="1" x14ac:dyDescent="0.2">
      <c r="A24" s="8">
        <v>20</v>
      </c>
      <c r="B24" s="8"/>
      <c r="C24" s="8"/>
      <c r="D24" s="8" t="s">
        <v>116</v>
      </c>
      <c r="E24" s="28" t="s">
        <v>101</v>
      </c>
      <c r="F24" s="28"/>
      <c r="G24" s="46" t="s">
        <v>206</v>
      </c>
      <c r="H24" s="46" t="s">
        <v>102</v>
      </c>
      <c r="I24" s="8"/>
      <c r="J24" s="8"/>
      <c r="K24" s="8"/>
      <c r="L24" s="8"/>
      <c r="M24" s="8"/>
      <c r="N24" s="8"/>
      <c r="O24" s="8"/>
      <c r="P24" s="8"/>
      <c r="Q24" s="8"/>
      <c r="R24" s="43"/>
      <c r="S24" s="44"/>
      <c r="T24" s="65"/>
      <c r="U24" s="57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60"/>
    </row>
    <row r="26" spans="1:21" s="10" customFormat="1" x14ac:dyDescent="0.2">
      <c r="A26" s="71"/>
      <c r="U26" s="51"/>
    </row>
    <row r="27" spans="1:21" s="10" customFormat="1" x14ac:dyDescent="0.2">
      <c r="A27" s="71"/>
      <c r="U27" s="51"/>
    </row>
    <row r="28" spans="1:21" s="10" customFormat="1" x14ac:dyDescent="0.2">
      <c r="A28" s="71"/>
      <c r="U28" s="51"/>
    </row>
    <row r="29" spans="1:21" s="10" customFormat="1" x14ac:dyDescent="0.2">
      <c r="A29" s="7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6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9" t="s">
        <v>182</v>
      </c>
      <c r="E2" s="7" t="s">
        <v>1</v>
      </c>
      <c r="F2" s="70" t="str">
        <f>IF(LogicCommon!C2="","",LogicCommon!C2)</f>
        <v>MG</v>
      </c>
      <c r="G2" s="7" t="s">
        <v>3</v>
      </c>
      <c r="H2" s="70" t="str">
        <f>IF(LogicCommon!E2="","",LogicCommon!E2)</f>
        <v>MGBDL0300</v>
      </c>
      <c r="I2" s="7" t="s">
        <v>19</v>
      </c>
      <c r="J2" s="8" t="s">
        <v>155</v>
      </c>
      <c r="K2" s="7" t="s">
        <v>5</v>
      </c>
      <c r="L2" s="70" t="str">
        <f>IF(LogicCommon!G2="","",LogicCommon!G2)</f>
        <v>MC</v>
      </c>
      <c r="M2" s="5" t="s">
        <v>21</v>
      </c>
      <c r="N2" s="24" t="s">
        <v>180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7</v>
      </c>
      <c r="F3" s="70" t="str">
        <f>IF(LogicCommon!C3="","",LogicCommon!C3)</f>
        <v>MGBD</v>
      </c>
      <c r="G3" s="7" t="s">
        <v>9</v>
      </c>
      <c r="H3" s="70" t="str">
        <f>IF(LogicCommon!E3="","",LogicCommon!E3)</f>
        <v>MGBDL_CostTermCalcCtgPtnCopy</v>
      </c>
      <c r="I3" s="7" t="s">
        <v>22</v>
      </c>
      <c r="J3" s="8" t="s">
        <v>23</v>
      </c>
      <c r="K3" s="7" t="s">
        <v>11</v>
      </c>
      <c r="L3" s="70" t="str">
        <f>IF(LogicCommon!G3="","",LogicCommon!G3)</f>
        <v/>
      </c>
      <c r="M3" s="4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26</v>
      </c>
      <c r="F4" s="74" t="s">
        <v>27</v>
      </c>
      <c r="G4" s="7" t="s">
        <v>12</v>
      </c>
      <c r="H4" s="70" t="str">
        <f>IF(LogicCommon!E4="","",LogicCommon!E4)</f>
        <v>原価データコピー</v>
      </c>
      <c r="I4" s="7" t="s">
        <v>28</v>
      </c>
      <c r="J4" s="8" t="s">
        <v>156</v>
      </c>
      <c r="K4" s="7" t="s">
        <v>14</v>
      </c>
      <c r="L4" s="70" t="str">
        <f>IF(LogicCommon!G4="","",LogicCommon!G4)</f>
        <v>MG.MGUDL5010</v>
      </c>
      <c r="M4" s="75" t="s">
        <v>30</v>
      </c>
      <c r="N4" s="24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17</v>
      </c>
      <c r="B5" s="69"/>
      <c r="C5" s="69"/>
      <c r="D5" s="21"/>
      <c r="E5" s="7" t="s">
        <v>31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15</v>
      </c>
      <c r="E6" s="12" t="s">
        <v>157</v>
      </c>
      <c r="F6" s="12"/>
      <c r="G6" s="12"/>
      <c r="H6" s="12"/>
      <c r="I6" s="12"/>
      <c r="J6" s="12"/>
      <c r="K6" s="12"/>
      <c r="L6" s="25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120</v>
      </c>
      <c r="L7" s="27" t="s">
        <v>44</v>
      </c>
      <c r="M7" s="28"/>
      <c r="N7" s="27" t="s">
        <v>44</v>
      </c>
      <c r="O7" s="28"/>
      <c r="P7" s="27" t="s">
        <v>44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35</v>
      </c>
      <c r="B8" s="80"/>
      <c r="C8" s="81"/>
      <c r="D8" s="27" t="s">
        <v>183</v>
      </c>
      <c r="E8" s="27" t="s">
        <v>184</v>
      </c>
      <c r="F8" s="25"/>
      <c r="G8" s="27" t="s">
        <v>45</v>
      </c>
      <c r="H8" s="27" t="s">
        <v>185</v>
      </c>
      <c r="I8" s="25"/>
      <c r="J8" s="3"/>
      <c r="K8" s="8"/>
      <c r="L8" s="27" t="s">
        <v>65</v>
      </c>
      <c r="M8" s="28"/>
      <c r="N8" s="27" t="s">
        <v>64</v>
      </c>
      <c r="O8" s="28"/>
      <c r="P8" s="27" t="s">
        <v>65</v>
      </c>
      <c r="Q8" s="28"/>
      <c r="R8" s="3"/>
      <c r="S8" s="21"/>
      <c r="T8" s="136" t="s">
        <v>194</v>
      </c>
      <c r="U8" s="137"/>
    </row>
    <row r="9" spans="1:21" s="10" customFormat="1" ht="60" customHeight="1" x14ac:dyDescent="0.2">
      <c r="A9" s="8" t="s">
        <v>35</v>
      </c>
      <c r="B9" s="32"/>
      <c r="C9" s="33"/>
      <c r="D9" s="27" t="s">
        <v>207</v>
      </c>
      <c r="E9" s="82" t="s">
        <v>208</v>
      </c>
      <c r="F9" s="27" t="s">
        <v>188</v>
      </c>
      <c r="G9" s="27" t="s">
        <v>189</v>
      </c>
      <c r="H9" s="27" t="s">
        <v>190</v>
      </c>
      <c r="I9" s="83" t="s">
        <v>191</v>
      </c>
      <c r="J9" s="27" t="s">
        <v>192</v>
      </c>
      <c r="K9" s="79"/>
      <c r="L9" s="83"/>
      <c r="M9" s="27"/>
      <c r="N9" s="27"/>
      <c r="O9" s="27"/>
      <c r="P9" s="27"/>
      <c r="Q9" s="27"/>
      <c r="R9" s="136" t="s">
        <v>193</v>
      </c>
      <c r="S9" s="137"/>
      <c r="T9" s="136" t="s">
        <v>195</v>
      </c>
      <c r="U9" s="137"/>
    </row>
    <row r="10" spans="1:21" s="10" customFormat="1" ht="39" x14ac:dyDescent="0.2">
      <c r="A10" s="32" t="s">
        <v>35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191</v>
      </c>
      <c r="M10" s="27" t="s">
        <v>192</v>
      </c>
      <c r="N10" s="27" t="s">
        <v>191</v>
      </c>
      <c r="O10" s="27" t="s">
        <v>192</v>
      </c>
      <c r="P10" s="27" t="s">
        <v>191</v>
      </c>
      <c r="Q10" s="27" t="s">
        <v>192</v>
      </c>
      <c r="R10" s="34"/>
      <c r="S10" s="34"/>
      <c r="T10" s="39"/>
      <c r="U10" s="67"/>
    </row>
    <row r="11" spans="1:21" s="10" customFormat="1" x14ac:dyDescent="0.2">
      <c r="A11" s="8">
        <v>10</v>
      </c>
      <c r="B11" s="32" t="s">
        <v>66</v>
      </c>
      <c r="C11" s="33"/>
      <c r="D11" s="24" t="s">
        <v>67</v>
      </c>
      <c r="E11" s="31" t="s">
        <v>144</v>
      </c>
      <c r="F11" s="67"/>
      <c r="G11" s="24" t="s">
        <v>145</v>
      </c>
      <c r="H11" s="40" t="s">
        <v>125</v>
      </c>
      <c r="I11" s="66"/>
      <c r="J11" s="37"/>
      <c r="K11" s="37"/>
      <c r="L11" s="29"/>
      <c r="M11" s="29"/>
      <c r="N11" s="29"/>
      <c r="O11" s="29"/>
      <c r="P11" s="29"/>
      <c r="Q11" s="29"/>
      <c r="R11" s="43"/>
      <c r="S11" s="44"/>
      <c r="T11" s="65"/>
      <c r="U11" s="57"/>
    </row>
    <row r="12" spans="1:21" s="10" customFormat="1" ht="26" x14ac:dyDescent="0.2">
      <c r="A12" s="8">
        <v>10</v>
      </c>
      <c r="B12" s="8"/>
      <c r="C12" s="8"/>
      <c r="D12" s="8" t="s">
        <v>126</v>
      </c>
      <c r="E12" s="28" t="s">
        <v>154</v>
      </c>
      <c r="F12" s="28"/>
      <c r="G12" s="46" t="s">
        <v>196</v>
      </c>
      <c r="H12" s="46" t="s">
        <v>71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65"/>
      <c r="U12" s="57"/>
    </row>
    <row r="13" spans="1:21" s="10" customFormat="1" ht="26" x14ac:dyDescent="0.2">
      <c r="A13" s="8">
        <v>10</v>
      </c>
      <c r="B13" s="8"/>
      <c r="C13" s="8"/>
      <c r="D13" s="8" t="s">
        <v>158</v>
      </c>
      <c r="E13" s="28" t="s">
        <v>154</v>
      </c>
      <c r="F13" s="28"/>
      <c r="G13" s="46" t="s">
        <v>197</v>
      </c>
      <c r="H13" s="46" t="s">
        <v>74</v>
      </c>
      <c r="I13" s="8" t="s">
        <v>72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65"/>
      <c r="U13" s="57"/>
    </row>
    <row r="14" spans="1:21" s="10" customFormat="1" x14ac:dyDescent="0.2">
      <c r="A14" s="8">
        <v>10</v>
      </c>
      <c r="B14" s="8"/>
      <c r="C14" s="8"/>
      <c r="D14" s="8" t="s">
        <v>75</v>
      </c>
      <c r="E14" s="28" t="s">
        <v>76</v>
      </c>
      <c r="F14" s="28"/>
      <c r="G14" s="46" t="s">
        <v>198</v>
      </c>
      <c r="H14" s="46" t="s">
        <v>77</v>
      </c>
      <c r="I14" s="8"/>
      <c r="J14" s="8"/>
      <c r="K14" s="8"/>
      <c r="L14" s="8"/>
      <c r="M14" s="8"/>
      <c r="N14" s="8"/>
      <c r="O14" s="8"/>
      <c r="P14" s="8"/>
      <c r="Q14" s="8"/>
      <c r="R14" s="43"/>
      <c r="S14" s="44"/>
      <c r="T14" s="65"/>
      <c r="U14" s="57"/>
    </row>
    <row r="15" spans="1:21" s="10" customFormat="1" x14ac:dyDescent="0.2">
      <c r="A15" s="8">
        <v>10</v>
      </c>
      <c r="B15" s="8"/>
      <c r="C15" s="8"/>
      <c r="D15" s="8" t="s">
        <v>78</v>
      </c>
      <c r="E15" s="28" t="s">
        <v>76</v>
      </c>
      <c r="F15" s="28"/>
      <c r="G15" s="46" t="s">
        <v>199</v>
      </c>
      <c r="H15" s="46" t="s">
        <v>79</v>
      </c>
      <c r="I15" s="8"/>
      <c r="J15" s="8"/>
      <c r="K15" s="8"/>
      <c r="L15" s="8"/>
      <c r="M15" s="8"/>
      <c r="N15" s="8"/>
      <c r="O15" s="8"/>
      <c r="P15" s="8"/>
      <c r="Q15" s="8"/>
      <c r="R15" s="43"/>
      <c r="S15" s="44"/>
      <c r="T15" s="65"/>
      <c r="U15" s="57"/>
    </row>
    <row r="16" spans="1:21" s="10" customFormat="1" x14ac:dyDescent="0.2">
      <c r="A16" s="8">
        <v>10</v>
      </c>
      <c r="B16" s="8"/>
      <c r="C16" s="8"/>
      <c r="D16" s="8" t="s">
        <v>159</v>
      </c>
      <c r="E16" s="28" t="s">
        <v>76</v>
      </c>
      <c r="F16" s="28"/>
      <c r="G16" s="46" t="s">
        <v>200</v>
      </c>
      <c r="H16" s="46" t="s">
        <v>81</v>
      </c>
      <c r="I16" s="8" t="s">
        <v>72</v>
      </c>
      <c r="J16" s="8"/>
      <c r="K16" s="8"/>
      <c r="L16" s="8"/>
      <c r="M16" s="8"/>
      <c r="N16" s="8"/>
      <c r="O16" s="8"/>
      <c r="P16" s="8"/>
      <c r="Q16" s="8"/>
      <c r="R16" s="43"/>
      <c r="S16" s="44"/>
      <c r="T16" s="65"/>
      <c r="U16" s="57"/>
    </row>
    <row r="17" spans="1:21" s="10" customFormat="1" x14ac:dyDescent="0.2">
      <c r="A17" s="8">
        <v>10</v>
      </c>
      <c r="B17" s="8"/>
      <c r="C17" s="8"/>
      <c r="D17" s="8" t="s">
        <v>128</v>
      </c>
      <c r="E17" s="28" t="s">
        <v>76</v>
      </c>
      <c r="F17" s="28"/>
      <c r="G17" s="46" t="s">
        <v>201</v>
      </c>
      <c r="H17" s="46" t="s">
        <v>83</v>
      </c>
      <c r="I17" s="8" t="s">
        <v>72</v>
      </c>
      <c r="J17" s="8"/>
      <c r="K17" s="8"/>
      <c r="L17" s="8"/>
      <c r="M17" s="8"/>
      <c r="N17" s="8"/>
      <c r="O17" s="8"/>
      <c r="P17" s="8"/>
      <c r="Q17" s="8"/>
      <c r="R17" s="43"/>
      <c r="S17" s="44"/>
      <c r="T17" s="65"/>
      <c r="U17" s="57"/>
    </row>
    <row r="18" spans="1:21" s="10" customFormat="1" x14ac:dyDescent="0.2">
      <c r="A18" s="71"/>
      <c r="U18" s="51"/>
    </row>
    <row r="19" spans="1:21" s="10" customFormat="1" x14ac:dyDescent="0.2">
      <c r="A19" s="8">
        <v>20</v>
      </c>
      <c r="B19" s="32" t="s">
        <v>129</v>
      </c>
      <c r="C19" s="33"/>
      <c r="D19" s="24" t="s">
        <v>85</v>
      </c>
      <c r="E19" s="29" t="s">
        <v>160</v>
      </c>
      <c r="F19" s="52"/>
      <c r="G19" s="24" t="s">
        <v>124</v>
      </c>
      <c r="H19" s="40" t="s">
        <v>107</v>
      </c>
      <c r="I19" s="53"/>
      <c r="J19" s="8"/>
      <c r="K19" s="32"/>
      <c r="L19" s="32"/>
      <c r="M19" s="32"/>
      <c r="N19" s="32"/>
      <c r="O19" s="32"/>
      <c r="P19" s="32"/>
      <c r="Q19" s="32"/>
      <c r="R19" s="43"/>
      <c r="S19" s="44"/>
      <c r="T19" s="65"/>
      <c r="U19" s="57"/>
    </row>
    <row r="20" spans="1:21" s="10" customFormat="1" x14ac:dyDescent="0.2">
      <c r="A20" s="8">
        <v>20</v>
      </c>
      <c r="B20" s="8"/>
      <c r="C20" s="8"/>
      <c r="D20" s="8" t="s">
        <v>87</v>
      </c>
      <c r="E20" s="28" t="s">
        <v>109</v>
      </c>
      <c r="F20" s="28"/>
      <c r="G20" s="46" t="s">
        <v>202</v>
      </c>
      <c r="H20" s="46" t="s">
        <v>89</v>
      </c>
      <c r="I20" s="8" t="s">
        <v>72</v>
      </c>
      <c r="J20" s="8"/>
      <c r="K20" s="8"/>
      <c r="L20" s="8"/>
      <c r="M20" s="8"/>
      <c r="N20" s="8"/>
      <c r="O20" s="8"/>
      <c r="P20" s="8"/>
      <c r="Q20" s="8"/>
      <c r="R20" s="43"/>
      <c r="S20" s="44"/>
      <c r="T20" s="65"/>
      <c r="U20" s="57"/>
    </row>
    <row r="21" spans="1:21" s="10" customFormat="1" x14ac:dyDescent="0.2">
      <c r="A21" s="8">
        <v>20</v>
      </c>
      <c r="B21" s="8"/>
      <c r="C21" s="8"/>
      <c r="D21" s="8" t="s">
        <v>91</v>
      </c>
      <c r="E21" s="28" t="s">
        <v>111</v>
      </c>
      <c r="F21" s="28"/>
      <c r="G21" s="46" t="s">
        <v>203</v>
      </c>
      <c r="H21" s="46" t="s">
        <v>93</v>
      </c>
      <c r="I21" s="8" t="s">
        <v>72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65"/>
      <c r="U21" s="57"/>
    </row>
    <row r="22" spans="1:21" s="10" customFormat="1" x14ac:dyDescent="0.2">
      <c r="A22" s="8">
        <v>20</v>
      </c>
      <c r="B22" s="8"/>
      <c r="C22" s="8"/>
      <c r="D22" s="8" t="s">
        <v>161</v>
      </c>
      <c r="E22" s="28" t="s">
        <v>113</v>
      </c>
      <c r="F22" s="28"/>
      <c r="G22" s="46" t="s">
        <v>204</v>
      </c>
      <c r="H22" s="46" t="s">
        <v>96</v>
      </c>
      <c r="I22" s="8"/>
      <c r="J22" s="8"/>
      <c r="K22" s="8"/>
      <c r="L22" s="8"/>
      <c r="M22" s="8"/>
      <c r="N22" s="8"/>
      <c r="O22" s="8"/>
      <c r="P22" s="8"/>
      <c r="Q22" s="8"/>
      <c r="R22" s="43"/>
      <c r="S22" s="44"/>
      <c r="T22" s="65"/>
      <c r="U22" s="57"/>
    </row>
    <row r="23" spans="1:21" s="10" customFormat="1" x14ac:dyDescent="0.2">
      <c r="A23" s="8">
        <v>20</v>
      </c>
      <c r="B23" s="8"/>
      <c r="C23" s="8"/>
      <c r="D23" s="8" t="s">
        <v>114</v>
      </c>
      <c r="E23" s="28" t="s">
        <v>113</v>
      </c>
      <c r="F23" s="28"/>
      <c r="G23" s="46" t="s">
        <v>205</v>
      </c>
      <c r="H23" s="46" t="s">
        <v>99</v>
      </c>
      <c r="I23" s="8"/>
      <c r="J23" s="8"/>
      <c r="K23" s="8"/>
      <c r="L23" s="8"/>
      <c r="M23" s="8"/>
      <c r="N23" s="8"/>
      <c r="O23" s="8"/>
      <c r="P23" s="8"/>
      <c r="Q23" s="8"/>
      <c r="R23" s="43"/>
      <c r="S23" s="44"/>
      <c r="T23" s="65"/>
      <c r="U23" s="57"/>
    </row>
    <row r="24" spans="1:21" s="10" customFormat="1" x14ac:dyDescent="0.2">
      <c r="A24" s="8">
        <v>20</v>
      </c>
      <c r="B24" s="8"/>
      <c r="C24" s="8"/>
      <c r="D24" s="8" t="s">
        <v>116</v>
      </c>
      <c r="E24" s="28" t="s">
        <v>101</v>
      </c>
      <c r="F24" s="28"/>
      <c r="G24" s="46" t="s">
        <v>206</v>
      </c>
      <c r="H24" s="46" t="s">
        <v>102</v>
      </c>
      <c r="I24" s="8"/>
      <c r="J24" s="8"/>
      <c r="K24" s="8"/>
      <c r="L24" s="8"/>
      <c r="M24" s="8"/>
      <c r="N24" s="8"/>
      <c r="O24" s="8"/>
      <c r="P24" s="8"/>
      <c r="Q24" s="8"/>
      <c r="R24" s="43"/>
      <c r="S24" s="44"/>
      <c r="T24" s="65"/>
      <c r="U24" s="57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60"/>
    </row>
    <row r="26" spans="1:21" s="10" customFormat="1" x14ac:dyDescent="0.2">
      <c r="A26" s="71"/>
      <c r="U26" s="51"/>
    </row>
    <row r="27" spans="1:21" s="10" customFormat="1" x14ac:dyDescent="0.2">
      <c r="A27" s="71"/>
      <c r="U27" s="51"/>
    </row>
    <row r="28" spans="1:21" s="10" customFormat="1" x14ac:dyDescent="0.2">
      <c r="A28" s="71"/>
      <c r="U28" s="51"/>
    </row>
    <row r="29" spans="1:21" s="10" customFormat="1" x14ac:dyDescent="0.2">
      <c r="A29" s="7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6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9" t="s">
        <v>182</v>
      </c>
      <c r="E2" s="7" t="s">
        <v>1</v>
      </c>
      <c r="F2" s="70" t="str">
        <f>IF(LogicCommon!C2="","",LogicCommon!C2)</f>
        <v>MG</v>
      </c>
      <c r="G2" s="7" t="s">
        <v>3</v>
      </c>
      <c r="H2" s="70" t="str">
        <f>IF(LogicCommon!E2="","",LogicCommon!E2)</f>
        <v>MGBDL0300</v>
      </c>
      <c r="I2" s="7" t="s">
        <v>19</v>
      </c>
      <c r="J2" s="8" t="s">
        <v>162</v>
      </c>
      <c r="K2" s="7" t="s">
        <v>5</v>
      </c>
      <c r="L2" s="70" t="str">
        <f>IF(LogicCommon!G2="","",LogicCommon!G2)</f>
        <v>MC</v>
      </c>
      <c r="M2" s="5" t="s">
        <v>21</v>
      </c>
      <c r="N2" s="24" t="s">
        <v>181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7</v>
      </c>
      <c r="F3" s="70" t="str">
        <f>IF(LogicCommon!C3="","",LogicCommon!C3)</f>
        <v>MGBD</v>
      </c>
      <c r="G3" s="7" t="s">
        <v>9</v>
      </c>
      <c r="H3" s="70" t="str">
        <f>IF(LogicCommon!E3="","",LogicCommon!E3)</f>
        <v>MGBDL_CostTermCalcCtgPtnCopy</v>
      </c>
      <c r="I3" s="7" t="s">
        <v>22</v>
      </c>
      <c r="J3" s="8" t="s">
        <v>163</v>
      </c>
      <c r="K3" s="7" t="s">
        <v>11</v>
      </c>
      <c r="L3" s="70" t="str">
        <f>IF(LogicCommon!G3="","",LogicCommon!G3)</f>
        <v/>
      </c>
      <c r="M3" s="4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26</v>
      </c>
      <c r="F4" s="74" t="s">
        <v>27</v>
      </c>
      <c r="G4" s="7" t="s">
        <v>12</v>
      </c>
      <c r="H4" s="70" t="str">
        <f>IF(LogicCommon!E4="","",LogicCommon!E4)</f>
        <v>原価データコピー</v>
      </c>
      <c r="I4" s="7" t="s">
        <v>28</v>
      </c>
      <c r="J4" s="8" t="s">
        <v>164</v>
      </c>
      <c r="K4" s="7" t="s">
        <v>14</v>
      </c>
      <c r="L4" s="70" t="str">
        <f>IF(LogicCommon!G4="","",LogicCommon!G4)</f>
        <v>MG.MGUDL5010</v>
      </c>
      <c r="M4" s="75" t="s">
        <v>30</v>
      </c>
      <c r="N4" s="24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17</v>
      </c>
      <c r="B5" s="69"/>
      <c r="C5" s="69"/>
      <c r="D5" s="21"/>
      <c r="E5" s="7" t="s">
        <v>31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15</v>
      </c>
      <c r="E6" s="12" t="s">
        <v>165</v>
      </c>
      <c r="F6" s="12"/>
      <c r="G6" s="12"/>
      <c r="H6" s="12"/>
      <c r="I6" s="12"/>
      <c r="J6" s="12"/>
      <c r="K6" s="12"/>
      <c r="L6" s="25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166</v>
      </c>
      <c r="B7" s="23"/>
      <c r="C7" s="23"/>
      <c r="D7" s="6"/>
      <c r="E7" s="6"/>
      <c r="F7" s="6"/>
      <c r="G7" s="6"/>
      <c r="H7" s="6"/>
      <c r="I7" s="6" t="s">
        <v>167</v>
      </c>
      <c r="J7" s="6"/>
      <c r="K7" s="8" t="s">
        <v>168</v>
      </c>
      <c r="L7" s="27" t="s">
        <v>169</v>
      </c>
      <c r="M7" s="28"/>
      <c r="N7" s="27" t="s">
        <v>169</v>
      </c>
      <c r="O7" s="28"/>
      <c r="P7" s="27" t="s">
        <v>170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35</v>
      </c>
      <c r="B8" s="80"/>
      <c r="C8" s="81"/>
      <c r="D8" s="27" t="s">
        <v>183</v>
      </c>
      <c r="E8" s="27" t="s">
        <v>184</v>
      </c>
      <c r="F8" s="25"/>
      <c r="G8" s="27" t="s">
        <v>45</v>
      </c>
      <c r="H8" s="27" t="s">
        <v>185</v>
      </c>
      <c r="I8" s="25"/>
      <c r="J8" s="3"/>
      <c r="K8" s="8"/>
      <c r="L8" s="27" t="s">
        <v>171</v>
      </c>
      <c r="M8" s="28"/>
      <c r="N8" s="27" t="s">
        <v>64</v>
      </c>
      <c r="O8" s="28"/>
      <c r="P8" s="27" t="s">
        <v>64</v>
      </c>
      <c r="Q8" s="28"/>
      <c r="R8" s="3"/>
      <c r="S8" s="21"/>
      <c r="T8" s="136" t="s">
        <v>194</v>
      </c>
      <c r="U8" s="137"/>
    </row>
    <row r="9" spans="1:21" s="10" customFormat="1" ht="60" customHeight="1" x14ac:dyDescent="0.2">
      <c r="A9" s="8" t="s">
        <v>35</v>
      </c>
      <c r="B9" s="32"/>
      <c r="C9" s="33"/>
      <c r="D9" s="27" t="s">
        <v>207</v>
      </c>
      <c r="E9" s="82" t="s">
        <v>208</v>
      </c>
      <c r="F9" s="27" t="s">
        <v>188</v>
      </c>
      <c r="G9" s="27" t="s">
        <v>189</v>
      </c>
      <c r="H9" s="27" t="s">
        <v>190</v>
      </c>
      <c r="I9" s="83" t="s">
        <v>191</v>
      </c>
      <c r="J9" s="27" t="s">
        <v>192</v>
      </c>
      <c r="K9" s="79"/>
      <c r="L9" s="83"/>
      <c r="M9" s="27"/>
      <c r="N9" s="27"/>
      <c r="O9" s="27"/>
      <c r="P9" s="27"/>
      <c r="Q9" s="27"/>
      <c r="R9" s="136" t="s">
        <v>193</v>
      </c>
      <c r="S9" s="137"/>
      <c r="T9" s="136" t="s">
        <v>195</v>
      </c>
      <c r="U9" s="137"/>
    </row>
    <row r="10" spans="1:21" s="10" customFormat="1" ht="39" x14ac:dyDescent="0.2">
      <c r="A10" s="32" t="s">
        <v>121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191</v>
      </c>
      <c r="M10" s="27" t="s">
        <v>192</v>
      </c>
      <c r="N10" s="27" t="s">
        <v>191</v>
      </c>
      <c r="O10" s="27" t="s">
        <v>192</v>
      </c>
      <c r="P10" s="27" t="s">
        <v>191</v>
      </c>
      <c r="Q10" s="27" t="s">
        <v>192</v>
      </c>
      <c r="R10" s="34"/>
      <c r="S10" s="34"/>
      <c r="T10" s="39"/>
      <c r="U10" s="67"/>
    </row>
    <row r="11" spans="1:21" s="10" customFormat="1" x14ac:dyDescent="0.2">
      <c r="A11" s="8">
        <v>10</v>
      </c>
      <c r="B11" s="32" t="s">
        <v>66</v>
      </c>
      <c r="C11" s="33"/>
      <c r="D11" s="24" t="s">
        <v>122</v>
      </c>
      <c r="E11" s="31" t="s">
        <v>123</v>
      </c>
      <c r="F11" s="67"/>
      <c r="G11" s="24" t="s">
        <v>124</v>
      </c>
      <c r="H11" s="40" t="s">
        <v>125</v>
      </c>
      <c r="I11" s="66"/>
      <c r="J11" s="37"/>
      <c r="K11" s="37"/>
      <c r="L11" s="29"/>
      <c r="M11" s="29"/>
      <c r="N11" s="29"/>
      <c r="O11" s="29"/>
      <c r="P11" s="29"/>
      <c r="Q11" s="29"/>
      <c r="R11" s="43"/>
      <c r="S11" s="44"/>
      <c r="T11" s="65"/>
      <c r="U11" s="57"/>
    </row>
    <row r="12" spans="1:21" s="10" customFormat="1" ht="26" x14ac:dyDescent="0.2">
      <c r="A12" s="8">
        <v>10</v>
      </c>
      <c r="B12" s="8"/>
      <c r="C12" s="8"/>
      <c r="D12" s="8" t="s">
        <v>126</v>
      </c>
      <c r="E12" s="28" t="s">
        <v>70</v>
      </c>
      <c r="F12" s="28"/>
      <c r="G12" s="46" t="s">
        <v>196</v>
      </c>
      <c r="H12" s="46" t="s">
        <v>71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65"/>
      <c r="U12" s="57"/>
    </row>
    <row r="13" spans="1:21" s="10" customFormat="1" ht="26" x14ac:dyDescent="0.2">
      <c r="A13" s="8">
        <v>10</v>
      </c>
      <c r="B13" s="8"/>
      <c r="C13" s="8"/>
      <c r="D13" s="8" t="s">
        <v>73</v>
      </c>
      <c r="E13" s="28" t="s">
        <v>70</v>
      </c>
      <c r="F13" s="28"/>
      <c r="G13" s="46" t="s">
        <v>197</v>
      </c>
      <c r="H13" s="46" t="s">
        <v>74</v>
      </c>
      <c r="I13" s="8" t="s">
        <v>72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65"/>
      <c r="U13" s="57"/>
    </row>
    <row r="14" spans="1:21" s="10" customFormat="1" x14ac:dyDescent="0.2">
      <c r="A14" s="8">
        <v>10</v>
      </c>
      <c r="B14" s="8"/>
      <c r="C14" s="8"/>
      <c r="D14" s="8" t="s">
        <v>75</v>
      </c>
      <c r="E14" s="28" t="s">
        <v>76</v>
      </c>
      <c r="F14" s="28"/>
      <c r="G14" s="46" t="s">
        <v>198</v>
      </c>
      <c r="H14" s="46" t="s">
        <v>77</v>
      </c>
      <c r="I14" s="8" t="s">
        <v>72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65"/>
      <c r="U14" s="57"/>
    </row>
    <row r="15" spans="1:21" s="10" customFormat="1" x14ac:dyDescent="0.2">
      <c r="A15" s="8">
        <v>10</v>
      </c>
      <c r="B15" s="8"/>
      <c r="C15" s="8"/>
      <c r="D15" s="8" t="s">
        <v>127</v>
      </c>
      <c r="E15" s="28" t="s">
        <v>76</v>
      </c>
      <c r="F15" s="28"/>
      <c r="G15" s="46" t="s">
        <v>199</v>
      </c>
      <c r="H15" s="46" t="s">
        <v>79</v>
      </c>
      <c r="I15" s="8" t="s">
        <v>72</v>
      </c>
      <c r="J15" s="8"/>
      <c r="K15" s="8"/>
      <c r="L15" s="8"/>
      <c r="M15" s="8"/>
      <c r="N15" s="8"/>
      <c r="O15" s="8"/>
      <c r="P15" s="8"/>
      <c r="Q15" s="8"/>
      <c r="R15" s="43"/>
      <c r="S15" s="44"/>
      <c r="T15" s="65"/>
      <c r="U15" s="57"/>
    </row>
    <row r="16" spans="1:21" s="10" customFormat="1" x14ac:dyDescent="0.2">
      <c r="A16" s="8">
        <v>10</v>
      </c>
      <c r="B16" s="8"/>
      <c r="C16" s="8"/>
      <c r="D16" s="8" t="s">
        <v>80</v>
      </c>
      <c r="E16" s="28" t="s">
        <v>76</v>
      </c>
      <c r="F16" s="28"/>
      <c r="G16" s="46" t="s">
        <v>200</v>
      </c>
      <c r="H16" s="46" t="s">
        <v>81</v>
      </c>
      <c r="I16" s="8" t="s">
        <v>72</v>
      </c>
      <c r="J16" s="8"/>
      <c r="K16" s="8"/>
      <c r="L16" s="8"/>
      <c r="M16" s="8"/>
      <c r="N16" s="8"/>
      <c r="O16" s="8"/>
      <c r="P16" s="8"/>
      <c r="Q16" s="8"/>
      <c r="R16" s="43"/>
      <c r="S16" s="44"/>
      <c r="T16" s="65"/>
      <c r="U16" s="57"/>
    </row>
    <row r="17" spans="1:21" s="10" customFormat="1" x14ac:dyDescent="0.2">
      <c r="A17" s="8">
        <v>10</v>
      </c>
      <c r="B17" s="8"/>
      <c r="C17" s="8"/>
      <c r="D17" s="8" t="s">
        <v>128</v>
      </c>
      <c r="E17" s="28" t="s">
        <v>76</v>
      </c>
      <c r="F17" s="28"/>
      <c r="G17" s="46" t="s">
        <v>201</v>
      </c>
      <c r="H17" s="46" t="s">
        <v>83</v>
      </c>
      <c r="I17" s="8" t="s">
        <v>72</v>
      </c>
      <c r="J17" s="8"/>
      <c r="K17" s="8"/>
      <c r="L17" s="8"/>
      <c r="M17" s="8"/>
      <c r="N17" s="8"/>
      <c r="O17" s="8"/>
      <c r="P17" s="8"/>
      <c r="Q17" s="8"/>
      <c r="R17" s="43"/>
      <c r="S17" s="44"/>
      <c r="T17" s="65"/>
      <c r="U17" s="57"/>
    </row>
    <row r="18" spans="1:21" s="10" customFormat="1" x14ac:dyDescent="0.2">
      <c r="A18" s="71"/>
      <c r="U18" s="51"/>
    </row>
    <row r="19" spans="1:21" s="10" customFormat="1" x14ac:dyDescent="0.2">
      <c r="A19" s="8">
        <v>20</v>
      </c>
      <c r="B19" s="32" t="s">
        <v>129</v>
      </c>
      <c r="C19" s="33"/>
      <c r="D19" s="24" t="s">
        <v>130</v>
      </c>
      <c r="E19" s="29" t="s">
        <v>86</v>
      </c>
      <c r="F19" s="52"/>
      <c r="G19" s="24" t="s">
        <v>124</v>
      </c>
      <c r="H19" s="40" t="s">
        <v>107</v>
      </c>
      <c r="I19" s="53"/>
      <c r="J19" s="8"/>
      <c r="K19" s="32"/>
      <c r="L19" s="32"/>
      <c r="M19" s="32"/>
      <c r="N19" s="32"/>
      <c r="O19" s="32"/>
      <c r="P19" s="32"/>
      <c r="Q19" s="32"/>
      <c r="R19" s="43"/>
      <c r="S19" s="44"/>
      <c r="T19" s="65"/>
      <c r="U19" s="57"/>
    </row>
    <row r="20" spans="1:21" s="10" customFormat="1" x14ac:dyDescent="0.2">
      <c r="A20" s="8">
        <v>20</v>
      </c>
      <c r="B20" s="8"/>
      <c r="C20" s="8"/>
      <c r="D20" s="8" t="s">
        <v>87</v>
      </c>
      <c r="E20" s="28" t="s">
        <v>88</v>
      </c>
      <c r="F20" s="28"/>
      <c r="G20" s="46" t="s">
        <v>202</v>
      </c>
      <c r="H20" s="46" t="s">
        <v>89</v>
      </c>
      <c r="I20" s="8"/>
      <c r="J20" s="8"/>
      <c r="K20" s="8"/>
      <c r="L20" s="8"/>
      <c r="M20" s="8"/>
      <c r="N20" s="8"/>
      <c r="O20" s="8"/>
      <c r="P20" s="8"/>
      <c r="Q20" s="8"/>
      <c r="R20" s="43"/>
      <c r="S20" s="44"/>
      <c r="T20" s="65"/>
      <c r="U20" s="57"/>
    </row>
    <row r="21" spans="1:21" s="10" customFormat="1" x14ac:dyDescent="0.2">
      <c r="A21" s="8">
        <v>20</v>
      </c>
      <c r="B21" s="8"/>
      <c r="C21" s="8"/>
      <c r="D21" s="8" t="s">
        <v>110</v>
      </c>
      <c r="E21" s="28" t="s">
        <v>131</v>
      </c>
      <c r="F21" s="28"/>
      <c r="G21" s="46" t="s">
        <v>203</v>
      </c>
      <c r="H21" s="46" t="s">
        <v>93</v>
      </c>
      <c r="I21" s="8" t="s">
        <v>72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65"/>
      <c r="U21" s="57"/>
    </row>
    <row r="22" spans="1:21" s="10" customFormat="1" x14ac:dyDescent="0.2">
      <c r="A22" s="8">
        <v>20</v>
      </c>
      <c r="B22" s="8"/>
      <c r="C22" s="8"/>
      <c r="D22" s="8" t="s">
        <v>132</v>
      </c>
      <c r="E22" s="28" t="s">
        <v>113</v>
      </c>
      <c r="F22" s="28"/>
      <c r="G22" s="46" t="s">
        <v>204</v>
      </c>
      <c r="H22" s="46" t="s">
        <v>96</v>
      </c>
      <c r="I22" s="8"/>
      <c r="J22" s="8" t="s">
        <v>72</v>
      </c>
      <c r="K22" s="8"/>
      <c r="L22" s="8"/>
      <c r="M22" s="8"/>
      <c r="N22" s="8"/>
      <c r="O22" s="8"/>
      <c r="P22" s="8"/>
      <c r="Q22" s="8"/>
      <c r="R22" s="43"/>
      <c r="S22" s="44"/>
      <c r="T22" s="65"/>
      <c r="U22" s="57"/>
    </row>
    <row r="23" spans="1:21" s="10" customFormat="1" x14ac:dyDescent="0.2">
      <c r="A23" s="8">
        <v>20</v>
      </c>
      <c r="B23" s="8"/>
      <c r="C23" s="8"/>
      <c r="D23" s="8" t="s">
        <v>133</v>
      </c>
      <c r="E23" s="28" t="s">
        <v>113</v>
      </c>
      <c r="F23" s="28"/>
      <c r="G23" s="46" t="s">
        <v>205</v>
      </c>
      <c r="H23" s="46" t="s">
        <v>99</v>
      </c>
      <c r="I23" s="8"/>
      <c r="J23" s="8" t="s">
        <v>72</v>
      </c>
      <c r="K23" s="8"/>
      <c r="L23" s="8"/>
      <c r="M23" s="8"/>
      <c r="N23" s="8"/>
      <c r="O23" s="8"/>
      <c r="P23" s="8"/>
      <c r="Q23" s="8"/>
      <c r="R23" s="43"/>
      <c r="S23" s="44"/>
      <c r="T23" s="65"/>
      <c r="U23" s="57"/>
    </row>
    <row r="24" spans="1:21" s="10" customFormat="1" x14ac:dyDescent="0.2">
      <c r="A24" s="8">
        <v>20</v>
      </c>
      <c r="B24" s="8"/>
      <c r="C24" s="8"/>
      <c r="D24" s="8" t="s">
        <v>134</v>
      </c>
      <c r="E24" s="28" t="s">
        <v>135</v>
      </c>
      <c r="F24" s="28"/>
      <c r="G24" s="46" t="s">
        <v>206</v>
      </c>
      <c r="H24" s="46" t="s">
        <v>102</v>
      </c>
      <c r="I24" s="8"/>
      <c r="J24" s="8"/>
      <c r="K24" s="8"/>
      <c r="L24" s="8"/>
      <c r="M24" s="8"/>
      <c r="N24" s="8"/>
      <c r="O24" s="8"/>
      <c r="P24" s="8"/>
      <c r="Q24" s="8"/>
      <c r="R24" s="43"/>
      <c r="S24" s="44"/>
      <c r="T24" s="65"/>
      <c r="U24" s="57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60"/>
    </row>
    <row r="26" spans="1:21" s="10" customFormat="1" x14ac:dyDescent="0.2">
      <c r="A26" s="71"/>
      <c r="U26" s="51"/>
    </row>
    <row r="27" spans="1:21" s="10" customFormat="1" x14ac:dyDescent="0.2">
      <c r="A27" s="71"/>
      <c r="U27" s="51"/>
    </row>
    <row r="28" spans="1:21" s="10" customFormat="1" x14ac:dyDescent="0.2">
      <c r="A28" s="71"/>
      <c r="U28" s="51"/>
    </row>
    <row r="29" spans="1:21" s="10" customFormat="1" x14ac:dyDescent="0.2">
      <c r="A29" s="7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6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2" customWidth="1"/>
    <col min="43" max="44" width="2.08984375" style="64" customWidth="1"/>
    <col min="45" max="57" width="2.08984375" style="62" customWidth="1"/>
    <col min="58" max="16384" width="9" style="62"/>
  </cols>
  <sheetData>
    <row r="1" spans="1:57" ht="38.25" customHeight="1" thickBot="1" x14ac:dyDescent="0.25">
      <c r="A1" s="84" t="s">
        <v>172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87" t="s">
        <v>173</v>
      </c>
      <c r="B3" s="88"/>
      <c r="C3" s="88"/>
      <c r="D3" s="88"/>
      <c r="E3" s="88"/>
      <c r="F3" s="88"/>
      <c r="G3" s="89"/>
      <c r="H3" s="90" t="s">
        <v>174</v>
      </c>
      <c r="I3" s="88"/>
      <c r="J3" s="88"/>
      <c r="K3" s="88"/>
      <c r="L3" s="88"/>
      <c r="M3" s="88"/>
      <c r="N3" s="89"/>
      <c r="O3" s="90" t="s">
        <v>175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176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177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11"/>
      <c r="I5" s="112"/>
      <c r="J5" s="112"/>
      <c r="K5" s="112"/>
      <c r="L5" s="112"/>
      <c r="M5" s="112"/>
      <c r="N5" s="113"/>
      <c r="O5" s="118" t="s">
        <v>209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210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11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7"/>
      <c r="AQ6" s="114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11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11"/>
      <c r="I8" s="112"/>
      <c r="J8" s="112"/>
      <c r="K8" s="112"/>
      <c r="L8" s="112"/>
      <c r="M8" s="112"/>
      <c r="N8" s="113"/>
      <c r="O8" s="111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7"/>
      <c r="AQ8" s="114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6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11"/>
      <c r="I9" s="112"/>
      <c r="J9" s="112"/>
      <c r="K9" s="112"/>
      <c r="L9" s="112"/>
      <c r="M9" s="112"/>
      <c r="N9" s="113"/>
      <c r="O9" s="111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7"/>
      <c r="AQ9" s="114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6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11"/>
      <c r="I10" s="112"/>
      <c r="J10" s="112"/>
      <c r="K10" s="112"/>
      <c r="L10" s="112"/>
      <c r="M10" s="112"/>
      <c r="N10" s="113"/>
      <c r="O10" s="111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7"/>
      <c r="AQ10" s="114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6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11"/>
      <c r="I11" s="112"/>
      <c r="J11" s="112"/>
      <c r="K11" s="112"/>
      <c r="L11" s="112"/>
      <c r="M11" s="112"/>
      <c r="N11" s="113"/>
      <c r="O11" s="111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7"/>
      <c r="AQ11" s="114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6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11"/>
      <c r="I12" s="112"/>
      <c r="J12" s="112"/>
      <c r="K12" s="112"/>
      <c r="L12" s="112"/>
      <c r="M12" s="112"/>
      <c r="N12" s="113"/>
      <c r="O12" s="111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7"/>
      <c r="AQ12" s="114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6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11"/>
      <c r="I13" s="112"/>
      <c r="J13" s="112"/>
      <c r="K13" s="112"/>
      <c r="L13" s="112"/>
      <c r="M13" s="112"/>
      <c r="N13" s="113"/>
      <c r="O13" s="111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7"/>
      <c r="AQ13" s="114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6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11"/>
      <c r="I14" s="112"/>
      <c r="J14" s="112"/>
      <c r="K14" s="112"/>
      <c r="L14" s="112"/>
      <c r="M14" s="112"/>
      <c r="N14" s="113"/>
      <c r="O14" s="111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7"/>
      <c r="AQ14" s="114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6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11"/>
      <c r="I15" s="112"/>
      <c r="J15" s="112"/>
      <c r="K15" s="112"/>
      <c r="L15" s="112"/>
      <c r="M15" s="112"/>
      <c r="N15" s="113"/>
      <c r="O15" s="111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7"/>
      <c r="AQ15" s="114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6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11"/>
      <c r="I16" s="112"/>
      <c r="J16" s="112"/>
      <c r="K16" s="112"/>
      <c r="L16" s="112"/>
      <c r="M16" s="112"/>
      <c r="N16" s="113"/>
      <c r="O16" s="111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7"/>
      <c r="AQ16" s="114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6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11"/>
      <c r="I17" s="112"/>
      <c r="J17" s="112"/>
      <c r="K17" s="112"/>
      <c r="L17" s="112"/>
      <c r="M17" s="112"/>
      <c r="N17" s="113"/>
      <c r="O17" s="111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7"/>
      <c r="AQ17" s="114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6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11"/>
      <c r="I18" s="112"/>
      <c r="J18" s="112"/>
      <c r="K18" s="112"/>
      <c r="L18" s="112"/>
      <c r="M18" s="112"/>
      <c r="N18" s="113"/>
      <c r="O18" s="111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7"/>
      <c r="AQ18" s="114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6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11"/>
      <c r="I19" s="112"/>
      <c r="J19" s="112"/>
      <c r="K19" s="112"/>
      <c r="L19" s="112"/>
      <c r="M19" s="112"/>
      <c r="N19" s="113"/>
      <c r="O19" s="111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7"/>
      <c r="AQ19" s="114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6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11"/>
      <c r="I20" s="112"/>
      <c r="J20" s="112"/>
      <c r="K20" s="112"/>
      <c r="L20" s="112"/>
      <c r="M20" s="112"/>
      <c r="N20" s="113"/>
      <c r="O20" s="111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7"/>
      <c r="AQ20" s="114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6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11"/>
      <c r="I21" s="112"/>
      <c r="J21" s="112"/>
      <c r="K21" s="112"/>
      <c r="L21" s="112"/>
      <c r="M21" s="112"/>
      <c r="N21" s="113"/>
      <c r="O21" s="111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7"/>
      <c r="AQ21" s="114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6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11"/>
      <c r="I22" s="112"/>
      <c r="J22" s="112"/>
      <c r="K22" s="112"/>
      <c r="L22" s="112"/>
      <c r="M22" s="112"/>
      <c r="N22" s="113"/>
      <c r="O22" s="111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7"/>
      <c r="AQ22" s="114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6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11"/>
      <c r="I23" s="112"/>
      <c r="J23" s="112"/>
      <c r="K23" s="112"/>
      <c r="L23" s="112"/>
      <c r="M23" s="112"/>
      <c r="N23" s="113"/>
      <c r="O23" s="111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7"/>
      <c r="AQ23" s="114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6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11"/>
      <c r="I24" s="112"/>
      <c r="J24" s="112"/>
      <c r="K24" s="112"/>
      <c r="L24" s="112"/>
      <c r="M24" s="112"/>
      <c r="N24" s="113"/>
      <c r="O24" s="111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7"/>
      <c r="AQ24" s="114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6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11"/>
      <c r="I25" s="112"/>
      <c r="J25" s="112"/>
      <c r="K25" s="112"/>
      <c r="L25" s="112"/>
      <c r="M25" s="112"/>
      <c r="N25" s="113"/>
      <c r="O25" s="111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7"/>
      <c r="AQ25" s="114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6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11"/>
      <c r="I26" s="112"/>
      <c r="J26" s="112"/>
      <c r="K26" s="112"/>
      <c r="L26" s="112"/>
      <c r="M26" s="112"/>
      <c r="N26" s="113"/>
      <c r="O26" s="111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7"/>
      <c r="AQ26" s="114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6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11"/>
      <c r="I27" s="112"/>
      <c r="J27" s="112"/>
      <c r="K27" s="112"/>
      <c r="L27" s="112"/>
      <c r="M27" s="112"/>
      <c r="N27" s="113"/>
      <c r="O27" s="111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7"/>
      <c r="AQ27" s="114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6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11"/>
      <c r="I28" s="112"/>
      <c r="J28" s="112"/>
      <c r="K28" s="112"/>
      <c r="L28" s="112"/>
      <c r="M28" s="112"/>
      <c r="N28" s="113"/>
      <c r="O28" s="111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7"/>
      <c r="AQ28" s="114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6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11"/>
      <c r="I29" s="112"/>
      <c r="J29" s="112"/>
      <c r="K29" s="112"/>
      <c r="L29" s="112"/>
      <c r="M29" s="112"/>
      <c r="N29" s="113"/>
      <c r="O29" s="111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7"/>
      <c r="AQ29" s="114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6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11"/>
      <c r="I30" s="112"/>
      <c r="J30" s="112"/>
      <c r="K30" s="112"/>
      <c r="L30" s="112"/>
      <c r="M30" s="112"/>
      <c r="N30" s="113"/>
      <c r="O30" s="111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7"/>
      <c r="AQ30" s="114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6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11"/>
      <c r="I31" s="112"/>
      <c r="J31" s="112"/>
      <c r="K31" s="112"/>
      <c r="L31" s="112"/>
      <c r="M31" s="112"/>
      <c r="N31" s="113"/>
      <c r="O31" s="111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7"/>
      <c r="AQ31" s="114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6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11"/>
      <c r="I32" s="112"/>
      <c r="J32" s="112"/>
      <c r="K32" s="112"/>
      <c r="L32" s="112"/>
      <c r="M32" s="112"/>
      <c r="N32" s="113"/>
      <c r="O32" s="111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7"/>
      <c r="AQ32" s="114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6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11"/>
      <c r="I33" s="112"/>
      <c r="J33" s="112"/>
      <c r="K33" s="112"/>
      <c r="L33" s="112"/>
      <c r="M33" s="112"/>
      <c r="N33" s="113"/>
      <c r="O33" s="111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7"/>
      <c r="AQ33" s="114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6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11"/>
      <c r="I34" s="112"/>
      <c r="J34" s="112"/>
      <c r="K34" s="112"/>
      <c r="L34" s="112"/>
      <c r="M34" s="112"/>
      <c r="N34" s="113"/>
      <c r="O34" s="111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7"/>
      <c r="AQ34" s="114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6"/>
    </row>
    <row r="35" spans="1:57" ht="15" customHeight="1" thickBot="1" x14ac:dyDescent="0.25">
      <c r="A35" s="124"/>
      <c r="B35" s="125"/>
      <c r="C35" s="125"/>
      <c r="D35" s="125"/>
      <c r="E35" s="125"/>
      <c r="F35" s="125"/>
      <c r="G35" s="12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Chk01</vt:lpstr>
      <vt:lpstr>Ins01</vt:lpstr>
      <vt:lpstr>Ins02</vt:lpstr>
      <vt:lpstr>Ins03</vt:lpstr>
      <vt:lpstr>Ins04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2026-03-27T05:51:00Z</dcterms:modified>
  <cp:category/>
</cp:coreProperties>
</file>