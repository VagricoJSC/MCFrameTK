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40C0B919-9313-4DE3-BB83-FEA81661910E}" xr6:coauthVersionLast="47" xr6:coauthVersionMax="47" xr10:uidLastSave="{00000000-0000-0000-0000-000000000000}"/>
  <bookViews>
    <workbookView xWindow="1710" yWindow="1710" windowWidth="21600" windowHeight="11265" activeTab="7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Imp01" sheetId="7" r:id="rId7"/>
    <sheet name="来歴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<sst xmlns="http://schemas.openxmlformats.org/spreadsheetml/2006/main" count="1103" uniqueCount="312">
  <si>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</si>
  <si>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</si>
  <si>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</si>
  <si>
    <t>LogicID :</t>
    <phoneticPr fontId="3"/>
  </si>
  <si>
    <t>MGBDL0340</t>
    <phoneticPr fontId="2"/>
  </si>
  <si>
    <t>Pj.ID :</t>
    <phoneticPr fontId="3"/>
  </si>
  <si>
    <t>MC</t>
    <phoneticPr fontId="2"/>
  </si>
  <si>
    <t>SubModuleID :</t>
    <phoneticPr fontId="3"/>
  </si>
  <si>
    <t>MGBD</t>
  </si>
  <si>
    <t>LogicClass :</t>
    <phoneticPr fontId="3"/>
  </si>
  <si>
    <t>MGBDL_ParmReg</t>
    <phoneticPr fontId="2"/>
  </si>
  <si>
    <t>SuperClassPj.ID :</t>
    <phoneticPr fontId="3"/>
  </si>
  <si>
    <t>LogicName :</t>
    <phoneticPr fontId="3"/>
  </si>
  <si>
    <t>原価計算パラメータ登録</t>
    <rPh sb="0" eb="2">
      <t>ゲンカ</t>
    </rPh>
    <rPh sb="2" eb="4">
      <t>ケイサン</t>
    </rPh>
    <rPh sb="9" eb="11">
      <t>トウロク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</si>
  <si>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</si>
  <si>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</si>
  <si>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</si>
  <si>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</si>
  <si>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</si>
  <si>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</si>
  <si>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</si>
  <si>
    <t xml:space="preserve">Ope.Body : </t>
    <phoneticPr fontId="3"/>
  </si>
  <si>
    <t>Ope.Method :</t>
    <phoneticPr fontId="3"/>
  </si>
  <si>
    <t>@</t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</si>
  <si>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</si>
  <si>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</si>
  <si>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</si>
  <si>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</si>
  <si>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</si>
  <si>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4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</si>
  <si>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</si>
  <si>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</si>
  <si>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</si>
  <si>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</si>
  <si>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</si>
  <si>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</si>
  <si>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</si>
  <si>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</si>
  <si>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</si>
  <si>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</si>
  <si>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</si>
  <si>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</si>
  <si>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</si>
  <si>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*</t>
  </si>
  <si>
    <t>Srch01_Cnd</t>
  </si>
  <si>
    <t>R</t>
  </si>
  <si>
    <t>calc_grp_cd</t>
  </si>
  <si>
    <t>#MA.CALC_GRP_CD</t>
  </si>
  <si>
    <t>計算グループＣＤ</t>
    <phoneticPr fontId="2"/>
  </si>
  <si>
    <t>E</t>
    <phoneticPr fontId="2"/>
  </si>
  <si>
    <t>-</t>
    <phoneticPr fontId="2"/>
  </si>
  <si>
    <t>calc_grp_nm</t>
  </si>
  <si>
    <t>#MA.CALC_GRP_NM</t>
    <phoneticPr fontId="3"/>
  </si>
  <si>
    <t>計算グループ名</t>
    <phoneticPr fontId="2"/>
  </si>
  <si>
    <t>parm_key</t>
    <phoneticPr fontId="3"/>
  </si>
  <si>
    <t>#MA.CALC_PARM_KEY</t>
  </si>
  <si>
    <t>パラメータ</t>
    <phoneticPr fontId="3"/>
  </si>
  <si>
    <t>parm_biz_grp</t>
    <phoneticPr fontId="3"/>
  </si>
  <si>
    <t>#MG.PARM_BIZ_GRP</t>
  </si>
  <si>
    <t>業務分類</t>
    <phoneticPr fontId="2"/>
  </si>
  <si>
    <t>parm_remark</t>
    <phoneticPr fontId="3"/>
  </si>
  <si>
    <t>#MG.PARM_REMARK</t>
  </si>
  <si>
    <t>パラメータ概要</t>
    <phoneticPr fontId="3"/>
  </si>
  <si>
    <t>rmrks</t>
    <phoneticPr fontId="3"/>
  </si>
  <si>
    <t>#MG.CALC_PARM_RMRKS</t>
  </si>
  <si>
    <t>備考</t>
    <phoneticPr fontId="2"/>
  </si>
  <si>
    <t>sub_char1</t>
    <phoneticPr fontId="3"/>
  </si>
  <si>
    <t>#MG.CALC_PARM_SUB_CHAR1</t>
  </si>
  <si>
    <t>予備１</t>
    <phoneticPr fontId="2"/>
  </si>
  <si>
    <t>sub_char2</t>
    <phoneticPr fontId="3"/>
  </si>
  <si>
    <t>#MG.CALC_PARM_SUB_CHAR2</t>
  </si>
  <si>
    <t>予備２</t>
    <phoneticPr fontId="2"/>
  </si>
  <si>
    <t>sub_char3</t>
    <phoneticPr fontId="3"/>
  </si>
  <si>
    <t>#MG.CALC_PARM_SUB_CHAR3</t>
  </si>
  <si>
    <t>予備３</t>
    <phoneticPr fontId="2"/>
  </si>
  <si>
    <t>Srch01_Rslt</t>
  </si>
  <si>
    <t>L</t>
  </si>
  <si>
    <t>計算グループＣＤ</t>
    <phoneticPr fontId="4"/>
  </si>
  <si>
    <t>計算グループ名</t>
    <phoneticPr fontId="4"/>
  </si>
  <si>
    <t>parm_key</t>
    <phoneticPr fontId="3"/>
  </si>
  <si>
    <t>#MA.CALC_PARM_KEY</t>
    <phoneticPr fontId="3"/>
  </si>
  <si>
    <t>parm_val</t>
    <phoneticPr fontId="3"/>
  </si>
  <si>
    <t>#MA.CALC_PARM_VAL</t>
  </si>
  <si>
    <t>パラメータ値</t>
    <phoneticPr fontId="3"/>
  </si>
  <si>
    <t>parm_biz_grp</t>
    <phoneticPr fontId="3"/>
  </si>
  <si>
    <t>parm_remark</t>
    <phoneticPr fontId="3"/>
  </si>
  <si>
    <t>sub_char1</t>
    <phoneticPr fontId="3"/>
  </si>
  <si>
    <t>sub_char2</t>
    <phoneticPr fontId="3"/>
  </si>
  <si>
    <t>ins_usr_id</t>
  </si>
  <si>
    <t>#MA.FCM_USR_ID</t>
  </si>
  <si>
    <t>登録ユーザＩＤ</t>
    <phoneticPr fontId="2"/>
  </si>
  <si>
    <t>ins_usr_nm</t>
  </si>
  <si>
    <t>#MA.FCM_USR_NM</t>
  </si>
  <si>
    <t>登録ユーザ名</t>
    <phoneticPr fontId="2"/>
  </si>
  <si>
    <t>ins_func_id</t>
  </si>
  <si>
    <t>#MA.FUNC_ID</t>
  </si>
  <si>
    <t>登録機能ＩＤ</t>
    <phoneticPr fontId="2"/>
  </si>
  <si>
    <t>ins_func_nm</t>
  </si>
  <si>
    <t>#MA.FUNC_NM</t>
  </si>
  <si>
    <t>登録機能名</t>
    <phoneticPr fontId="2"/>
  </si>
  <si>
    <t>ins_ts</t>
  </si>
  <si>
    <t>#MA.SYS_TS</t>
  </si>
  <si>
    <t>登録日時</t>
    <phoneticPr fontId="2"/>
  </si>
  <si>
    <t>upd_usr_id</t>
  </si>
  <si>
    <t>更新ユーザＩＤ</t>
    <phoneticPr fontId="2"/>
  </si>
  <si>
    <t>upd_usr_nm</t>
  </si>
  <si>
    <t>更新ユーザ名</t>
    <phoneticPr fontId="2"/>
  </si>
  <si>
    <t>upd_func_id</t>
  </si>
  <si>
    <t>更新機能ＩＤ</t>
    <phoneticPr fontId="2"/>
  </si>
  <si>
    <t>upd_func_nm</t>
  </si>
  <si>
    <t>更新機能名</t>
    <phoneticPr fontId="2"/>
  </si>
  <si>
    <t>upd_ts</t>
  </si>
  <si>
    <t>更新日時</t>
    <phoneticPr fontId="2"/>
  </si>
  <si>
    <t>upd_srv_req_no</t>
  </si>
  <si>
    <t>#MA.SRV_REQ_NO</t>
  </si>
  <si>
    <t>更新リクエストＮＯ</t>
    <phoneticPr fontId="2"/>
  </si>
  <si>
    <t>upd_cntr</t>
  </si>
  <si>
    <t>#MA.UPD_CNT</t>
  </si>
  <si>
    <t>更新カウンタ</t>
    <phoneticPr fontId="2"/>
  </si>
  <si>
    <t>Chk01</t>
  </si>
  <si>
    <t>登録・訂正前チェック</t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</si>
  <si>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3"/>
  </si>
  <si>
    <t>U</t>
    <phoneticPr fontId="3"/>
  </si>
  <si>
    <t>K</t>
    <phoneticPr fontId="3"/>
  </si>
  <si>
    <t>K</t>
    <phoneticPr fontId="3"/>
  </si>
  <si>
    <t>K</t>
    <phoneticPr fontId="3"/>
  </si>
  <si>
    <t>K</t>
    <phoneticPr fontId="3"/>
  </si>
  <si>
    <t>#</t>
    <phoneticPr fontId="3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</si>
  <si>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</si>
  <si>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</si>
  <si>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</si>
  <si>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</si>
  <si>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</si>
  <si>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</si>
  <si>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</si>
  <si>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</si>
  <si>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</si>
  <si>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</si>
  <si>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</si>
  <si>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</si>
  <si>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</si>
  <si>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</si>
  <si>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</si>
  <si>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</si>
  <si>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</si>
  <si>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</si>
  <si>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TargetName</t>
    <phoneticPr fontId="3"/>
  </si>
  <si>
    <t>TargetName</t>
    <phoneticPr fontId="3"/>
  </si>
  <si>
    <t>#</t>
    <phoneticPr fontId="3"/>
  </si>
  <si>
    <t>Chk01_Rslt</t>
  </si>
  <si>
    <t>peg_no</t>
  </si>
  <si>
    <t>#MA.INT</t>
  </si>
  <si>
    <t>紐付けＮＯ</t>
    <phoneticPr fontId="3"/>
  </si>
  <si>
    <t>E</t>
    <phoneticPr fontId="3"/>
  </si>
  <si>
    <t>err_flg</t>
  </si>
  <si>
    <t>#MA.FLG</t>
  </si>
  <si>
    <t>エラー</t>
    <phoneticPr fontId="3"/>
  </si>
  <si>
    <t>-</t>
    <phoneticPr fontId="3"/>
  </si>
  <si>
    <t>rtn_sts_typ</t>
  </si>
  <si>
    <t>#MA.RTN_STS_TYP</t>
  </si>
  <si>
    <t>処理結果状況区分</t>
    <phoneticPr fontId="3"/>
  </si>
  <si>
    <t>dbc</t>
    <phoneticPr fontId="2"/>
  </si>
  <si>
    <t>DBC:MGT_PARM</t>
    <phoneticPr fontId="2"/>
  </si>
  <si>
    <t>dbc.calc_grp_cd#</t>
    <phoneticPr fontId="2"/>
  </si>
  <si>
    <t>RI</t>
  </si>
  <si>
    <t>計算グループＣＤ</t>
    <phoneticPr fontId="3"/>
  </si>
  <si>
    <t>MA.MAUAL0010.CalcGrp</t>
    <phoneticPr fontId="2"/>
  </si>
  <si>
    <t>calc_grp_nm</t>
    <phoneticPr fontId="3"/>
  </si>
  <si>
    <t>dbc.parm_key#</t>
    <phoneticPr fontId="2"/>
  </si>
  <si>
    <t>dbc.parm_val#</t>
    <phoneticPr fontId="2"/>
  </si>
  <si>
    <t>dbc.rmrks#</t>
    <phoneticPr fontId="2"/>
  </si>
  <si>
    <t>備考</t>
    <phoneticPr fontId="3"/>
  </si>
  <si>
    <t>dbc.sub_char1#</t>
    <phoneticPr fontId="2"/>
  </si>
  <si>
    <t>予備１</t>
    <phoneticPr fontId="3"/>
  </si>
  <si>
    <t>dbc.sub_char2#</t>
    <phoneticPr fontId="2"/>
  </si>
  <si>
    <t>予備２</t>
    <phoneticPr fontId="3"/>
  </si>
  <si>
    <t>dbc.sub_char3#</t>
    <phoneticPr fontId="2"/>
  </si>
  <si>
    <t>予備３</t>
    <phoneticPr fontId="3"/>
  </si>
  <si>
    <t>dbc.upd_cntr#</t>
    <phoneticPr fontId="2"/>
  </si>
  <si>
    <t>更新カウンタ</t>
    <phoneticPr fontId="3"/>
  </si>
  <si>
    <t>calc_grp_nm</t>
    <phoneticPr fontId="2"/>
  </si>
  <si>
    <t>#MA.CALC_GRP_NM</t>
    <phoneticPr fontId="3"/>
  </si>
  <si>
    <t>計算グループ名</t>
    <phoneticPr fontId="3"/>
  </si>
  <si>
    <t>parm_remark</t>
    <phoneticPr fontId="3"/>
  </si>
  <si>
    <t>parm_biz_grp</t>
  </si>
  <si>
    <t>業務分類</t>
    <phoneticPr fontId="3"/>
  </si>
  <si>
    <t>Chk01_Crtl</t>
  </si>
  <si>
    <t>file_imp_flg</t>
  </si>
  <si>
    <t>ファイル入力</t>
    <phoneticPr fontId="3"/>
  </si>
  <si>
    <t>Chk02</t>
  </si>
  <si>
    <t>削除前チェック</t>
  </si>
  <si>
    <t>削除する前のチェックを行う</t>
    <rPh sb="0" eb="2">
      <t>サクジョ</t>
    </rPh>
    <rPh sb="4" eb="5">
      <t>マエ</t>
    </rPh>
    <rPh sb="11" eb="12">
      <t>オコナ</t>
    </rPh>
    <phoneticPr fontId="3"/>
  </si>
  <si>
    <t>U</t>
    <phoneticPr fontId="3"/>
  </si>
  <si>
    <t>#</t>
    <phoneticPr fontId="3"/>
  </si>
  <si>
    <t>REQ_UPD_CNT_CHK</t>
    <phoneticPr fontId="2"/>
  </si>
  <si>
    <t>REQUIRED</t>
    <phoneticPr fontId="2"/>
  </si>
  <si>
    <t>CHK_NUM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</si>
  <si>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</si>
  <si>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</si>
  <si>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</si>
  <si>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</si>
  <si>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</si>
  <si>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</si>
  <si>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</si>
  <si>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LIST_OUT_BASE</t>
    <phoneticPr fontId="2"/>
  </si>
  <si>
    <t>CONST</t>
    <phoneticPr fontId="2"/>
  </si>
  <si>
    <t>#</t>
    <phoneticPr fontId="3"/>
  </si>
  <si>
    <t>Chk02_Rslt</t>
    <phoneticPr fontId="2"/>
  </si>
  <si>
    <t>dbc</t>
    <phoneticPr fontId="2"/>
  </si>
  <si>
    <t>DBC:MGT_PARM</t>
    <phoneticPr fontId="2"/>
  </si>
  <si>
    <t>dbc.calc_grp_cd#</t>
    <phoneticPr fontId="2"/>
  </si>
  <si>
    <t>RI</t>
    <phoneticPr fontId="2"/>
  </si>
  <si>
    <t>dbc.parm_key#</t>
    <phoneticPr fontId="2"/>
  </si>
  <si>
    <t>dbc.upd_cntr#</t>
    <phoneticPr fontId="2"/>
  </si>
  <si>
    <t>Upd01</t>
  </si>
  <si>
    <t>登録・訂正</t>
  </si>
  <si>
    <t>登録・訂正処理をする</t>
    <rPh sb="0" eb="2">
      <t>トウロク</t>
    </rPh>
    <rPh sb="3" eb="5">
      <t>テイセイ</t>
    </rPh>
    <rPh sb="5" eb="7">
      <t>ショリ</t>
    </rPh>
    <phoneticPr fontId="3"/>
  </si>
  <si>
    <t>o</t>
    <phoneticPr fontId="3"/>
  </si>
  <si>
    <t>o</t>
    <phoneticPr fontId="3"/>
  </si>
  <si>
    <t>#</t>
    <phoneticPr fontId="3"/>
  </si>
  <si>
    <t>Upd01_Rslt</t>
  </si>
  <si>
    <t>L</t>
    <phoneticPr fontId="2"/>
  </si>
  <si>
    <t>$share$</t>
  </si>
  <si>
    <t>MG.MGBDL0340.Chk01.Chk01_Rslt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</si>
  <si>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</si>
  <si>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</si>
  <si>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</si>
  <si>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DBC:MGT_PARM</t>
    <phoneticPr fontId="2"/>
  </si>
  <si>
    <t>dbc.calc_grp_cd#</t>
    <phoneticPr fontId="2"/>
  </si>
  <si>
    <t>dbc.parm_val#</t>
    <phoneticPr fontId="2"/>
  </si>
  <si>
    <t>パラメータ値</t>
    <phoneticPr fontId="2"/>
  </si>
  <si>
    <t>dbc.rmrks#</t>
    <phoneticPr fontId="2"/>
  </si>
  <si>
    <t>dbc.sub_char1#</t>
    <phoneticPr fontId="2"/>
  </si>
  <si>
    <t>dbc.sub_char2#</t>
    <phoneticPr fontId="2"/>
  </si>
  <si>
    <t>dbc.upd_cntr#</t>
    <phoneticPr fontId="2"/>
  </si>
  <si>
    <t>calc_grp_nm</t>
    <phoneticPr fontId="2"/>
  </si>
  <si>
    <t>#MA.CALC_GRP_NM</t>
    <phoneticPr fontId="3"/>
  </si>
  <si>
    <t>Upd01_Crtl</t>
  </si>
  <si>
    <t>MG.MGBDL0340.Chk01.Chk01_Crtl</t>
    <phoneticPr fontId="2"/>
  </si>
  <si>
    <t>ファイル入力</t>
    <phoneticPr fontId="2"/>
  </si>
  <si>
    <t>Del01</t>
  </si>
  <si>
    <t>削除</t>
  </si>
  <si>
    <t>削除処理をする</t>
    <rPh sb="0" eb="2">
      <t>サクジョ</t>
    </rPh>
    <rPh sb="2" eb="4">
      <t>ショリ</t>
    </rPh>
    <phoneticPr fontId="3"/>
  </si>
  <si>
    <t>Del01_Rslt</t>
  </si>
  <si>
    <t>L</t>
    <phoneticPr fontId="2"/>
  </si>
  <si>
    <t>MG.MGBDL0340.Chk02.Chk02_Rslt</t>
    <phoneticPr fontId="2"/>
  </si>
  <si>
    <t>dbc</t>
    <phoneticPr fontId="2"/>
  </si>
  <si>
    <t>RI</t>
    <phoneticPr fontId="2"/>
  </si>
  <si>
    <t>dbc.parm_key#</t>
    <phoneticPr fontId="2"/>
  </si>
  <si>
    <t>Imp01</t>
  </si>
  <si>
    <t>ファイル入力</t>
  </si>
  <si>
    <t>ファイル入力処理をする</t>
    <phoneticPr fontId="2"/>
  </si>
  <si>
    <t>Imp01_Rslt</t>
  </si>
  <si>
    <t>dbc</t>
    <phoneticPr fontId="2"/>
  </si>
  <si>
    <t>dbc.parm_val#</t>
    <phoneticPr fontId="2"/>
  </si>
  <si>
    <t>dbc.rmrks#</t>
    <phoneticPr fontId="2"/>
  </si>
  <si>
    <t>dbc.sub_char1#</t>
    <phoneticPr fontId="2"/>
  </si>
  <si>
    <t>#MA.CALC_GRP_NM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</si>
  <si>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</si>
  <si>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</si>
  <si>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</si>
  <si>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</si>
  <si>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</si>
  <si>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</si>
  <si>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</si>
  <si>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2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</si>
  <si>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</si>
  <si>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</si>
  <si>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</si>
  <si>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</si>
  <si>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</si>
  <si>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</si>
  <si>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</si>
  <si>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</si>
  <si>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</si>
  <si>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</si>
  <si>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</si>
  <si>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</si>
  <si>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</si>
  <si>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</si>
  <si>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</si>
  <si>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</si>
  <si>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group cd.</t>
  </si>
  <si>
    <t>Calculation group name</t>
  </si>
  <si>
    <t>Parameter</t>
  </si>
  <si>
    <t>Business classification</t>
  </si>
  <si>
    <t>Parameter overview</t>
  </si>
  <si>
    <t>Remarks</t>
  </si>
  <si>
    <t>Spare 1</t>
  </si>
  <si>
    <t>Spare 2</t>
  </si>
  <si>
    <t>Spare 3</t>
  </si>
  <si>
    <t>Parameter value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</si>
  <si>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</si>
  <si>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</si>
  <si>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</si>
  <si>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</si>
  <si>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</si>
  <si>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</si>
  <si>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</si>
  <si>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</si>
  <si>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</si>
  <si>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</si>
  <si>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</si>
  <si>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</si>
  <si>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3"/>
  </si>
  <si>
    <t>型
Type</t>
    <phoneticPr fontId="3"/>
  </si>
  <si>
    <t>Pegging No.</t>
  </si>
  <si>
    <t>Error</t>
  </si>
  <si>
    <t>Process result status type</t>
  </si>
  <si>
    <t>Import file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</si>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</sst>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6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12" xfId="0" applyFont="1" applyBorder="1" applyAlignment="1">
      <alignment vertical="top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6" xfId="0" applyFont="1" applyBorder="1" applyAlignment="1">
      <alignment vertical="center" wrapText="1"/>
    </xf>
    <xf numFmtId="0" fontId="1" fillId="3" borderId="13" xfId="0" applyFont="1" applyFill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264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268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MGBDL0340</v>
      </c>
      <c r="I2" s="7" t="s">
        <v>19</v>
      </c>
      <c r="J2" s="8" t="s">
        <v>20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265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MGBDL_ParmReg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原価計算パラメータ登録</v>
      </c>
      <c r="I4" s="7" t="s">
        <v>28</v>
      </c>
      <c r="J4" s="8" t="s">
        <v>29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37</v>
      </c>
      <c r="M7" s="27"/>
      <c r="N7" s="26" t="s">
        <v>38</v>
      </c>
      <c r="O7" s="27"/>
      <c r="P7" s="26" t="s">
        <v>38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0"/>
      <c r="C8" s="71"/>
      <c r="D8" s="26" t="s">
        <v>269</v>
      </c>
      <c r="E8" s="26" t="s">
        <v>270</v>
      </c>
      <c r="F8" s="25"/>
      <c r="G8" s="26" t="s">
        <v>39</v>
      </c>
      <c r="H8" s="26" t="s">
        <v>271</v>
      </c>
      <c r="I8" s="25"/>
      <c r="J8" s="3"/>
      <c r="K8" s="8" t="s">
        <v>40</v>
      </c>
      <c r="L8" s="26" t="s">
        <v>41</v>
      </c>
      <c r="M8" s="27"/>
      <c r="N8" s="26" t="s">
        <v>42</v>
      </c>
      <c r="O8" s="27"/>
      <c r="P8" s="26" t="s">
        <v>41</v>
      </c>
      <c r="Q8" s="27"/>
      <c r="R8" s="3"/>
      <c r="S8" s="21"/>
      <c r="T8" s="122" t="s">
        <v>272</v>
      </c>
      <c r="U8" s="123"/>
    </row>
    <row r="9" spans="1:21" s="10" customFormat="1" ht="60" customHeight="1" x14ac:dyDescent="0.2">
      <c r="A9" s="8" t="s">
        <v>34</v>
      </c>
      <c r="B9" s="30"/>
      <c r="C9" s="31"/>
      <c r="D9" s="26" t="s">
        <v>273</v>
      </c>
      <c r="E9" s="50" t="s">
        <v>274</v>
      </c>
      <c r="F9" s="26" t="s">
        <v>275</v>
      </c>
      <c r="G9" s="26" t="s">
        <v>276</v>
      </c>
      <c r="H9" s="26" t="s">
        <v>277</v>
      </c>
      <c r="I9" s="51" t="s">
        <v>278</v>
      </c>
      <c r="J9" s="26" t="s">
        <v>279</v>
      </c>
      <c r="K9" s="69"/>
      <c r="L9" s="51"/>
      <c r="M9" s="26"/>
      <c r="N9" s="26"/>
      <c r="O9" s="26"/>
      <c r="P9" s="26"/>
      <c r="Q9" s="26"/>
      <c r="R9" s="122" t="s">
        <v>280</v>
      </c>
      <c r="S9" s="123"/>
      <c r="T9" s="122" t="s">
        <v>281</v>
      </c>
      <c r="U9" s="123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278</v>
      </c>
      <c r="M10" s="26" t="s">
        <v>279</v>
      </c>
      <c r="N10" s="26" t="s">
        <v>278</v>
      </c>
      <c r="O10" s="26" t="s">
        <v>279</v>
      </c>
      <c r="P10" s="26" t="s">
        <v>278</v>
      </c>
      <c r="Q10" s="26" t="s">
        <v>279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43</v>
      </c>
      <c r="C11" s="31"/>
      <c r="D11" s="24" t="s">
        <v>44</v>
      </c>
      <c r="E11" s="28" t="s">
        <v>45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46</v>
      </c>
      <c r="E12" s="27" t="s">
        <v>47</v>
      </c>
      <c r="F12" s="27"/>
      <c r="G12" s="40" t="s">
        <v>282</v>
      </c>
      <c r="H12" s="40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51</v>
      </c>
      <c r="E13" s="27" t="s">
        <v>52</v>
      </c>
      <c r="F13" s="27"/>
      <c r="G13" s="40" t="s">
        <v>283</v>
      </c>
      <c r="H13" s="40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54</v>
      </c>
      <c r="E14" s="27" t="s">
        <v>55</v>
      </c>
      <c r="F14" s="27"/>
      <c r="G14" s="40" t="s">
        <v>284</v>
      </c>
      <c r="H14" s="40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8">
        <v>10</v>
      </c>
      <c r="B15" s="8"/>
      <c r="C15" s="8"/>
      <c r="D15" s="8" t="s">
        <v>57</v>
      </c>
      <c r="E15" s="27" t="s">
        <v>58</v>
      </c>
      <c r="F15" s="27"/>
      <c r="G15" s="40" t="s">
        <v>285</v>
      </c>
      <c r="H15" s="40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50"/>
      <c r="S15" s="51"/>
      <c r="T15" s="52"/>
      <c r="U15" s="53"/>
    </row>
    <row r="16" spans="1:21" s="10" customFormat="1" x14ac:dyDescent="0.2">
      <c r="A16" s="8">
        <v>10</v>
      </c>
      <c r="B16" s="8"/>
      <c r="C16" s="8"/>
      <c r="D16" s="8" t="s">
        <v>60</v>
      </c>
      <c r="E16" s="27" t="s">
        <v>61</v>
      </c>
      <c r="F16" s="27"/>
      <c r="G16" s="40" t="s">
        <v>286</v>
      </c>
      <c r="H16" s="40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8">
        <v>10</v>
      </c>
      <c r="B17" s="8"/>
      <c r="C17" s="8"/>
      <c r="D17" s="8" t="s">
        <v>63</v>
      </c>
      <c r="E17" s="27" t="s">
        <v>64</v>
      </c>
      <c r="F17" s="27"/>
      <c r="G17" s="40" t="s">
        <v>287</v>
      </c>
      <c r="H17" s="40" t="s">
        <v>65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x14ac:dyDescent="0.2">
      <c r="A18" s="8">
        <v>10</v>
      </c>
      <c r="B18" s="8"/>
      <c r="C18" s="8"/>
      <c r="D18" s="8" t="s">
        <v>66</v>
      </c>
      <c r="E18" s="27" t="s">
        <v>67</v>
      </c>
      <c r="F18" s="27"/>
      <c r="G18" s="40" t="s">
        <v>288</v>
      </c>
      <c r="H18" s="40" t="s">
        <v>68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 x14ac:dyDescent="0.2">
      <c r="A19" s="8">
        <v>10</v>
      </c>
      <c r="B19" s="8"/>
      <c r="C19" s="8"/>
      <c r="D19" s="8" t="s">
        <v>69</v>
      </c>
      <c r="E19" s="27" t="s">
        <v>70</v>
      </c>
      <c r="F19" s="27"/>
      <c r="G19" s="40" t="s">
        <v>289</v>
      </c>
      <c r="H19" s="40" t="s">
        <v>71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10" customFormat="1" x14ac:dyDescent="0.2">
      <c r="A20" s="8">
        <v>10</v>
      </c>
      <c r="B20" s="8"/>
      <c r="C20" s="8"/>
      <c r="D20" s="8" t="s">
        <v>72</v>
      </c>
      <c r="E20" s="27" t="s">
        <v>73</v>
      </c>
      <c r="F20" s="27"/>
      <c r="G20" s="40" t="s">
        <v>290</v>
      </c>
      <c r="H20" s="40" t="s">
        <v>74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122"/>
      <c r="S20" s="123"/>
      <c r="T20" s="124"/>
      <c r="U20" s="125"/>
    </row>
    <row r="21" spans="1:21" s="10" customFormat="1" ht="39" x14ac:dyDescent="0.2">
      <c r="A21" s="57"/>
      <c r="L21" s="10" t="s">
        <v>278</v>
      </c>
      <c r="M21" s="10" t="s">
        <v>279</v>
      </c>
      <c r="N21" s="10" t="s">
        <v>278</v>
      </c>
      <c r="O21" s="10" t="s">
        <v>279</v>
      </c>
      <c r="P21" s="10" t="s">
        <v>278</v>
      </c>
      <c r="Q21" s="10" t="s">
        <v>279</v>
      </c>
      <c r="U21" s="41"/>
    </row>
    <row r="22" spans="1:21" s="10" customFormat="1" x14ac:dyDescent="0.2">
      <c r="A22" s="8">
        <v>20</v>
      </c>
      <c r="B22" s="30" t="s">
        <v>43</v>
      </c>
      <c r="C22" s="31"/>
      <c r="D22" s="42" t="s">
        <v>75</v>
      </c>
      <c r="E22" s="28" t="s">
        <v>76</v>
      </c>
      <c r="F22" s="43"/>
      <c r="G22" s="24"/>
      <c r="H22" s="27"/>
      <c r="I22" s="15"/>
      <c r="J22" s="15"/>
      <c r="K22" s="15"/>
      <c r="L22" s="28"/>
      <c r="M22" s="28"/>
      <c r="N22" s="28"/>
      <c r="O22" s="28"/>
      <c r="P22" s="28"/>
      <c r="Q22" s="28"/>
      <c r="R22" s="50"/>
      <c r="S22" s="51"/>
      <c r="T22" s="124"/>
      <c r="U22" s="125"/>
    </row>
    <row r="23" spans="1:21" s="10" customFormat="1" x14ac:dyDescent="0.2">
      <c r="A23" s="8">
        <v>20</v>
      </c>
      <c r="B23" s="8"/>
      <c r="C23" s="8"/>
      <c r="D23" s="8" t="s">
        <v>46</v>
      </c>
      <c r="E23" s="27" t="s">
        <v>47</v>
      </c>
      <c r="F23" s="27"/>
      <c r="G23" s="40" t="s">
        <v>282</v>
      </c>
      <c r="H23" s="40" t="s">
        <v>77</v>
      </c>
      <c r="I23" s="8" t="s">
        <v>50</v>
      </c>
      <c r="J23" s="8" t="s">
        <v>49</v>
      </c>
      <c r="K23" s="8"/>
      <c r="L23" s="8"/>
      <c r="M23" s="8"/>
      <c r="N23" s="8"/>
      <c r="O23" s="8"/>
      <c r="P23" s="8"/>
      <c r="Q23" s="8"/>
      <c r="R23" s="122"/>
      <c r="S23" s="123"/>
      <c r="T23" s="124"/>
      <c r="U23" s="125"/>
    </row>
    <row r="24" spans="1:21" s="10" customFormat="1" x14ac:dyDescent="0.2">
      <c r="A24" s="8">
        <v>20</v>
      </c>
      <c r="B24" s="8"/>
      <c r="C24" s="8"/>
      <c r="D24" s="8" t="s">
        <v>51</v>
      </c>
      <c r="E24" s="27" t="s">
        <v>52</v>
      </c>
      <c r="F24" s="27"/>
      <c r="G24" s="40" t="s">
        <v>283</v>
      </c>
      <c r="H24" s="40" t="s">
        <v>78</v>
      </c>
      <c r="I24" s="8" t="s">
        <v>50</v>
      </c>
      <c r="J24" s="8" t="s">
        <v>49</v>
      </c>
      <c r="K24" s="8"/>
      <c r="L24" s="8"/>
      <c r="M24" s="8"/>
      <c r="N24" s="8"/>
      <c r="O24" s="8"/>
      <c r="P24" s="8"/>
      <c r="Q24" s="8"/>
      <c r="R24" s="122"/>
      <c r="S24" s="123"/>
      <c r="T24" s="124"/>
      <c r="U24" s="125"/>
    </row>
    <row r="25" spans="1:21" s="10" customFormat="1" x14ac:dyDescent="0.2">
      <c r="A25" s="8">
        <v>20</v>
      </c>
      <c r="B25" s="8"/>
      <c r="C25" s="8"/>
      <c r="D25" s="8" t="s">
        <v>79</v>
      </c>
      <c r="E25" s="27" t="s">
        <v>80</v>
      </c>
      <c r="F25" s="27"/>
      <c r="G25" s="40" t="s">
        <v>284</v>
      </c>
      <c r="H25" s="40" t="s">
        <v>56</v>
      </c>
      <c r="I25" s="8" t="s">
        <v>50</v>
      </c>
      <c r="J25" s="8" t="s">
        <v>49</v>
      </c>
      <c r="K25" s="8"/>
      <c r="L25" s="8"/>
      <c r="M25" s="8"/>
      <c r="N25" s="8"/>
      <c r="O25" s="8"/>
      <c r="P25" s="8"/>
      <c r="Q25" s="8"/>
      <c r="R25" s="122"/>
      <c r="S25" s="123"/>
      <c r="T25" s="124"/>
      <c r="U25" s="125"/>
    </row>
    <row r="26" spans="1:21" s="10" customFormat="1" x14ac:dyDescent="0.2">
      <c r="A26" s="8">
        <v>20</v>
      </c>
      <c r="B26" s="8"/>
      <c r="C26" s="8"/>
      <c r="D26" s="8" t="s">
        <v>81</v>
      </c>
      <c r="E26" s="27" t="s">
        <v>82</v>
      </c>
      <c r="F26" s="27"/>
      <c r="G26" s="40" t="s">
        <v>291</v>
      </c>
      <c r="H26" s="40" t="s">
        <v>83</v>
      </c>
      <c r="I26" s="8" t="s">
        <v>50</v>
      </c>
      <c r="J26" s="8" t="s">
        <v>49</v>
      </c>
      <c r="K26" s="8"/>
      <c r="L26" s="8"/>
      <c r="M26" s="8"/>
      <c r="N26" s="8"/>
      <c r="O26" s="8"/>
      <c r="P26" s="8"/>
      <c r="Q26" s="8"/>
      <c r="R26" s="122"/>
      <c r="S26" s="123"/>
      <c r="T26" s="124"/>
      <c r="U26" s="125"/>
    </row>
    <row r="27" spans="1:21" s="10" customFormat="1" x14ac:dyDescent="0.2">
      <c r="A27" s="8">
        <v>20</v>
      </c>
      <c r="B27" s="8"/>
      <c r="C27" s="8"/>
      <c r="D27" s="8" t="s">
        <v>84</v>
      </c>
      <c r="E27" s="27" t="s">
        <v>58</v>
      </c>
      <c r="F27" s="27"/>
      <c r="G27" s="40" t="s">
        <v>285</v>
      </c>
      <c r="H27" s="40" t="s">
        <v>59</v>
      </c>
      <c r="I27" s="8" t="s">
        <v>50</v>
      </c>
      <c r="J27" s="8" t="s">
        <v>49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 x14ac:dyDescent="0.2">
      <c r="A28" s="8">
        <v>20</v>
      </c>
      <c r="B28" s="8"/>
      <c r="C28" s="8"/>
      <c r="D28" s="8" t="s">
        <v>85</v>
      </c>
      <c r="E28" s="27" t="s">
        <v>61</v>
      </c>
      <c r="F28" s="27"/>
      <c r="G28" s="40" t="s">
        <v>286</v>
      </c>
      <c r="H28" s="40" t="s">
        <v>62</v>
      </c>
      <c r="I28" s="8" t="s">
        <v>50</v>
      </c>
      <c r="J28" s="8" t="s">
        <v>49</v>
      </c>
      <c r="K28" s="8"/>
      <c r="L28" s="8"/>
      <c r="M28" s="8"/>
      <c r="N28" s="8"/>
      <c r="O28" s="8"/>
      <c r="P28" s="8"/>
      <c r="Q28" s="8"/>
      <c r="R28" s="122"/>
      <c r="S28" s="123"/>
      <c r="T28" s="124"/>
      <c r="U28" s="125"/>
    </row>
    <row r="29" spans="1:21" s="10" customFormat="1" x14ac:dyDescent="0.2">
      <c r="A29" s="8">
        <v>20</v>
      </c>
      <c r="B29" s="8"/>
      <c r="C29" s="8"/>
      <c r="D29" s="8" t="s">
        <v>63</v>
      </c>
      <c r="E29" s="27" t="s">
        <v>64</v>
      </c>
      <c r="F29" s="27"/>
      <c r="G29" s="40" t="s">
        <v>287</v>
      </c>
      <c r="H29" s="40" t="s">
        <v>65</v>
      </c>
      <c r="I29" s="8" t="s">
        <v>50</v>
      </c>
      <c r="J29" s="8" t="s">
        <v>49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x14ac:dyDescent="0.2">
      <c r="A30" s="8">
        <v>20</v>
      </c>
      <c r="B30" s="8"/>
      <c r="C30" s="8"/>
      <c r="D30" s="8" t="s">
        <v>86</v>
      </c>
      <c r="E30" s="27" t="s">
        <v>67</v>
      </c>
      <c r="F30" s="27"/>
      <c r="G30" s="40" t="s">
        <v>288</v>
      </c>
      <c r="H30" s="40" t="s">
        <v>68</v>
      </c>
      <c r="I30" s="8" t="s">
        <v>50</v>
      </c>
      <c r="J30" s="8" t="s">
        <v>49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x14ac:dyDescent="0.2">
      <c r="A31" s="8">
        <v>20</v>
      </c>
      <c r="B31" s="8"/>
      <c r="C31" s="8"/>
      <c r="D31" s="8" t="s">
        <v>87</v>
      </c>
      <c r="E31" s="27" t="s">
        <v>70</v>
      </c>
      <c r="F31" s="27"/>
      <c r="G31" s="40" t="s">
        <v>289</v>
      </c>
      <c r="H31" s="40" t="s">
        <v>71</v>
      </c>
      <c r="I31" s="8" t="s">
        <v>50</v>
      </c>
      <c r="J31" s="8" t="s">
        <v>49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x14ac:dyDescent="0.2">
      <c r="A32" s="8">
        <v>20</v>
      </c>
      <c r="B32" s="8"/>
      <c r="C32" s="8"/>
      <c r="D32" s="8" t="s">
        <v>72</v>
      </c>
      <c r="E32" s="27" t="s">
        <v>73</v>
      </c>
      <c r="F32" s="27"/>
      <c r="G32" s="40" t="s">
        <v>290</v>
      </c>
      <c r="H32" s="40" t="s">
        <v>74</v>
      </c>
      <c r="I32" s="8" t="s">
        <v>50</v>
      </c>
      <c r="J32" s="8" t="s">
        <v>49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x14ac:dyDescent="0.2">
      <c r="A33" s="8">
        <v>20</v>
      </c>
      <c r="B33" s="8"/>
      <c r="C33" s="8"/>
      <c r="D33" s="8" t="s">
        <v>88</v>
      </c>
      <c r="E33" s="27" t="s">
        <v>89</v>
      </c>
      <c r="F33" s="27"/>
      <c r="G33" s="40" t="s">
        <v>292</v>
      </c>
      <c r="H33" s="40" t="s">
        <v>90</v>
      </c>
      <c r="I33" s="8" t="s">
        <v>50</v>
      </c>
      <c r="J33" s="8" t="s">
        <v>49</v>
      </c>
      <c r="K33" s="8"/>
      <c r="L33" s="8"/>
      <c r="M33" s="8"/>
      <c r="N33" s="8"/>
      <c r="O33" s="8"/>
      <c r="P33" s="8"/>
      <c r="Q33" s="8"/>
      <c r="R33" s="122"/>
      <c r="S33" s="123"/>
      <c r="T33" s="124"/>
      <c r="U33" s="125"/>
    </row>
    <row r="34" spans="1:21" s="10" customFormat="1" x14ac:dyDescent="0.2">
      <c r="A34" s="8">
        <v>20</v>
      </c>
      <c r="B34" s="8"/>
      <c r="C34" s="8"/>
      <c r="D34" s="8" t="s">
        <v>91</v>
      </c>
      <c r="E34" s="27" t="s">
        <v>92</v>
      </c>
      <c r="F34" s="27"/>
      <c r="G34" s="40" t="s">
        <v>293</v>
      </c>
      <c r="H34" s="40" t="s">
        <v>93</v>
      </c>
      <c r="I34" s="8" t="s">
        <v>50</v>
      </c>
      <c r="J34" s="8" t="s">
        <v>49</v>
      </c>
      <c r="K34" s="8"/>
      <c r="L34" s="8"/>
      <c r="M34" s="8"/>
      <c r="N34" s="8"/>
      <c r="O34" s="8"/>
      <c r="P34" s="8"/>
      <c r="Q34" s="8"/>
      <c r="R34" s="122"/>
      <c r="S34" s="123"/>
      <c r="T34" s="124"/>
      <c r="U34" s="125"/>
    </row>
    <row r="35" spans="1:21" s="10" customFormat="1" x14ac:dyDescent="0.2">
      <c r="A35" s="8">
        <v>20</v>
      </c>
      <c r="B35" s="8"/>
      <c r="C35" s="8"/>
      <c r="D35" s="8" t="s">
        <v>94</v>
      </c>
      <c r="E35" s="27" t="s">
        <v>95</v>
      </c>
      <c r="F35" s="27"/>
      <c r="G35" s="40" t="s">
        <v>294</v>
      </c>
      <c r="H35" s="40" t="s">
        <v>96</v>
      </c>
      <c r="I35" s="8" t="s">
        <v>50</v>
      </c>
      <c r="J35" s="8" t="s">
        <v>49</v>
      </c>
      <c r="K35" s="8"/>
      <c r="L35" s="8"/>
      <c r="M35" s="8"/>
      <c r="N35" s="8"/>
      <c r="O35" s="8"/>
      <c r="P35" s="8"/>
      <c r="Q35" s="8"/>
      <c r="R35" s="122"/>
      <c r="S35" s="123"/>
      <c r="T35" s="124"/>
      <c r="U35" s="125"/>
    </row>
    <row r="36" spans="1:21" s="10" customFormat="1" x14ac:dyDescent="0.2">
      <c r="A36" s="8">
        <v>20</v>
      </c>
      <c r="B36" s="8"/>
      <c r="C36" s="8"/>
      <c r="D36" s="8" t="s">
        <v>97</v>
      </c>
      <c r="E36" s="27" t="s">
        <v>98</v>
      </c>
      <c r="F36" s="27"/>
      <c r="G36" s="40" t="s">
        <v>295</v>
      </c>
      <c r="H36" s="40" t="s">
        <v>99</v>
      </c>
      <c r="I36" s="8" t="s">
        <v>50</v>
      </c>
      <c r="J36" s="8" t="s">
        <v>49</v>
      </c>
      <c r="K36" s="8"/>
      <c r="L36" s="8"/>
      <c r="M36" s="8"/>
      <c r="N36" s="8"/>
      <c r="O36" s="8"/>
      <c r="P36" s="8"/>
      <c r="Q36" s="8"/>
      <c r="R36" s="122"/>
      <c r="S36" s="123"/>
      <c r="T36" s="124"/>
      <c r="U36" s="125"/>
    </row>
    <row r="37" spans="1:21" s="10" customFormat="1" x14ac:dyDescent="0.2">
      <c r="A37" s="8">
        <v>20</v>
      </c>
      <c r="B37" s="8"/>
      <c r="C37" s="8"/>
      <c r="D37" s="8" t="s">
        <v>100</v>
      </c>
      <c r="E37" s="27" t="s">
        <v>101</v>
      </c>
      <c r="F37" s="27"/>
      <c r="G37" s="40" t="s">
        <v>296</v>
      </c>
      <c r="H37" s="40" t="s">
        <v>102</v>
      </c>
      <c r="I37" s="8" t="s">
        <v>50</v>
      </c>
      <c r="J37" s="8" t="s">
        <v>49</v>
      </c>
      <c r="K37" s="8"/>
      <c r="L37" s="8"/>
      <c r="M37" s="8"/>
      <c r="N37" s="8"/>
      <c r="O37" s="8"/>
      <c r="P37" s="8"/>
      <c r="Q37" s="8"/>
      <c r="R37" s="122"/>
      <c r="S37" s="123"/>
      <c r="T37" s="124"/>
      <c r="U37" s="125"/>
    </row>
    <row r="38" spans="1:21" s="10" customFormat="1" x14ac:dyDescent="0.2">
      <c r="A38" s="8">
        <v>20</v>
      </c>
      <c r="B38" s="8"/>
      <c r="C38" s="8"/>
      <c r="D38" s="8" t="s">
        <v>103</v>
      </c>
      <c r="E38" s="27" t="s">
        <v>89</v>
      </c>
      <c r="F38" s="27"/>
      <c r="G38" s="40" t="s">
        <v>297</v>
      </c>
      <c r="H38" s="40" t="s">
        <v>104</v>
      </c>
      <c r="I38" s="8" t="s">
        <v>50</v>
      </c>
      <c r="J38" s="8" t="s">
        <v>49</v>
      </c>
      <c r="K38" s="8"/>
      <c r="L38" s="8"/>
      <c r="M38" s="8"/>
      <c r="N38" s="8"/>
      <c r="O38" s="8"/>
      <c r="P38" s="8"/>
      <c r="Q38" s="8"/>
      <c r="R38" s="122"/>
      <c r="S38" s="123"/>
      <c r="T38" s="124"/>
      <c r="U38" s="125"/>
    </row>
    <row r="39" spans="1:21" s="10" customFormat="1" x14ac:dyDescent="0.2">
      <c r="A39" s="8">
        <v>20</v>
      </c>
      <c r="B39" s="8"/>
      <c r="C39" s="8"/>
      <c r="D39" s="8" t="s">
        <v>105</v>
      </c>
      <c r="E39" s="27" t="s">
        <v>92</v>
      </c>
      <c r="F39" s="27"/>
      <c r="G39" s="40" t="s">
        <v>298</v>
      </c>
      <c r="H39" s="40" t="s">
        <v>106</v>
      </c>
      <c r="I39" s="8" t="s">
        <v>50</v>
      </c>
      <c r="J39" s="8" t="s">
        <v>49</v>
      </c>
      <c r="K39" s="8"/>
      <c r="L39" s="8"/>
      <c r="M39" s="8"/>
      <c r="N39" s="8"/>
      <c r="O39" s="8"/>
      <c r="P39" s="8"/>
      <c r="Q39" s="8"/>
      <c r="R39" s="122"/>
      <c r="S39" s="123"/>
      <c r="T39" s="124"/>
      <c r="U39" s="125"/>
    </row>
    <row r="40" spans="1:21" s="10" customFormat="1" x14ac:dyDescent="0.2">
      <c r="A40" s="8">
        <v>20</v>
      </c>
      <c r="B40" s="8"/>
      <c r="C40" s="8"/>
      <c r="D40" s="8" t="s">
        <v>107</v>
      </c>
      <c r="E40" s="27" t="s">
        <v>95</v>
      </c>
      <c r="F40" s="27"/>
      <c r="G40" s="40" t="s">
        <v>299</v>
      </c>
      <c r="H40" s="40" t="s">
        <v>108</v>
      </c>
      <c r="I40" s="8" t="s">
        <v>50</v>
      </c>
      <c r="J40" s="8" t="s">
        <v>49</v>
      </c>
      <c r="K40" s="8"/>
      <c r="L40" s="8"/>
      <c r="M40" s="8"/>
      <c r="N40" s="8"/>
      <c r="O40" s="8"/>
      <c r="P40" s="8"/>
      <c r="Q40" s="8"/>
      <c r="R40" s="122"/>
      <c r="S40" s="123"/>
      <c r="T40" s="124"/>
      <c r="U40" s="125"/>
    </row>
    <row r="41" spans="1:21" s="10" customFormat="1" x14ac:dyDescent="0.2">
      <c r="A41" s="8">
        <v>20</v>
      </c>
      <c r="B41" s="8"/>
      <c r="C41" s="8"/>
      <c r="D41" s="8" t="s">
        <v>109</v>
      </c>
      <c r="E41" s="27" t="s">
        <v>98</v>
      </c>
      <c r="F41" s="27"/>
      <c r="G41" s="40" t="s">
        <v>300</v>
      </c>
      <c r="H41" s="40" t="s">
        <v>110</v>
      </c>
      <c r="I41" s="8" t="s">
        <v>50</v>
      </c>
      <c r="J41" s="8" t="s">
        <v>49</v>
      </c>
      <c r="K41" s="8"/>
      <c r="L41" s="8"/>
      <c r="M41" s="8"/>
      <c r="N41" s="8"/>
      <c r="O41" s="8"/>
      <c r="P41" s="8"/>
      <c r="Q41" s="8"/>
      <c r="R41" s="122"/>
      <c r="S41" s="123"/>
      <c r="T41" s="124"/>
      <c r="U41" s="125"/>
    </row>
    <row r="42" spans="1:21" s="10" customFormat="1" x14ac:dyDescent="0.2">
      <c r="A42" s="8">
        <v>20</v>
      </c>
      <c r="B42" s="8"/>
      <c r="C42" s="8"/>
      <c r="D42" s="8" t="s">
        <v>111</v>
      </c>
      <c r="E42" s="27" t="s">
        <v>101</v>
      </c>
      <c r="F42" s="27"/>
      <c r="G42" s="40" t="s">
        <v>301</v>
      </c>
      <c r="H42" s="40" t="s">
        <v>112</v>
      </c>
      <c r="I42" s="8" t="s">
        <v>50</v>
      </c>
      <c r="J42" s="8" t="s">
        <v>49</v>
      </c>
      <c r="K42" s="8"/>
      <c r="L42" s="8"/>
      <c r="M42" s="8"/>
      <c r="N42" s="8"/>
      <c r="O42" s="8"/>
      <c r="P42" s="8"/>
      <c r="Q42" s="8"/>
      <c r="R42" s="122"/>
      <c r="S42" s="123"/>
      <c r="T42" s="124"/>
      <c r="U42" s="125"/>
    </row>
    <row r="43" spans="1:21" s="10" customFormat="1" x14ac:dyDescent="0.2">
      <c r="A43" s="8">
        <v>20</v>
      </c>
      <c r="B43" s="8"/>
      <c r="C43" s="8"/>
      <c r="D43" s="8" t="s">
        <v>113</v>
      </c>
      <c r="E43" s="27" t="s">
        <v>114</v>
      </c>
      <c r="F43" s="27"/>
      <c r="G43" s="40" t="s">
        <v>302</v>
      </c>
      <c r="H43" s="40" t="s">
        <v>115</v>
      </c>
      <c r="I43" s="8" t="s">
        <v>50</v>
      </c>
      <c r="J43" s="8" t="s">
        <v>49</v>
      </c>
      <c r="K43" s="8"/>
      <c r="L43" s="8"/>
      <c r="M43" s="8"/>
      <c r="N43" s="8"/>
      <c r="O43" s="8"/>
      <c r="P43" s="8"/>
      <c r="Q43" s="8"/>
      <c r="R43" s="122"/>
      <c r="S43" s="123"/>
      <c r="T43" s="124"/>
      <c r="U43" s="125"/>
    </row>
    <row r="44" spans="1:21" s="10" customFormat="1" x14ac:dyDescent="0.2">
      <c r="A44" s="8">
        <v>20</v>
      </c>
      <c r="B44" s="8"/>
      <c r="C44" s="8"/>
      <c r="D44" s="8" t="s">
        <v>116</v>
      </c>
      <c r="E44" s="27" t="s">
        <v>117</v>
      </c>
      <c r="F44" s="27"/>
      <c r="G44" s="40" t="s">
        <v>303</v>
      </c>
      <c r="H44" s="40" t="s">
        <v>118</v>
      </c>
      <c r="I44" s="8" t="s">
        <v>50</v>
      </c>
      <c r="J44" s="8" t="s">
        <v>49</v>
      </c>
      <c r="K44" s="8"/>
      <c r="L44" s="8"/>
      <c r="M44" s="8"/>
      <c r="N44" s="8"/>
      <c r="O44" s="8"/>
      <c r="P44" s="8"/>
      <c r="Q44" s="8"/>
      <c r="R44" s="122"/>
      <c r="S44" s="123"/>
      <c r="T44" s="124"/>
      <c r="U44" s="125"/>
    </row>
    <row r="45" spans="1:21" s="10" customFormat="1" x14ac:dyDescent="0.2">
      <c r="A45" s="22"/>
      <c r="B45" s="23"/>
      <c r="C45" s="23"/>
      <c r="D45" s="16" t="s">
        <v>16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18"/>
    </row>
    <row r="46" spans="1:21" s="10" customFormat="1" x14ac:dyDescent="0.2">
      <c r="A46" s="57"/>
      <c r="U46" s="41"/>
    </row>
    <row r="47" spans="1:21" s="10" customFormat="1" x14ac:dyDescent="0.2">
      <c r="A47" s="57"/>
      <c r="U47" s="41"/>
    </row>
    <row r="48" spans="1:21" s="10" customFormat="1" x14ac:dyDescent="0.2">
      <c r="A48" s="57"/>
      <c r="U48" s="41"/>
    </row>
    <row r="49" spans="1:21" s="10" customFormat="1" x14ac:dyDescent="0.2">
      <c r="A49" s="57"/>
      <c r="U49" s="41"/>
    </row>
    <row r="50" spans="1:21" s="10" customFormat="1" x14ac:dyDescent="0.2">
      <c r="A50" s="57"/>
      <c r="U50" s="41"/>
    </row>
    <row r="51" spans="1:21" s="10" customFormat="1" x14ac:dyDescent="0.2">
      <c r="A51" s="57"/>
      <c r="U51" s="41"/>
    </row>
    <row r="52" spans="1:21" s="10" customFormat="1" x14ac:dyDescent="0.2">
      <c r="A52" s="57"/>
      <c r="U52" s="41"/>
    </row>
    <row r="53" spans="1:21" s="10" customFormat="1" x14ac:dyDescent="0.2">
      <c r="A53" s="57"/>
      <c r="U53" s="41"/>
    </row>
    <row r="54" spans="1:21" s="10" customFormat="1" x14ac:dyDescent="0.2">
      <c r="A54" s="57"/>
      <c r="U54" s="41"/>
    </row>
    <row r="55" spans="1:21" s="10" customFormat="1" x14ac:dyDescent="0.2">
      <c r="A55" s="57"/>
      <c r="U55" s="41"/>
    </row>
    <row r="56" spans="1:21" s="10" customFormat="1" x14ac:dyDescent="0.2">
      <c r="A56" s="57"/>
      <c r="U56" s="41"/>
    </row>
    <row r="57" spans="1:21" s="10" customFormat="1" x14ac:dyDescent="0.2">
      <c r="A57" s="57"/>
      <c r="U57" s="41"/>
    </row>
    <row r="58" spans="1:21" s="10" customFormat="1" x14ac:dyDescent="0.2">
      <c r="A58" s="57"/>
      <c r="U58" s="41"/>
    </row>
    <row r="59" spans="1:21" s="10" customFormat="1" x14ac:dyDescent="0.2">
      <c r="A59" s="6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44"/>
    </row>
  </sheetData>
  <mergeCells count="55"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25:S25"/>
    <mergeCell ref="T25:U25"/>
    <mergeCell ref="R26:S26"/>
    <mergeCell ref="T26:U26"/>
    <mergeCell ref="R28:S28"/>
    <mergeCell ref="T28:U28"/>
    <mergeCell ref="R24:S24"/>
    <mergeCell ref="T24:U24"/>
    <mergeCell ref="R17:S17"/>
    <mergeCell ref="T17:U17"/>
    <mergeCell ref="R18:S18"/>
    <mergeCell ref="T18:U18"/>
    <mergeCell ref="R19:S19"/>
    <mergeCell ref="T19:U19"/>
    <mergeCell ref="R20:S20"/>
    <mergeCell ref="T20:U20"/>
    <mergeCell ref="T22:U22"/>
    <mergeCell ref="R23:S23"/>
    <mergeCell ref="T23:U23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4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0.90625" style="5" bestFit="1" customWidth="1"/>
    <col min="23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268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MGBDL0340</v>
      </c>
      <c r="I2" s="7" t="s">
        <v>19</v>
      </c>
      <c r="J2" s="8" t="s">
        <v>119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266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MGBDL_ParmReg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原価計算パラメータ登録</v>
      </c>
      <c r="I4" s="7" t="s">
        <v>28</v>
      </c>
      <c r="J4" s="8" t="s">
        <v>120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121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122</v>
      </c>
      <c r="J7" s="6"/>
      <c r="K7" s="8" t="s">
        <v>123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123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123</v>
      </c>
      <c r="V7" s="8" t="s">
        <v>36</v>
      </c>
      <c r="W7" s="8" t="s">
        <v>36</v>
      </c>
      <c r="X7" s="8" t="s">
        <v>124</v>
      </c>
      <c r="Y7" s="8" t="s">
        <v>125</v>
      </c>
      <c r="Z7" s="8" t="s">
        <v>36</v>
      </c>
      <c r="AA7" s="8" t="s">
        <v>126</v>
      </c>
      <c r="AB7" s="8" t="s">
        <v>36</v>
      </c>
      <c r="AC7" s="26" t="s">
        <v>37</v>
      </c>
      <c r="AD7" s="27"/>
      <c r="AE7" s="26" t="s">
        <v>37</v>
      </c>
      <c r="AF7" s="27"/>
      <c r="AG7" s="26" t="s">
        <v>38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0"/>
      <c r="C8" s="71"/>
      <c r="D8" s="26" t="s">
        <v>269</v>
      </c>
      <c r="E8" s="26" t="s">
        <v>270</v>
      </c>
      <c r="F8" s="25"/>
      <c r="G8" s="26" t="s">
        <v>39</v>
      </c>
      <c r="H8" s="26" t="s">
        <v>271</v>
      </c>
      <c r="I8" s="25"/>
      <c r="J8" s="3"/>
      <c r="K8" s="8" t="s">
        <v>128</v>
      </c>
      <c r="L8" s="8" t="s">
        <v>129</v>
      </c>
      <c r="M8" s="8" t="s">
        <v>130</v>
      </c>
      <c r="N8" s="8" t="s">
        <v>131</v>
      </c>
      <c r="O8" s="8" t="s">
        <v>132</v>
      </c>
      <c r="P8" s="8" t="s">
        <v>133</v>
      </c>
      <c r="Q8" s="8" t="s">
        <v>134</v>
      </c>
      <c r="R8" s="8" t="s">
        <v>135</v>
      </c>
      <c r="S8" s="8" t="s">
        <v>136</v>
      </c>
      <c r="T8" s="8" t="s">
        <v>137</v>
      </c>
      <c r="U8" s="8" t="s">
        <v>138</v>
      </c>
      <c r="V8" s="8" t="s">
        <v>139</v>
      </c>
      <c r="W8" s="8" t="s">
        <v>140</v>
      </c>
      <c r="X8" s="8" t="s">
        <v>141</v>
      </c>
      <c r="Y8" s="8" t="s">
        <v>142</v>
      </c>
      <c r="Z8" s="8" t="s">
        <v>143</v>
      </c>
      <c r="AA8" s="8" t="s">
        <v>144</v>
      </c>
      <c r="AB8" s="8" t="s">
        <v>145</v>
      </c>
      <c r="AC8" s="26" t="s">
        <v>146</v>
      </c>
      <c r="AD8" s="27"/>
      <c r="AE8" s="26" t="s">
        <v>146</v>
      </c>
      <c r="AF8" s="27"/>
      <c r="AG8" s="26" t="s">
        <v>147</v>
      </c>
      <c r="AH8" s="27"/>
      <c r="AI8" s="3"/>
      <c r="AJ8" s="21"/>
      <c r="AK8" s="122" t="s">
        <v>272</v>
      </c>
      <c r="AL8" s="123"/>
    </row>
    <row r="9" spans="1:38" s="10" customFormat="1" ht="60" customHeight="1" x14ac:dyDescent="0.2">
      <c r="A9" s="8" t="s">
        <v>34</v>
      </c>
      <c r="B9" s="30"/>
      <c r="C9" s="31"/>
      <c r="D9" s="26" t="s">
        <v>304</v>
      </c>
      <c r="E9" s="50" t="s">
        <v>305</v>
      </c>
      <c r="F9" s="26" t="s">
        <v>275</v>
      </c>
      <c r="G9" s="26" t="s">
        <v>276</v>
      </c>
      <c r="H9" s="26" t="s">
        <v>277</v>
      </c>
      <c r="I9" s="51" t="s">
        <v>278</v>
      </c>
      <c r="J9" s="26" t="s">
        <v>279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1"/>
      <c r="AD9" s="26"/>
      <c r="AE9" s="26"/>
      <c r="AF9" s="26"/>
      <c r="AG9" s="26"/>
      <c r="AH9" s="26"/>
      <c r="AI9" s="122" t="s">
        <v>280</v>
      </c>
      <c r="AJ9" s="123"/>
      <c r="AK9" s="122" t="s">
        <v>281</v>
      </c>
      <c r="AL9" s="123"/>
    </row>
    <row r="10" spans="1:38" s="10" customFormat="1" ht="52" x14ac:dyDescent="0.2">
      <c r="A10" s="30" t="s">
        <v>148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278</v>
      </c>
      <c r="AD10" s="26" t="s">
        <v>279</v>
      </c>
      <c r="AE10" s="26" t="s">
        <v>278</v>
      </c>
      <c r="AF10" s="26" t="s">
        <v>279</v>
      </c>
      <c r="AG10" s="26" t="s">
        <v>278</v>
      </c>
      <c r="AH10" s="26" t="s">
        <v>279</v>
      </c>
      <c r="AI10" s="32"/>
      <c r="AJ10" s="32"/>
      <c r="AK10" s="37"/>
      <c r="AL10" s="54"/>
    </row>
    <row r="11" spans="1:38" s="10" customFormat="1" x14ac:dyDescent="0.2">
      <c r="A11" s="8">
        <v>10</v>
      </c>
      <c r="B11" s="30" t="s">
        <v>43</v>
      </c>
      <c r="C11" s="31"/>
      <c r="D11" s="24" t="s">
        <v>149</v>
      </c>
      <c r="E11" s="28" t="s">
        <v>76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4"/>
      <c r="AL11" s="125"/>
    </row>
    <row r="12" spans="1:38" s="10" customFormat="1" x14ac:dyDescent="0.2">
      <c r="A12" s="8">
        <v>10</v>
      </c>
      <c r="B12" s="8"/>
      <c r="C12" s="8"/>
      <c r="D12" s="8" t="s">
        <v>150</v>
      </c>
      <c r="E12" s="27" t="s">
        <v>151</v>
      </c>
      <c r="F12" s="27"/>
      <c r="G12" s="40" t="s">
        <v>306</v>
      </c>
      <c r="H12" s="40" t="s">
        <v>152</v>
      </c>
      <c r="I12" s="8" t="s">
        <v>153</v>
      </c>
      <c r="J12" s="8" t="s">
        <v>153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2"/>
      <c r="AJ12" s="123"/>
      <c r="AK12" s="124"/>
      <c r="AL12" s="125"/>
    </row>
    <row r="13" spans="1:38" s="10" customFormat="1" x14ac:dyDescent="0.2">
      <c r="A13" s="8">
        <v>10</v>
      </c>
      <c r="B13" s="8"/>
      <c r="C13" s="8"/>
      <c r="D13" s="8" t="s">
        <v>154</v>
      </c>
      <c r="E13" s="27" t="s">
        <v>155</v>
      </c>
      <c r="F13" s="27"/>
      <c r="G13" s="40" t="s">
        <v>307</v>
      </c>
      <c r="H13" s="40" t="s">
        <v>156</v>
      </c>
      <c r="I13" s="8" t="s">
        <v>157</v>
      </c>
      <c r="J13" s="8" t="s">
        <v>153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2"/>
      <c r="AJ13" s="123"/>
      <c r="AK13" s="124"/>
      <c r="AL13" s="125"/>
    </row>
    <row r="14" spans="1:38" s="10" customFormat="1" x14ac:dyDescent="0.2">
      <c r="A14" s="8">
        <v>10</v>
      </c>
      <c r="B14" s="8"/>
      <c r="C14" s="8"/>
      <c r="D14" s="8" t="s">
        <v>158</v>
      </c>
      <c r="E14" s="27" t="s">
        <v>159</v>
      </c>
      <c r="F14" s="27"/>
      <c r="G14" s="40" t="s">
        <v>308</v>
      </c>
      <c r="H14" s="40" t="s">
        <v>160</v>
      </c>
      <c r="I14" s="8" t="s">
        <v>157</v>
      </c>
      <c r="J14" s="8" t="s">
        <v>153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2"/>
      <c r="AJ14" s="123"/>
      <c r="AK14" s="124"/>
      <c r="AL14" s="125"/>
    </row>
    <row r="15" spans="1:38" s="10" customFormat="1" x14ac:dyDescent="0.2">
      <c r="A15" s="66">
        <v>10</v>
      </c>
      <c r="B15" s="66"/>
      <c r="C15" s="66"/>
      <c r="D15" s="66" t="s">
        <v>161</v>
      </c>
      <c r="E15" s="66" t="s">
        <v>45</v>
      </c>
      <c r="F15" s="66" t="s">
        <v>162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163</v>
      </c>
      <c r="E16" s="27" t="s">
        <v>164</v>
      </c>
      <c r="F16" s="27"/>
      <c r="G16" s="40" t="s">
        <v>282</v>
      </c>
      <c r="H16" s="40" t="s">
        <v>165</v>
      </c>
      <c r="I16" s="8" t="s">
        <v>153</v>
      </c>
      <c r="J16" s="8" t="s">
        <v>153</v>
      </c>
      <c r="K16" s="8" t="s">
        <v>49</v>
      </c>
      <c r="L16" s="8"/>
      <c r="M16" s="8"/>
      <c r="N16" s="8"/>
      <c r="O16" s="8"/>
      <c r="P16" s="8"/>
      <c r="Q16" s="8"/>
      <c r="R16" s="8" t="s">
        <v>49</v>
      </c>
      <c r="S16" s="8"/>
      <c r="T16" s="8"/>
      <c r="U16" s="8"/>
      <c r="V16" s="8" t="s">
        <v>166</v>
      </c>
      <c r="W16" s="8" t="s">
        <v>167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2"/>
      <c r="AJ16" s="123"/>
      <c r="AK16" s="124"/>
      <c r="AL16" s="125"/>
    </row>
    <row r="17" spans="1:38" s="10" customFormat="1" x14ac:dyDescent="0.2">
      <c r="A17" s="66">
        <v>10</v>
      </c>
      <c r="B17" s="8"/>
      <c r="C17" s="8"/>
      <c r="D17" s="8" t="s">
        <v>168</v>
      </c>
      <c r="E17" s="27" t="s">
        <v>164</v>
      </c>
      <c r="F17" s="27"/>
      <c r="G17" s="40" t="s">
        <v>284</v>
      </c>
      <c r="H17" s="40" t="s">
        <v>56</v>
      </c>
      <c r="I17" s="8" t="s">
        <v>153</v>
      </c>
      <c r="J17" s="8" t="s">
        <v>153</v>
      </c>
      <c r="K17" s="8" t="s">
        <v>49</v>
      </c>
      <c r="L17" s="8"/>
      <c r="M17" s="8"/>
      <c r="N17" s="8"/>
      <c r="O17" s="8"/>
      <c r="P17" s="8"/>
      <c r="Q17" s="8"/>
      <c r="R17" s="8" t="s">
        <v>49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2"/>
      <c r="AJ17" s="123"/>
      <c r="AK17" s="124"/>
      <c r="AL17" s="125"/>
    </row>
    <row r="18" spans="1:38" s="10" customFormat="1" x14ac:dyDescent="0.2">
      <c r="A18" s="66">
        <v>10</v>
      </c>
      <c r="B18" s="8"/>
      <c r="C18" s="8"/>
      <c r="D18" s="8" t="s">
        <v>169</v>
      </c>
      <c r="E18" s="27" t="s">
        <v>164</v>
      </c>
      <c r="F18" s="27"/>
      <c r="G18" s="40" t="s">
        <v>291</v>
      </c>
      <c r="H18" s="40" t="s">
        <v>83</v>
      </c>
      <c r="I18" s="8" t="s">
        <v>153</v>
      </c>
      <c r="J18" s="8" t="s">
        <v>153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2"/>
      <c r="AJ18" s="123"/>
      <c r="AK18" s="124"/>
      <c r="AL18" s="125"/>
    </row>
    <row r="19" spans="1:38" s="10" customFormat="1" x14ac:dyDescent="0.2">
      <c r="A19" s="66">
        <v>10</v>
      </c>
      <c r="B19" s="8"/>
      <c r="C19" s="8"/>
      <c r="D19" s="8" t="s">
        <v>170</v>
      </c>
      <c r="E19" s="27" t="s">
        <v>164</v>
      </c>
      <c r="F19" s="27"/>
      <c r="G19" s="40" t="s">
        <v>287</v>
      </c>
      <c r="H19" s="40" t="s">
        <v>171</v>
      </c>
      <c r="I19" s="8" t="s">
        <v>153</v>
      </c>
      <c r="J19" s="8" t="s">
        <v>153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2"/>
      <c r="AJ19" s="123"/>
      <c r="AK19" s="124"/>
      <c r="AL19" s="125"/>
    </row>
    <row r="20" spans="1:38" s="10" customFormat="1" x14ac:dyDescent="0.2">
      <c r="A20" s="66">
        <v>10</v>
      </c>
      <c r="B20" s="8"/>
      <c r="C20" s="8"/>
      <c r="D20" s="8" t="s">
        <v>172</v>
      </c>
      <c r="E20" s="27" t="s">
        <v>164</v>
      </c>
      <c r="F20" s="27"/>
      <c r="G20" s="40" t="s">
        <v>288</v>
      </c>
      <c r="H20" s="40" t="s">
        <v>173</v>
      </c>
      <c r="I20" s="8" t="s">
        <v>153</v>
      </c>
      <c r="J20" s="8" t="s">
        <v>153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2"/>
      <c r="AJ20" s="123"/>
      <c r="AK20" s="124"/>
      <c r="AL20" s="125"/>
    </row>
    <row r="21" spans="1:38" s="10" customFormat="1" x14ac:dyDescent="0.2">
      <c r="A21" s="66">
        <v>10</v>
      </c>
      <c r="B21" s="8"/>
      <c r="C21" s="8"/>
      <c r="D21" s="8" t="s">
        <v>174</v>
      </c>
      <c r="E21" s="27" t="s">
        <v>164</v>
      </c>
      <c r="F21" s="27"/>
      <c r="G21" s="40" t="s">
        <v>289</v>
      </c>
      <c r="H21" s="40" t="s">
        <v>175</v>
      </c>
      <c r="I21" s="8" t="s">
        <v>153</v>
      </c>
      <c r="J21" s="8" t="s">
        <v>153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2"/>
      <c r="AJ21" s="123"/>
      <c r="AK21" s="124"/>
      <c r="AL21" s="125"/>
    </row>
    <row r="22" spans="1:38" s="10" customFormat="1" x14ac:dyDescent="0.2">
      <c r="A22" s="66">
        <v>10</v>
      </c>
      <c r="B22" s="8"/>
      <c r="C22" s="8"/>
      <c r="D22" s="8" t="s">
        <v>176</v>
      </c>
      <c r="E22" s="27" t="s">
        <v>164</v>
      </c>
      <c r="F22" s="27"/>
      <c r="G22" s="40" t="s">
        <v>290</v>
      </c>
      <c r="H22" s="40" t="s">
        <v>177</v>
      </c>
      <c r="I22" s="8" t="s">
        <v>153</v>
      </c>
      <c r="J22" s="8" t="s">
        <v>153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2"/>
      <c r="AJ22" s="123"/>
      <c r="AK22" s="124"/>
      <c r="AL22" s="125"/>
    </row>
    <row r="23" spans="1:38" s="10" customFormat="1" x14ac:dyDescent="0.2">
      <c r="A23" s="66">
        <v>10</v>
      </c>
      <c r="B23" s="8"/>
      <c r="C23" s="8"/>
      <c r="D23" s="8" t="s">
        <v>178</v>
      </c>
      <c r="E23" s="27" t="s">
        <v>164</v>
      </c>
      <c r="F23" s="27"/>
      <c r="G23" s="40" t="s">
        <v>303</v>
      </c>
      <c r="H23" s="40" t="s">
        <v>179</v>
      </c>
      <c r="I23" s="8" t="s">
        <v>153</v>
      </c>
      <c r="J23" s="8" t="s">
        <v>153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2"/>
      <c r="AJ23" s="123"/>
      <c r="AK23" s="124"/>
      <c r="AL23" s="125"/>
    </row>
    <row r="24" spans="1:38" s="10" customFormat="1" x14ac:dyDescent="0.2">
      <c r="A24" s="8">
        <v>10</v>
      </c>
      <c r="B24" s="8"/>
      <c r="C24" s="8"/>
      <c r="D24" s="8" t="s">
        <v>180</v>
      </c>
      <c r="E24" s="27" t="s">
        <v>181</v>
      </c>
      <c r="F24" s="27"/>
      <c r="G24" s="40" t="s">
        <v>283</v>
      </c>
      <c r="H24" s="40" t="s">
        <v>182</v>
      </c>
      <c r="I24" s="8" t="s">
        <v>157</v>
      </c>
      <c r="J24" s="8" t="s">
        <v>153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2"/>
      <c r="AJ24" s="123"/>
      <c r="AK24" s="124"/>
      <c r="AL24" s="125"/>
    </row>
    <row r="25" spans="1:38" s="10" customFormat="1" x14ac:dyDescent="0.2">
      <c r="A25" s="8">
        <v>10</v>
      </c>
      <c r="B25" s="8"/>
      <c r="C25" s="8"/>
      <c r="D25" s="8" t="s">
        <v>183</v>
      </c>
      <c r="E25" s="27" t="s">
        <v>61</v>
      </c>
      <c r="F25" s="27"/>
      <c r="G25" s="40" t="s">
        <v>286</v>
      </c>
      <c r="H25" s="40" t="s">
        <v>62</v>
      </c>
      <c r="I25" s="8" t="s">
        <v>157</v>
      </c>
      <c r="J25" s="8" t="s">
        <v>50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2"/>
      <c r="AJ25" s="123"/>
      <c r="AK25" s="124"/>
      <c r="AL25" s="125"/>
    </row>
    <row r="26" spans="1:38" s="10" customFormat="1" x14ac:dyDescent="0.2">
      <c r="A26" s="8">
        <v>10</v>
      </c>
      <c r="B26" s="8"/>
      <c r="C26" s="8"/>
      <c r="D26" s="8" t="s">
        <v>184</v>
      </c>
      <c r="E26" s="27" t="s">
        <v>58</v>
      </c>
      <c r="F26" s="27"/>
      <c r="G26" s="40" t="s">
        <v>285</v>
      </c>
      <c r="H26" s="40" t="s">
        <v>185</v>
      </c>
      <c r="I26" s="8" t="s">
        <v>157</v>
      </c>
      <c r="J26" s="8" t="s">
        <v>50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2"/>
      <c r="AJ26" s="123"/>
      <c r="AK26" s="124"/>
      <c r="AL26" s="125"/>
    </row>
    <row r="27" spans="1:38" s="10" customFormat="1" ht="52" x14ac:dyDescent="0.2">
      <c r="A27" s="57"/>
      <c r="AC27" s="10" t="s">
        <v>278</v>
      </c>
      <c r="AD27" s="10" t="s">
        <v>279</v>
      </c>
      <c r="AE27" s="10" t="s">
        <v>278</v>
      </c>
      <c r="AF27" s="10" t="s">
        <v>279</v>
      </c>
      <c r="AG27" s="10" t="s">
        <v>278</v>
      </c>
      <c r="AH27" s="10" t="s">
        <v>279</v>
      </c>
      <c r="AL27" s="41"/>
    </row>
    <row r="28" spans="1:38" s="10" customFormat="1" x14ac:dyDescent="0.2">
      <c r="A28" s="8">
        <v>20</v>
      </c>
      <c r="B28" s="30" t="s">
        <v>43</v>
      </c>
      <c r="C28" s="31"/>
      <c r="D28" s="42" t="s">
        <v>186</v>
      </c>
      <c r="E28" s="28" t="s">
        <v>45</v>
      </c>
      <c r="F28" s="43"/>
      <c r="G28" s="24"/>
      <c r="H28" s="27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28"/>
      <c r="AD28" s="28"/>
      <c r="AE28" s="28"/>
      <c r="AF28" s="28"/>
      <c r="AG28" s="28"/>
      <c r="AH28" s="28"/>
      <c r="AI28" s="50"/>
      <c r="AJ28" s="51"/>
      <c r="AK28" s="124"/>
      <c r="AL28" s="125"/>
    </row>
    <row r="29" spans="1:38" s="10" customFormat="1" x14ac:dyDescent="0.2">
      <c r="A29" s="8">
        <v>20</v>
      </c>
      <c r="B29" s="8"/>
      <c r="C29" s="8"/>
      <c r="D29" s="8" t="s">
        <v>187</v>
      </c>
      <c r="E29" s="27" t="s">
        <v>155</v>
      </c>
      <c r="F29" s="27"/>
      <c r="G29" s="40" t="s">
        <v>309</v>
      </c>
      <c r="H29" s="40" t="s">
        <v>188</v>
      </c>
      <c r="I29" s="8" t="s">
        <v>153</v>
      </c>
      <c r="J29" s="8" t="s">
        <v>157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2"/>
      <c r="AJ29" s="123"/>
      <c r="AK29" s="124"/>
      <c r="AL29" s="125"/>
    </row>
    <row r="30" spans="1:38" s="10" customFormat="1" x14ac:dyDescent="0.2">
      <c r="A30" s="22"/>
      <c r="B30" s="23"/>
      <c r="C30" s="23"/>
      <c r="D30" s="16" t="s">
        <v>16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45"/>
    </row>
    <row r="31" spans="1:38" s="10" customFormat="1" x14ac:dyDescent="0.2">
      <c r="A31" s="57"/>
      <c r="AL31" s="41"/>
    </row>
    <row r="32" spans="1:38" s="10" customFormat="1" x14ac:dyDescent="0.2">
      <c r="A32" s="57"/>
      <c r="AL32" s="41"/>
    </row>
    <row r="33" spans="1:38" s="10" customFormat="1" x14ac:dyDescent="0.2">
      <c r="A33" s="57"/>
      <c r="AL33" s="41"/>
    </row>
    <row r="34" spans="1:38" s="10" customFormat="1" x14ac:dyDescent="0.2">
      <c r="A34" s="57"/>
      <c r="AL34" s="41"/>
    </row>
    <row r="35" spans="1:38" s="10" customFormat="1" x14ac:dyDescent="0.2">
      <c r="A35" s="57"/>
      <c r="AL35" s="41"/>
    </row>
    <row r="36" spans="1:38" s="10" customFormat="1" x14ac:dyDescent="0.2">
      <c r="A36" s="57"/>
      <c r="AL36" s="41"/>
    </row>
    <row r="37" spans="1:38" s="10" customFormat="1" x14ac:dyDescent="0.2">
      <c r="A37" s="57"/>
      <c r="AL37" s="41"/>
    </row>
    <row r="38" spans="1:38" s="10" customFormat="1" x14ac:dyDescent="0.2">
      <c r="A38" s="57"/>
      <c r="AL38" s="41"/>
    </row>
    <row r="39" spans="1:38" s="10" customFormat="1" x14ac:dyDescent="0.2">
      <c r="A39" s="57"/>
      <c r="AL39" s="41"/>
    </row>
    <row r="40" spans="1:38" s="10" customFormat="1" x14ac:dyDescent="0.2">
      <c r="A40" s="57"/>
      <c r="AL40" s="41"/>
    </row>
    <row r="41" spans="1:38" s="10" customFormat="1" x14ac:dyDescent="0.2">
      <c r="A41" s="57"/>
      <c r="AL41" s="41"/>
    </row>
    <row r="42" spans="1:38" s="10" customFormat="1" x14ac:dyDescent="0.2">
      <c r="A42" s="57"/>
      <c r="AL42" s="41"/>
    </row>
    <row r="43" spans="1:38" s="10" customFormat="1" x14ac:dyDescent="0.2">
      <c r="A43" s="57"/>
      <c r="AL43" s="41"/>
    </row>
    <row r="44" spans="1:38" s="10" customFormat="1" x14ac:dyDescent="0.2">
      <c r="A44" s="6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44"/>
    </row>
  </sheetData>
  <mergeCells count="35">
    <mergeCell ref="AI26:AJ26"/>
    <mergeCell ref="AK26:AL26"/>
    <mergeCell ref="AK28:AL28"/>
    <mergeCell ref="AI29:AJ29"/>
    <mergeCell ref="AK29:AL29"/>
    <mergeCell ref="AI23:AJ23"/>
    <mergeCell ref="AK23:AL23"/>
    <mergeCell ref="AI24:AJ24"/>
    <mergeCell ref="AK24:AL24"/>
    <mergeCell ref="AI25:AJ25"/>
    <mergeCell ref="AK25:AL25"/>
    <mergeCell ref="AI20:AJ20"/>
    <mergeCell ref="AK20:AL20"/>
    <mergeCell ref="AI21:AJ21"/>
    <mergeCell ref="AK21:AL21"/>
    <mergeCell ref="AI22:AJ22"/>
    <mergeCell ref="AK22:AL22"/>
    <mergeCell ref="AI17:AJ17"/>
    <mergeCell ref="AK17:AL17"/>
    <mergeCell ref="AI18:AJ18"/>
    <mergeCell ref="AK18:AL18"/>
    <mergeCell ref="AI19:AJ19"/>
    <mergeCell ref="AK19:AL19"/>
    <mergeCell ref="AI13:AJ13"/>
    <mergeCell ref="AK13:AL13"/>
    <mergeCell ref="AI14:AJ14"/>
    <mergeCell ref="AK14:AL14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1" width="16.08984375" style="5" customWidth="1"/>
    <col min="22" max="22" width="20.90625" style="5" bestFit="1" customWidth="1"/>
    <col min="23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9" t="s">
        <v>268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MGBDL0340</v>
      </c>
      <c r="I2" s="7" t="s">
        <v>19</v>
      </c>
      <c r="J2" s="8" t="s">
        <v>189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266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MGBDL_ParmReg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原価計算パラメータ登録</v>
      </c>
      <c r="I4" s="7" t="s">
        <v>28</v>
      </c>
      <c r="J4" s="8" t="s">
        <v>190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191</v>
      </c>
      <c r="F6" s="12"/>
      <c r="G6" s="12"/>
      <c r="H6" s="12"/>
      <c r="I6" s="12"/>
      <c r="J6" s="12"/>
      <c r="K6" s="12"/>
      <c r="L6" s="25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2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127</v>
      </c>
      <c r="B7" s="23"/>
      <c r="C7" s="23"/>
      <c r="D7" s="6"/>
      <c r="E7" s="6"/>
      <c r="F7" s="6"/>
      <c r="G7" s="6"/>
      <c r="H7" s="6"/>
      <c r="I7" s="6" t="s">
        <v>192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125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125</v>
      </c>
      <c r="W7" s="8" t="s">
        <v>125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125</v>
      </c>
      <c r="AC7" s="26" t="s">
        <v>37</v>
      </c>
      <c r="AD7" s="27"/>
      <c r="AE7" s="26" t="s">
        <v>37</v>
      </c>
      <c r="AF7" s="27"/>
      <c r="AG7" s="26" t="s">
        <v>37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0"/>
      <c r="C8" s="71"/>
      <c r="D8" s="26" t="s">
        <v>269</v>
      </c>
      <c r="E8" s="26" t="s">
        <v>270</v>
      </c>
      <c r="F8" s="25"/>
      <c r="G8" s="26" t="s">
        <v>39</v>
      </c>
      <c r="H8" s="26" t="s">
        <v>271</v>
      </c>
      <c r="I8" s="25"/>
      <c r="J8" s="3"/>
      <c r="K8" s="8" t="s">
        <v>194</v>
      </c>
      <c r="L8" s="8" t="s">
        <v>195</v>
      </c>
      <c r="M8" s="8" t="s">
        <v>196</v>
      </c>
      <c r="N8" s="8" t="s">
        <v>131</v>
      </c>
      <c r="O8" s="8" t="s">
        <v>132</v>
      </c>
      <c r="P8" s="8" t="s">
        <v>197</v>
      </c>
      <c r="Q8" s="8" t="s">
        <v>198</v>
      </c>
      <c r="R8" s="8" t="s">
        <v>199</v>
      </c>
      <c r="S8" s="8" t="s">
        <v>200</v>
      </c>
      <c r="T8" s="8" t="s">
        <v>201</v>
      </c>
      <c r="U8" s="8" t="s">
        <v>202</v>
      </c>
      <c r="V8" s="8" t="s">
        <v>203</v>
      </c>
      <c r="W8" s="8" t="s">
        <v>140</v>
      </c>
      <c r="X8" s="8" t="s">
        <v>204</v>
      </c>
      <c r="Y8" s="8" t="s">
        <v>142</v>
      </c>
      <c r="Z8" s="8" t="s">
        <v>143</v>
      </c>
      <c r="AA8" s="8" t="s">
        <v>205</v>
      </c>
      <c r="AB8" s="8" t="s">
        <v>145</v>
      </c>
      <c r="AC8" s="26" t="s">
        <v>147</v>
      </c>
      <c r="AD8" s="27"/>
      <c r="AE8" s="26" t="s">
        <v>146</v>
      </c>
      <c r="AF8" s="27"/>
      <c r="AG8" s="26" t="s">
        <v>146</v>
      </c>
      <c r="AH8" s="27"/>
      <c r="AI8" s="3"/>
      <c r="AJ8" s="21"/>
      <c r="AK8" s="122" t="s">
        <v>272</v>
      </c>
      <c r="AL8" s="123"/>
    </row>
    <row r="9" spans="1:38" s="10" customFormat="1" ht="60" customHeight="1" x14ac:dyDescent="0.2">
      <c r="A9" s="8" t="s">
        <v>34</v>
      </c>
      <c r="B9" s="30"/>
      <c r="C9" s="31"/>
      <c r="D9" s="26" t="s">
        <v>304</v>
      </c>
      <c r="E9" s="50" t="s">
        <v>305</v>
      </c>
      <c r="F9" s="26" t="s">
        <v>275</v>
      </c>
      <c r="G9" s="26" t="s">
        <v>276</v>
      </c>
      <c r="H9" s="26" t="s">
        <v>277</v>
      </c>
      <c r="I9" s="51" t="s">
        <v>278</v>
      </c>
      <c r="J9" s="26" t="s">
        <v>279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1"/>
      <c r="AD9" s="26"/>
      <c r="AE9" s="26"/>
      <c r="AF9" s="26"/>
      <c r="AG9" s="26"/>
      <c r="AH9" s="26"/>
      <c r="AI9" s="122" t="s">
        <v>280</v>
      </c>
      <c r="AJ9" s="123"/>
      <c r="AK9" s="122" t="s">
        <v>281</v>
      </c>
      <c r="AL9" s="123"/>
    </row>
    <row r="10" spans="1:38" s="10" customFormat="1" ht="52" x14ac:dyDescent="0.2">
      <c r="A10" s="30" t="s">
        <v>206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6" t="s">
        <v>278</v>
      </c>
      <c r="AD10" s="26" t="s">
        <v>279</v>
      </c>
      <c r="AE10" s="26" t="s">
        <v>278</v>
      </c>
      <c r="AF10" s="26" t="s">
        <v>279</v>
      </c>
      <c r="AG10" s="26" t="s">
        <v>278</v>
      </c>
      <c r="AH10" s="26" t="s">
        <v>279</v>
      </c>
      <c r="AI10" s="32"/>
      <c r="AJ10" s="32"/>
      <c r="AK10" s="37"/>
      <c r="AL10" s="54"/>
    </row>
    <row r="11" spans="1:38" s="10" customFormat="1" x14ac:dyDescent="0.2">
      <c r="A11" s="8">
        <v>10</v>
      </c>
      <c r="B11" s="30" t="s">
        <v>43</v>
      </c>
      <c r="C11" s="31"/>
      <c r="D11" s="24" t="s">
        <v>207</v>
      </c>
      <c r="E11" s="28" t="s">
        <v>76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124"/>
      <c r="AL11" s="125"/>
    </row>
    <row r="12" spans="1:38" s="10" customFormat="1" x14ac:dyDescent="0.2">
      <c r="A12" s="8">
        <v>10</v>
      </c>
      <c r="B12" s="8"/>
      <c r="C12" s="8"/>
      <c r="D12" s="8" t="s">
        <v>150</v>
      </c>
      <c r="E12" s="27" t="s">
        <v>151</v>
      </c>
      <c r="F12" s="27"/>
      <c r="G12" s="40" t="s">
        <v>306</v>
      </c>
      <c r="H12" s="40" t="s">
        <v>152</v>
      </c>
      <c r="I12" s="8" t="s">
        <v>153</v>
      </c>
      <c r="J12" s="8" t="s">
        <v>153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2"/>
      <c r="AJ12" s="123"/>
      <c r="AK12" s="124"/>
      <c r="AL12" s="125"/>
    </row>
    <row r="13" spans="1:38" s="10" customFormat="1" x14ac:dyDescent="0.2">
      <c r="A13" s="8">
        <v>10</v>
      </c>
      <c r="B13" s="8"/>
      <c r="C13" s="8"/>
      <c r="D13" s="8" t="s">
        <v>154</v>
      </c>
      <c r="E13" s="27" t="s">
        <v>155</v>
      </c>
      <c r="F13" s="27"/>
      <c r="G13" s="40" t="s">
        <v>307</v>
      </c>
      <c r="H13" s="40" t="s">
        <v>156</v>
      </c>
      <c r="I13" s="8" t="s">
        <v>157</v>
      </c>
      <c r="J13" s="8" t="s">
        <v>153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2"/>
      <c r="AJ13" s="123"/>
      <c r="AK13" s="124"/>
      <c r="AL13" s="125"/>
    </row>
    <row r="14" spans="1:38" s="10" customFormat="1" x14ac:dyDescent="0.2">
      <c r="A14" s="8">
        <v>10</v>
      </c>
      <c r="B14" s="8"/>
      <c r="C14" s="8"/>
      <c r="D14" s="8" t="s">
        <v>158</v>
      </c>
      <c r="E14" s="27" t="s">
        <v>159</v>
      </c>
      <c r="F14" s="27"/>
      <c r="G14" s="40" t="s">
        <v>308</v>
      </c>
      <c r="H14" s="40" t="s">
        <v>160</v>
      </c>
      <c r="I14" s="8" t="s">
        <v>157</v>
      </c>
      <c r="J14" s="8" t="s">
        <v>153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2"/>
      <c r="AJ14" s="123"/>
      <c r="AK14" s="124"/>
      <c r="AL14" s="125"/>
    </row>
    <row r="15" spans="1:38" s="10" customFormat="1" x14ac:dyDescent="0.2">
      <c r="A15" s="66">
        <v>10</v>
      </c>
      <c r="B15" s="66"/>
      <c r="C15" s="66"/>
      <c r="D15" s="66" t="s">
        <v>208</v>
      </c>
      <c r="E15" s="66" t="s">
        <v>45</v>
      </c>
      <c r="F15" s="66" t="s">
        <v>209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7"/>
      <c r="AJ15" s="68"/>
      <c r="AK15" s="66"/>
      <c r="AL15" s="66"/>
    </row>
    <row r="16" spans="1:38" s="10" customFormat="1" x14ac:dyDescent="0.2">
      <c r="A16" s="66">
        <v>10</v>
      </c>
      <c r="B16" s="8"/>
      <c r="C16" s="8"/>
      <c r="D16" s="8" t="s">
        <v>210</v>
      </c>
      <c r="E16" s="27" t="s">
        <v>211</v>
      </c>
      <c r="F16" s="27"/>
      <c r="G16" s="40" t="s">
        <v>282</v>
      </c>
      <c r="H16" s="40" t="s">
        <v>165</v>
      </c>
      <c r="I16" s="8" t="s">
        <v>153</v>
      </c>
      <c r="J16" s="8" t="s">
        <v>153</v>
      </c>
      <c r="K16" s="8" t="s">
        <v>49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2"/>
      <c r="AJ16" s="123"/>
      <c r="AK16" s="124"/>
      <c r="AL16" s="125"/>
    </row>
    <row r="17" spans="1:38" s="10" customFormat="1" x14ac:dyDescent="0.2">
      <c r="A17" s="66">
        <v>10</v>
      </c>
      <c r="B17" s="8"/>
      <c r="C17" s="8"/>
      <c r="D17" s="8" t="s">
        <v>212</v>
      </c>
      <c r="E17" s="27" t="s">
        <v>164</v>
      </c>
      <c r="F17" s="27"/>
      <c r="G17" s="40" t="s">
        <v>284</v>
      </c>
      <c r="H17" s="40" t="s">
        <v>56</v>
      </c>
      <c r="I17" s="8" t="s">
        <v>153</v>
      </c>
      <c r="J17" s="8" t="s">
        <v>153</v>
      </c>
      <c r="K17" s="8" t="s">
        <v>49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2"/>
      <c r="AJ17" s="123"/>
      <c r="AK17" s="124"/>
      <c r="AL17" s="125"/>
    </row>
    <row r="18" spans="1:38" s="10" customFormat="1" x14ac:dyDescent="0.2">
      <c r="A18" s="66">
        <v>10</v>
      </c>
      <c r="B18" s="8"/>
      <c r="C18" s="8"/>
      <c r="D18" s="8" t="s">
        <v>213</v>
      </c>
      <c r="E18" s="27" t="s">
        <v>164</v>
      </c>
      <c r="F18" s="27"/>
      <c r="G18" s="40" t="s">
        <v>303</v>
      </c>
      <c r="H18" s="40" t="s">
        <v>179</v>
      </c>
      <c r="I18" s="8" t="s">
        <v>153</v>
      </c>
      <c r="J18" s="8" t="s">
        <v>153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2"/>
      <c r="AJ18" s="123"/>
      <c r="AK18" s="124"/>
      <c r="AL18" s="125"/>
    </row>
    <row r="19" spans="1:38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45"/>
    </row>
    <row r="20" spans="1:38" s="10" customFormat="1" x14ac:dyDescent="0.2">
      <c r="A20" s="57"/>
      <c r="AL20" s="41"/>
    </row>
    <row r="21" spans="1:38" s="10" customFormat="1" x14ac:dyDescent="0.2">
      <c r="A21" s="57"/>
      <c r="AL21" s="41"/>
    </row>
    <row r="22" spans="1:38" s="10" customFormat="1" x14ac:dyDescent="0.2">
      <c r="A22" s="57"/>
      <c r="AL22" s="41"/>
    </row>
    <row r="23" spans="1:38" s="10" customFormat="1" x14ac:dyDescent="0.2">
      <c r="A23" s="57"/>
      <c r="AL23" s="41"/>
    </row>
    <row r="24" spans="1:38" s="10" customFormat="1" x14ac:dyDescent="0.2">
      <c r="A24" s="57"/>
      <c r="AL24" s="41"/>
    </row>
    <row r="25" spans="1:38" s="10" customFormat="1" x14ac:dyDescent="0.2">
      <c r="A25" s="57"/>
      <c r="AL25" s="41"/>
    </row>
    <row r="26" spans="1:38" s="10" customFormat="1" x14ac:dyDescent="0.2">
      <c r="A26" s="57"/>
      <c r="AL26" s="41"/>
    </row>
    <row r="27" spans="1:38" s="10" customFormat="1" x14ac:dyDescent="0.2">
      <c r="A27" s="57"/>
      <c r="AL27" s="41"/>
    </row>
    <row r="28" spans="1:38" s="10" customFormat="1" x14ac:dyDescent="0.2">
      <c r="A28" s="57"/>
      <c r="AL28" s="41"/>
    </row>
    <row r="29" spans="1:38" s="10" customFormat="1" x14ac:dyDescent="0.2">
      <c r="A29" s="57"/>
      <c r="AL29" s="41"/>
    </row>
    <row r="30" spans="1:38" s="10" customFormat="1" x14ac:dyDescent="0.2">
      <c r="A30" s="57"/>
      <c r="AL30" s="41"/>
    </row>
    <row r="31" spans="1:38" s="10" customFormat="1" x14ac:dyDescent="0.2">
      <c r="A31" s="57"/>
      <c r="AL31" s="41"/>
    </row>
    <row r="32" spans="1:38" s="10" customFormat="1" x14ac:dyDescent="0.2">
      <c r="A32" s="57"/>
      <c r="AL32" s="41"/>
    </row>
    <row r="33" spans="1:38" s="10" customFormat="1" x14ac:dyDescent="0.2">
      <c r="A33" s="6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44"/>
    </row>
  </sheetData>
  <mergeCells count="16">
    <mergeCell ref="AI17:AJ17"/>
    <mergeCell ref="AK17:AL17"/>
    <mergeCell ref="AI18:AJ18"/>
    <mergeCell ref="AK18:AL18"/>
    <mergeCell ref="AI13:AJ13"/>
    <mergeCell ref="AK13:AL13"/>
    <mergeCell ref="AI14:AJ14"/>
    <mergeCell ref="AK14:AL14"/>
    <mergeCell ref="AI16:AJ16"/>
    <mergeCell ref="AK16:AL16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268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MGBDL0340</v>
      </c>
      <c r="I2" s="7" t="s">
        <v>19</v>
      </c>
      <c r="J2" s="8" t="s">
        <v>214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267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MGBDL_ParmReg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原価計算パラメータ登録</v>
      </c>
      <c r="I4" s="7" t="s">
        <v>28</v>
      </c>
      <c r="J4" s="8" t="s">
        <v>215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216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193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37</v>
      </c>
      <c r="M7" s="27"/>
      <c r="N7" s="26" t="s">
        <v>217</v>
      </c>
      <c r="O7" s="27"/>
      <c r="P7" s="26" t="s">
        <v>218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0"/>
      <c r="C8" s="71"/>
      <c r="D8" s="26" t="s">
        <v>269</v>
      </c>
      <c r="E8" s="26" t="s">
        <v>270</v>
      </c>
      <c r="F8" s="25"/>
      <c r="G8" s="26" t="s">
        <v>39</v>
      </c>
      <c r="H8" s="26" t="s">
        <v>271</v>
      </c>
      <c r="I8" s="25"/>
      <c r="J8" s="3"/>
      <c r="K8" s="8"/>
      <c r="L8" s="26" t="s">
        <v>42</v>
      </c>
      <c r="M8" s="27"/>
      <c r="N8" s="26" t="s">
        <v>147</v>
      </c>
      <c r="O8" s="27"/>
      <c r="P8" s="26" t="s">
        <v>147</v>
      </c>
      <c r="Q8" s="27"/>
      <c r="R8" s="3"/>
      <c r="S8" s="21"/>
      <c r="T8" s="122" t="s">
        <v>272</v>
      </c>
      <c r="U8" s="123"/>
    </row>
    <row r="9" spans="1:21" s="10" customFormat="1" ht="60" customHeight="1" x14ac:dyDescent="0.2">
      <c r="A9" s="8" t="s">
        <v>34</v>
      </c>
      <c r="B9" s="30"/>
      <c r="C9" s="31"/>
      <c r="D9" s="26" t="s">
        <v>273</v>
      </c>
      <c r="E9" s="50" t="s">
        <v>274</v>
      </c>
      <c r="F9" s="26" t="s">
        <v>275</v>
      </c>
      <c r="G9" s="26" t="s">
        <v>276</v>
      </c>
      <c r="H9" s="26" t="s">
        <v>277</v>
      </c>
      <c r="I9" s="51" t="s">
        <v>278</v>
      </c>
      <c r="J9" s="26" t="s">
        <v>279</v>
      </c>
      <c r="K9" s="69"/>
      <c r="L9" s="51"/>
      <c r="M9" s="26"/>
      <c r="N9" s="26"/>
      <c r="O9" s="26"/>
      <c r="P9" s="26"/>
      <c r="Q9" s="26"/>
      <c r="R9" s="122" t="s">
        <v>280</v>
      </c>
      <c r="S9" s="123"/>
      <c r="T9" s="122" t="s">
        <v>281</v>
      </c>
      <c r="U9" s="123"/>
    </row>
    <row r="10" spans="1:21" s="10" customFormat="1" ht="39" x14ac:dyDescent="0.2">
      <c r="A10" s="30" t="s">
        <v>219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278</v>
      </c>
      <c r="M10" s="26" t="s">
        <v>279</v>
      </c>
      <c r="N10" s="26" t="s">
        <v>278</v>
      </c>
      <c r="O10" s="26" t="s">
        <v>279</v>
      </c>
      <c r="P10" s="26" t="s">
        <v>278</v>
      </c>
      <c r="Q10" s="26" t="s">
        <v>279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43</v>
      </c>
      <c r="C11" s="31"/>
      <c r="D11" s="8" t="s">
        <v>220</v>
      </c>
      <c r="E11" s="8" t="s">
        <v>221</v>
      </c>
      <c r="F11" s="8"/>
      <c r="G11" s="8" t="s">
        <v>222</v>
      </c>
      <c r="H11" s="8" t="s">
        <v>223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150</v>
      </c>
      <c r="E12" s="27" t="s">
        <v>151</v>
      </c>
      <c r="F12" s="27"/>
      <c r="G12" s="40" t="s">
        <v>306</v>
      </c>
      <c r="H12" s="40" t="s">
        <v>224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154</v>
      </c>
      <c r="E13" s="27" t="s">
        <v>155</v>
      </c>
      <c r="F13" s="27"/>
      <c r="G13" s="40" t="s">
        <v>307</v>
      </c>
      <c r="H13" s="40" t="s">
        <v>225</v>
      </c>
      <c r="I13" s="8" t="s">
        <v>50</v>
      </c>
      <c r="J13" s="8" t="s">
        <v>50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158</v>
      </c>
      <c r="E14" s="27" t="s">
        <v>159</v>
      </c>
      <c r="F14" s="27"/>
      <c r="G14" s="40" t="s">
        <v>308</v>
      </c>
      <c r="H14" s="40" t="s">
        <v>226</v>
      </c>
      <c r="I14" s="8" t="s">
        <v>50</v>
      </c>
      <c r="J14" s="8" t="s">
        <v>49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66">
        <v>10</v>
      </c>
      <c r="B15" s="66"/>
      <c r="C15" s="66"/>
      <c r="D15" s="66" t="s">
        <v>161</v>
      </c>
      <c r="E15" s="66" t="s">
        <v>45</v>
      </c>
      <c r="F15" s="66" t="s">
        <v>227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228</v>
      </c>
      <c r="E16" s="27" t="s">
        <v>164</v>
      </c>
      <c r="F16" s="27"/>
      <c r="G16" s="40" t="s">
        <v>282</v>
      </c>
      <c r="H16" s="40" t="s">
        <v>48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66">
        <v>10</v>
      </c>
      <c r="B17" s="8"/>
      <c r="C17" s="8"/>
      <c r="D17" s="8" t="s">
        <v>168</v>
      </c>
      <c r="E17" s="27" t="s">
        <v>164</v>
      </c>
      <c r="F17" s="27"/>
      <c r="G17" s="40" t="s">
        <v>284</v>
      </c>
      <c r="H17" s="40" t="s">
        <v>56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x14ac:dyDescent="0.2">
      <c r="A18" s="66">
        <v>10</v>
      </c>
      <c r="B18" s="8"/>
      <c r="C18" s="8"/>
      <c r="D18" s="8" t="s">
        <v>229</v>
      </c>
      <c r="E18" s="27" t="s">
        <v>164</v>
      </c>
      <c r="F18" s="27"/>
      <c r="G18" s="40" t="s">
        <v>291</v>
      </c>
      <c r="H18" s="40" t="s">
        <v>230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50"/>
      <c r="S18" s="51"/>
      <c r="T18" s="52"/>
      <c r="U18" s="53"/>
    </row>
    <row r="19" spans="1:21" s="10" customFormat="1" x14ac:dyDescent="0.2">
      <c r="A19" s="66">
        <v>10</v>
      </c>
      <c r="B19" s="8"/>
      <c r="C19" s="8"/>
      <c r="D19" s="8" t="s">
        <v>231</v>
      </c>
      <c r="E19" s="27" t="s">
        <v>164</v>
      </c>
      <c r="F19" s="27"/>
      <c r="G19" s="40" t="s">
        <v>287</v>
      </c>
      <c r="H19" s="40" t="s">
        <v>65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10" customFormat="1" x14ac:dyDescent="0.2">
      <c r="A20" s="66">
        <v>10</v>
      </c>
      <c r="B20" s="8"/>
      <c r="C20" s="8"/>
      <c r="D20" s="8" t="s">
        <v>232</v>
      </c>
      <c r="E20" s="27" t="s">
        <v>164</v>
      </c>
      <c r="F20" s="27"/>
      <c r="G20" s="40" t="s">
        <v>288</v>
      </c>
      <c r="H20" s="40" t="s">
        <v>68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122"/>
      <c r="S20" s="123"/>
      <c r="T20" s="124"/>
      <c r="U20" s="125"/>
    </row>
    <row r="21" spans="1:21" s="10" customFormat="1" x14ac:dyDescent="0.2">
      <c r="A21" s="66">
        <v>10</v>
      </c>
      <c r="B21" s="8"/>
      <c r="C21" s="8"/>
      <c r="D21" s="8" t="s">
        <v>233</v>
      </c>
      <c r="E21" s="27" t="s">
        <v>164</v>
      </c>
      <c r="F21" s="27"/>
      <c r="G21" s="40" t="s">
        <v>289</v>
      </c>
      <c r="H21" s="40" t="s">
        <v>71</v>
      </c>
      <c r="I21" s="8" t="s">
        <v>49</v>
      </c>
      <c r="J21" s="8" t="s">
        <v>50</v>
      </c>
      <c r="K21" s="8"/>
      <c r="L21" s="8"/>
      <c r="M21" s="8"/>
      <c r="N21" s="8"/>
      <c r="O21" s="8"/>
      <c r="P21" s="8"/>
      <c r="Q21" s="8"/>
      <c r="R21" s="122"/>
      <c r="S21" s="123"/>
      <c r="T21" s="124"/>
      <c r="U21" s="125"/>
    </row>
    <row r="22" spans="1:21" s="10" customFormat="1" x14ac:dyDescent="0.2">
      <c r="A22" s="66">
        <v>10</v>
      </c>
      <c r="B22" s="8"/>
      <c r="C22" s="8"/>
      <c r="D22" s="8" t="s">
        <v>176</v>
      </c>
      <c r="E22" s="27" t="s">
        <v>164</v>
      </c>
      <c r="F22" s="27"/>
      <c r="G22" s="40" t="s">
        <v>290</v>
      </c>
      <c r="H22" s="40" t="s">
        <v>74</v>
      </c>
      <c r="I22" s="8" t="s">
        <v>49</v>
      </c>
      <c r="J22" s="8" t="s">
        <v>50</v>
      </c>
      <c r="K22" s="8"/>
      <c r="L22" s="8"/>
      <c r="M22" s="8"/>
      <c r="N22" s="8"/>
      <c r="O22" s="8"/>
      <c r="P22" s="8"/>
      <c r="Q22" s="8"/>
      <c r="R22" s="122"/>
      <c r="S22" s="123"/>
      <c r="T22" s="124"/>
      <c r="U22" s="125"/>
    </row>
    <row r="23" spans="1:21" s="10" customFormat="1" x14ac:dyDescent="0.2">
      <c r="A23" s="66">
        <v>10</v>
      </c>
      <c r="B23" s="8"/>
      <c r="C23" s="8"/>
      <c r="D23" s="8" t="s">
        <v>234</v>
      </c>
      <c r="E23" s="27" t="s">
        <v>164</v>
      </c>
      <c r="F23" s="27"/>
      <c r="G23" s="40" t="s">
        <v>303</v>
      </c>
      <c r="H23" s="40" t="s">
        <v>118</v>
      </c>
      <c r="I23" s="8" t="s">
        <v>49</v>
      </c>
      <c r="J23" s="8" t="s">
        <v>50</v>
      </c>
      <c r="K23" s="8"/>
      <c r="L23" s="8"/>
      <c r="M23" s="8"/>
      <c r="N23" s="8"/>
      <c r="O23" s="8"/>
      <c r="P23" s="8"/>
      <c r="Q23" s="8"/>
      <c r="R23" s="122"/>
      <c r="S23" s="123"/>
      <c r="T23" s="124"/>
      <c r="U23" s="125"/>
    </row>
    <row r="24" spans="1:21" s="10" customFormat="1" x14ac:dyDescent="0.2">
      <c r="A24" s="8">
        <v>10</v>
      </c>
      <c r="B24" s="8"/>
      <c r="C24" s="8"/>
      <c r="D24" s="8" t="s">
        <v>235</v>
      </c>
      <c r="E24" s="27" t="s">
        <v>236</v>
      </c>
      <c r="F24" s="27"/>
      <c r="G24" s="40" t="s">
        <v>283</v>
      </c>
      <c r="H24" s="40" t="s">
        <v>53</v>
      </c>
      <c r="I24" s="8" t="s">
        <v>50</v>
      </c>
      <c r="J24" s="8" t="s">
        <v>50</v>
      </c>
      <c r="K24" s="8"/>
      <c r="L24" s="8"/>
      <c r="M24" s="8"/>
      <c r="N24" s="8"/>
      <c r="O24" s="8"/>
      <c r="P24" s="8"/>
      <c r="Q24" s="8"/>
      <c r="R24" s="122"/>
      <c r="S24" s="123"/>
      <c r="T24" s="124"/>
      <c r="U24" s="125"/>
    </row>
    <row r="25" spans="1:21" s="10" customFormat="1" x14ac:dyDescent="0.2">
      <c r="A25" s="8">
        <v>10</v>
      </c>
      <c r="B25" s="8"/>
      <c r="C25" s="8"/>
      <c r="D25" s="8" t="s">
        <v>60</v>
      </c>
      <c r="E25" s="27" t="s">
        <v>61</v>
      </c>
      <c r="F25" s="27"/>
      <c r="G25" s="40" t="s">
        <v>286</v>
      </c>
      <c r="H25" s="40" t="s">
        <v>62</v>
      </c>
      <c r="I25" s="8" t="s">
        <v>50</v>
      </c>
      <c r="J25" s="8" t="s">
        <v>50</v>
      </c>
      <c r="K25" s="8"/>
      <c r="L25" s="8"/>
      <c r="M25" s="8"/>
      <c r="N25" s="8"/>
      <c r="O25" s="8"/>
      <c r="P25" s="8"/>
      <c r="Q25" s="8"/>
      <c r="R25" s="50"/>
      <c r="S25" s="51"/>
      <c r="T25" s="46"/>
      <c r="U25" s="46"/>
    </row>
    <row r="26" spans="1:21" s="10" customFormat="1" x14ac:dyDescent="0.2">
      <c r="A26" s="8">
        <v>10</v>
      </c>
      <c r="B26" s="8"/>
      <c r="C26" s="8"/>
      <c r="D26" s="8" t="s">
        <v>184</v>
      </c>
      <c r="E26" s="27" t="s">
        <v>58</v>
      </c>
      <c r="F26" s="27"/>
      <c r="G26" s="40" t="s">
        <v>285</v>
      </c>
      <c r="H26" s="40" t="s">
        <v>59</v>
      </c>
      <c r="I26" s="8" t="s">
        <v>50</v>
      </c>
      <c r="J26" s="8" t="s">
        <v>50</v>
      </c>
      <c r="K26" s="8"/>
      <c r="L26" s="8"/>
      <c r="M26" s="8"/>
      <c r="N26" s="8"/>
      <c r="O26" s="8"/>
      <c r="P26" s="8"/>
      <c r="Q26" s="8"/>
      <c r="R26" s="122"/>
      <c r="S26" s="123"/>
      <c r="T26" s="124"/>
      <c r="U26" s="125"/>
    </row>
    <row r="27" spans="1:21" s="10" customFormat="1" x14ac:dyDescent="0.2">
      <c r="A27" s="57"/>
      <c r="U27" s="41"/>
    </row>
    <row r="28" spans="1:21" s="10" customFormat="1" x14ac:dyDescent="0.2">
      <c r="A28" s="8">
        <v>20</v>
      </c>
      <c r="B28" s="30" t="s">
        <v>43</v>
      </c>
      <c r="C28" s="31"/>
      <c r="D28" s="42" t="s">
        <v>237</v>
      </c>
      <c r="E28" s="28" t="s">
        <v>45</v>
      </c>
      <c r="F28" s="43"/>
      <c r="G28" s="8" t="s">
        <v>222</v>
      </c>
      <c r="H28" s="8" t="s">
        <v>238</v>
      </c>
      <c r="I28" s="15"/>
      <c r="J28" s="15"/>
      <c r="K28" s="15"/>
      <c r="L28" s="28"/>
      <c r="M28" s="28"/>
      <c r="N28" s="28"/>
      <c r="O28" s="28"/>
      <c r="P28" s="28"/>
      <c r="Q28" s="28"/>
      <c r="R28" s="50"/>
      <c r="S28" s="51"/>
      <c r="T28" s="124"/>
      <c r="U28" s="125"/>
    </row>
    <row r="29" spans="1:21" s="10" customFormat="1" x14ac:dyDescent="0.2">
      <c r="A29" s="8">
        <v>20</v>
      </c>
      <c r="B29" s="8"/>
      <c r="C29" s="8"/>
      <c r="D29" s="8" t="s">
        <v>187</v>
      </c>
      <c r="E29" s="27" t="s">
        <v>155</v>
      </c>
      <c r="F29" s="27"/>
      <c r="G29" s="40" t="s">
        <v>309</v>
      </c>
      <c r="H29" s="40" t="s">
        <v>239</v>
      </c>
      <c r="I29" s="8" t="s">
        <v>50</v>
      </c>
      <c r="J29" s="8" t="s">
        <v>50</v>
      </c>
      <c r="K29" s="8"/>
      <c r="L29" s="8"/>
      <c r="M29" s="8"/>
      <c r="N29" s="8"/>
      <c r="O29" s="8"/>
      <c r="P29" s="8"/>
      <c r="Q29" s="8"/>
      <c r="R29" s="122"/>
      <c r="S29" s="123"/>
      <c r="T29" s="124"/>
      <c r="U29" s="125"/>
    </row>
    <row r="30" spans="1:21" s="10" customFormat="1" x14ac:dyDescent="0.2">
      <c r="A30" s="22"/>
      <c r="B30" s="23"/>
      <c r="C30" s="23"/>
      <c r="D30" s="16" t="s">
        <v>16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8"/>
    </row>
    <row r="31" spans="1:21" s="10" customFormat="1" x14ac:dyDescent="0.2">
      <c r="A31" s="57"/>
      <c r="U31" s="41"/>
    </row>
    <row r="32" spans="1:21" s="10" customFormat="1" x14ac:dyDescent="0.2">
      <c r="A32" s="57"/>
      <c r="U32" s="41"/>
    </row>
    <row r="33" spans="1:21" s="10" customFormat="1" x14ac:dyDescent="0.2">
      <c r="A33" s="57"/>
      <c r="U33" s="41"/>
    </row>
    <row r="34" spans="1:21" s="10" customFormat="1" x14ac:dyDescent="0.2">
      <c r="A34" s="57"/>
      <c r="U34" s="41"/>
    </row>
    <row r="35" spans="1:21" s="10" customFormat="1" x14ac:dyDescent="0.2">
      <c r="A35" s="57"/>
      <c r="U35" s="41"/>
    </row>
    <row r="36" spans="1:21" s="10" customFormat="1" x14ac:dyDescent="0.2">
      <c r="A36" s="57"/>
      <c r="U36" s="41"/>
    </row>
    <row r="37" spans="1:21" s="10" customFormat="1" x14ac:dyDescent="0.2">
      <c r="A37" s="57"/>
      <c r="U37" s="41"/>
    </row>
    <row r="38" spans="1:21" s="10" customFormat="1" x14ac:dyDescent="0.2">
      <c r="A38" s="57"/>
      <c r="U38" s="41"/>
    </row>
    <row r="39" spans="1:21" s="10" customFormat="1" x14ac:dyDescent="0.2">
      <c r="A39" s="57"/>
      <c r="U39" s="41"/>
    </row>
    <row r="40" spans="1:21" s="10" customFormat="1" x14ac:dyDescent="0.2">
      <c r="A40" s="57"/>
      <c r="U40" s="41"/>
    </row>
    <row r="41" spans="1:21" s="10" customFormat="1" x14ac:dyDescent="0.2">
      <c r="A41" s="57"/>
      <c r="U41" s="41"/>
    </row>
    <row r="42" spans="1:21" s="10" customFormat="1" x14ac:dyDescent="0.2">
      <c r="A42" s="57"/>
      <c r="U42" s="41"/>
    </row>
    <row r="43" spans="1:21" s="10" customFormat="1" x14ac:dyDescent="0.2">
      <c r="A43" s="57"/>
      <c r="U43" s="41"/>
    </row>
    <row r="44" spans="1:21" s="10" customFormat="1" x14ac:dyDescent="0.2">
      <c r="A44" s="6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44"/>
    </row>
  </sheetData>
  <mergeCells count="31">
    <mergeCell ref="R29:S29"/>
    <mergeCell ref="T29:U29"/>
    <mergeCell ref="R21:S21"/>
    <mergeCell ref="T21:U21"/>
    <mergeCell ref="R22:S22"/>
    <mergeCell ref="T22:U22"/>
    <mergeCell ref="R23:S23"/>
    <mergeCell ref="T23:U23"/>
    <mergeCell ref="R24:S24"/>
    <mergeCell ref="T24:U24"/>
    <mergeCell ref="R26:S26"/>
    <mergeCell ref="T26:U26"/>
    <mergeCell ref="T28:U28"/>
    <mergeCell ref="R17:S17"/>
    <mergeCell ref="T17:U17"/>
    <mergeCell ref="R19:S19"/>
    <mergeCell ref="T19:U19"/>
    <mergeCell ref="R20:S20"/>
    <mergeCell ref="T20:U20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268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MGBDL0340</v>
      </c>
      <c r="I2" s="7" t="s">
        <v>19</v>
      </c>
      <c r="J2" s="8" t="s">
        <v>240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267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MGBDL_ParmReg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原価計算パラメータ登録</v>
      </c>
      <c r="I4" s="7" t="s">
        <v>28</v>
      </c>
      <c r="J4" s="8" t="s">
        <v>241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242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193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124</v>
      </c>
      <c r="L7" s="26" t="s">
        <v>37</v>
      </c>
      <c r="M7" s="27"/>
      <c r="N7" s="26" t="s">
        <v>218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0"/>
      <c r="C8" s="71"/>
      <c r="D8" s="26" t="s">
        <v>269</v>
      </c>
      <c r="E8" s="26" t="s">
        <v>270</v>
      </c>
      <c r="F8" s="25"/>
      <c r="G8" s="26" t="s">
        <v>39</v>
      </c>
      <c r="H8" s="26" t="s">
        <v>271</v>
      </c>
      <c r="I8" s="25"/>
      <c r="J8" s="3"/>
      <c r="K8" s="8"/>
      <c r="L8" s="26" t="s">
        <v>42</v>
      </c>
      <c r="M8" s="27"/>
      <c r="N8" s="26" t="s">
        <v>146</v>
      </c>
      <c r="O8" s="27"/>
      <c r="P8" s="26" t="s">
        <v>147</v>
      </c>
      <c r="Q8" s="27"/>
      <c r="R8" s="3"/>
      <c r="S8" s="21"/>
      <c r="T8" s="122" t="s">
        <v>272</v>
      </c>
      <c r="U8" s="123"/>
    </row>
    <row r="9" spans="1:21" s="10" customFormat="1" ht="60" customHeight="1" x14ac:dyDescent="0.2">
      <c r="A9" s="8" t="s">
        <v>34</v>
      </c>
      <c r="B9" s="30"/>
      <c r="C9" s="31"/>
      <c r="D9" s="26" t="s">
        <v>273</v>
      </c>
      <c r="E9" s="50" t="s">
        <v>274</v>
      </c>
      <c r="F9" s="26" t="s">
        <v>275</v>
      </c>
      <c r="G9" s="26" t="s">
        <v>276</v>
      </c>
      <c r="H9" s="26" t="s">
        <v>277</v>
      </c>
      <c r="I9" s="51" t="s">
        <v>278</v>
      </c>
      <c r="J9" s="26" t="s">
        <v>279</v>
      </c>
      <c r="K9" s="69"/>
      <c r="L9" s="51"/>
      <c r="M9" s="26"/>
      <c r="N9" s="26"/>
      <c r="O9" s="26"/>
      <c r="P9" s="26"/>
      <c r="Q9" s="26"/>
      <c r="R9" s="122" t="s">
        <v>280</v>
      </c>
      <c r="S9" s="123"/>
      <c r="T9" s="122" t="s">
        <v>281</v>
      </c>
      <c r="U9" s="123"/>
    </row>
    <row r="10" spans="1:21" s="10" customFormat="1" ht="39" x14ac:dyDescent="0.2">
      <c r="A10" s="30" t="s">
        <v>206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278</v>
      </c>
      <c r="M10" s="26" t="s">
        <v>279</v>
      </c>
      <c r="N10" s="26" t="s">
        <v>278</v>
      </c>
      <c r="O10" s="26" t="s">
        <v>279</v>
      </c>
      <c r="P10" s="26" t="s">
        <v>278</v>
      </c>
      <c r="Q10" s="26" t="s">
        <v>279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43</v>
      </c>
      <c r="C11" s="31"/>
      <c r="D11" s="8" t="s">
        <v>243</v>
      </c>
      <c r="E11" s="8" t="s">
        <v>244</v>
      </c>
      <c r="F11" s="8"/>
      <c r="G11" s="8" t="s">
        <v>222</v>
      </c>
      <c r="H11" s="8" t="s">
        <v>245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150</v>
      </c>
      <c r="E12" s="27" t="s">
        <v>151</v>
      </c>
      <c r="F12" s="27"/>
      <c r="G12" s="40" t="s">
        <v>306</v>
      </c>
      <c r="H12" s="40" t="s">
        <v>224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154</v>
      </c>
      <c r="E13" s="27" t="s">
        <v>155</v>
      </c>
      <c r="F13" s="27"/>
      <c r="G13" s="40" t="s">
        <v>307</v>
      </c>
      <c r="H13" s="40" t="s">
        <v>225</v>
      </c>
      <c r="I13" s="8" t="s">
        <v>50</v>
      </c>
      <c r="J13" s="8" t="s">
        <v>50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158</v>
      </c>
      <c r="E14" s="27" t="s">
        <v>159</v>
      </c>
      <c r="F14" s="27"/>
      <c r="G14" s="40" t="s">
        <v>308</v>
      </c>
      <c r="H14" s="40" t="s">
        <v>226</v>
      </c>
      <c r="I14" s="8" t="s">
        <v>50</v>
      </c>
      <c r="J14" s="8" t="s">
        <v>49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66">
        <v>10</v>
      </c>
      <c r="B15" s="66"/>
      <c r="C15" s="66"/>
      <c r="D15" s="66" t="s">
        <v>246</v>
      </c>
      <c r="E15" s="66" t="s">
        <v>45</v>
      </c>
      <c r="F15" s="66" t="s">
        <v>209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163</v>
      </c>
      <c r="E16" s="27" t="s">
        <v>247</v>
      </c>
      <c r="F16" s="27"/>
      <c r="G16" s="40" t="s">
        <v>282</v>
      </c>
      <c r="H16" s="40" t="s">
        <v>48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66">
        <v>10</v>
      </c>
      <c r="B17" s="8"/>
      <c r="C17" s="8"/>
      <c r="D17" s="8" t="s">
        <v>248</v>
      </c>
      <c r="E17" s="27" t="s">
        <v>164</v>
      </c>
      <c r="F17" s="27"/>
      <c r="G17" s="40" t="s">
        <v>284</v>
      </c>
      <c r="H17" s="40" t="s">
        <v>56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x14ac:dyDescent="0.2">
      <c r="A18" s="66">
        <v>10</v>
      </c>
      <c r="B18" s="8"/>
      <c r="C18" s="8"/>
      <c r="D18" s="8" t="s">
        <v>234</v>
      </c>
      <c r="E18" s="27" t="s">
        <v>164</v>
      </c>
      <c r="F18" s="27"/>
      <c r="G18" s="40" t="s">
        <v>303</v>
      </c>
      <c r="H18" s="40" t="s">
        <v>118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7"/>
      <c r="U20" s="41"/>
    </row>
    <row r="21" spans="1:21" s="10" customFormat="1" x14ac:dyDescent="0.2">
      <c r="A21" s="57"/>
      <c r="U21" s="41"/>
    </row>
    <row r="22" spans="1:21" s="10" customFormat="1" x14ac:dyDescent="0.2">
      <c r="A22" s="57"/>
      <c r="U22" s="41"/>
    </row>
    <row r="23" spans="1:21" s="10" customFormat="1" x14ac:dyDescent="0.2">
      <c r="A23" s="57"/>
      <c r="U23" s="41"/>
    </row>
    <row r="24" spans="1:21" s="10" customFormat="1" x14ac:dyDescent="0.2">
      <c r="A24" s="57"/>
      <c r="U24" s="41"/>
    </row>
    <row r="25" spans="1:21" s="10" customFormat="1" x14ac:dyDescent="0.2">
      <c r="A25" s="57"/>
      <c r="U25" s="41"/>
    </row>
    <row r="26" spans="1:21" s="10" customFormat="1" x14ac:dyDescent="0.2">
      <c r="A26" s="57"/>
      <c r="U26" s="41"/>
    </row>
    <row r="27" spans="1:21" s="10" customFormat="1" x14ac:dyDescent="0.2">
      <c r="A27" s="57"/>
      <c r="U27" s="41"/>
    </row>
    <row r="28" spans="1:21" s="10" customFormat="1" x14ac:dyDescent="0.2">
      <c r="A28" s="57"/>
      <c r="U28" s="41"/>
    </row>
    <row r="29" spans="1:21" s="10" customFormat="1" x14ac:dyDescent="0.2">
      <c r="A29" s="57"/>
      <c r="U29" s="41"/>
    </row>
    <row r="30" spans="1:21" s="10" customFormat="1" x14ac:dyDescent="0.2">
      <c r="A30" s="57"/>
      <c r="U30" s="41"/>
    </row>
    <row r="31" spans="1:21" s="10" customFormat="1" x14ac:dyDescent="0.2">
      <c r="A31" s="57"/>
      <c r="U31" s="41"/>
    </row>
    <row r="32" spans="1:21" s="10" customFormat="1" x14ac:dyDescent="0.2">
      <c r="A32" s="57"/>
      <c r="U32" s="41"/>
    </row>
    <row r="33" spans="1:21" s="10" customFormat="1" x14ac:dyDescent="0.2">
      <c r="A33" s="6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4"/>
    </row>
  </sheetData>
  <mergeCells count="16">
    <mergeCell ref="R17:S17"/>
    <mergeCell ref="T17:U17"/>
    <mergeCell ref="R18:S18"/>
    <mergeCell ref="T18:U18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4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6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9" t="s">
        <v>268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MGBDL0340</v>
      </c>
      <c r="I2" s="7" t="s">
        <v>19</v>
      </c>
      <c r="J2" s="8" t="s">
        <v>249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267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MGBD</v>
      </c>
      <c r="G3" s="7" t="s">
        <v>9</v>
      </c>
      <c r="H3" s="56" t="str">
        <f>IF(LogicCommon!E3="","",LogicCommon!E3)</f>
        <v>MGBDL_ParmReg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原価計算パラメータ登録</v>
      </c>
      <c r="I4" s="7" t="s">
        <v>28</v>
      </c>
      <c r="J4" s="8" t="s">
        <v>250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251</v>
      </c>
      <c r="F6" s="12"/>
      <c r="G6" s="12"/>
      <c r="H6" s="12"/>
      <c r="I6" s="12"/>
      <c r="J6" s="12"/>
      <c r="K6" s="12"/>
      <c r="L6" s="25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127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125</v>
      </c>
      <c r="L7" s="26" t="s">
        <v>37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0"/>
      <c r="C8" s="71"/>
      <c r="D8" s="26" t="s">
        <v>269</v>
      </c>
      <c r="E8" s="26" t="s">
        <v>270</v>
      </c>
      <c r="F8" s="25"/>
      <c r="G8" s="26" t="s">
        <v>39</v>
      </c>
      <c r="H8" s="26" t="s">
        <v>271</v>
      </c>
      <c r="I8" s="25"/>
      <c r="J8" s="3"/>
      <c r="K8" s="8"/>
      <c r="L8" s="26" t="s">
        <v>146</v>
      </c>
      <c r="M8" s="27"/>
      <c r="N8" s="26" t="s">
        <v>146</v>
      </c>
      <c r="O8" s="27"/>
      <c r="P8" s="26" t="s">
        <v>146</v>
      </c>
      <c r="Q8" s="27"/>
      <c r="R8" s="3"/>
      <c r="S8" s="21"/>
      <c r="T8" s="122" t="s">
        <v>272</v>
      </c>
      <c r="U8" s="123"/>
    </row>
    <row r="9" spans="1:21" s="10" customFormat="1" ht="60" customHeight="1" x14ac:dyDescent="0.2">
      <c r="A9" s="8" t="s">
        <v>34</v>
      </c>
      <c r="B9" s="30"/>
      <c r="C9" s="31"/>
      <c r="D9" s="26" t="s">
        <v>273</v>
      </c>
      <c r="E9" s="50" t="s">
        <v>274</v>
      </c>
      <c r="F9" s="26" t="s">
        <v>275</v>
      </c>
      <c r="G9" s="26" t="s">
        <v>276</v>
      </c>
      <c r="H9" s="26" t="s">
        <v>277</v>
      </c>
      <c r="I9" s="51" t="s">
        <v>278</v>
      </c>
      <c r="J9" s="26" t="s">
        <v>279</v>
      </c>
      <c r="K9" s="69"/>
      <c r="L9" s="51"/>
      <c r="M9" s="26"/>
      <c r="N9" s="26"/>
      <c r="O9" s="26"/>
      <c r="P9" s="26"/>
      <c r="Q9" s="26"/>
      <c r="R9" s="122" t="s">
        <v>280</v>
      </c>
      <c r="S9" s="123"/>
      <c r="T9" s="122" t="s">
        <v>281</v>
      </c>
      <c r="U9" s="123"/>
    </row>
    <row r="10" spans="1:21" s="10" customFormat="1" ht="39" x14ac:dyDescent="0.2">
      <c r="A10" s="30" t="s">
        <v>127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278</v>
      </c>
      <c r="M10" s="26" t="s">
        <v>279</v>
      </c>
      <c r="N10" s="26" t="s">
        <v>278</v>
      </c>
      <c r="O10" s="26" t="s">
        <v>279</v>
      </c>
      <c r="P10" s="26" t="s">
        <v>278</v>
      </c>
      <c r="Q10" s="26" t="s">
        <v>279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43</v>
      </c>
      <c r="C11" s="31"/>
      <c r="D11" s="8" t="s">
        <v>252</v>
      </c>
      <c r="E11" s="8" t="s">
        <v>221</v>
      </c>
      <c r="F11" s="8"/>
      <c r="G11" s="8" t="s">
        <v>222</v>
      </c>
      <c r="H11" s="8" t="s">
        <v>223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150</v>
      </c>
      <c r="E12" s="27" t="s">
        <v>151</v>
      </c>
      <c r="F12" s="27"/>
      <c r="G12" s="40" t="s">
        <v>306</v>
      </c>
      <c r="H12" s="40" t="s">
        <v>224</v>
      </c>
      <c r="I12" s="8" t="s">
        <v>50</v>
      </c>
      <c r="J12" s="8" t="s">
        <v>50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154</v>
      </c>
      <c r="E13" s="27" t="s">
        <v>155</v>
      </c>
      <c r="F13" s="27"/>
      <c r="G13" s="40" t="s">
        <v>307</v>
      </c>
      <c r="H13" s="40" t="s">
        <v>225</v>
      </c>
      <c r="I13" s="8" t="s">
        <v>50</v>
      </c>
      <c r="J13" s="8" t="s">
        <v>50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x14ac:dyDescent="0.2">
      <c r="A14" s="8">
        <v>10</v>
      </c>
      <c r="B14" s="8"/>
      <c r="C14" s="8"/>
      <c r="D14" s="8" t="s">
        <v>158</v>
      </c>
      <c r="E14" s="27" t="s">
        <v>159</v>
      </c>
      <c r="F14" s="27"/>
      <c r="G14" s="40" t="s">
        <v>308</v>
      </c>
      <c r="H14" s="40" t="s">
        <v>226</v>
      </c>
      <c r="I14" s="8" t="s">
        <v>50</v>
      </c>
      <c r="J14" s="8" t="s">
        <v>49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66">
        <v>10</v>
      </c>
      <c r="B15" s="66"/>
      <c r="C15" s="66"/>
      <c r="D15" s="66" t="s">
        <v>253</v>
      </c>
      <c r="E15" s="66" t="s">
        <v>45</v>
      </c>
      <c r="F15" s="66" t="s">
        <v>162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7"/>
      <c r="S15" s="68"/>
      <c r="T15" s="66"/>
      <c r="U15" s="66"/>
    </row>
    <row r="16" spans="1:21" s="10" customFormat="1" x14ac:dyDescent="0.2">
      <c r="A16" s="66">
        <v>10</v>
      </c>
      <c r="B16" s="8"/>
      <c r="C16" s="8"/>
      <c r="D16" s="8" t="s">
        <v>210</v>
      </c>
      <c r="E16" s="27" t="s">
        <v>164</v>
      </c>
      <c r="F16" s="27"/>
      <c r="G16" s="40" t="s">
        <v>282</v>
      </c>
      <c r="H16" s="40" t="s">
        <v>48</v>
      </c>
      <c r="I16" s="8" t="s">
        <v>49</v>
      </c>
      <c r="J16" s="8" t="s">
        <v>49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x14ac:dyDescent="0.2">
      <c r="A17" s="66">
        <v>10</v>
      </c>
      <c r="B17" s="8"/>
      <c r="C17" s="8"/>
      <c r="D17" s="8" t="s">
        <v>168</v>
      </c>
      <c r="E17" s="27" t="s">
        <v>164</v>
      </c>
      <c r="F17" s="27"/>
      <c r="G17" s="40" t="s">
        <v>284</v>
      </c>
      <c r="H17" s="40" t="s">
        <v>56</v>
      </c>
      <c r="I17" s="8" t="s">
        <v>49</v>
      </c>
      <c r="J17" s="8" t="s">
        <v>49</v>
      </c>
      <c r="K17" s="8"/>
      <c r="L17" s="8"/>
      <c r="M17" s="8"/>
      <c r="N17" s="8"/>
      <c r="O17" s="8"/>
      <c r="P17" s="8"/>
      <c r="Q17" s="8"/>
      <c r="R17" s="50"/>
      <c r="S17" s="51"/>
      <c r="T17" s="52"/>
      <c r="U17" s="53"/>
    </row>
    <row r="18" spans="1:21" s="10" customFormat="1" x14ac:dyDescent="0.2">
      <c r="A18" s="66">
        <v>10</v>
      </c>
      <c r="B18" s="8"/>
      <c r="C18" s="8"/>
      <c r="D18" s="8" t="s">
        <v>254</v>
      </c>
      <c r="E18" s="27" t="s">
        <v>164</v>
      </c>
      <c r="F18" s="27"/>
      <c r="G18" s="40" t="s">
        <v>291</v>
      </c>
      <c r="H18" s="40" t="s">
        <v>230</v>
      </c>
      <c r="I18" s="8" t="s">
        <v>49</v>
      </c>
      <c r="J18" s="8" t="s">
        <v>49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 x14ac:dyDescent="0.2">
      <c r="A19" s="66">
        <v>10</v>
      </c>
      <c r="B19" s="8"/>
      <c r="C19" s="8"/>
      <c r="D19" s="8" t="s">
        <v>255</v>
      </c>
      <c r="E19" s="27" t="s">
        <v>164</v>
      </c>
      <c r="F19" s="27"/>
      <c r="G19" s="40" t="s">
        <v>287</v>
      </c>
      <c r="H19" s="40" t="s">
        <v>65</v>
      </c>
      <c r="I19" s="8" t="s">
        <v>49</v>
      </c>
      <c r="J19" s="8" t="s">
        <v>49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10" customFormat="1" x14ac:dyDescent="0.2">
      <c r="A20" s="66">
        <v>10</v>
      </c>
      <c r="B20" s="8"/>
      <c r="C20" s="8"/>
      <c r="D20" s="8" t="s">
        <v>256</v>
      </c>
      <c r="E20" s="27" t="s">
        <v>164</v>
      </c>
      <c r="F20" s="27"/>
      <c r="G20" s="40" t="s">
        <v>288</v>
      </c>
      <c r="H20" s="40" t="s">
        <v>68</v>
      </c>
      <c r="I20" s="8" t="s">
        <v>49</v>
      </c>
      <c r="J20" s="8" t="s">
        <v>49</v>
      </c>
      <c r="K20" s="8"/>
      <c r="L20" s="8"/>
      <c r="M20" s="8"/>
      <c r="N20" s="8"/>
      <c r="O20" s="8"/>
      <c r="P20" s="8"/>
      <c r="Q20" s="8"/>
      <c r="R20" s="122"/>
      <c r="S20" s="123"/>
      <c r="T20" s="124"/>
      <c r="U20" s="125"/>
    </row>
    <row r="21" spans="1:21" s="10" customFormat="1" x14ac:dyDescent="0.2">
      <c r="A21" s="66">
        <v>10</v>
      </c>
      <c r="B21" s="8"/>
      <c r="C21" s="8"/>
      <c r="D21" s="8" t="s">
        <v>174</v>
      </c>
      <c r="E21" s="27" t="s">
        <v>164</v>
      </c>
      <c r="F21" s="27"/>
      <c r="G21" s="40" t="s">
        <v>289</v>
      </c>
      <c r="H21" s="40" t="s">
        <v>71</v>
      </c>
      <c r="I21" s="8" t="s">
        <v>49</v>
      </c>
      <c r="J21" s="8" t="s">
        <v>49</v>
      </c>
      <c r="K21" s="8"/>
      <c r="L21" s="8"/>
      <c r="M21" s="8"/>
      <c r="N21" s="8"/>
      <c r="O21" s="8"/>
      <c r="P21" s="8"/>
      <c r="Q21" s="8"/>
      <c r="R21" s="122"/>
      <c r="S21" s="123"/>
      <c r="T21" s="124"/>
      <c r="U21" s="125"/>
    </row>
    <row r="22" spans="1:21" s="10" customFormat="1" x14ac:dyDescent="0.2">
      <c r="A22" s="66">
        <v>10</v>
      </c>
      <c r="B22" s="8"/>
      <c r="C22" s="8"/>
      <c r="D22" s="8" t="s">
        <v>176</v>
      </c>
      <c r="E22" s="27" t="s">
        <v>164</v>
      </c>
      <c r="F22" s="27"/>
      <c r="G22" s="40" t="s">
        <v>290</v>
      </c>
      <c r="H22" s="40" t="s">
        <v>74</v>
      </c>
      <c r="I22" s="8" t="s">
        <v>49</v>
      </c>
      <c r="J22" s="8" t="s">
        <v>49</v>
      </c>
      <c r="K22" s="8"/>
      <c r="L22" s="8"/>
      <c r="M22" s="8"/>
      <c r="N22" s="8"/>
      <c r="O22" s="8"/>
      <c r="P22" s="8"/>
      <c r="Q22" s="8"/>
      <c r="R22" s="122"/>
      <c r="S22" s="123"/>
      <c r="T22" s="124"/>
      <c r="U22" s="125"/>
    </row>
    <row r="23" spans="1:21" s="10" customFormat="1" x14ac:dyDescent="0.2">
      <c r="A23" s="66">
        <v>10</v>
      </c>
      <c r="B23" s="8"/>
      <c r="C23" s="8"/>
      <c r="D23" s="8" t="s">
        <v>178</v>
      </c>
      <c r="E23" s="27" t="s">
        <v>164</v>
      </c>
      <c r="F23" s="27"/>
      <c r="G23" s="40" t="s">
        <v>303</v>
      </c>
      <c r="H23" s="40" t="s">
        <v>118</v>
      </c>
      <c r="I23" s="8" t="s">
        <v>50</v>
      </c>
      <c r="J23" s="8" t="s">
        <v>49</v>
      </c>
      <c r="K23" s="8"/>
      <c r="L23" s="8"/>
      <c r="M23" s="8"/>
      <c r="N23" s="8"/>
      <c r="O23" s="8"/>
      <c r="P23" s="8"/>
      <c r="Q23" s="8"/>
      <c r="R23" s="122"/>
      <c r="S23" s="123"/>
      <c r="T23" s="124"/>
      <c r="U23" s="125"/>
    </row>
    <row r="24" spans="1:21" s="10" customFormat="1" x14ac:dyDescent="0.2">
      <c r="A24" s="8">
        <v>10</v>
      </c>
      <c r="B24" s="8"/>
      <c r="C24" s="8"/>
      <c r="D24" s="8" t="s">
        <v>51</v>
      </c>
      <c r="E24" s="27" t="s">
        <v>257</v>
      </c>
      <c r="F24" s="27"/>
      <c r="G24" s="40" t="s">
        <v>283</v>
      </c>
      <c r="H24" s="40" t="s">
        <v>53</v>
      </c>
      <c r="I24" s="8" t="s">
        <v>50</v>
      </c>
      <c r="J24" s="8" t="s">
        <v>49</v>
      </c>
      <c r="K24" s="8"/>
      <c r="L24" s="8"/>
      <c r="M24" s="8"/>
      <c r="N24" s="8"/>
      <c r="O24" s="8"/>
      <c r="P24" s="8"/>
      <c r="Q24" s="8"/>
      <c r="R24" s="122"/>
      <c r="S24" s="123"/>
      <c r="T24" s="124"/>
      <c r="U24" s="125"/>
    </row>
    <row r="25" spans="1:21" s="10" customFormat="1" x14ac:dyDescent="0.2">
      <c r="A25" s="8">
        <v>10</v>
      </c>
      <c r="B25" s="8"/>
      <c r="C25" s="8"/>
      <c r="D25" s="8" t="s">
        <v>183</v>
      </c>
      <c r="E25" s="27" t="s">
        <v>61</v>
      </c>
      <c r="F25" s="27"/>
      <c r="G25" s="40" t="s">
        <v>286</v>
      </c>
      <c r="H25" s="40" t="s">
        <v>62</v>
      </c>
      <c r="I25" s="8" t="s">
        <v>50</v>
      </c>
      <c r="J25" s="8" t="s">
        <v>49</v>
      </c>
      <c r="K25" s="8"/>
      <c r="L25" s="8"/>
      <c r="M25" s="8"/>
      <c r="N25" s="8"/>
      <c r="O25" s="8"/>
      <c r="P25" s="8"/>
      <c r="Q25" s="8"/>
      <c r="R25" s="122"/>
      <c r="S25" s="123"/>
      <c r="T25" s="124"/>
      <c r="U25" s="125"/>
    </row>
    <row r="26" spans="1:21" s="10" customFormat="1" x14ac:dyDescent="0.2">
      <c r="A26" s="8">
        <v>10</v>
      </c>
      <c r="B26" s="8"/>
      <c r="C26" s="8"/>
      <c r="D26" s="8" t="s">
        <v>184</v>
      </c>
      <c r="E26" s="27" t="s">
        <v>58</v>
      </c>
      <c r="F26" s="27"/>
      <c r="G26" s="40" t="s">
        <v>285</v>
      </c>
      <c r="H26" s="40" t="s">
        <v>59</v>
      </c>
      <c r="I26" s="8" t="s">
        <v>50</v>
      </c>
      <c r="J26" s="8" t="s">
        <v>49</v>
      </c>
      <c r="K26" s="8"/>
      <c r="L26" s="8"/>
      <c r="M26" s="8"/>
      <c r="N26" s="8"/>
      <c r="O26" s="8"/>
      <c r="P26" s="8"/>
      <c r="Q26" s="8"/>
      <c r="R26" s="122"/>
      <c r="S26" s="123"/>
      <c r="T26" s="124"/>
      <c r="U26" s="125"/>
    </row>
    <row r="27" spans="1:21" s="10" customFormat="1" x14ac:dyDescent="0.2">
      <c r="A27" s="22"/>
      <c r="B27" s="23"/>
      <c r="C27" s="23"/>
      <c r="D27" s="16" t="s">
        <v>16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18"/>
    </row>
    <row r="28" spans="1:21" s="10" customFormat="1" x14ac:dyDescent="0.2">
      <c r="A28" s="57"/>
      <c r="U28" s="41"/>
    </row>
    <row r="29" spans="1:21" s="10" customFormat="1" x14ac:dyDescent="0.2">
      <c r="A29" s="57"/>
      <c r="U29" s="41"/>
    </row>
    <row r="30" spans="1:21" s="10" customFormat="1" x14ac:dyDescent="0.2">
      <c r="A30" s="57"/>
      <c r="U30" s="41"/>
    </row>
    <row r="31" spans="1:21" s="10" customFormat="1" x14ac:dyDescent="0.2">
      <c r="A31" s="57"/>
      <c r="U31" s="41"/>
    </row>
    <row r="32" spans="1:21" s="10" customFormat="1" x14ac:dyDescent="0.2">
      <c r="A32" s="57"/>
      <c r="U32" s="41"/>
    </row>
    <row r="33" spans="1:21" s="10" customFormat="1" x14ac:dyDescent="0.2">
      <c r="A33" s="57"/>
      <c r="U33" s="41"/>
    </row>
    <row r="34" spans="1:21" s="10" customFormat="1" x14ac:dyDescent="0.2">
      <c r="A34" s="57"/>
      <c r="U34" s="41"/>
    </row>
    <row r="35" spans="1:21" s="10" customFormat="1" x14ac:dyDescent="0.2">
      <c r="A35" s="57"/>
      <c r="U35" s="41"/>
    </row>
    <row r="36" spans="1:21" s="10" customFormat="1" x14ac:dyDescent="0.2">
      <c r="A36" s="57"/>
      <c r="U36" s="41"/>
    </row>
    <row r="37" spans="1:21" s="10" customFormat="1" x14ac:dyDescent="0.2">
      <c r="A37" s="57"/>
      <c r="U37" s="41"/>
    </row>
    <row r="38" spans="1:21" s="10" customFormat="1" x14ac:dyDescent="0.2">
      <c r="A38" s="57"/>
      <c r="U38" s="41"/>
    </row>
    <row r="39" spans="1:21" s="10" customFormat="1" x14ac:dyDescent="0.2">
      <c r="A39" s="57"/>
      <c r="U39" s="41"/>
    </row>
    <row r="40" spans="1:21" s="10" customFormat="1" x14ac:dyDescent="0.2">
      <c r="A40" s="57"/>
      <c r="U40" s="41"/>
    </row>
    <row r="41" spans="1:21" s="10" customFormat="1" x14ac:dyDescent="0.2">
      <c r="A41" s="6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44"/>
    </row>
  </sheetData>
  <mergeCells count="30">
    <mergeCell ref="R24:S24"/>
    <mergeCell ref="T24:U24"/>
    <mergeCell ref="R25:S25"/>
    <mergeCell ref="T25:U25"/>
    <mergeCell ref="R26:S26"/>
    <mergeCell ref="T26:U26"/>
    <mergeCell ref="R21:S21"/>
    <mergeCell ref="T21:U21"/>
    <mergeCell ref="R22:S22"/>
    <mergeCell ref="T22:U22"/>
    <mergeCell ref="R23:S23"/>
    <mergeCell ref="T23:U23"/>
    <mergeCell ref="R18:S18"/>
    <mergeCell ref="T18:U18"/>
    <mergeCell ref="R19:S19"/>
    <mergeCell ref="T19:U19"/>
    <mergeCell ref="R20:S20"/>
    <mergeCell ref="T20:U20"/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7" customWidth="1"/>
    <col min="43" max="44" width="2.08984375" style="49" customWidth="1"/>
    <col min="45" max="57" width="2.08984375" style="47" customWidth="1"/>
    <col min="58" max="16384" width="9" style="47"/>
  </cols>
  <sheetData>
    <row r="1" spans="1:57" ht="38.25" customHeight="1" thickBot="1" x14ac:dyDescent="0.25">
      <c r="A1" s="72" t="s">
        <v>258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75" t="s">
        <v>259</v>
      </c>
      <c r="B3" s="76"/>
      <c r="C3" s="76"/>
      <c r="D3" s="76"/>
      <c r="E3" s="76"/>
      <c r="F3" s="76"/>
      <c r="G3" s="77"/>
      <c r="H3" s="78" t="s">
        <v>260</v>
      </c>
      <c r="I3" s="76"/>
      <c r="J3" s="76"/>
      <c r="K3" s="76"/>
      <c r="L3" s="76"/>
      <c r="M3" s="76"/>
      <c r="N3" s="77"/>
      <c r="O3" s="78" t="s">
        <v>261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262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263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93">
        <v>1.1000000000000001</v>
      </c>
      <c r="B5" s="94"/>
      <c r="C5" s="94"/>
      <c r="D5" s="94"/>
      <c r="E5" s="94"/>
      <c r="F5" s="94"/>
      <c r="G5" s="95"/>
      <c r="H5" s="99"/>
      <c r="I5" s="100"/>
      <c r="J5" s="100"/>
      <c r="K5" s="100"/>
      <c r="L5" s="100"/>
      <c r="M5" s="100"/>
      <c r="N5" s="101"/>
      <c r="O5" s="106" t="s">
        <v>310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311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9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5"/>
      <c r="AQ6" s="102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4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4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9"/>
      <c r="I8" s="100"/>
      <c r="J8" s="100"/>
      <c r="K8" s="100"/>
      <c r="L8" s="100"/>
      <c r="M8" s="100"/>
      <c r="N8" s="101"/>
      <c r="O8" s="99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5"/>
      <c r="AQ8" s="102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4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9"/>
      <c r="I9" s="100"/>
      <c r="J9" s="100"/>
      <c r="K9" s="100"/>
      <c r="L9" s="100"/>
      <c r="M9" s="100"/>
      <c r="N9" s="101"/>
      <c r="O9" s="99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5"/>
      <c r="AQ9" s="102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4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9"/>
      <c r="I10" s="100"/>
      <c r="J10" s="100"/>
      <c r="K10" s="100"/>
      <c r="L10" s="100"/>
      <c r="M10" s="100"/>
      <c r="N10" s="101"/>
      <c r="O10" s="99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5"/>
      <c r="AQ10" s="102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4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9"/>
      <c r="I11" s="100"/>
      <c r="J11" s="100"/>
      <c r="K11" s="100"/>
      <c r="L11" s="100"/>
      <c r="M11" s="100"/>
      <c r="N11" s="101"/>
      <c r="O11" s="99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5"/>
      <c r="AQ11" s="102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4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9"/>
      <c r="I12" s="100"/>
      <c r="J12" s="100"/>
      <c r="K12" s="100"/>
      <c r="L12" s="100"/>
      <c r="M12" s="100"/>
      <c r="N12" s="101"/>
      <c r="O12" s="99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5"/>
      <c r="AQ12" s="102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4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9"/>
      <c r="I13" s="100"/>
      <c r="J13" s="100"/>
      <c r="K13" s="100"/>
      <c r="L13" s="100"/>
      <c r="M13" s="100"/>
      <c r="N13" s="101"/>
      <c r="O13" s="99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5"/>
      <c r="AQ13" s="102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4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9"/>
      <c r="I14" s="100"/>
      <c r="J14" s="100"/>
      <c r="K14" s="100"/>
      <c r="L14" s="100"/>
      <c r="M14" s="100"/>
      <c r="N14" s="101"/>
      <c r="O14" s="99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5"/>
      <c r="AQ14" s="102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4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9"/>
      <c r="I15" s="100"/>
      <c r="J15" s="100"/>
      <c r="K15" s="100"/>
      <c r="L15" s="100"/>
      <c r="M15" s="100"/>
      <c r="N15" s="101"/>
      <c r="O15" s="99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5"/>
      <c r="AQ15" s="102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4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9"/>
      <c r="I16" s="100"/>
      <c r="J16" s="100"/>
      <c r="K16" s="100"/>
      <c r="L16" s="100"/>
      <c r="M16" s="100"/>
      <c r="N16" s="101"/>
      <c r="O16" s="99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5"/>
      <c r="AQ16" s="102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4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9"/>
      <c r="I17" s="100"/>
      <c r="J17" s="100"/>
      <c r="K17" s="100"/>
      <c r="L17" s="100"/>
      <c r="M17" s="100"/>
      <c r="N17" s="101"/>
      <c r="O17" s="99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5"/>
      <c r="AQ17" s="102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4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9"/>
      <c r="I18" s="100"/>
      <c r="J18" s="100"/>
      <c r="K18" s="100"/>
      <c r="L18" s="100"/>
      <c r="M18" s="100"/>
      <c r="N18" s="101"/>
      <c r="O18" s="99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5"/>
      <c r="AQ18" s="102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4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9"/>
      <c r="I19" s="100"/>
      <c r="J19" s="100"/>
      <c r="K19" s="100"/>
      <c r="L19" s="100"/>
      <c r="M19" s="100"/>
      <c r="N19" s="101"/>
      <c r="O19" s="99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5"/>
      <c r="AQ19" s="102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4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9"/>
      <c r="I20" s="100"/>
      <c r="J20" s="100"/>
      <c r="K20" s="100"/>
      <c r="L20" s="100"/>
      <c r="M20" s="100"/>
      <c r="N20" s="101"/>
      <c r="O20" s="99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5"/>
      <c r="AQ20" s="102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4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9"/>
      <c r="I21" s="100"/>
      <c r="J21" s="100"/>
      <c r="K21" s="100"/>
      <c r="L21" s="100"/>
      <c r="M21" s="100"/>
      <c r="N21" s="101"/>
      <c r="O21" s="99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5"/>
      <c r="AQ21" s="102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4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9"/>
      <c r="I22" s="100"/>
      <c r="J22" s="100"/>
      <c r="K22" s="100"/>
      <c r="L22" s="100"/>
      <c r="M22" s="100"/>
      <c r="N22" s="101"/>
      <c r="O22" s="99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5"/>
      <c r="AQ22" s="102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4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9"/>
      <c r="I23" s="100"/>
      <c r="J23" s="100"/>
      <c r="K23" s="100"/>
      <c r="L23" s="100"/>
      <c r="M23" s="100"/>
      <c r="N23" s="101"/>
      <c r="O23" s="99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5"/>
      <c r="AQ23" s="102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4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9"/>
      <c r="I24" s="100"/>
      <c r="J24" s="100"/>
      <c r="K24" s="100"/>
      <c r="L24" s="100"/>
      <c r="M24" s="100"/>
      <c r="N24" s="101"/>
      <c r="O24" s="99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5"/>
      <c r="AQ24" s="102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4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9"/>
      <c r="I25" s="100"/>
      <c r="J25" s="100"/>
      <c r="K25" s="100"/>
      <c r="L25" s="100"/>
      <c r="M25" s="100"/>
      <c r="N25" s="101"/>
      <c r="O25" s="99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5"/>
      <c r="AQ25" s="102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4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9"/>
      <c r="I26" s="100"/>
      <c r="J26" s="100"/>
      <c r="K26" s="100"/>
      <c r="L26" s="100"/>
      <c r="M26" s="100"/>
      <c r="N26" s="101"/>
      <c r="O26" s="99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5"/>
      <c r="AQ26" s="102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4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9"/>
      <c r="I27" s="100"/>
      <c r="J27" s="100"/>
      <c r="K27" s="100"/>
      <c r="L27" s="100"/>
      <c r="M27" s="100"/>
      <c r="N27" s="101"/>
      <c r="O27" s="99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5"/>
      <c r="AQ27" s="102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4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9"/>
      <c r="I28" s="100"/>
      <c r="J28" s="100"/>
      <c r="K28" s="100"/>
      <c r="L28" s="100"/>
      <c r="M28" s="100"/>
      <c r="N28" s="101"/>
      <c r="O28" s="99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5"/>
      <c r="AQ28" s="102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4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9"/>
      <c r="I29" s="100"/>
      <c r="J29" s="100"/>
      <c r="K29" s="100"/>
      <c r="L29" s="100"/>
      <c r="M29" s="100"/>
      <c r="N29" s="101"/>
      <c r="O29" s="99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5"/>
      <c r="AQ29" s="102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4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9"/>
      <c r="I30" s="100"/>
      <c r="J30" s="100"/>
      <c r="K30" s="100"/>
      <c r="L30" s="100"/>
      <c r="M30" s="100"/>
      <c r="N30" s="101"/>
      <c r="O30" s="99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5"/>
      <c r="AQ30" s="102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4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9"/>
      <c r="I31" s="100"/>
      <c r="J31" s="100"/>
      <c r="K31" s="100"/>
      <c r="L31" s="100"/>
      <c r="M31" s="100"/>
      <c r="N31" s="101"/>
      <c r="O31" s="99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5"/>
      <c r="AQ31" s="102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4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9"/>
      <c r="I32" s="100"/>
      <c r="J32" s="100"/>
      <c r="K32" s="100"/>
      <c r="L32" s="100"/>
      <c r="M32" s="100"/>
      <c r="N32" s="101"/>
      <c r="O32" s="99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5"/>
      <c r="AQ32" s="102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4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9"/>
      <c r="I33" s="100"/>
      <c r="J33" s="100"/>
      <c r="K33" s="100"/>
      <c r="L33" s="100"/>
      <c r="M33" s="100"/>
      <c r="N33" s="101"/>
      <c r="O33" s="99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5"/>
      <c r="AQ33" s="102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4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9"/>
      <c r="I34" s="100"/>
      <c r="J34" s="100"/>
      <c r="K34" s="100"/>
      <c r="L34" s="100"/>
      <c r="M34" s="100"/>
      <c r="N34" s="101"/>
      <c r="O34" s="99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5"/>
      <c r="AQ34" s="102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4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2026-03-27T05:51:01Z</dcterms:modified>
  <cp:category/>
</cp:coreProperties>
</file>