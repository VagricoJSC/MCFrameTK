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78DD1F3F-5AF4-40EB-8919-3040A394F9E2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Chk01" sheetId="2" r:id="rId2"/>
    <sheet name="Del01" sheetId="3" r:id="rId3"/>
    <sheet name="Srch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L2" i="4"/>
  <c r="H2" i="4"/>
  <c r="F2" i="4"/>
  <c r="L4" i="3"/>
  <c r="H4" i="3"/>
  <c r="L3" i="3"/>
  <c r="H3" i="3"/>
  <c r="F3" i="3"/>
  <c r="L2" i="3"/>
  <c r="H2" i="3"/>
  <c r="F2" i="3"/>
  <c r="L4" i="2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<sst xmlns="http://schemas.openxmlformats.org/spreadsheetml/2006/main" count="561" uniqueCount="225">
  <si>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</si>
  <si>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</si>
  <si>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3"/>
  </si>
  <si>
    <t>LogicID :</t>
    <phoneticPr fontId="3"/>
  </si>
  <si>
    <t>MGBDL0050</t>
    <phoneticPr fontId="3"/>
  </si>
  <si>
    <t>Pj.ID :</t>
    <phoneticPr fontId="3"/>
  </si>
  <si>
    <t>MC</t>
    <phoneticPr fontId="3"/>
  </si>
  <si>
    <t>SubModuleID :</t>
    <phoneticPr fontId="3"/>
  </si>
  <si>
    <t>MGBD</t>
    <phoneticPr fontId="3"/>
  </si>
  <si>
    <t>LogicClass :</t>
    <phoneticPr fontId="3"/>
  </si>
  <si>
    <t>MGBDL_CostLogSrch</t>
    <phoneticPr fontId="3"/>
  </si>
  <si>
    <t>SuperClassPj.ID :</t>
    <phoneticPr fontId="3"/>
  </si>
  <si>
    <t>LogicName :</t>
    <phoneticPr fontId="3"/>
  </si>
  <si>
    <t>原価計算ログ照会</t>
    <rPh sb="6" eb="8">
      <t>ショウカイ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</si>
  <si>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</si>
  <si>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</si>
  <si>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</si>
  <si>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</si>
  <si>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</si>
  <si>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</si>
  <si>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</si>
  <si>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</si>
  <si>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</si>
  <si>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</si>
  <si>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</si>
  <si>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</si>
  <si>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</si>
  <si>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  <phoneticPr fontId="3"/>
  </si>
  <si>
    <t>000000</t>
    <phoneticPr fontId="3"/>
  </si>
  <si>
    <t xml:space="preserve">Ope.Name : </t>
    <phoneticPr fontId="3"/>
  </si>
  <si>
    <t>削除前チェック</t>
    <rPh sb="0" eb="2">
      <t>サクジョ</t>
    </rPh>
    <rPh sb="2" eb="3">
      <t>マエ</t>
    </rPh>
    <phoneticPr fontId="2"/>
  </si>
  <si>
    <t>ImplOpe.ID:</t>
    <phoneticPr fontId="3"/>
  </si>
  <si>
    <t>ACType :</t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</si>
  <si>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</si>
  <si>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</si>
  <si>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</si>
  <si>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</si>
  <si>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</si>
  <si>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</si>
  <si>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  <phoneticPr fontId="2"/>
  </si>
  <si>
    <t>K</t>
  </si>
  <si>
    <t>K</t>
    <phoneticPr fontId="2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</si>
  <si>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</si>
  <si>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</si>
  <si>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</si>
  <si>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</si>
  <si>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</si>
  <si>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</si>
  <si>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</si>
  <si>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</si>
  <si>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</si>
  <si>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</si>
  <si>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</si>
  <si>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</si>
  <si>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</si>
  <si>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</si>
  <si>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</si>
  <si>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</si>
  <si>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</si>
  <si>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</si>
  <si>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</si>
  <si>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</si>
  <si>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</si>
  <si>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*</t>
  </si>
  <si>
    <t>Dtl</t>
    <phoneticPr fontId="3"/>
  </si>
  <si>
    <t>GL</t>
  </si>
  <si>
    <t>$super$</t>
    <phoneticPr fontId="3"/>
  </si>
  <si>
    <t>DBC:MG.MGT_CALC_LOG</t>
    <phoneticPr fontId="3"/>
  </si>
  <si>
    <t>calc_no</t>
    <phoneticPr fontId="3"/>
  </si>
  <si>
    <t>#MA.CALC_NO</t>
  </si>
  <si>
    <t>原価計算ＮＯ</t>
    <phoneticPr fontId="3"/>
  </si>
  <si>
    <t>E</t>
    <phoneticPr fontId="3"/>
  </si>
  <si>
    <t>E</t>
    <phoneticPr fontId="2"/>
  </si>
  <si>
    <t>calc_grp_cd</t>
    <phoneticPr fontId="3"/>
  </si>
  <si>
    <t>#MA.CALC_GRP_CD</t>
  </si>
  <si>
    <t>計算グループＣＤ</t>
    <phoneticPr fontId="3"/>
  </si>
  <si>
    <t>seq_no</t>
  </si>
  <si>
    <t>#MG.SEQ_NO</t>
    <phoneticPr fontId="2"/>
  </si>
  <si>
    <t>シーケンス</t>
    <phoneticPr fontId="3"/>
  </si>
  <si>
    <t>msg_id</t>
  </si>
  <si>
    <t>#MA.MSG_ID</t>
    <phoneticPr fontId="2"/>
  </si>
  <si>
    <t>メッセージＩＤ</t>
    <phoneticPr fontId="3"/>
  </si>
  <si>
    <t>msg</t>
  </si>
  <si>
    <t>#MA.MSG</t>
  </si>
  <si>
    <t>メッセージ</t>
    <phoneticPr fontId="3"/>
  </si>
  <si>
    <t>log_time</t>
  </si>
  <si>
    <t>#MG.LOG_TIME</t>
  </si>
  <si>
    <t>ログ時間</t>
    <phoneticPr fontId="3"/>
  </si>
  <si>
    <t>ins_usr_id</t>
    <phoneticPr fontId="3"/>
  </si>
  <si>
    <t>#MA.FCM_USR_ID</t>
  </si>
  <si>
    <t>登録ユーザＩＤ</t>
    <phoneticPr fontId="3"/>
  </si>
  <si>
    <t>ins_usr_nm</t>
    <phoneticPr fontId="3"/>
  </si>
  <si>
    <t>#MA.FCM_USR_NM</t>
  </si>
  <si>
    <t>登録ユーザ名</t>
    <phoneticPr fontId="3"/>
  </si>
  <si>
    <t>ins_func_id</t>
    <phoneticPr fontId="3"/>
  </si>
  <si>
    <t>#MA.FUNC_ID</t>
  </si>
  <si>
    <t>登録機能ＩＤ</t>
    <phoneticPr fontId="3"/>
  </si>
  <si>
    <t>ins_func_nm</t>
    <phoneticPr fontId="3"/>
  </si>
  <si>
    <t>#MA.FUNC_NM</t>
  </si>
  <si>
    <t>登録機能名</t>
    <phoneticPr fontId="3"/>
  </si>
  <si>
    <t>ins_ts</t>
    <phoneticPr fontId="3"/>
  </si>
  <si>
    <t>#MA.SYS_TS</t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</si>
  <si>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</si>
  <si>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</si>
  <si>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</si>
  <si>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</si>
  <si>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</si>
  <si>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</si>
  <si>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</si>
  <si>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</si>
  <si>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</si>
  <si>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</si>
  <si>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</si>
  <si>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</si>
  <si>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#MA.SRV_REQ_NO</t>
  </si>
  <si>
    <t>更新リクエストＮＯ</t>
    <phoneticPr fontId="3"/>
  </si>
  <si>
    <t>upd_cntr</t>
    <phoneticPr fontId="3"/>
  </si>
  <si>
    <t>#MA.INT</t>
  </si>
  <si>
    <t>更新カウンタ</t>
    <phoneticPr fontId="3"/>
  </si>
  <si>
    <t>err_flg</t>
    <phoneticPr fontId="3"/>
  </si>
  <si>
    <t>#MA.FLG</t>
  </si>
  <si>
    <t>エラー</t>
    <phoneticPr fontId="3"/>
  </si>
  <si>
    <t>rtn_sts_typ</t>
    <phoneticPr fontId="3"/>
  </si>
  <si>
    <t>#MA.RTN_STS_TYP</t>
  </si>
  <si>
    <t>処理結果状況区分</t>
    <phoneticPr fontId="3"/>
  </si>
  <si>
    <t>Del01</t>
    <phoneticPr fontId="3"/>
  </si>
  <si>
    <t>@</t>
    <phoneticPr fontId="3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</si>
  <si>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</si>
  <si>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3"/>
  </si>
  <si>
    <t>#</t>
    <phoneticPr fontId="3"/>
  </si>
  <si>
    <t>K</t>
    <phoneticPr fontId="3"/>
  </si>
  <si>
    <t>o</t>
    <phoneticPr fontId="3"/>
  </si>
  <si>
    <t>TargetName</t>
    <phoneticPr fontId="3"/>
  </si>
  <si>
    <t>#</t>
    <phoneticPr fontId="3"/>
  </si>
  <si>
    <t>Dtl</t>
    <phoneticPr fontId="3"/>
  </si>
  <si>
    <t>GL</t>
    <phoneticPr fontId="3"/>
  </si>
  <si>
    <t>$share$</t>
    <phoneticPr fontId="2"/>
  </si>
  <si>
    <t>MG.MGBDL0050.Chk01.Dtl</t>
    <phoneticPr fontId="2"/>
  </si>
  <si>
    <t>calc_no</t>
    <phoneticPr fontId="3"/>
  </si>
  <si>
    <t>calc_grp_cd</t>
    <phoneticPr fontId="3"/>
  </si>
  <si>
    <t>#MA.MSG_ID</t>
    <phoneticPr fontId="2"/>
  </si>
  <si>
    <t>ins_usr_nm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</si>
  <si>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</si>
  <si>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</si>
  <si>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</si>
  <si>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</si>
  <si>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upd_cntr</t>
    <phoneticPr fontId="3"/>
  </si>
  <si>
    <t>err_flg</t>
    <phoneticPr fontId="3"/>
  </si>
  <si>
    <t>rtn_sts_typ</t>
    <phoneticPr fontId="3"/>
  </si>
  <si>
    <t>Srch01</t>
    <phoneticPr fontId="3"/>
  </si>
  <si>
    <t>@</t>
    <phoneticPr fontId="3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</si>
  <si>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</si>
  <si>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3"/>
  </si>
  <si>
    <t>K</t>
    <phoneticPr fontId="3"/>
  </si>
  <si>
    <t>Srch01_Cnd</t>
    <phoneticPr fontId="3"/>
  </si>
  <si>
    <t>R</t>
    <phoneticPr fontId="3"/>
  </si>
  <si>
    <t>msg1</t>
    <phoneticPr fontId="2"/>
  </si>
  <si>
    <t>メッセージ１</t>
    <phoneticPr fontId="2"/>
  </si>
  <si>
    <t>msg2</t>
    <phoneticPr fontId="2"/>
  </si>
  <si>
    <t>メッセージ２</t>
    <phoneticPr fontId="2"/>
  </si>
  <si>
    <t>msg3</t>
    <phoneticPr fontId="2"/>
  </si>
  <si>
    <t>メッセージ３</t>
    <phoneticPr fontId="2"/>
  </si>
  <si>
    <t>Srch01_Dtl</t>
    <phoneticPr fontId="3"/>
  </si>
  <si>
    <t>#MA.MSG_ID</t>
    <phoneticPr fontId="2"/>
  </si>
  <si>
    <t>#MA.YMDHMS</t>
    <phoneticPr fontId="2"/>
  </si>
  <si>
    <t>ins_usr_id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</si>
  <si>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</si>
  <si>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</si>
  <si>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</si>
  <si>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</si>
  <si>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upd_func_id</t>
    <phoneticPr fontId="3"/>
  </si>
  <si>
    <t>upd_ts</t>
    <phoneticPr fontId="3"/>
  </si>
  <si>
    <t>upd_srv_req_no</t>
    <phoneticPr fontId="3"/>
  </si>
  <si>
    <t>upd_cntr</t>
    <phoneticPr fontId="3"/>
  </si>
  <si>
    <t>err_flg</t>
    <phoneticPr fontId="3"/>
  </si>
  <si>
    <t>rtn_sts_typ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</si>
  <si>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</si>
  <si>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</si>
  <si>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</si>
  <si>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</si>
  <si>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</si>
  <si>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</si>
  <si>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</si>
  <si>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</si>
  <si>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</si>
  <si>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"mcframe.serverMAUD.MAUDL5010.MAUDL_Searcher"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</si>
  <si>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</si>
  <si>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</si>
  <si>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</si>
  <si>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</si>
  <si>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</si>
  <si>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</si>
  <si>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</si>
  <si>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</si>
  <si>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</si>
  <si>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</si>
  <si>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</si>
  <si>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</si>
  <si>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</si>
  <si>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</si>
  <si>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No.</t>
  </si>
  <si>
    <t>Calculation group cd.</t>
  </si>
  <si>
    <t>Sequence</t>
  </si>
  <si>
    <t>Message ID</t>
  </si>
  <si>
    <t>Message</t>
  </si>
  <si>
    <t>Log time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</si>
  <si>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</si>
  <si>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</si>
  <si>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</si>
  <si>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</si>
  <si>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</si>
  <si>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</si>
  <si>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</si>
  <si>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</si>
  <si>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</si>
  <si>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</si>
  <si>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</si>
  <si>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</si>
  <si>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Error</t>
  </si>
  <si>
    <t>Process result status type</t>
  </si>
  <si>
    <t>Message 1</t>
  </si>
  <si>
    <t>Message 2</t>
  </si>
  <si>
    <t>Message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</si>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</sst>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3" borderId="2" xfId="0" applyFont="1" applyFill="1" applyBorder="1" applyAlignment="1" applyProtection="1">
      <protection locked="0"/>
    </xf>
    <xf numFmtId="0" fontId="1" fillId="3" borderId="6" xfId="0" applyFont="1" applyFill="1" applyBorder="1" applyAlignment="1"/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3" borderId="6" xfId="0" applyFont="1" applyFill="1" applyBorder="1" applyAlignment="1" applyProtection="1">
      <protection locked="0"/>
    </xf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1" xfId="0" applyFont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32" t="s">
        <v>4</v>
      </c>
      <c r="F2" s="7" t="s">
        <v>5</v>
      </c>
      <c r="G2" s="32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32" t="s">
        <v>10</v>
      </c>
      <c r="F3" s="7" t="s">
        <v>11</v>
      </c>
      <c r="G3" s="32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32" t="s">
        <v>182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6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6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3.90625" style="22" bestFit="1" customWidth="1"/>
    <col min="13" max="13" width="12.81640625" style="22" bestFit="1" customWidth="1"/>
    <col min="14" max="14" width="50.81640625" style="22" customWidth="1"/>
    <col min="15" max="15" width="12.81640625" style="22" bestFit="1" customWidth="1"/>
    <col min="16" max="16" width="13.90625" style="22" bestFit="1" customWidth="1"/>
    <col min="17" max="17" width="8.453125" style="22" bestFit="1" customWidth="1"/>
    <col min="18" max="18" width="10.453125" style="22" bestFit="1" customWidth="1"/>
    <col min="19" max="19" width="17.1796875" style="23" bestFit="1" customWidth="1"/>
    <col min="20" max="20" width="13.90625" style="23" bestFit="1" customWidth="1"/>
    <col min="21" max="21" width="16.08984375" style="23" bestFit="1" customWidth="1"/>
    <col min="22" max="22" width="11.6328125" style="23" bestFit="1" customWidth="1"/>
    <col min="23" max="23" width="9.453125" style="23" bestFit="1" customWidth="1"/>
    <col min="24" max="24" width="15" style="23" bestFit="1" customWidth="1"/>
    <col min="25" max="25" width="8.453125" style="23" bestFit="1" customWidth="1"/>
    <col min="26" max="26" width="13.90625" style="23" bestFit="1" customWidth="1"/>
    <col min="27" max="27" width="6.453125" style="23" bestFit="1" customWidth="1"/>
    <col min="28" max="28" width="9.453125" style="23" bestFit="1" customWidth="1"/>
    <col min="29" max="29" width="11.6328125" style="23" bestFit="1" customWidth="1"/>
    <col min="30" max="30" width="9.453125" style="23" bestFit="1" customWidth="1"/>
    <col min="31" max="31" width="30.81640625" style="23" customWidth="1"/>
    <col min="32" max="32" width="9" style="23"/>
    <col min="33" max="33" width="15.81640625" style="23" customWidth="1"/>
    <col min="34" max="16384" width="9" style="23"/>
  </cols>
  <sheetData>
    <row r="1" spans="1:34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2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10" customFormat="1" ht="40" customHeight="1" x14ac:dyDescent="0.2">
      <c r="A2" s="70" t="s">
        <v>17</v>
      </c>
      <c r="B2" s="71"/>
      <c r="C2" s="71"/>
      <c r="D2" s="83" t="s">
        <v>186</v>
      </c>
      <c r="E2" s="7" t="s">
        <v>1</v>
      </c>
      <c r="F2" s="72" t="str">
        <f>IF(LogicCommon!C2="","",LogicCommon!C2)</f>
        <v>MG</v>
      </c>
      <c r="G2" s="7" t="s">
        <v>3</v>
      </c>
      <c r="H2" s="72" t="str">
        <f>IF(LogicCommon!E2="","",LogicCommon!E2)</f>
        <v>MGBDL0050</v>
      </c>
      <c r="I2" s="7" t="s">
        <v>19</v>
      </c>
      <c r="J2" s="32" t="s">
        <v>20</v>
      </c>
      <c r="K2" s="7" t="s">
        <v>5</v>
      </c>
      <c r="L2" s="72" t="str">
        <f>IF(LogicCommon!G2="","",LogicCommon!G2)</f>
        <v>MC</v>
      </c>
      <c r="M2" s="5" t="s">
        <v>21</v>
      </c>
      <c r="N2" s="24" t="s">
        <v>183</v>
      </c>
      <c r="O2" s="7"/>
      <c r="P2" s="7"/>
      <c r="Q2" s="4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s="10" customFormat="1" x14ac:dyDescent="0.2">
      <c r="A3" s="73" t="s">
        <v>17</v>
      </c>
      <c r="B3" s="74"/>
      <c r="C3" s="74"/>
      <c r="D3" s="75" t="s">
        <v>22</v>
      </c>
      <c r="E3" s="7" t="s">
        <v>7</v>
      </c>
      <c r="F3" s="72" t="str">
        <f>IF(LogicCommon!C3="","",LogicCommon!C3)</f>
        <v>MGBD</v>
      </c>
      <c r="G3" s="7" t="s">
        <v>9</v>
      </c>
      <c r="H3" s="72" t="str">
        <f>IF(LogicCommon!E3="","",LogicCommon!E3)</f>
        <v>MGBDL_CostLogSrch</v>
      </c>
      <c r="I3" s="7" t="s">
        <v>23</v>
      </c>
      <c r="J3" s="32" t="s">
        <v>24</v>
      </c>
      <c r="K3" s="7" t="s">
        <v>11</v>
      </c>
      <c r="L3" s="72" t="str">
        <f>IF(LogicCommon!G3="","",LogicCommon!G3)</f>
        <v/>
      </c>
      <c r="M3" s="76"/>
      <c r="N3" s="7"/>
      <c r="O3" s="7" t="s">
        <v>25</v>
      </c>
      <c r="P3" s="32" t="s">
        <v>26</v>
      </c>
      <c r="Q3" s="4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s="10" customFormat="1" x14ac:dyDescent="0.2">
      <c r="A4" s="73" t="s">
        <v>17</v>
      </c>
      <c r="B4" s="74"/>
      <c r="C4" s="74"/>
      <c r="D4" s="4"/>
      <c r="E4" s="7" t="s">
        <v>27</v>
      </c>
      <c r="F4" s="77" t="s">
        <v>28</v>
      </c>
      <c r="G4" s="7" t="s">
        <v>12</v>
      </c>
      <c r="H4" s="72" t="str">
        <f>IF(LogicCommon!E4="","",LogicCommon!E4)</f>
        <v>原価計算ログ照会</v>
      </c>
      <c r="I4" s="7" t="s">
        <v>29</v>
      </c>
      <c r="J4" s="32" t="s">
        <v>30</v>
      </c>
      <c r="K4" s="7" t="s">
        <v>14</v>
      </c>
      <c r="L4" s="72" t="str">
        <f>IF(LogicCommon!G4="","",LogicCommon!G4)</f>
        <v>MG.MGUDL5010</v>
      </c>
      <c r="M4" s="78" t="s">
        <v>31</v>
      </c>
      <c r="N4" s="24"/>
      <c r="O4" s="79"/>
      <c r="P4" s="4"/>
      <c r="Q4" s="4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s="10" customFormat="1" x14ac:dyDescent="0.2">
      <c r="A5" s="80" t="s">
        <v>17</v>
      </c>
      <c r="B5" s="69"/>
      <c r="C5" s="69"/>
      <c r="D5" s="21"/>
      <c r="E5" s="7" t="s">
        <v>32</v>
      </c>
      <c r="F5" s="77"/>
      <c r="G5" s="81"/>
      <c r="H5" s="81"/>
      <c r="I5" s="81"/>
      <c r="J5" s="81"/>
      <c r="K5" s="81"/>
      <c r="L5" s="6"/>
      <c r="M5" s="5"/>
      <c r="N5" s="5"/>
      <c r="O5" s="7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73" t="s">
        <v>17</v>
      </c>
      <c r="B6" s="74"/>
      <c r="C6" s="74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82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34</v>
      </c>
      <c r="AE6" s="5"/>
      <c r="AF6" s="5"/>
      <c r="AG6" s="5"/>
      <c r="AH6" s="5"/>
    </row>
    <row r="7" spans="1:34" s="10" customFormat="1" x14ac:dyDescent="0.2">
      <c r="A7" s="25" t="s">
        <v>35</v>
      </c>
      <c r="B7" s="25"/>
      <c r="C7" s="25"/>
      <c r="D7" s="26"/>
      <c r="E7" s="26"/>
      <c r="F7" s="27"/>
      <c r="G7" s="26"/>
      <c r="H7" s="26"/>
      <c r="I7" s="26" t="s">
        <v>36</v>
      </c>
      <c r="J7" s="26"/>
      <c r="K7" s="28" t="s">
        <v>37</v>
      </c>
      <c r="L7" s="28" t="s">
        <v>37</v>
      </c>
      <c r="M7" s="28" t="s">
        <v>37</v>
      </c>
      <c r="N7" s="28" t="s">
        <v>38</v>
      </c>
      <c r="O7" s="28" t="s">
        <v>39</v>
      </c>
      <c r="P7" s="28" t="s">
        <v>40</v>
      </c>
      <c r="Q7" s="28" t="s">
        <v>38</v>
      </c>
      <c r="R7" s="28" t="s">
        <v>40</v>
      </c>
      <c r="S7" s="28" t="s">
        <v>40</v>
      </c>
      <c r="T7" s="28" t="s">
        <v>40</v>
      </c>
      <c r="U7" s="28" t="s">
        <v>40</v>
      </c>
      <c r="V7" s="28" t="s">
        <v>37</v>
      </c>
      <c r="W7" s="28" t="s">
        <v>37</v>
      </c>
      <c r="X7" s="28" t="s">
        <v>37</v>
      </c>
      <c r="Y7" s="28" t="s">
        <v>37</v>
      </c>
      <c r="Z7" s="28" t="s">
        <v>41</v>
      </c>
      <c r="AA7" s="28" t="s">
        <v>37</v>
      </c>
      <c r="AB7" s="28" t="s">
        <v>37</v>
      </c>
      <c r="AC7" s="29" t="s">
        <v>42</v>
      </c>
      <c r="AD7" s="30"/>
      <c r="AE7" s="22"/>
      <c r="AF7" s="22"/>
      <c r="AG7" s="22"/>
      <c r="AH7" s="22"/>
    </row>
    <row r="8" spans="1:34" s="10" customFormat="1" ht="60" customHeight="1" x14ac:dyDescent="0.2">
      <c r="A8" s="47" t="s">
        <v>35</v>
      </c>
      <c r="B8" s="86"/>
      <c r="C8" s="87"/>
      <c r="D8" s="84" t="s">
        <v>187</v>
      </c>
      <c r="E8" s="84" t="s">
        <v>188</v>
      </c>
      <c r="F8" s="82"/>
      <c r="G8" s="84" t="s">
        <v>43</v>
      </c>
      <c r="H8" s="84" t="s">
        <v>189</v>
      </c>
      <c r="I8" s="82"/>
      <c r="J8" s="3"/>
      <c r="K8" s="32" t="s">
        <v>44</v>
      </c>
      <c r="L8" s="32" t="s">
        <v>45</v>
      </c>
      <c r="M8" s="28" t="s">
        <v>46</v>
      </c>
      <c r="N8" s="32" t="s">
        <v>47</v>
      </c>
      <c r="O8" s="28" t="s">
        <v>48</v>
      </c>
      <c r="P8" s="32" t="s">
        <v>49</v>
      </c>
      <c r="Q8" s="28" t="s">
        <v>50</v>
      </c>
      <c r="R8" s="32" t="s">
        <v>51</v>
      </c>
      <c r="S8" s="32" t="s">
        <v>52</v>
      </c>
      <c r="T8" s="32" t="s">
        <v>53</v>
      </c>
      <c r="U8" s="32" t="s">
        <v>54</v>
      </c>
      <c r="V8" s="32" t="s">
        <v>55</v>
      </c>
      <c r="W8" s="32" t="s">
        <v>56</v>
      </c>
      <c r="X8" s="32" t="s">
        <v>57</v>
      </c>
      <c r="Y8" s="32" t="s">
        <v>58</v>
      </c>
      <c r="Z8" s="32" t="s">
        <v>59</v>
      </c>
      <c r="AA8" s="28" t="s">
        <v>60</v>
      </c>
      <c r="AB8" s="32" t="s">
        <v>61</v>
      </c>
      <c r="AC8" s="29" t="s">
        <v>62</v>
      </c>
      <c r="AD8" s="32"/>
      <c r="AE8" s="88"/>
      <c r="AF8" s="89"/>
      <c r="AG8" s="90" t="s">
        <v>198</v>
      </c>
      <c r="AH8" s="91"/>
    </row>
    <row r="9" spans="1:34" s="10" customFormat="1" ht="60" customHeight="1" x14ac:dyDescent="0.2">
      <c r="A9" s="32" t="s">
        <v>35</v>
      </c>
      <c r="B9" s="33"/>
      <c r="C9" s="34"/>
      <c r="D9" s="84" t="s">
        <v>190</v>
      </c>
      <c r="E9" s="92" t="s">
        <v>191</v>
      </c>
      <c r="F9" s="84" t="s">
        <v>192</v>
      </c>
      <c r="G9" s="84" t="s">
        <v>193</v>
      </c>
      <c r="H9" s="84" t="s">
        <v>194</v>
      </c>
      <c r="I9" s="93" t="s">
        <v>195</v>
      </c>
      <c r="J9" s="84" t="s">
        <v>196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90" t="s">
        <v>197</v>
      </c>
      <c r="AF9" s="91"/>
      <c r="AG9" s="90" t="s">
        <v>199</v>
      </c>
      <c r="AH9" s="91"/>
    </row>
    <row r="10" spans="1:34" s="10" customFormat="1" ht="52" x14ac:dyDescent="0.2">
      <c r="A10" s="37" t="s">
        <v>35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85" t="s">
        <v>195</v>
      </c>
      <c r="AD10" s="85" t="s">
        <v>196</v>
      </c>
      <c r="AE10" s="39"/>
      <c r="AF10" s="39"/>
      <c r="AG10" s="41"/>
      <c r="AH10" s="36"/>
    </row>
    <row r="11" spans="1:34" s="10" customFormat="1" x14ac:dyDescent="0.2">
      <c r="A11" s="32">
        <v>10</v>
      </c>
      <c r="B11" s="33" t="s">
        <v>63</v>
      </c>
      <c r="C11" s="34"/>
      <c r="D11" s="24" t="s">
        <v>64</v>
      </c>
      <c r="E11" s="31" t="s">
        <v>65</v>
      </c>
      <c r="F11" s="42"/>
      <c r="G11" s="24" t="s">
        <v>66</v>
      </c>
      <c r="H11" s="43" t="s">
        <v>67</v>
      </c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  <c r="AD11" s="46"/>
      <c r="AE11" s="35"/>
      <c r="AF11" s="36"/>
      <c r="AG11" s="66"/>
      <c r="AH11" s="68"/>
    </row>
    <row r="12" spans="1:34" s="10" customFormat="1" x14ac:dyDescent="0.2">
      <c r="A12" s="32">
        <v>10</v>
      </c>
      <c r="B12" s="32"/>
      <c r="C12" s="32"/>
      <c r="D12" s="32" t="s">
        <v>68</v>
      </c>
      <c r="E12" s="47" t="s">
        <v>69</v>
      </c>
      <c r="F12" s="47"/>
      <c r="G12" s="48" t="s">
        <v>200</v>
      </c>
      <c r="H12" s="48" t="s">
        <v>70</v>
      </c>
      <c r="I12" s="32" t="s">
        <v>71</v>
      </c>
      <c r="J12" s="32"/>
      <c r="K12" s="32"/>
      <c r="L12" s="32" t="s">
        <v>72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5"/>
      <c r="AF12" s="36"/>
      <c r="AG12" s="144"/>
      <c r="AH12" s="145"/>
    </row>
    <row r="13" spans="1:34" s="10" customFormat="1" x14ac:dyDescent="0.2">
      <c r="A13" s="32">
        <v>10</v>
      </c>
      <c r="B13" s="32"/>
      <c r="C13" s="32"/>
      <c r="D13" s="32" t="s">
        <v>73</v>
      </c>
      <c r="E13" s="47" t="s">
        <v>74</v>
      </c>
      <c r="F13" s="47"/>
      <c r="G13" s="48" t="s">
        <v>201</v>
      </c>
      <c r="H13" s="48" t="s">
        <v>75</v>
      </c>
      <c r="I13" s="32" t="s">
        <v>71</v>
      </c>
      <c r="J13" s="32"/>
      <c r="K13" s="32"/>
      <c r="L13" s="32" t="s">
        <v>72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5"/>
      <c r="AF13" s="36"/>
      <c r="AG13" s="144"/>
      <c r="AH13" s="145"/>
    </row>
    <row r="14" spans="1:34" s="10" customFormat="1" x14ac:dyDescent="0.2">
      <c r="A14" s="32">
        <v>10</v>
      </c>
      <c r="B14" s="32"/>
      <c r="C14" s="32"/>
      <c r="D14" s="32" t="s">
        <v>76</v>
      </c>
      <c r="E14" s="47" t="s">
        <v>77</v>
      </c>
      <c r="F14" s="47"/>
      <c r="G14" s="48" t="s">
        <v>202</v>
      </c>
      <c r="H14" s="48" t="s">
        <v>78</v>
      </c>
      <c r="I14" s="32" t="s">
        <v>71</v>
      </c>
      <c r="J14" s="32"/>
      <c r="K14" s="32"/>
      <c r="L14" s="32" t="s">
        <v>72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5"/>
      <c r="AF14" s="36"/>
      <c r="AG14" s="144"/>
      <c r="AH14" s="145"/>
    </row>
    <row r="15" spans="1:34" s="10" customFormat="1" x14ac:dyDescent="0.2">
      <c r="A15" s="32">
        <v>10</v>
      </c>
      <c r="B15" s="32"/>
      <c r="C15" s="32"/>
      <c r="D15" s="32" t="s">
        <v>79</v>
      </c>
      <c r="E15" s="47" t="s">
        <v>80</v>
      </c>
      <c r="F15" s="47"/>
      <c r="G15" s="48" t="s">
        <v>203</v>
      </c>
      <c r="H15" s="48" t="s">
        <v>81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5"/>
      <c r="AF15" s="36"/>
      <c r="AG15" s="144"/>
      <c r="AH15" s="145"/>
    </row>
    <row r="16" spans="1:34" s="10" customFormat="1" x14ac:dyDescent="0.2">
      <c r="A16" s="32">
        <v>10</v>
      </c>
      <c r="B16" s="32"/>
      <c r="C16" s="32"/>
      <c r="D16" s="32" t="s">
        <v>82</v>
      </c>
      <c r="E16" s="47" t="s">
        <v>83</v>
      </c>
      <c r="F16" s="47"/>
      <c r="G16" s="48" t="s">
        <v>204</v>
      </c>
      <c r="H16" s="48" t="s">
        <v>84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5"/>
      <c r="AF16" s="36"/>
      <c r="AG16" s="144"/>
      <c r="AH16" s="145"/>
    </row>
    <row r="17" spans="1:34" s="10" customFormat="1" x14ac:dyDescent="0.2">
      <c r="A17" s="32">
        <v>10</v>
      </c>
      <c r="B17" s="32"/>
      <c r="C17" s="32"/>
      <c r="D17" s="32" t="s">
        <v>85</v>
      </c>
      <c r="E17" s="47" t="s">
        <v>86</v>
      </c>
      <c r="F17" s="47"/>
      <c r="G17" s="48" t="s">
        <v>205</v>
      </c>
      <c r="H17" s="48" t="s">
        <v>87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5"/>
      <c r="AF17" s="36"/>
      <c r="AG17" s="144"/>
      <c r="AH17" s="146"/>
    </row>
    <row r="18" spans="1:34" s="10" customFormat="1" x14ac:dyDescent="0.2">
      <c r="A18" s="32">
        <v>10</v>
      </c>
      <c r="B18" s="32"/>
      <c r="C18" s="32"/>
      <c r="D18" s="32" t="s">
        <v>88</v>
      </c>
      <c r="E18" s="47" t="s">
        <v>89</v>
      </c>
      <c r="F18" s="47"/>
      <c r="G18" s="48" t="s">
        <v>206</v>
      </c>
      <c r="H18" s="48" t="s">
        <v>90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5"/>
      <c r="AF18" s="36"/>
      <c r="AG18" s="49"/>
      <c r="AH18" s="50"/>
    </row>
    <row r="19" spans="1:34" s="10" customFormat="1" x14ac:dyDescent="0.2">
      <c r="A19" s="32">
        <v>10</v>
      </c>
      <c r="B19" s="32"/>
      <c r="C19" s="32"/>
      <c r="D19" s="32" t="s">
        <v>91</v>
      </c>
      <c r="E19" s="47" t="s">
        <v>92</v>
      </c>
      <c r="F19" s="47"/>
      <c r="G19" s="48" t="s">
        <v>207</v>
      </c>
      <c r="H19" s="48" t="s">
        <v>93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5"/>
      <c r="AF19" s="36"/>
      <c r="AG19" s="49"/>
      <c r="AH19" s="50"/>
    </row>
    <row r="20" spans="1:34" s="10" customFormat="1" x14ac:dyDescent="0.2">
      <c r="A20" s="32">
        <v>10</v>
      </c>
      <c r="B20" s="32"/>
      <c r="C20" s="32"/>
      <c r="D20" s="32" t="s">
        <v>94</v>
      </c>
      <c r="E20" s="47" t="s">
        <v>95</v>
      </c>
      <c r="F20" s="47"/>
      <c r="G20" s="48" t="s">
        <v>208</v>
      </c>
      <c r="H20" s="48" t="s">
        <v>96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5"/>
      <c r="AF20" s="36"/>
      <c r="AG20" s="49"/>
      <c r="AH20" s="50"/>
    </row>
    <row r="21" spans="1:34" s="10" customFormat="1" x14ac:dyDescent="0.2">
      <c r="A21" s="32">
        <v>10</v>
      </c>
      <c r="B21" s="32"/>
      <c r="C21" s="32"/>
      <c r="D21" s="32" t="s">
        <v>97</v>
      </c>
      <c r="E21" s="47" t="s">
        <v>98</v>
      </c>
      <c r="F21" s="47"/>
      <c r="G21" s="48" t="s">
        <v>209</v>
      </c>
      <c r="H21" s="48" t="s">
        <v>99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5"/>
      <c r="AF21" s="36"/>
      <c r="AG21" s="49"/>
      <c r="AH21" s="50"/>
    </row>
    <row r="22" spans="1:34" s="10" customFormat="1" x14ac:dyDescent="0.2">
      <c r="A22" s="32">
        <v>10</v>
      </c>
      <c r="B22" s="32"/>
      <c r="C22" s="32"/>
      <c r="D22" s="32" t="s">
        <v>100</v>
      </c>
      <c r="E22" s="47" t="s">
        <v>101</v>
      </c>
      <c r="F22" s="47"/>
      <c r="G22" s="48" t="s">
        <v>210</v>
      </c>
      <c r="H22" s="48" t="s">
        <v>102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5"/>
      <c r="AF22" s="36"/>
      <c r="AG22" s="49"/>
      <c r="AH22" s="50"/>
    </row>
    <row r="23" spans="1:34" s="10" customFormat="1" x14ac:dyDescent="0.2">
      <c r="A23" s="32">
        <v>10</v>
      </c>
      <c r="B23" s="32"/>
      <c r="C23" s="32"/>
      <c r="D23" s="32" t="s">
        <v>103</v>
      </c>
      <c r="E23" s="47" t="s">
        <v>89</v>
      </c>
      <c r="F23" s="47"/>
      <c r="G23" s="48" t="s">
        <v>211</v>
      </c>
      <c r="H23" s="48" t="s">
        <v>104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5"/>
      <c r="AF23" s="36"/>
      <c r="AG23" s="49"/>
      <c r="AH23" s="50"/>
    </row>
    <row r="24" spans="1:34" s="10" customFormat="1" x14ac:dyDescent="0.2">
      <c r="A24" s="32">
        <v>10</v>
      </c>
      <c r="B24" s="32"/>
      <c r="C24" s="32"/>
      <c r="D24" s="32" t="s">
        <v>105</v>
      </c>
      <c r="E24" s="47" t="s">
        <v>92</v>
      </c>
      <c r="F24" s="47"/>
      <c r="G24" s="48" t="s">
        <v>212</v>
      </c>
      <c r="H24" s="48" t="s">
        <v>106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5"/>
      <c r="AF24" s="36"/>
      <c r="AG24" s="49"/>
      <c r="AH24" s="50"/>
    </row>
    <row r="25" spans="1:34" s="10" customFormat="1" x14ac:dyDescent="0.2">
      <c r="A25" s="32">
        <v>10</v>
      </c>
      <c r="B25" s="32"/>
      <c r="C25" s="32"/>
      <c r="D25" s="32" t="s">
        <v>107</v>
      </c>
      <c r="E25" s="47" t="s">
        <v>95</v>
      </c>
      <c r="F25" s="47"/>
      <c r="G25" s="48" t="s">
        <v>213</v>
      </c>
      <c r="H25" s="48" t="s">
        <v>108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5"/>
      <c r="AF25" s="36"/>
      <c r="AG25" s="49"/>
      <c r="AH25" s="50"/>
    </row>
    <row r="26" spans="1:34" s="10" customFormat="1" x14ac:dyDescent="0.2">
      <c r="A26" s="32">
        <v>10</v>
      </c>
      <c r="B26" s="32"/>
      <c r="C26" s="32"/>
      <c r="D26" s="32" t="s">
        <v>109</v>
      </c>
      <c r="E26" s="47" t="s">
        <v>98</v>
      </c>
      <c r="F26" s="47"/>
      <c r="G26" s="48" t="s">
        <v>214</v>
      </c>
      <c r="H26" s="48" t="s">
        <v>110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5"/>
      <c r="AF26" s="36"/>
      <c r="AG26" s="49"/>
      <c r="AH26" s="50"/>
    </row>
    <row r="27" spans="1:34" s="10" customFormat="1" x14ac:dyDescent="0.2">
      <c r="A27" s="32">
        <v>10</v>
      </c>
      <c r="B27" s="32"/>
      <c r="C27" s="32"/>
      <c r="D27" s="32" t="s">
        <v>111</v>
      </c>
      <c r="E27" s="47" t="s">
        <v>101</v>
      </c>
      <c r="F27" s="47"/>
      <c r="G27" s="48" t="s">
        <v>215</v>
      </c>
      <c r="H27" s="48" t="s">
        <v>112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5"/>
      <c r="AF27" s="36"/>
      <c r="AG27" s="49"/>
      <c r="AH27" s="50"/>
    </row>
    <row r="28" spans="1:34" s="10" customFormat="1" x14ac:dyDescent="0.2">
      <c r="A28" s="32">
        <v>10</v>
      </c>
      <c r="B28" s="32"/>
      <c r="C28" s="32"/>
      <c r="D28" s="32" t="s">
        <v>113</v>
      </c>
      <c r="E28" s="47" t="s">
        <v>114</v>
      </c>
      <c r="F28" s="47"/>
      <c r="G28" s="48" t="s">
        <v>216</v>
      </c>
      <c r="H28" s="48" t="s">
        <v>115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5"/>
      <c r="AF28" s="36"/>
      <c r="AG28" s="49"/>
      <c r="AH28" s="50"/>
    </row>
    <row r="29" spans="1:34" s="10" customFormat="1" x14ac:dyDescent="0.2">
      <c r="A29" s="32">
        <v>10</v>
      </c>
      <c r="B29" s="32"/>
      <c r="C29" s="32"/>
      <c r="D29" s="32" t="s">
        <v>116</v>
      </c>
      <c r="E29" s="47" t="s">
        <v>117</v>
      </c>
      <c r="F29" s="47"/>
      <c r="G29" s="48" t="s">
        <v>217</v>
      </c>
      <c r="H29" s="48" t="s">
        <v>118</v>
      </c>
      <c r="I29" s="32"/>
      <c r="J29" s="32" t="s">
        <v>71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5"/>
      <c r="AF29" s="36"/>
      <c r="AG29" s="49"/>
      <c r="AH29" s="50"/>
    </row>
    <row r="30" spans="1:34" s="10" customFormat="1" x14ac:dyDescent="0.2">
      <c r="A30" s="32">
        <v>10</v>
      </c>
      <c r="B30" s="32"/>
      <c r="C30" s="32"/>
      <c r="D30" s="32" t="s">
        <v>119</v>
      </c>
      <c r="E30" s="47" t="s">
        <v>120</v>
      </c>
      <c r="F30" s="47"/>
      <c r="G30" s="48" t="s">
        <v>218</v>
      </c>
      <c r="H30" s="48" t="s">
        <v>121</v>
      </c>
      <c r="I30" s="32"/>
      <c r="J30" s="32" t="s">
        <v>71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5"/>
      <c r="AF30" s="36"/>
      <c r="AG30" s="144"/>
      <c r="AH30" s="145"/>
    </row>
    <row r="31" spans="1:34" s="10" customFormat="1" x14ac:dyDescent="0.2">
      <c r="A31" s="32">
        <v>10</v>
      </c>
      <c r="B31" s="32"/>
      <c r="C31" s="32"/>
      <c r="D31" s="32" t="s">
        <v>122</v>
      </c>
      <c r="E31" s="47" t="s">
        <v>123</v>
      </c>
      <c r="F31" s="47"/>
      <c r="G31" s="48" t="s">
        <v>219</v>
      </c>
      <c r="H31" s="48" t="s">
        <v>124</v>
      </c>
      <c r="I31" s="32"/>
      <c r="J31" s="32" t="s">
        <v>71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5"/>
      <c r="AF31" s="36"/>
      <c r="AG31" s="144"/>
      <c r="AH31" s="145"/>
    </row>
    <row r="32" spans="1:34" s="10" customFormat="1" x14ac:dyDescent="0.2">
      <c r="A32" s="51"/>
      <c r="B32" s="25"/>
      <c r="C32" s="25"/>
      <c r="D32" s="52" t="s">
        <v>16</v>
      </c>
      <c r="E32" s="26"/>
      <c r="F32" s="2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53"/>
    </row>
    <row r="33" spans="1:34" s="10" customFormat="1" x14ac:dyDescent="0.2">
      <c r="A33" s="73"/>
      <c r="AH33" s="54"/>
    </row>
    <row r="34" spans="1:34" s="10" customFormat="1" x14ac:dyDescent="0.2">
      <c r="A34" s="73"/>
      <c r="AH34" s="54"/>
    </row>
    <row r="35" spans="1:34" s="10" customFormat="1" x14ac:dyDescent="0.2">
      <c r="A35" s="73"/>
      <c r="AH35" s="54"/>
    </row>
    <row r="36" spans="1:34" s="10" customFormat="1" x14ac:dyDescent="0.2">
      <c r="A36" s="8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55"/>
    </row>
  </sheetData>
  <mergeCells count="8">
    <mergeCell ref="AG30:AH30"/>
    <mergeCell ref="AG31:AH31"/>
    <mergeCell ref="AG12:AH12"/>
    <mergeCell ref="AG13:AH13"/>
    <mergeCell ref="AG14:AH14"/>
    <mergeCell ref="AG15:AH15"/>
    <mergeCell ref="AG16:AH16"/>
    <mergeCell ref="AG17:AH17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6" bestFit="1" customWidth="1"/>
    <col min="7" max="7" width="30.81640625" style="22" customWidth="1"/>
    <col min="8" max="8" width="18.36328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12.816406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6384" width="9" style="23"/>
  </cols>
  <sheetData>
    <row r="1" spans="1:17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70" t="s">
        <v>17</v>
      </c>
      <c r="B2" s="71"/>
      <c r="C2" s="71"/>
      <c r="D2" s="83" t="s">
        <v>186</v>
      </c>
      <c r="E2" s="7" t="s">
        <v>1</v>
      </c>
      <c r="F2" s="72" t="str">
        <f>IF(LogicCommon!C2="","",LogicCommon!C2)</f>
        <v>MG</v>
      </c>
      <c r="G2" s="7" t="s">
        <v>3</v>
      </c>
      <c r="H2" s="72" t="str">
        <f>IF(LogicCommon!E2="","",LogicCommon!E2)</f>
        <v>MGBDL0050</v>
      </c>
      <c r="I2" s="7" t="s">
        <v>19</v>
      </c>
      <c r="J2" s="32" t="s">
        <v>125</v>
      </c>
      <c r="K2" s="7" t="s">
        <v>5</v>
      </c>
      <c r="L2" s="72" t="str">
        <f>IF(LogicCommon!G2="","",LogicCommon!G2)</f>
        <v>MC</v>
      </c>
      <c r="M2" s="5" t="s">
        <v>21</v>
      </c>
      <c r="N2" s="24" t="s">
        <v>184</v>
      </c>
      <c r="O2" s="7"/>
      <c r="P2" s="7"/>
      <c r="Q2" s="4"/>
    </row>
    <row r="3" spans="1:17" s="10" customFormat="1" x14ac:dyDescent="0.2">
      <c r="A3" s="73" t="s">
        <v>17</v>
      </c>
      <c r="B3" s="74"/>
      <c r="C3" s="74"/>
      <c r="D3" s="75" t="s">
        <v>22</v>
      </c>
      <c r="E3" s="7" t="s">
        <v>7</v>
      </c>
      <c r="F3" s="72" t="str">
        <f>IF(LogicCommon!C3="","",LogicCommon!C3)</f>
        <v>MGBD</v>
      </c>
      <c r="G3" s="7" t="s">
        <v>9</v>
      </c>
      <c r="H3" s="72" t="str">
        <f>IF(LogicCommon!E3="","",LogicCommon!E3)</f>
        <v>MGBDL_CostLogSrch</v>
      </c>
      <c r="I3" s="7" t="s">
        <v>23</v>
      </c>
      <c r="J3" s="32" t="s">
        <v>126</v>
      </c>
      <c r="K3" s="7" t="s">
        <v>11</v>
      </c>
      <c r="L3" s="72" t="str">
        <f>IF(LogicCommon!G3="","",LogicCommon!G3)</f>
        <v/>
      </c>
      <c r="M3" s="76"/>
      <c r="N3" s="7"/>
      <c r="O3" s="7" t="s">
        <v>25</v>
      </c>
      <c r="P3" s="32" t="s">
        <v>26</v>
      </c>
      <c r="Q3" s="4"/>
    </row>
    <row r="4" spans="1:17" s="10" customFormat="1" x14ac:dyDescent="0.2">
      <c r="A4" s="73" t="s">
        <v>17</v>
      </c>
      <c r="B4" s="74"/>
      <c r="C4" s="74"/>
      <c r="D4" s="4"/>
      <c r="E4" s="7" t="s">
        <v>27</v>
      </c>
      <c r="F4" s="77" t="s">
        <v>28</v>
      </c>
      <c r="G4" s="7" t="s">
        <v>12</v>
      </c>
      <c r="H4" s="72" t="str">
        <f>IF(LogicCommon!E4="","",LogicCommon!E4)</f>
        <v>原価計算ログ照会</v>
      </c>
      <c r="I4" s="7" t="s">
        <v>29</v>
      </c>
      <c r="J4" s="32" t="s">
        <v>127</v>
      </c>
      <c r="K4" s="7" t="s">
        <v>14</v>
      </c>
      <c r="L4" s="72" t="str">
        <f>IF(LogicCommon!G4="","",LogicCommon!G4)</f>
        <v>MG.MGUDL5010</v>
      </c>
      <c r="M4" s="78" t="s">
        <v>31</v>
      </c>
      <c r="N4" s="24"/>
      <c r="O4" s="79"/>
      <c r="P4" s="4"/>
      <c r="Q4" s="4"/>
    </row>
    <row r="5" spans="1:17" s="10" customFormat="1" x14ac:dyDescent="0.2">
      <c r="A5" s="80" t="s">
        <v>17</v>
      </c>
      <c r="B5" s="69"/>
      <c r="C5" s="69"/>
      <c r="D5" s="21"/>
      <c r="E5" s="7" t="s">
        <v>32</v>
      </c>
      <c r="F5" s="77"/>
      <c r="G5" s="81"/>
      <c r="H5" s="81"/>
      <c r="I5" s="81"/>
      <c r="J5" s="81"/>
      <c r="K5" s="81"/>
      <c r="L5" s="6"/>
      <c r="M5" s="5"/>
      <c r="N5" s="5"/>
      <c r="O5" s="79"/>
      <c r="P5" s="4"/>
      <c r="Q5" s="4"/>
    </row>
    <row r="6" spans="1:17" s="10" customFormat="1" x14ac:dyDescent="0.2">
      <c r="A6" s="73" t="s">
        <v>17</v>
      </c>
      <c r="B6" s="74"/>
      <c r="C6" s="74"/>
      <c r="D6" s="4" t="s">
        <v>15</v>
      </c>
      <c r="E6" s="12" t="s">
        <v>128</v>
      </c>
      <c r="F6" s="12"/>
      <c r="G6" s="12"/>
      <c r="H6" s="12"/>
      <c r="I6" s="12"/>
      <c r="J6" s="12"/>
      <c r="K6" s="12"/>
      <c r="L6" s="82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129</v>
      </c>
      <c r="B7" s="25"/>
      <c r="C7" s="25"/>
      <c r="D7" s="26"/>
      <c r="E7" s="26"/>
      <c r="F7" s="27"/>
      <c r="G7" s="26"/>
      <c r="H7" s="26"/>
      <c r="I7" s="26" t="s">
        <v>36</v>
      </c>
      <c r="J7" s="26"/>
      <c r="K7" s="32" t="s">
        <v>130</v>
      </c>
      <c r="L7" s="29" t="s">
        <v>131</v>
      </c>
      <c r="M7" s="30"/>
      <c r="N7" s="22"/>
      <c r="O7" s="22"/>
      <c r="P7" s="22"/>
      <c r="Q7" s="22"/>
    </row>
    <row r="8" spans="1:17" s="10" customFormat="1" ht="60" customHeight="1" x14ac:dyDescent="0.2">
      <c r="A8" s="47" t="s">
        <v>35</v>
      </c>
      <c r="B8" s="86"/>
      <c r="C8" s="87"/>
      <c r="D8" s="84" t="s">
        <v>187</v>
      </c>
      <c r="E8" s="84" t="s">
        <v>188</v>
      </c>
      <c r="F8" s="82"/>
      <c r="G8" s="84" t="s">
        <v>43</v>
      </c>
      <c r="H8" s="84" t="s">
        <v>189</v>
      </c>
      <c r="I8" s="82"/>
      <c r="J8" s="3"/>
      <c r="K8" s="32"/>
      <c r="L8" s="29" t="s">
        <v>132</v>
      </c>
      <c r="M8" s="32"/>
      <c r="N8" s="88"/>
      <c r="O8" s="89"/>
      <c r="P8" s="90" t="s">
        <v>198</v>
      </c>
      <c r="Q8" s="91"/>
    </row>
    <row r="9" spans="1:17" s="10" customFormat="1" ht="60" customHeight="1" x14ac:dyDescent="0.2">
      <c r="A9" s="32" t="s">
        <v>35</v>
      </c>
      <c r="B9" s="33"/>
      <c r="C9" s="34"/>
      <c r="D9" s="84" t="s">
        <v>190</v>
      </c>
      <c r="E9" s="92" t="s">
        <v>191</v>
      </c>
      <c r="F9" s="84" t="s">
        <v>192</v>
      </c>
      <c r="G9" s="84" t="s">
        <v>193</v>
      </c>
      <c r="H9" s="84" t="s">
        <v>194</v>
      </c>
      <c r="I9" s="93" t="s">
        <v>195</v>
      </c>
      <c r="J9" s="84" t="s">
        <v>196</v>
      </c>
      <c r="K9" s="83"/>
      <c r="L9" s="29"/>
      <c r="M9" s="29"/>
      <c r="N9" s="90" t="s">
        <v>197</v>
      </c>
      <c r="O9" s="91"/>
      <c r="P9" s="90" t="s">
        <v>199</v>
      </c>
      <c r="Q9" s="91"/>
    </row>
    <row r="10" spans="1:17" s="10" customFormat="1" ht="52" x14ac:dyDescent="0.2">
      <c r="A10" s="37" t="s">
        <v>133</v>
      </c>
      <c r="B10" s="38"/>
      <c r="C10" s="38"/>
      <c r="D10" s="38"/>
      <c r="E10" s="39"/>
      <c r="F10" s="40"/>
      <c r="G10" s="41"/>
      <c r="H10" s="41"/>
      <c r="I10" s="39"/>
      <c r="J10" s="39"/>
      <c r="K10" s="57"/>
      <c r="L10" s="85" t="s">
        <v>195</v>
      </c>
      <c r="M10" s="85" t="s">
        <v>196</v>
      </c>
      <c r="N10" s="39"/>
      <c r="O10" s="39"/>
      <c r="P10" s="41"/>
      <c r="Q10" s="36"/>
    </row>
    <row r="11" spans="1:17" s="10" customFormat="1" x14ac:dyDescent="0.2">
      <c r="A11" s="32">
        <v>10</v>
      </c>
      <c r="B11" s="33" t="s">
        <v>63</v>
      </c>
      <c r="C11" s="34"/>
      <c r="D11" s="24" t="s">
        <v>134</v>
      </c>
      <c r="E11" s="31" t="s">
        <v>135</v>
      </c>
      <c r="F11" s="42"/>
      <c r="G11" s="24" t="s">
        <v>136</v>
      </c>
      <c r="H11" s="43" t="s">
        <v>137</v>
      </c>
      <c r="I11" s="44"/>
      <c r="J11" s="45"/>
      <c r="K11" s="58"/>
      <c r="L11" s="46"/>
      <c r="M11" s="46"/>
      <c r="N11" s="35"/>
      <c r="O11" s="36"/>
      <c r="P11" s="66"/>
      <c r="Q11" s="68"/>
    </row>
    <row r="12" spans="1:17" s="10" customFormat="1" x14ac:dyDescent="0.2">
      <c r="A12" s="32">
        <v>10</v>
      </c>
      <c r="B12" s="32"/>
      <c r="C12" s="32"/>
      <c r="D12" s="32" t="s">
        <v>138</v>
      </c>
      <c r="E12" s="47" t="s">
        <v>69</v>
      </c>
      <c r="F12" s="47"/>
      <c r="G12" s="48" t="s">
        <v>200</v>
      </c>
      <c r="H12" s="48" t="s">
        <v>70</v>
      </c>
      <c r="I12" s="32" t="s">
        <v>71</v>
      </c>
      <c r="J12" s="32"/>
      <c r="K12" s="32"/>
      <c r="L12" s="32"/>
      <c r="M12" s="32"/>
      <c r="N12" s="35"/>
      <c r="O12" s="36"/>
      <c r="P12" s="144"/>
      <c r="Q12" s="145"/>
    </row>
    <row r="13" spans="1:17" s="10" customFormat="1" x14ac:dyDescent="0.2">
      <c r="A13" s="32">
        <v>10</v>
      </c>
      <c r="B13" s="32"/>
      <c r="C13" s="32"/>
      <c r="D13" s="32" t="s">
        <v>139</v>
      </c>
      <c r="E13" s="47" t="s">
        <v>74</v>
      </c>
      <c r="F13" s="47"/>
      <c r="G13" s="48" t="s">
        <v>201</v>
      </c>
      <c r="H13" s="48" t="s">
        <v>75</v>
      </c>
      <c r="I13" s="32" t="s">
        <v>71</v>
      </c>
      <c r="J13" s="32"/>
      <c r="K13" s="32"/>
      <c r="L13" s="32"/>
      <c r="M13" s="32"/>
      <c r="N13" s="35"/>
      <c r="O13" s="36"/>
      <c r="P13" s="144"/>
      <c r="Q13" s="145"/>
    </row>
    <row r="14" spans="1:17" s="10" customFormat="1" x14ac:dyDescent="0.2">
      <c r="A14" s="32">
        <v>10</v>
      </c>
      <c r="B14" s="32"/>
      <c r="C14" s="32"/>
      <c r="D14" s="32" t="s">
        <v>76</v>
      </c>
      <c r="E14" s="47" t="s">
        <v>77</v>
      </c>
      <c r="F14" s="47"/>
      <c r="G14" s="48" t="s">
        <v>202</v>
      </c>
      <c r="H14" s="48" t="s">
        <v>78</v>
      </c>
      <c r="I14" s="32" t="s">
        <v>71</v>
      </c>
      <c r="J14" s="32"/>
      <c r="K14" s="32"/>
      <c r="L14" s="32"/>
      <c r="M14" s="32"/>
      <c r="N14" s="35"/>
      <c r="O14" s="36"/>
      <c r="P14" s="144"/>
      <c r="Q14" s="146"/>
    </row>
    <row r="15" spans="1:17" s="10" customFormat="1" x14ac:dyDescent="0.2">
      <c r="A15" s="32">
        <v>10</v>
      </c>
      <c r="B15" s="32"/>
      <c r="C15" s="32"/>
      <c r="D15" s="32" t="s">
        <v>79</v>
      </c>
      <c r="E15" s="47" t="s">
        <v>140</v>
      </c>
      <c r="F15" s="47"/>
      <c r="G15" s="48" t="s">
        <v>203</v>
      </c>
      <c r="H15" s="48" t="s">
        <v>81</v>
      </c>
      <c r="I15" s="32"/>
      <c r="J15" s="32"/>
      <c r="K15" s="32"/>
      <c r="L15" s="32"/>
      <c r="M15" s="32"/>
      <c r="N15" s="35"/>
      <c r="O15" s="36"/>
      <c r="P15" s="144"/>
      <c r="Q15" s="146"/>
    </row>
    <row r="16" spans="1:17" s="10" customFormat="1" x14ac:dyDescent="0.2">
      <c r="A16" s="32">
        <v>10</v>
      </c>
      <c r="B16" s="32"/>
      <c r="C16" s="32"/>
      <c r="D16" s="32" t="s">
        <v>82</v>
      </c>
      <c r="E16" s="47" t="s">
        <v>83</v>
      </c>
      <c r="F16" s="47"/>
      <c r="G16" s="48" t="s">
        <v>204</v>
      </c>
      <c r="H16" s="48" t="s">
        <v>84</v>
      </c>
      <c r="I16" s="32"/>
      <c r="J16" s="32"/>
      <c r="K16" s="32"/>
      <c r="L16" s="32"/>
      <c r="M16" s="32"/>
      <c r="N16" s="35"/>
      <c r="O16" s="36"/>
      <c r="P16" s="144"/>
      <c r="Q16" s="146"/>
    </row>
    <row r="17" spans="1:17" s="10" customFormat="1" x14ac:dyDescent="0.2">
      <c r="A17" s="32">
        <v>10</v>
      </c>
      <c r="B17" s="32"/>
      <c r="C17" s="32"/>
      <c r="D17" s="32" t="s">
        <v>85</v>
      </c>
      <c r="E17" s="47" t="s">
        <v>86</v>
      </c>
      <c r="F17" s="47"/>
      <c r="G17" s="48" t="s">
        <v>205</v>
      </c>
      <c r="H17" s="48" t="s">
        <v>87</v>
      </c>
      <c r="I17" s="32"/>
      <c r="J17" s="32"/>
      <c r="K17" s="32"/>
      <c r="L17" s="32"/>
      <c r="M17" s="32"/>
      <c r="N17" s="35"/>
      <c r="O17" s="36"/>
      <c r="P17" s="144"/>
      <c r="Q17" s="146"/>
    </row>
    <row r="18" spans="1:17" s="10" customFormat="1" x14ac:dyDescent="0.2">
      <c r="A18" s="32">
        <v>10</v>
      </c>
      <c r="B18" s="32"/>
      <c r="C18" s="32"/>
      <c r="D18" s="32" t="s">
        <v>88</v>
      </c>
      <c r="E18" s="47" t="s">
        <v>89</v>
      </c>
      <c r="F18" s="47"/>
      <c r="G18" s="48" t="s">
        <v>206</v>
      </c>
      <c r="H18" s="48" t="s">
        <v>90</v>
      </c>
      <c r="I18" s="32"/>
      <c r="J18" s="32"/>
      <c r="K18" s="32"/>
      <c r="L18" s="32"/>
      <c r="M18" s="32"/>
      <c r="N18" s="35"/>
      <c r="O18" s="36"/>
      <c r="P18" s="49"/>
      <c r="Q18" s="59"/>
    </row>
    <row r="19" spans="1:17" s="10" customFormat="1" x14ac:dyDescent="0.2">
      <c r="A19" s="32">
        <v>10</v>
      </c>
      <c r="B19" s="32"/>
      <c r="C19" s="32"/>
      <c r="D19" s="32" t="s">
        <v>141</v>
      </c>
      <c r="E19" s="47" t="s">
        <v>92</v>
      </c>
      <c r="F19" s="47"/>
      <c r="G19" s="48" t="s">
        <v>207</v>
      </c>
      <c r="H19" s="48" t="s">
        <v>93</v>
      </c>
      <c r="I19" s="32"/>
      <c r="J19" s="32"/>
      <c r="K19" s="32"/>
      <c r="L19" s="32"/>
      <c r="M19" s="32"/>
      <c r="N19" s="35"/>
      <c r="O19" s="36"/>
      <c r="P19" s="49"/>
      <c r="Q19" s="59"/>
    </row>
    <row r="20" spans="1:17" s="10" customFormat="1" x14ac:dyDescent="0.2">
      <c r="A20" s="32">
        <v>10</v>
      </c>
      <c r="B20" s="32"/>
      <c r="C20" s="32"/>
      <c r="D20" s="32" t="s">
        <v>94</v>
      </c>
      <c r="E20" s="47" t="s">
        <v>95</v>
      </c>
      <c r="F20" s="47"/>
      <c r="G20" s="48" t="s">
        <v>208</v>
      </c>
      <c r="H20" s="48" t="s">
        <v>96</v>
      </c>
      <c r="I20" s="32"/>
      <c r="J20" s="32"/>
      <c r="K20" s="32"/>
      <c r="L20" s="32"/>
      <c r="M20" s="32"/>
      <c r="N20" s="35"/>
      <c r="O20" s="36"/>
      <c r="P20" s="49"/>
      <c r="Q20" s="59"/>
    </row>
    <row r="21" spans="1:17" s="10" customFormat="1" x14ac:dyDescent="0.2">
      <c r="A21" s="32">
        <v>10</v>
      </c>
      <c r="B21" s="32"/>
      <c r="C21" s="32"/>
      <c r="D21" s="32" t="s">
        <v>97</v>
      </c>
      <c r="E21" s="47" t="s">
        <v>98</v>
      </c>
      <c r="F21" s="47"/>
      <c r="G21" s="48" t="s">
        <v>209</v>
      </c>
      <c r="H21" s="48" t="s">
        <v>99</v>
      </c>
      <c r="I21" s="32"/>
      <c r="J21" s="32"/>
      <c r="K21" s="32"/>
      <c r="L21" s="32"/>
      <c r="M21" s="32"/>
      <c r="N21" s="35"/>
      <c r="O21" s="36"/>
      <c r="P21" s="49"/>
      <c r="Q21" s="59"/>
    </row>
    <row r="22" spans="1:17" s="10" customFormat="1" x14ac:dyDescent="0.2">
      <c r="A22" s="32">
        <v>10</v>
      </c>
      <c r="B22" s="32"/>
      <c r="C22" s="32"/>
      <c r="D22" s="32" t="s">
        <v>100</v>
      </c>
      <c r="E22" s="47" t="s">
        <v>101</v>
      </c>
      <c r="F22" s="47"/>
      <c r="G22" s="48" t="s">
        <v>210</v>
      </c>
      <c r="H22" s="48" t="s">
        <v>102</v>
      </c>
      <c r="I22" s="32"/>
      <c r="J22" s="32"/>
      <c r="K22" s="32"/>
      <c r="L22" s="32"/>
      <c r="M22" s="32"/>
      <c r="N22" s="35"/>
      <c r="O22" s="36"/>
      <c r="P22" s="49"/>
      <c r="Q22" s="59"/>
    </row>
    <row r="23" spans="1:17" s="10" customFormat="1" x14ac:dyDescent="0.2">
      <c r="A23" s="32">
        <v>10</v>
      </c>
      <c r="B23" s="32"/>
      <c r="C23" s="32"/>
      <c r="D23" s="32" t="s">
        <v>142</v>
      </c>
      <c r="E23" s="47" t="s">
        <v>89</v>
      </c>
      <c r="F23" s="47"/>
      <c r="G23" s="48" t="s">
        <v>211</v>
      </c>
      <c r="H23" s="48" t="s">
        <v>104</v>
      </c>
      <c r="I23" s="32"/>
      <c r="J23" s="32"/>
      <c r="K23" s="32"/>
      <c r="L23" s="32"/>
      <c r="M23" s="32"/>
      <c r="N23" s="35"/>
      <c r="O23" s="36"/>
      <c r="P23" s="49"/>
      <c r="Q23" s="59"/>
    </row>
    <row r="24" spans="1:17" s="10" customFormat="1" x14ac:dyDescent="0.2">
      <c r="A24" s="32">
        <v>10</v>
      </c>
      <c r="B24" s="32"/>
      <c r="C24" s="32"/>
      <c r="D24" s="32" t="s">
        <v>143</v>
      </c>
      <c r="E24" s="47" t="s">
        <v>92</v>
      </c>
      <c r="F24" s="47"/>
      <c r="G24" s="48" t="s">
        <v>212</v>
      </c>
      <c r="H24" s="48" t="s">
        <v>106</v>
      </c>
      <c r="I24" s="32"/>
      <c r="J24" s="32"/>
      <c r="K24" s="32"/>
      <c r="L24" s="32"/>
      <c r="M24" s="32"/>
      <c r="N24" s="35"/>
      <c r="O24" s="36"/>
      <c r="P24" s="49"/>
      <c r="Q24" s="59"/>
    </row>
    <row r="25" spans="1:17" s="10" customFormat="1" x14ac:dyDescent="0.2">
      <c r="A25" s="32">
        <v>10</v>
      </c>
      <c r="B25" s="32"/>
      <c r="C25" s="32"/>
      <c r="D25" s="32" t="s">
        <v>144</v>
      </c>
      <c r="E25" s="47" t="s">
        <v>95</v>
      </c>
      <c r="F25" s="47"/>
      <c r="G25" s="48" t="s">
        <v>213</v>
      </c>
      <c r="H25" s="48" t="s">
        <v>108</v>
      </c>
      <c r="I25" s="32"/>
      <c r="J25" s="32"/>
      <c r="K25" s="32"/>
      <c r="L25" s="32"/>
      <c r="M25" s="32"/>
      <c r="N25" s="35"/>
      <c r="O25" s="36"/>
      <c r="P25" s="49"/>
      <c r="Q25" s="59"/>
    </row>
    <row r="26" spans="1:17" s="10" customFormat="1" x14ac:dyDescent="0.2">
      <c r="A26" s="32">
        <v>10</v>
      </c>
      <c r="B26" s="32"/>
      <c r="C26" s="32"/>
      <c r="D26" s="32" t="s">
        <v>145</v>
      </c>
      <c r="E26" s="47" t="s">
        <v>98</v>
      </c>
      <c r="F26" s="47"/>
      <c r="G26" s="48" t="s">
        <v>214</v>
      </c>
      <c r="H26" s="48" t="s">
        <v>110</v>
      </c>
      <c r="I26" s="32"/>
      <c r="J26" s="32"/>
      <c r="K26" s="32"/>
      <c r="L26" s="32"/>
      <c r="M26" s="32"/>
      <c r="N26" s="35"/>
      <c r="O26" s="36"/>
      <c r="P26" s="49"/>
      <c r="Q26" s="59"/>
    </row>
    <row r="27" spans="1:17" s="10" customFormat="1" x14ac:dyDescent="0.2">
      <c r="A27" s="32">
        <v>10</v>
      </c>
      <c r="B27" s="32"/>
      <c r="C27" s="32"/>
      <c r="D27" s="32" t="s">
        <v>111</v>
      </c>
      <c r="E27" s="47" t="s">
        <v>101</v>
      </c>
      <c r="F27" s="47"/>
      <c r="G27" s="48" t="s">
        <v>215</v>
      </c>
      <c r="H27" s="48" t="s">
        <v>112</v>
      </c>
      <c r="I27" s="32"/>
      <c r="J27" s="32"/>
      <c r="K27" s="32"/>
      <c r="L27" s="32"/>
      <c r="M27" s="32"/>
      <c r="N27" s="35"/>
      <c r="O27" s="36"/>
      <c r="P27" s="49"/>
      <c r="Q27" s="59"/>
    </row>
    <row r="28" spans="1:17" s="10" customFormat="1" ht="26" x14ac:dyDescent="0.2">
      <c r="A28" s="32">
        <v>10</v>
      </c>
      <c r="B28" s="32"/>
      <c r="C28" s="32"/>
      <c r="D28" s="32" t="s">
        <v>113</v>
      </c>
      <c r="E28" s="47" t="s">
        <v>114</v>
      </c>
      <c r="F28" s="47"/>
      <c r="G28" s="48" t="s">
        <v>216</v>
      </c>
      <c r="H28" s="48" t="s">
        <v>115</v>
      </c>
      <c r="I28" s="32"/>
      <c r="J28" s="32"/>
      <c r="K28" s="32"/>
      <c r="L28" s="32"/>
      <c r="M28" s="32"/>
      <c r="N28" s="35"/>
      <c r="O28" s="36"/>
      <c r="P28" s="49"/>
      <c r="Q28" s="59"/>
    </row>
    <row r="29" spans="1:17" s="10" customFormat="1" x14ac:dyDescent="0.2">
      <c r="A29" s="32">
        <v>10</v>
      </c>
      <c r="B29" s="32"/>
      <c r="C29" s="32"/>
      <c r="D29" s="32" t="s">
        <v>146</v>
      </c>
      <c r="E29" s="47" t="s">
        <v>117</v>
      </c>
      <c r="F29" s="47"/>
      <c r="G29" s="48" t="s">
        <v>217</v>
      </c>
      <c r="H29" s="48" t="s">
        <v>118</v>
      </c>
      <c r="I29" s="32" t="s">
        <v>71</v>
      </c>
      <c r="J29" s="32"/>
      <c r="K29" s="32"/>
      <c r="L29" s="32"/>
      <c r="M29" s="32"/>
      <c r="N29" s="35"/>
      <c r="O29" s="36"/>
      <c r="P29" s="49"/>
      <c r="Q29" s="59"/>
    </row>
    <row r="30" spans="1:17" s="10" customFormat="1" x14ac:dyDescent="0.2">
      <c r="A30" s="32">
        <v>10</v>
      </c>
      <c r="B30" s="32"/>
      <c r="C30" s="32"/>
      <c r="D30" s="32" t="s">
        <v>147</v>
      </c>
      <c r="E30" s="47" t="s">
        <v>120</v>
      </c>
      <c r="F30" s="47"/>
      <c r="G30" s="48" t="s">
        <v>218</v>
      </c>
      <c r="H30" s="48" t="s">
        <v>121</v>
      </c>
      <c r="I30" s="32"/>
      <c r="J30" s="32"/>
      <c r="K30" s="32"/>
      <c r="L30" s="32"/>
      <c r="M30" s="32"/>
      <c r="N30" s="35"/>
      <c r="O30" s="36"/>
      <c r="P30" s="49"/>
      <c r="Q30" s="59"/>
    </row>
    <row r="31" spans="1:17" s="10" customFormat="1" x14ac:dyDescent="0.2">
      <c r="A31" s="32">
        <v>10</v>
      </c>
      <c r="B31" s="32"/>
      <c r="C31" s="32"/>
      <c r="D31" s="32" t="s">
        <v>148</v>
      </c>
      <c r="E31" s="47" t="s">
        <v>123</v>
      </c>
      <c r="F31" s="47"/>
      <c r="G31" s="48" t="s">
        <v>219</v>
      </c>
      <c r="H31" s="48" t="s">
        <v>124</v>
      </c>
      <c r="I31" s="32"/>
      <c r="J31" s="32" t="s">
        <v>71</v>
      </c>
      <c r="K31" s="32"/>
      <c r="L31" s="32"/>
      <c r="M31" s="32"/>
      <c r="N31" s="35"/>
      <c r="O31" s="36"/>
      <c r="P31" s="144"/>
      <c r="Q31" s="145"/>
    </row>
    <row r="32" spans="1:17" s="10" customFormat="1" x14ac:dyDescent="0.2">
      <c r="A32" s="51"/>
      <c r="B32" s="25"/>
      <c r="C32" s="25"/>
      <c r="D32" s="52" t="s">
        <v>16</v>
      </c>
      <c r="E32" s="26"/>
      <c r="F32" s="2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53"/>
    </row>
    <row r="33" spans="1:17" s="10" customFormat="1" x14ac:dyDescent="0.2">
      <c r="A33" s="73"/>
      <c r="Q33" s="54"/>
    </row>
    <row r="34" spans="1:17" s="10" customFormat="1" x14ac:dyDescent="0.2">
      <c r="A34" s="73"/>
      <c r="Q34" s="54"/>
    </row>
    <row r="35" spans="1:17" s="10" customFormat="1" x14ac:dyDescent="0.2">
      <c r="A35" s="73"/>
      <c r="Q35" s="54"/>
    </row>
    <row r="36" spans="1:17" s="10" customFormat="1" x14ac:dyDescent="0.2">
      <c r="A36" s="8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55"/>
    </row>
  </sheetData>
  <mergeCells count="7">
    <mergeCell ref="P31:Q31"/>
    <mergeCell ref="P12:Q12"/>
    <mergeCell ref="P13:Q13"/>
    <mergeCell ref="P14:Q14"/>
    <mergeCell ref="P15:Q15"/>
    <mergeCell ref="P16:Q16"/>
    <mergeCell ref="P17:Q17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4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6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12.816406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6384" width="9" style="23"/>
  </cols>
  <sheetData>
    <row r="1" spans="1:17" s="10" customFormat="1" x14ac:dyDescent="0.2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70" t="s">
        <v>17</v>
      </c>
      <c r="B2" s="71"/>
      <c r="C2" s="71"/>
      <c r="D2" s="83" t="s">
        <v>186</v>
      </c>
      <c r="E2" s="7" t="s">
        <v>1</v>
      </c>
      <c r="F2" s="72" t="str">
        <f>IF(LogicCommon!C2="","",LogicCommon!C2)</f>
        <v>MG</v>
      </c>
      <c r="G2" s="7" t="s">
        <v>3</v>
      </c>
      <c r="H2" s="72" t="str">
        <f>IF(LogicCommon!E2="","",LogicCommon!E2)</f>
        <v>MGBDL0050</v>
      </c>
      <c r="I2" s="7" t="s">
        <v>19</v>
      </c>
      <c r="J2" s="32" t="s">
        <v>149</v>
      </c>
      <c r="K2" s="7" t="s">
        <v>5</v>
      </c>
      <c r="L2" s="72" t="str">
        <f>IF(LogicCommon!G2="","",LogicCommon!G2)</f>
        <v>MC</v>
      </c>
      <c r="M2" s="5" t="s">
        <v>21</v>
      </c>
      <c r="N2" s="24" t="s">
        <v>185</v>
      </c>
      <c r="O2" s="7"/>
      <c r="P2" s="7"/>
      <c r="Q2" s="4"/>
    </row>
    <row r="3" spans="1:17" s="10" customFormat="1" x14ac:dyDescent="0.2">
      <c r="A3" s="73" t="s">
        <v>17</v>
      </c>
      <c r="B3" s="74"/>
      <c r="C3" s="74"/>
      <c r="D3" s="75" t="s">
        <v>22</v>
      </c>
      <c r="E3" s="7" t="s">
        <v>7</v>
      </c>
      <c r="F3" s="72" t="str">
        <f>IF(LogicCommon!C3="","",LogicCommon!C3)</f>
        <v>MGBD</v>
      </c>
      <c r="G3" s="7" t="s">
        <v>9</v>
      </c>
      <c r="H3" s="72" t="str">
        <f>IF(LogicCommon!E3="","",LogicCommon!E3)</f>
        <v>MGBDL_CostLogSrch</v>
      </c>
      <c r="I3" s="7" t="s">
        <v>23</v>
      </c>
      <c r="J3" s="32" t="s">
        <v>150</v>
      </c>
      <c r="K3" s="7" t="s">
        <v>11</v>
      </c>
      <c r="L3" s="72" t="str">
        <f>IF(LogicCommon!G3="","",LogicCommon!G3)</f>
        <v/>
      </c>
      <c r="M3" s="76"/>
      <c r="N3" s="7"/>
      <c r="O3" s="7" t="s">
        <v>25</v>
      </c>
      <c r="P3" s="32" t="s">
        <v>26</v>
      </c>
      <c r="Q3" s="4"/>
    </row>
    <row r="4" spans="1:17" s="10" customFormat="1" x14ac:dyDescent="0.2">
      <c r="A4" s="73" t="s">
        <v>17</v>
      </c>
      <c r="B4" s="74"/>
      <c r="C4" s="74"/>
      <c r="D4" s="4"/>
      <c r="E4" s="7" t="s">
        <v>27</v>
      </c>
      <c r="F4" s="77" t="s">
        <v>28</v>
      </c>
      <c r="G4" s="7" t="s">
        <v>12</v>
      </c>
      <c r="H4" s="72" t="str">
        <f>IF(LogicCommon!E4="","",LogicCommon!E4)</f>
        <v>原価計算ログ照会</v>
      </c>
      <c r="I4" s="7" t="s">
        <v>29</v>
      </c>
      <c r="J4" s="32" t="s">
        <v>151</v>
      </c>
      <c r="K4" s="7" t="s">
        <v>14</v>
      </c>
      <c r="L4" s="72" t="str">
        <f>IF(LogicCommon!G4="","",LogicCommon!G4)</f>
        <v>MG.MGUDL5010</v>
      </c>
      <c r="M4" s="78" t="s">
        <v>31</v>
      </c>
      <c r="N4" s="24"/>
      <c r="O4" s="79"/>
      <c r="P4" s="4"/>
      <c r="Q4" s="4"/>
    </row>
    <row r="5" spans="1:17" s="10" customFormat="1" x14ac:dyDescent="0.2">
      <c r="A5" s="80" t="s">
        <v>17</v>
      </c>
      <c r="B5" s="69"/>
      <c r="C5" s="69"/>
      <c r="D5" s="21"/>
      <c r="E5" s="7" t="s">
        <v>32</v>
      </c>
      <c r="F5" s="77"/>
      <c r="G5" s="81"/>
      <c r="H5" s="81"/>
      <c r="I5" s="81"/>
      <c r="J5" s="81"/>
      <c r="K5" s="81"/>
      <c r="L5" s="6"/>
      <c r="M5" s="5"/>
      <c r="N5" s="5"/>
      <c r="O5" s="79"/>
      <c r="P5" s="4"/>
      <c r="Q5" s="4"/>
    </row>
    <row r="6" spans="1:17" s="10" customFormat="1" x14ac:dyDescent="0.2">
      <c r="A6" s="73" t="s">
        <v>17</v>
      </c>
      <c r="B6" s="74"/>
      <c r="C6" s="74"/>
      <c r="D6" s="4" t="s">
        <v>15</v>
      </c>
      <c r="E6" s="12" t="s">
        <v>152</v>
      </c>
      <c r="F6" s="12"/>
      <c r="G6" s="12"/>
      <c r="H6" s="12"/>
      <c r="I6" s="12"/>
      <c r="J6" s="12"/>
      <c r="K6" s="12"/>
      <c r="L6" s="82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35</v>
      </c>
      <c r="B7" s="25"/>
      <c r="C7" s="25"/>
      <c r="D7" s="26"/>
      <c r="E7" s="26"/>
      <c r="F7" s="27"/>
      <c r="G7" s="26"/>
      <c r="H7" s="26"/>
      <c r="I7" s="26" t="s">
        <v>36</v>
      </c>
      <c r="J7" s="26"/>
      <c r="K7" s="32" t="s">
        <v>153</v>
      </c>
      <c r="L7" s="29" t="s">
        <v>131</v>
      </c>
      <c r="M7" s="30"/>
      <c r="N7" s="22"/>
      <c r="O7" s="22"/>
      <c r="P7" s="22"/>
      <c r="Q7" s="22"/>
    </row>
    <row r="8" spans="1:17" s="10" customFormat="1" ht="60" customHeight="1" x14ac:dyDescent="0.2">
      <c r="A8" s="47" t="s">
        <v>35</v>
      </c>
      <c r="B8" s="86"/>
      <c r="C8" s="87"/>
      <c r="D8" s="84" t="s">
        <v>187</v>
      </c>
      <c r="E8" s="84" t="s">
        <v>188</v>
      </c>
      <c r="F8" s="82"/>
      <c r="G8" s="84" t="s">
        <v>43</v>
      </c>
      <c r="H8" s="84" t="s">
        <v>189</v>
      </c>
      <c r="I8" s="82"/>
      <c r="J8" s="3"/>
      <c r="K8" s="32"/>
      <c r="L8" s="29" t="s">
        <v>62</v>
      </c>
      <c r="M8" s="32"/>
      <c r="N8" s="88"/>
      <c r="O8" s="89"/>
      <c r="P8" s="90" t="s">
        <v>198</v>
      </c>
      <c r="Q8" s="91"/>
    </row>
    <row r="9" spans="1:17" s="10" customFormat="1" ht="60" customHeight="1" x14ac:dyDescent="0.2">
      <c r="A9" s="32" t="s">
        <v>35</v>
      </c>
      <c r="B9" s="33"/>
      <c r="C9" s="34"/>
      <c r="D9" s="84" t="s">
        <v>190</v>
      </c>
      <c r="E9" s="92" t="s">
        <v>191</v>
      </c>
      <c r="F9" s="84" t="s">
        <v>192</v>
      </c>
      <c r="G9" s="84" t="s">
        <v>193</v>
      </c>
      <c r="H9" s="84" t="s">
        <v>194</v>
      </c>
      <c r="I9" s="93" t="s">
        <v>195</v>
      </c>
      <c r="J9" s="84" t="s">
        <v>196</v>
      </c>
      <c r="K9" s="83"/>
      <c r="L9" s="29"/>
      <c r="M9" s="29"/>
      <c r="N9" s="90" t="s">
        <v>197</v>
      </c>
      <c r="O9" s="91"/>
      <c r="P9" s="90" t="s">
        <v>199</v>
      </c>
      <c r="Q9" s="91"/>
    </row>
    <row r="10" spans="1:17" s="10" customFormat="1" ht="52" x14ac:dyDescent="0.2">
      <c r="A10" s="37" t="s">
        <v>35</v>
      </c>
      <c r="B10" s="38"/>
      <c r="C10" s="38"/>
      <c r="D10" s="38"/>
      <c r="E10" s="39"/>
      <c r="F10" s="40"/>
      <c r="G10" s="41"/>
      <c r="H10" s="41"/>
      <c r="I10" s="39"/>
      <c r="J10" s="39"/>
      <c r="K10" s="57"/>
      <c r="L10" s="85" t="s">
        <v>195</v>
      </c>
      <c r="M10" s="85" t="s">
        <v>196</v>
      </c>
      <c r="N10" s="39"/>
      <c r="O10" s="39"/>
      <c r="P10" s="41"/>
      <c r="Q10" s="36"/>
    </row>
    <row r="11" spans="1:17" s="10" customFormat="1" x14ac:dyDescent="0.2">
      <c r="A11" s="32">
        <v>10</v>
      </c>
      <c r="B11" s="33" t="s">
        <v>63</v>
      </c>
      <c r="C11" s="34"/>
      <c r="D11" s="24" t="s">
        <v>154</v>
      </c>
      <c r="E11" s="31" t="s">
        <v>155</v>
      </c>
      <c r="F11" s="42"/>
      <c r="G11" s="24"/>
      <c r="H11" s="43"/>
      <c r="I11" s="44"/>
      <c r="J11" s="45"/>
      <c r="K11" s="58"/>
      <c r="L11" s="32"/>
      <c r="M11" s="32"/>
      <c r="N11" s="35"/>
      <c r="O11" s="36"/>
      <c r="P11" s="66"/>
      <c r="Q11" s="68"/>
    </row>
    <row r="12" spans="1:17" s="10" customFormat="1" x14ac:dyDescent="0.2">
      <c r="A12" s="32">
        <v>10</v>
      </c>
      <c r="B12" s="32"/>
      <c r="C12" s="32"/>
      <c r="D12" s="32" t="s">
        <v>139</v>
      </c>
      <c r="E12" s="47" t="s">
        <v>74</v>
      </c>
      <c r="F12" s="47"/>
      <c r="G12" s="48" t="s">
        <v>201</v>
      </c>
      <c r="H12" s="48" t="s">
        <v>75</v>
      </c>
      <c r="I12" s="32" t="s">
        <v>71</v>
      </c>
      <c r="J12" s="32"/>
      <c r="K12" s="32"/>
      <c r="L12" s="32"/>
      <c r="M12" s="32"/>
      <c r="N12" s="35"/>
      <c r="O12" s="36"/>
      <c r="P12" s="66"/>
      <c r="Q12" s="67"/>
    </row>
    <row r="13" spans="1:17" s="10" customFormat="1" x14ac:dyDescent="0.2">
      <c r="A13" s="32">
        <v>10</v>
      </c>
      <c r="B13" s="32"/>
      <c r="C13" s="32"/>
      <c r="D13" s="32" t="s">
        <v>68</v>
      </c>
      <c r="E13" s="47" t="s">
        <v>69</v>
      </c>
      <c r="F13" s="47"/>
      <c r="G13" s="48" t="s">
        <v>200</v>
      </c>
      <c r="H13" s="48" t="s">
        <v>70</v>
      </c>
      <c r="I13" s="32" t="s">
        <v>71</v>
      </c>
      <c r="J13" s="32"/>
      <c r="K13" s="32"/>
      <c r="L13" s="32"/>
      <c r="M13" s="32"/>
      <c r="N13" s="35"/>
      <c r="O13" s="36"/>
      <c r="P13" s="66"/>
      <c r="Q13" s="67"/>
    </row>
    <row r="14" spans="1:17" s="10" customFormat="1" x14ac:dyDescent="0.2">
      <c r="A14" s="32">
        <v>10</v>
      </c>
      <c r="B14" s="32"/>
      <c r="C14" s="32"/>
      <c r="D14" s="32" t="s">
        <v>79</v>
      </c>
      <c r="E14" s="47" t="s">
        <v>140</v>
      </c>
      <c r="F14" s="47"/>
      <c r="G14" s="48" t="s">
        <v>203</v>
      </c>
      <c r="H14" s="48" t="s">
        <v>81</v>
      </c>
      <c r="I14" s="32" t="s">
        <v>71</v>
      </c>
      <c r="J14" s="32"/>
      <c r="K14" s="32"/>
      <c r="L14" s="32"/>
      <c r="M14" s="32"/>
      <c r="N14" s="35"/>
      <c r="O14" s="36"/>
      <c r="P14" s="66"/>
      <c r="Q14" s="67"/>
    </row>
    <row r="15" spans="1:17" s="10" customFormat="1" x14ac:dyDescent="0.2">
      <c r="A15" s="32">
        <v>10</v>
      </c>
      <c r="B15" s="32"/>
      <c r="C15" s="32"/>
      <c r="D15" s="32" t="s">
        <v>156</v>
      </c>
      <c r="E15" s="47" t="s">
        <v>83</v>
      </c>
      <c r="F15" s="47"/>
      <c r="G15" s="48" t="s">
        <v>220</v>
      </c>
      <c r="H15" s="48" t="s">
        <v>157</v>
      </c>
      <c r="I15" s="32" t="s">
        <v>71</v>
      </c>
      <c r="J15" s="32"/>
      <c r="K15" s="32"/>
      <c r="L15" s="32"/>
      <c r="M15" s="32"/>
      <c r="N15" s="35"/>
      <c r="O15" s="36"/>
      <c r="P15" s="66"/>
      <c r="Q15" s="67"/>
    </row>
    <row r="16" spans="1:17" s="10" customFormat="1" x14ac:dyDescent="0.2">
      <c r="A16" s="32">
        <v>10</v>
      </c>
      <c r="B16" s="32"/>
      <c r="C16" s="32"/>
      <c r="D16" s="32" t="s">
        <v>158</v>
      </c>
      <c r="E16" s="47" t="s">
        <v>83</v>
      </c>
      <c r="F16" s="47"/>
      <c r="G16" s="48" t="s">
        <v>221</v>
      </c>
      <c r="H16" s="48" t="s">
        <v>159</v>
      </c>
      <c r="I16" s="32" t="s">
        <v>71</v>
      </c>
      <c r="J16" s="32"/>
      <c r="K16" s="32"/>
      <c r="L16" s="32"/>
      <c r="M16" s="32"/>
      <c r="N16" s="35"/>
      <c r="O16" s="36"/>
      <c r="P16" s="66"/>
      <c r="Q16" s="67"/>
    </row>
    <row r="17" spans="1:17" s="10" customFormat="1" x14ac:dyDescent="0.2">
      <c r="A17" s="32">
        <v>10</v>
      </c>
      <c r="B17" s="32"/>
      <c r="C17" s="32"/>
      <c r="D17" s="32" t="s">
        <v>160</v>
      </c>
      <c r="E17" s="47" t="s">
        <v>83</v>
      </c>
      <c r="F17" s="47"/>
      <c r="G17" s="48" t="s">
        <v>222</v>
      </c>
      <c r="H17" s="48" t="s">
        <v>161</v>
      </c>
      <c r="I17" s="32" t="s">
        <v>71</v>
      </c>
      <c r="J17" s="32"/>
      <c r="K17" s="32"/>
      <c r="L17" s="32"/>
      <c r="M17" s="32"/>
      <c r="N17" s="35"/>
      <c r="O17" s="36"/>
      <c r="P17" s="66"/>
      <c r="Q17" s="67"/>
    </row>
    <row r="18" spans="1:17" s="10" customFormat="1" ht="52" x14ac:dyDescent="0.2">
      <c r="A18" s="73"/>
      <c r="L18" s="10" t="s">
        <v>195</v>
      </c>
      <c r="M18" s="10" t="s">
        <v>196</v>
      </c>
      <c r="Q18" s="54"/>
    </row>
    <row r="19" spans="1:17" s="10" customFormat="1" x14ac:dyDescent="0.2">
      <c r="A19" s="32">
        <v>20</v>
      </c>
      <c r="B19" s="33" t="s">
        <v>63</v>
      </c>
      <c r="C19" s="34"/>
      <c r="D19" s="24" t="s">
        <v>162</v>
      </c>
      <c r="E19" s="31" t="s">
        <v>18</v>
      </c>
      <c r="F19" s="60"/>
      <c r="G19" s="24"/>
      <c r="H19" s="43"/>
      <c r="I19" s="61"/>
      <c r="J19" s="62"/>
      <c r="K19" s="62"/>
      <c r="L19" s="46"/>
      <c r="M19" s="46"/>
      <c r="N19" s="35"/>
      <c r="O19" s="36"/>
      <c r="P19" s="66"/>
      <c r="Q19" s="68"/>
    </row>
    <row r="20" spans="1:17" s="10" customFormat="1" x14ac:dyDescent="0.2">
      <c r="A20" s="32">
        <v>20</v>
      </c>
      <c r="B20" s="32"/>
      <c r="C20" s="32"/>
      <c r="D20" s="32" t="s">
        <v>68</v>
      </c>
      <c r="E20" s="47" t="s">
        <v>69</v>
      </c>
      <c r="F20" s="47"/>
      <c r="G20" s="48" t="s">
        <v>200</v>
      </c>
      <c r="H20" s="48" t="s">
        <v>70</v>
      </c>
      <c r="I20" s="32"/>
      <c r="J20" s="32" t="s">
        <v>71</v>
      </c>
      <c r="K20" s="32"/>
      <c r="L20" s="32"/>
      <c r="M20" s="32"/>
      <c r="N20" s="35"/>
      <c r="O20" s="36"/>
      <c r="P20" s="66"/>
      <c r="Q20" s="67"/>
    </row>
    <row r="21" spans="1:17" s="10" customFormat="1" x14ac:dyDescent="0.2">
      <c r="A21" s="32">
        <v>20</v>
      </c>
      <c r="B21" s="32"/>
      <c r="C21" s="32"/>
      <c r="D21" s="32" t="s">
        <v>73</v>
      </c>
      <c r="E21" s="47" t="s">
        <v>74</v>
      </c>
      <c r="F21" s="47"/>
      <c r="G21" s="48" t="s">
        <v>201</v>
      </c>
      <c r="H21" s="48" t="s">
        <v>75</v>
      </c>
      <c r="I21" s="32"/>
      <c r="J21" s="32" t="s">
        <v>71</v>
      </c>
      <c r="K21" s="32"/>
      <c r="L21" s="32"/>
      <c r="M21" s="32"/>
      <c r="N21" s="35"/>
      <c r="O21" s="36"/>
      <c r="P21" s="66"/>
      <c r="Q21" s="67"/>
    </row>
    <row r="22" spans="1:17" s="10" customFormat="1" x14ac:dyDescent="0.2">
      <c r="A22" s="32">
        <v>20</v>
      </c>
      <c r="B22" s="32"/>
      <c r="C22" s="32"/>
      <c r="D22" s="32" t="s">
        <v>76</v>
      </c>
      <c r="E22" s="47" t="s">
        <v>77</v>
      </c>
      <c r="F22" s="47"/>
      <c r="G22" s="48" t="s">
        <v>202</v>
      </c>
      <c r="H22" s="48" t="s">
        <v>78</v>
      </c>
      <c r="I22" s="32"/>
      <c r="J22" s="32" t="s">
        <v>71</v>
      </c>
      <c r="K22" s="32"/>
      <c r="L22" s="32"/>
      <c r="M22" s="32"/>
      <c r="N22" s="35"/>
      <c r="O22" s="36"/>
      <c r="P22" s="66"/>
      <c r="Q22" s="67"/>
    </row>
    <row r="23" spans="1:17" s="10" customFormat="1" x14ac:dyDescent="0.2">
      <c r="A23" s="32">
        <v>20</v>
      </c>
      <c r="B23" s="32"/>
      <c r="C23" s="32"/>
      <c r="D23" s="32" t="s">
        <v>79</v>
      </c>
      <c r="E23" s="47" t="s">
        <v>163</v>
      </c>
      <c r="F23" s="47"/>
      <c r="G23" s="48" t="s">
        <v>203</v>
      </c>
      <c r="H23" s="48" t="s">
        <v>81</v>
      </c>
      <c r="I23" s="32"/>
      <c r="J23" s="32" t="s">
        <v>71</v>
      </c>
      <c r="K23" s="32"/>
      <c r="L23" s="32"/>
      <c r="M23" s="32"/>
      <c r="N23" s="35"/>
      <c r="O23" s="36"/>
      <c r="P23" s="66"/>
      <c r="Q23" s="67"/>
    </row>
    <row r="24" spans="1:17" s="10" customFormat="1" x14ac:dyDescent="0.2">
      <c r="A24" s="32">
        <v>20</v>
      </c>
      <c r="B24" s="32"/>
      <c r="C24" s="32"/>
      <c r="D24" s="32" t="s">
        <v>82</v>
      </c>
      <c r="E24" s="47" t="s">
        <v>83</v>
      </c>
      <c r="F24" s="47"/>
      <c r="G24" s="48" t="s">
        <v>204</v>
      </c>
      <c r="H24" s="48" t="s">
        <v>84</v>
      </c>
      <c r="I24" s="32"/>
      <c r="J24" s="32" t="s">
        <v>71</v>
      </c>
      <c r="K24" s="32"/>
      <c r="L24" s="32"/>
      <c r="M24" s="32"/>
      <c r="N24" s="35"/>
      <c r="O24" s="36"/>
      <c r="P24" s="66"/>
      <c r="Q24" s="67"/>
    </row>
    <row r="25" spans="1:17" s="10" customFormat="1" x14ac:dyDescent="0.2">
      <c r="A25" s="32">
        <v>20</v>
      </c>
      <c r="B25" s="32"/>
      <c r="C25" s="32"/>
      <c r="D25" s="32" t="s">
        <v>85</v>
      </c>
      <c r="E25" s="47" t="s">
        <v>164</v>
      </c>
      <c r="F25" s="47"/>
      <c r="G25" s="48" t="s">
        <v>205</v>
      </c>
      <c r="H25" s="48" t="s">
        <v>87</v>
      </c>
      <c r="I25" s="32"/>
      <c r="J25" s="32" t="s">
        <v>71</v>
      </c>
      <c r="K25" s="32"/>
      <c r="L25" s="32"/>
      <c r="M25" s="32"/>
      <c r="N25" s="35"/>
      <c r="O25" s="36"/>
      <c r="P25" s="66"/>
      <c r="Q25" s="67"/>
    </row>
    <row r="26" spans="1:17" s="10" customFormat="1" x14ac:dyDescent="0.2">
      <c r="A26" s="32">
        <v>20</v>
      </c>
      <c r="B26" s="32"/>
      <c r="C26" s="32"/>
      <c r="D26" s="32" t="s">
        <v>165</v>
      </c>
      <c r="E26" s="47" t="s">
        <v>89</v>
      </c>
      <c r="F26" s="47"/>
      <c r="G26" s="48" t="s">
        <v>206</v>
      </c>
      <c r="H26" s="48" t="s">
        <v>90</v>
      </c>
      <c r="I26" s="32"/>
      <c r="J26" s="32" t="s">
        <v>71</v>
      </c>
      <c r="K26" s="32"/>
      <c r="L26" s="32"/>
      <c r="M26" s="32"/>
      <c r="N26" s="35"/>
      <c r="O26" s="36"/>
      <c r="P26" s="66"/>
      <c r="Q26" s="67"/>
    </row>
    <row r="27" spans="1:17" s="10" customFormat="1" x14ac:dyDescent="0.2">
      <c r="A27" s="32">
        <v>20</v>
      </c>
      <c r="B27" s="32"/>
      <c r="C27" s="32"/>
      <c r="D27" s="32" t="s">
        <v>141</v>
      </c>
      <c r="E27" s="47" t="s">
        <v>92</v>
      </c>
      <c r="F27" s="47"/>
      <c r="G27" s="48" t="s">
        <v>207</v>
      </c>
      <c r="H27" s="48" t="s">
        <v>93</v>
      </c>
      <c r="I27" s="32"/>
      <c r="J27" s="32" t="s">
        <v>71</v>
      </c>
      <c r="K27" s="32"/>
      <c r="L27" s="32"/>
      <c r="M27" s="32"/>
      <c r="N27" s="35"/>
      <c r="O27" s="36"/>
      <c r="P27" s="66"/>
      <c r="Q27" s="67"/>
    </row>
    <row r="28" spans="1:17" s="10" customFormat="1" x14ac:dyDescent="0.2">
      <c r="A28" s="32">
        <v>20</v>
      </c>
      <c r="B28" s="32"/>
      <c r="C28" s="32"/>
      <c r="D28" s="32" t="s">
        <v>166</v>
      </c>
      <c r="E28" s="47" t="s">
        <v>95</v>
      </c>
      <c r="F28" s="47"/>
      <c r="G28" s="48" t="s">
        <v>208</v>
      </c>
      <c r="H28" s="48" t="s">
        <v>96</v>
      </c>
      <c r="I28" s="32"/>
      <c r="J28" s="32" t="s">
        <v>71</v>
      </c>
      <c r="K28" s="32"/>
      <c r="L28" s="32"/>
      <c r="M28" s="32"/>
      <c r="N28" s="35"/>
      <c r="O28" s="36"/>
      <c r="P28" s="66"/>
      <c r="Q28" s="67"/>
    </row>
    <row r="29" spans="1:17" s="10" customFormat="1" x14ac:dyDescent="0.2">
      <c r="A29" s="32">
        <v>20</v>
      </c>
      <c r="B29" s="32"/>
      <c r="C29" s="32"/>
      <c r="D29" s="32" t="s">
        <v>167</v>
      </c>
      <c r="E29" s="47" t="s">
        <v>98</v>
      </c>
      <c r="F29" s="47"/>
      <c r="G29" s="48" t="s">
        <v>209</v>
      </c>
      <c r="H29" s="48" t="s">
        <v>99</v>
      </c>
      <c r="I29" s="32"/>
      <c r="J29" s="32" t="s">
        <v>71</v>
      </c>
      <c r="K29" s="32"/>
      <c r="L29" s="32"/>
      <c r="M29" s="32"/>
      <c r="N29" s="35"/>
      <c r="O29" s="36"/>
      <c r="P29" s="66"/>
      <c r="Q29" s="67"/>
    </row>
    <row r="30" spans="1:17" s="10" customFormat="1" x14ac:dyDescent="0.2">
      <c r="A30" s="32">
        <v>20</v>
      </c>
      <c r="B30" s="32"/>
      <c r="C30" s="32"/>
      <c r="D30" s="32" t="s">
        <v>168</v>
      </c>
      <c r="E30" s="47" t="s">
        <v>101</v>
      </c>
      <c r="F30" s="47"/>
      <c r="G30" s="48" t="s">
        <v>210</v>
      </c>
      <c r="H30" s="48" t="s">
        <v>102</v>
      </c>
      <c r="I30" s="32"/>
      <c r="J30" s="32" t="s">
        <v>71</v>
      </c>
      <c r="K30" s="32"/>
      <c r="L30" s="32"/>
      <c r="M30" s="32"/>
      <c r="N30" s="35"/>
      <c r="O30" s="36"/>
      <c r="P30" s="66"/>
      <c r="Q30" s="67"/>
    </row>
    <row r="31" spans="1:17" s="10" customFormat="1" x14ac:dyDescent="0.2">
      <c r="A31" s="32">
        <v>20</v>
      </c>
      <c r="B31" s="32"/>
      <c r="C31" s="32"/>
      <c r="D31" s="32" t="s">
        <v>169</v>
      </c>
      <c r="E31" s="47" t="s">
        <v>89</v>
      </c>
      <c r="F31" s="47"/>
      <c r="G31" s="48" t="s">
        <v>211</v>
      </c>
      <c r="H31" s="48" t="s">
        <v>104</v>
      </c>
      <c r="I31" s="32"/>
      <c r="J31" s="32" t="s">
        <v>71</v>
      </c>
      <c r="K31" s="32"/>
      <c r="L31" s="32"/>
      <c r="M31" s="32"/>
      <c r="N31" s="35"/>
      <c r="O31" s="36"/>
      <c r="P31" s="66"/>
      <c r="Q31" s="67"/>
    </row>
    <row r="32" spans="1:17" s="10" customFormat="1" x14ac:dyDescent="0.2">
      <c r="A32" s="32">
        <v>20</v>
      </c>
      <c r="B32" s="32"/>
      <c r="C32" s="32"/>
      <c r="D32" s="32" t="s">
        <v>143</v>
      </c>
      <c r="E32" s="47" t="s">
        <v>92</v>
      </c>
      <c r="F32" s="47"/>
      <c r="G32" s="48" t="s">
        <v>212</v>
      </c>
      <c r="H32" s="48" t="s">
        <v>106</v>
      </c>
      <c r="I32" s="32"/>
      <c r="J32" s="32" t="s">
        <v>71</v>
      </c>
      <c r="K32" s="32"/>
      <c r="L32" s="32"/>
      <c r="M32" s="32"/>
      <c r="N32" s="35"/>
      <c r="O32" s="36"/>
      <c r="P32" s="66"/>
      <c r="Q32" s="67"/>
    </row>
    <row r="33" spans="1:17" s="10" customFormat="1" x14ac:dyDescent="0.2">
      <c r="A33" s="32">
        <v>20</v>
      </c>
      <c r="B33" s="32"/>
      <c r="C33" s="32"/>
      <c r="D33" s="32" t="s">
        <v>170</v>
      </c>
      <c r="E33" s="47" t="s">
        <v>95</v>
      </c>
      <c r="F33" s="47"/>
      <c r="G33" s="48" t="s">
        <v>213</v>
      </c>
      <c r="H33" s="48" t="s">
        <v>108</v>
      </c>
      <c r="I33" s="32"/>
      <c r="J33" s="32" t="s">
        <v>71</v>
      </c>
      <c r="K33" s="32"/>
      <c r="L33" s="32"/>
      <c r="M33" s="32"/>
      <c r="N33" s="35"/>
      <c r="O33" s="36"/>
      <c r="P33" s="66"/>
      <c r="Q33" s="67"/>
    </row>
    <row r="34" spans="1:17" s="10" customFormat="1" x14ac:dyDescent="0.2">
      <c r="A34" s="32">
        <v>20</v>
      </c>
      <c r="B34" s="32"/>
      <c r="C34" s="32"/>
      <c r="D34" s="32" t="s">
        <v>109</v>
      </c>
      <c r="E34" s="47" t="s">
        <v>98</v>
      </c>
      <c r="F34" s="47"/>
      <c r="G34" s="48" t="s">
        <v>214</v>
      </c>
      <c r="H34" s="48" t="s">
        <v>110</v>
      </c>
      <c r="I34" s="32"/>
      <c r="J34" s="32" t="s">
        <v>71</v>
      </c>
      <c r="K34" s="32"/>
      <c r="L34" s="32"/>
      <c r="M34" s="32"/>
      <c r="N34" s="35"/>
      <c r="O34" s="36"/>
      <c r="P34" s="66"/>
      <c r="Q34" s="67"/>
    </row>
    <row r="35" spans="1:17" s="10" customFormat="1" x14ac:dyDescent="0.2">
      <c r="A35" s="32">
        <v>20</v>
      </c>
      <c r="B35" s="32"/>
      <c r="C35" s="32"/>
      <c r="D35" s="32" t="s">
        <v>171</v>
      </c>
      <c r="E35" s="47" t="s">
        <v>101</v>
      </c>
      <c r="F35" s="47"/>
      <c r="G35" s="48" t="s">
        <v>215</v>
      </c>
      <c r="H35" s="48" t="s">
        <v>112</v>
      </c>
      <c r="I35" s="32"/>
      <c r="J35" s="32" t="s">
        <v>71</v>
      </c>
      <c r="K35" s="32"/>
      <c r="L35" s="32"/>
      <c r="M35" s="32"/>
      <c r="N35" s="35"/>
      <c r="O35" s="36"/>
      <c r="P35" s="66"/>
      <c r="Q35" s="67"/>
    </row>
    <row r="36" spans="1:17" s="10" customFormat="1" x14ac:dyDescent="0.2">
      <c r="A36" s="32">
        <v>20</v>
      </c>
      <c r="B36" s="32"/>
      <c r="C36" s="32"/>
      <c r="D36" s="32" t="s">
        <v>172</v>
      </c>
      <c r="E36" s="47" t="s">
        <v>114</v>
      </c>
      <c r="F36" s="47"/>
      <c r="G36" s="48" t="s">
        <v>216</v>
      </c>
      <c r="H36" s="48" t="s">
        <v>115</v>
      </c>
      <c r="I36" s="32"/>
      <c r="J36" s="32" t="s">
        <v>71</v>
      </c>
      <c r="K36" s="32"/>
      <c r="L36" s="32"/>
      <c r="M36" s="32"/>
      <c r="N36" s="35"/>
      <c r="O36" s="36"/>
      <c r="P36" s="66"/>
      <c r="Q36" s="67"/>
    </row>
    <row r="37" spans="1:17" s="10" customFormat="1" x14ac:dyDescent="0.2">
      <c r="A37" s="32">
        <v>20</v>
      </c>
      <c r="B37" s="32"/>
      <c r="C37" s="32"/>
      <c r="D37" s="32" t="s">
        <v>173</v>
      </c>
      <c r="E37" s="47" t="s">
        <v>117</v>
      </c>
      <c r="F37" s="47"/>
      <c r="G37" s="48" t="s">
        <v>217</v>
      </c>
      <c r="H37" s="48" t="s">
        <v>118</v>
      </c>
      <c r="I37" s="32"/>
      <c r="J37" s="32" t="s">
        <v>71</v>
      </c>
      <c r="K37" s="32"/>
      <c r="L37" s="32"/>
      <c r="M37" s="32"/>
      <c r="N37" s="35"/>
      <c r="O37" s="36"/>
      <c r="P37" s="66"/>
      <c r="Q37" s="67"/>
    </row>
    <row r="38" spans="1:17" s="10" customFormat="1" x14ac:dyDescent="0.2">
      <c r="A38" s="32">
        <v>20</v>
      </c>
      <c r="B38" s="32"/>
      <c r="C38" s="32"/>
      <c r="D38" s="32" t="s">
        <v>174</v>
      </c>
      <c r="E38" s="47" t="s">
        <v>120</v>
      </c>
      <c r="F38" s="47"/>
      <c r="G38" s="48" t="s">
        <v>218</v>
      </c>
      <c r="H38" s="48" t="s">
        <v>121</v>
      </c>
      <c r="I38" s="32"/>
      <c r="J38" s="32"/>
      <c r="K38" s="32"/>
      <c r="L38" s="32"/>
      <c r="M38" s="32"/>
      <c r="N38" s="35"/>
      <c r="O38" s="36"/>
      <c r="P38" s="66"/>
      <c r="Q38" s="67"/>
    </row>
    <row r="39" spans="1:17" s="10" customFormat="1" x14ac:dyDescent="0.2">
      <c r="A39" s="32">
        <v>20</v>
      </c>
      <c r="B39" s="32"/>
      <c r="C39" s="32"/>
      <c r="D39" s="32" t="s">
        <v>175</v>
      </c>
      <c r="E39" s="47" t="s">
        <v>123</v>
      </c>
      <c r="F39" s="47"/>
      <c r="G39" s="48" t="s">
        <v>219</v>
      </c>
      <c r="H39" s="48" t="s">
        <v>124</v>
      </c>
      <c r="I39" s="32"/>
      <c r="J39" s="32"/>
      <c r="K39" s="32"/>
      <c r="L39" s="32"/>
      <c r="M39" s="32"/>
      <c r="N39" s="35"/>
      <c r="O39" s="36"/>
      <c r="P39" s="66"/>
      <c r="Q39" s="67"/>
    </row>
    <row r="40" spans="1:17" s="10" customFormat="1" x14ac:dyDescent="0.2">
      <c r="A40" s="51"/>
      <c r="B40" s="25"/>
      <c r="C40" s="25"/>
      <c r="D40" s="52" t="s">
        <v>16</v>
      </c>
      <c r="E40" s="26"/>
      <c r="F40" s="2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53"/>
    </row>
    <row r="41" spans="1:17" s="10" customFormat="1" x14ac:dyDescent="0.2">
      <c r="A41" s="73"/>
      <c r="Q41" s="54"/>
    </row>
    <row r="42" spans="1:17" s="10" customFormat="1" x14ac:dyDescent="0.2">
      <c r="A42" s="73"/>
      <c r="Q42" s="54"/>
    </row>
    <row r="43" spans="1:17" s="10" customFormat="1" x14ac:dyDescent="0.2">
      <c r="A43" s="73"/>
      <c r="Q43" s="54"/>
    </row>
    <row r="44" spans="1:17" s="10" customFormat="1" x14ac:dyDescent="0.2">
      <c r="A44" s="8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55"/>
    </row>
  </sheetData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57" width="2.08984375" style="63" customWidth="1"/>
    <col min="58" max="16384" width="9" style="63"/>
  </cols>
  <sheetData>
    <row r="1" spans="1:57" ht="38.25" customHeight="1" thickBot="1" x14ac:dyDescent="0.25">
      <c r="A1" s="94" t="s">
        <v>176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97" t="s">
        <v>177</v>
      </c>
      <c r="B3" s="98"/>
      <c r="C3" s="98"/>
      <c r="D3" s="98"/>
      <c r="E3" s="98"/>
      <c r="F3" s="98"/>
      <c r="G3" s="99"/>
      <c r="H3" s="100" t="s">
        <v>178</v>
      </c>
      <c r="I3" s="98"/>
      <c r="J3" s="98"/>
      <c r="K3" s="98"/>
      <c r="L3" s="98"/>
      <c r="M3" s="98"/>
      <c r="N3" s="99"/>
      <c r="O3" s="100" t="s">
        <v>179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180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181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115">
        <v>1.1000000000000001</v>
      </c>
      <c r="B5" s="116"/>
      <c r="C5" s="116"/>
      <c r="D5" s="116"/>
      <c r="E5" s="116"/>
      <c r="F5" s="116"/>
      <c r="G5" s="117"/>
      <c r="H5" s="121"/>
      <c r="I5" s="122"/>
      <c r="J5" s="122"/>
      <c r="K5" s="122"/>
      <c r="L5" s="122"/>
      <c r="M5" s="122"/>
      <c r="N5" s="123"/>
      <c r="O5" s="128" t="s">
        <v>223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224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 ht="15" customHeight="1" x14ac:dyDescent="0.2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21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7"/>
      <c r="AQ6" s="124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6"/>
    </row>
    <row r="7" spans="1:57" ht="15" customHeight="1" x14ac:dyDescent="0.2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21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3"/>
      <c r="AQ7" s="124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6"/>
    </row>
    <row r="8" spans="1:57" ht="15" customHeight="1" x14ac:dyDescent="0.2">
      <c r="A8" s="115"/>
      <c r="B8" s="116"/>
      <c r="C8" s="116"/>
      <c r="D8" s="116"/>
      <c r="E8" s="116"/>
      <c r="F8" s="116"/>
      <c r="G8" s="117"/>
      <c r="H8" s="121"/>
      <c r="I8" s="122"/>
      <c r="J8" s="122"/>
      <c r="K8" s="122"/>
      <c r="L8" s="122"/>
      <c r="M8" s="122"/>
      <c r="N8" s="123"/>
      <c r="O8" s="121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7"/>
      <c r="AQ8" s="124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6"/>
    </row>
    <row r="9" spans="1:57" ht="15" customHeight="1" x14ac:dyDescent="0.2">
      <c r="A9" s="115"/>
      <c r="B9" s="116"/>
      <c r="C9" s="116"/>
      <c r="D9" s="116"/>
      <c r="E9" s="116"/>
      <c r="F9" s="116"/>
      <c r="G9" s="117"/>
      <c r="H9" s="121"/>
      <c r="I9" s="122"/>
      <c r="J9" s="122"/>
      <c r="K9" s="122"/>
      <c r="L9" s="122"/>
      <c r="M9" s="122"/>
      <c r="N9" s="123"/>
      <c r="O9" s="121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7"/>
      <c r="AQ9" s="124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6"/>
    </row>
    <row r="10" spans="1:57" ht="15" customHeight="1" x14ac:dyDescent="0.2">
      <c r="A10" s="115"/>
      <c r="B10" s="116"/>
      <c r="C10" s="116"/>
      <c r="D10" s="116"/>
      <c r="E10" s="116"/>
      <c r="F10" s="116"/>
      <c r="G10" s="117"/>
      <c r="H10" s="121"/>
      <c r="I10" s="122"/>
      <c r="J10" s="122"/>
      <c r="K10" s="122"/>
      <c r="L10" s="122"/>
      <c r="M10" s="122"/>
      <c r="N10" s="123"/>
      <c r="O10" s="121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7"/>
      <c r="AQ10" s="12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6"/>
    </row>
    <row r="11" spans="1:57" ht="15" customHeight="1" x14ac:dyDescent="0.2">
      <c r="A11" s="115"/>
      <c r="B11" s="116"/>
      <c r="C11" s="116"/>
      <c r="D11" s="116"/>
      <c r="E11" s="116"/>
      <c r="F11" s="116"/>
      <c r="G11" s="117"/>
      <c r="H11" s="121"/>
      <c r="I11" s="122"/>
      <c r="J11" s="122"/>
      <c r="K11" s="122"/>
      <c r="L11" s="122"/>
      <c r="M11" s="122"/>
      <c r="N11" s="123"/>
      <c r="O11" s="121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7"/>
      <c r="AQ11" s="124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6"/>
    </row>
    <row r="12" spans="1:57" ht="15" customHeight="1" x14ac:dyDescent="0.2">
      <c r="A12" s="115"/>
      <c r="B12" s="116"/>
      <c r="C12" s="116"/>
      <c r="D12" s="116"/>
      <c r="E12" s="116"/>
      <c r="F12" s="116"/>
      <c r="G12" s="117"/>
      <c r="H12" s="121"/>
      <c r="I12" s="122"/>
      <c r="J12" s="122"/>
      <c r="K12" s="122"/>
      <c r="L12" s="122"/>
      <c r="M12" s="122"/>
      <c r="N12" s="123"/>
      <c r="O12" s="121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7"/>
      <c r="AQ12" s="124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6"/>
    </row>
    <row r="13" spans="1:57" ht="15" customHeight="1" x14ac:dyDescent="0.2">
      <c r="A13" s="115"/>
      <c r="B13" s="116"/>
      <c r="C13" s="116"/>
      <c r="D13" s="116"/>
      <c r="E13" s="116"/>
      <c r="F13" s="116"/>
      <c r="G13" s="117"/>
      <c r="H13" s="121"/>
      <c r="I13" s="122"/>
      <c r="J13" s="122"/>
      <c r="K13" s="122"/>
      <c r="L13" s="122"/>
      <c r="M13" s="122"/>
      <c r="N13" s="123"/>
      <c r="O13" s="121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7"/>
      <c r="AQ13" s="124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6"/>
    </row>
    <row r="14" spans="1:57" ht="15" customHeight="1" x14ac:dyDescent="0.2">
      <c r="A14" s="115"/>
      <c r="B14" s="116"/>
      <c r="C14" s="116"/>
      <c r="D14" s="116"/>
      <c r="E14" s="116"/>
      <c r="F14" s="116"/>
      <c r="G14" s="117"/>
      <c r="H14" s="121"/>
      <c r="I14" s="122"/>
      <c r="J14" s="122"/>
      <c r="K14" s="122"/>
      <c r="L14" s="122"/>
      <c r="M14" s="122"/>
      <c r="N14" s="123"/>
      <c r="O14" s="121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7"/>
      <c r="AQ14" s="124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6"/>
    </row>
    <row r="15" spans="1:57" ht="15" customHeight="1" x14ac:dyDescent="0.2">
      <c r="A15" s="115"/>
      <c r="B15" s="116"/>
      <c r="C15" s="116"/>
      <c r="D15" s="116"/>
      <c r="E15" s="116"/>
      <c r="F15" s="116"/>
      <c r="G15" s="117"/>
      <c r="H15" s="121"/>
      <c r="I15" s="122"/>
      <c r="J15" s="122"/>
      <c r="K15" s="122"/>
      <c r="L15" s="122"/>
      <c r="M15" s="122"/>
      <c r="N15" s="123"/>
      <c r="O15" s="121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7"/>
      <c r="AQ15" s="124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6"/>
    </row>
    <row r="16" spans="1:57" ht="15" customHeight="1" x14ac:dyDescent="0.2">
      <c r="A16" s="115"/>
      <c r="B16" s="116"/>
      <c r="C16" s="116"/>
      <c r="D16" s="116"/>
      <c r="E16" s="116"/>
      <c r="F16" s="116"/>
      <c r="G16" s="117"/>
      <c r="H16" s="121"/>
      <c r="I16" s="122"/>
      <c r="J16" s="122"/>
      <c r="K16" s="122"/>
      <c r="L16" s="122"/>
      <c r="M16" s="122"/>
      <c r="N16" s="123"/>
      <c r="O16" s="121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7"/>
      <c r="AQ16" s="124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6"/>
    </row>
    <row r="17" spans="1:57" ht="15" customHeight="1" x14ac:dyDescent="0.2">
      <c r="A17" s="115"/>
      <c r="B17" s="116"/>
      <c r="C17" s="116"/>
      <c r="D17" s="116"/>
      <c r="E17" s="116"/>
      <c r="F17" s="116"/>
      <c r="G17" s="117"/>
      <c r="H17" s="121"/>
      <c r="I17" s="122"/>
      <c r="J17" s="122"/>
      <c r="K17" s="122"/>
      <c r="L17" s="122"/>
      <c r="M17" s="122"/>
      <c r="N17" s="123"/>
      <c r="O17" s="121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7"/>
      <c r="AQ17" s="124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6"/>
    </row>
    <row r="18" spans="1:57" ht="15" customHeight="1" x14ac:dyDescent="0.2">
      <c r="A18" s="115"/>
      <c r="B18" s="116"/>
      <c r="C18" s="116"/>
      <c r="D18" s="116"/>
      <c r="E18" s="116"/>
      <c r="F18" s="116"/>
      <c r="G18" s="117"/>
      <c r="H18" s="121"/>
      <c r="I18" s="122"/>
      <c r="J18" s="122"/>
      <c r="K18" s="122"/>
      <c r="L18" s="122"/>
      <c r="M18" s="122"/>
      <c r="N18" s="123"/>
      <c r="O18" s="121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7"/>
      <c r="AQ18" s="124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6"/>
    </row>
    <row r="19" spans="1:57" ht="15" customHeight="1" x14ac:dyDescent="0.2">
      <c r="A19" s="115"/>
      <c r="B19" s="116"/>
      <c r="C19" s="116"/>
      <c r="D19" s="116"/>
      <c r="E19" s="116"/>
      <c r="F19" s="116"/>
      <c r="G19" s="117"/>
      <c r="H19" s="121"/>
      <c r="I19" s="122"/>
      <c r="J19" s="122"/>
      <c r="K19" s="122"/>
      <c r="L19" s="122"/>
      <c r="M19" s="122"/>
      <c r="N19" s="123"/>
      <c r="O19" s="121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7"/>
      <c r="AQ19" s="124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6"/>
    </row>
    <row r="20" spans="1:57" ht="15" customHeight="1" x14ac:dyDescent="0.2">
      <c r="A20" s="115"/>
      <c r="B20" s="116"/>
      <c r="C20" s="116"/>
      <c r="D20" s="116"/>
      <c r="E20" s="116"/>
      <c r="F20" s="116"/>
      <c r="G20" s="117"/>
      <c r="H20" s="121"/>
      <c r="I20" s="122"/>
      <c r="J20" s="122"/>
      <c r="K20" s="122"/>
      <c r="L20" s="122"/>
      <c r="M20" s="122"/>
      <c r="N20" s="123"/>
      <c r="O20" s="121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7"/>
      <c r="AQ20" s="124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6"/>
    </row>
    <row r="21" spans="1:57" ht="15" customHeight="1" x14ac:dyDescent="0.2">
      <c r="A21" s="115"/>
      <c r="B21" s="116"/>
      <c r="C21" s="116"/>
      <c r="D21" s="116"/>
      <c r="E21" s="116"/>
      <c r="F21" s="116"/>
      <c r="G21" s="117"/>
      <c r="H21" s="121"/>
      <c r="I21" s="122"/>
      <c r="J21" s="122"/>
      <c r="K21" s="122"/>
      <c r="L21" s="122"/>
      <c r="M21" s="122"/>
      <c r="N21" s="123"/>
      <c r="O21" s="121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7"/>
      <c r="AQ21" s="124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6"/>
    </row>
    <row r="22" spans="1:57" ht="15" customHeight="1" x14ac:dyDescent="0.2">
      <c r="A22" s="115"/>
      <c r="B22" s="116"/>
      <c r="C22" s="116"/>
      <c r="D22" s="116"/>
      <c r="E22" s="116"/>
      <c r="F22" s="116"/>
      <c r="G22" s="117"/>
      <c r="H22" s="121"/>
      <c r="I22" s="122"/>
      <c r="J22" s="122"/>
      <c r="K22" s="122"/>
      <c r="L22" s="122"/>
      <c r="M22" s="122"/>
      <c r="N22" s="123"/>
      <c r="O22" s="121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7"/>
      <c r="AQ22" s="124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6"/>
    </row>
    <row r="23" spans="1:57" ht="15" customHeight="1" x14ac:dyDescent="0.2">
      <c r="A23" s="115"/>
      <c r="B23" s="116"/>
      <c r="C23" s="116"/>
      <c r="D23" s="116"/>
      <c r="E23" s="116"/>
      <c r="F23" s="116"/>
      <c r="G23" s="117"/>
      <c r="H23" s="121"/>
      <c r="I23" s="122"/>
      <c r="J23" s="122"/>
      <c r="K23" s="122"/>
      <c r="L23" s="122"/>
      <c r="M23" s="122"/>
      <c r="N23" s="123"/>
      <c r="O23" s="121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7"/>
      <c r="AQ23" s="124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6"/>
    </row>
    <row r="24" spans="1:57" ht="15" customHeight="1" x14ac:dyDescent="0.2">
      <c r="A24" s="115"/>
      <c r="B24" s="116"/>
      <c r="C24" s="116"/>
      <c r="D24" s="116"/>
      <c r="E24" s="116"/>
      <c r="F24" s="116"/>
      <c r="G24" s="117"/>
      <c r="H24" s="121"/>
      <c r="I24" s="122"/>
      <c r="J24" s="122"/>
      <c r="K24" s="122"/>
      <c r="L24" s="122"/>
      <c r="M24" s="122"/>
      <c r="N24" s="123"/>
      <c r="O24" s="121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7"/>
      <c r="AQ24" s="124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6"/>
    </row>
    <row r="25" spans="1:57" ht="15" customHeight="1" x14ac:dyDescent="0.2">
      <c r="A25" s="115"/>
      <c r="B25" s="116"/>
      <c r="C25" s="116"/>
      <c r="D25" s="116"/>
      <c r="E25" s="116"/>
      <c r="F25" s="116"/>
      <c r="G25" s="117"/>
      <c r="H25" s="121"/>
      <c r="I25" s="122"/>
      <c r="J25" s="122"/>
      <c r="K25" s="122"/>
      <c r="L25" s="122"/>
      <c r="M25" s="122"/>
      <c r="N25" s="123"/>
      <c r="O25" s="12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7"/>
      <c r="AQ25" s="124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6"/>
    </row>
    <row r="26" spans="1:57" ht="15" customHeight="1" x14ac:dyDescent="0.2">
      <c r="A26" s="115"/>
      <c r="B26" s="116"/>
      <c r="C26" s="116"/>
      <c r="D26" s="116"/>
      <c r="E26" s="116"/>
      <c r="F26" s="116"/>
      <c r="G26" s="117"/>
      <c r="H26" s="121"/>
      <c r="I26" s="122"/>
      <c r="J26" s="122"/>
      <c r="K26" s="122"/>
      <c r="L26" s="122"/>
      <c r="M26" s="122"/>
      <c r="N26" s="123"/>
      <c r="O26" s="121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7"/>
      <c r="AQ26" s="124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6"/>
    </row>
    <row r="27" spans="1:57" ht="15" customHeight="1" x14ac:dyDescent="0.2">
      <c r="A27" s="115"/>
      <c r="B27" s="116"/>
      <c r="C27" s="116"/>
      <c r="D27" s="116"/>
      <c r="E27" s="116"/>
      <c r="F27" s="116"/>
      <c r="G27" s="117"/>
      <c r="H27" s="121"/>
      <c r="I27" s="122"/>
      <c r="J27" s="122"/>
      <c r="K27" s="122"/>
      <c r="L27" s="122"/>
      <c r="M27" s="122"/>
      <c r="N27" s="123"/>
      <c r="O27" s="121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7"/>
      <c r="AQ27" s="124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6"/>
    </row>
    <row r="28" spans="1:57" ht="15" customHeight="1" x14ac:dyDescent="0.2">
      <c r="A28" s="115"/>
      <c r="B28" s="116"/>
      <c r="C28" s="116"/>
      <c r="D28" s="116"/>
      <c r="E28" s="116"/>
      <c r="F28" s="116"/>
      <c r="G28" s="117"/>
      <c r="H28" s="121"/>
      <c r="I28" s="122"/>
      <c r="J28" s="122"/>
      <c r="K28" s="122"/>
      <c r="L28" s="122"/>
      <c r="M28" s="122"/>
      <c r="N28" s="123"/>
      <c r="O28" s="121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7"/>
      <c r="AQ28" s="124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6"/>
    </row>
    <row r="29" spans="1:57" ht="15" customHeight="1" x14ac:dyDescent="0.2">
      <c r="A29" s="115"/>
      <c r="B29" s="116"/>
      <c r="C29" s="116"/>
      <c r="D29" s="116"/>
      <c r="E29" s="116"/>
      <c r="F29" s="116"/>
      <c r="G29" s="117"/>
      <c r="H29" s="121"/>
      <c r="I29" s="122"/>
      <c r="J29" s="122"/>
      <c r="K29" s="122"/>
      <c r="L29" s="122"/>
      <c r="M29" s="122"/>
      <c r="N29" s="123"/>
      <c r="O29" s="121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7"/>
      <c r="AQ29" s="124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6"/>
    </row>
    <row r="30" spans="1:57" ht="15" customHeight="1" x14ac:dyDescent="0.2">
      <c r="A30" s="115"/>
      <c r="B30" s="116"/>
      <c r="C30" s="116"/>
      <c r="D30" s="116"/>
      <c r="E30" s="116"/>
      <c r="F30" s="116"/>
      <c r="G30" s="117"/>
      <c r="H30" s="121"/>
      <c r="I30" s="122"/>
      <c r="J30" s="122"/>
      <c r="K30" s="122"/>
      <c r="L30" s="122"/>
      <c r="M30" s="122"/>
      <c r="N30" s="123"/>
      <c r="O30" s="121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7"/>
      <c r="AQ30" s="124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6"/>
    </row>
    <row r="31" spans="1:57" ht="15" customHeight="1" x14ac:dyDescent="0.2">
      <c r="A31" s="115"/>
      <c r="B31" s="116"/>
      <c r="C31" s="116"/>
      <c r="D31" s="116"/>
      <c r="E31" s="116"/>
      <c r="F31" s="116"/>
      <c r="G31" s="117"/>
      <c r="H31" s="121"/>
      <c r="I31" s="122"/>
      <c r="J31" s="122"/>
      <c r="K31" s="122"/>
      <c r="L31" s="122"/>
      <c r="M31" s="122"/>
      <c r="N31" s="123"/>
      <c r="O31" s="12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7"/>
      <c r="AQ31" s="124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6"/>
    </row>
    <row r="32" spans="1:57" ht="15" customHeight="1" x14ac:dyDescent="0.2">
      <c r="A32" s="115"/>
      <c r="B32" s="116"/>
      <c r="C32" s="116"/>
      <c r="D32" s="116"/>
      <c r="E32" s="116"/>
      <c r="F32" s="116"/>
      <c r="G32" s="117"/>
      <c r="H32" s="121"/>
      <c r="I32" s="122"/>
      <c r="J32" s="122"/>
      <c r="K32" s="122"/>
      <c r="L32" s="122"/>
      <c r="M32" s="122"/>
      <c r="N32" s="123"/>
      <c r="O32" s="121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7"/>
      <c r="AQ32" s="124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6"/>
    </row>
    <row r="33" spans="1:57" ht="15" customHeight="1" x14ac:dyDescent="0.2">
      <c r="A33" s="115"/>
      <c r="B33" s="116"/>
      <c r="C33" s="116"/>
      <c r="D33" s="116"/>
      <c r="E33" s="116"/>
      <c r="F33" s="116"/>
      <c r="G33" s="117"/>
      <c r="H33" s="121"/>
      <c r="I33" s="122"/>
      <c r="J33" s="122"/>
      <c r="K33" s="122"/>
      <c r="L33" s="122"/>
      <c r="M33" s="122"/>
      <c r="N33" s="123"/>
      <c r="O33" s="121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7"/>
      <c r="AQ33" s="124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6"/>
    </row>
    <row r="34" spans="1:57" ht="15" customHeight="1" x14ac:dyDescent="0.2">
      <c r="A34" s="115"/>
      <c r="B34" s="116"/>
      <c r="C34" s="116"/>
      <c r="D34" s="116"/>
      <c r="E34" s="116"/>
      <c r="F34" s="116"/>
      <c r="G34" s="117"/>
      <c r="H34" s="121"/>
      <c r="I34" s="122"/>
      <c r="J34" s="122"/>
      <c r="K34" s="122"/>
      <c r="L34" s="122"/>
      <c r="M34" s="122"/>
      <c r="N34" s="123"/>
      <c r="O34" s="121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7"/>
      <c r="AQ34" s="124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Chk01</vt:lpstr>
      <vt:lpstr>Del01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2026-03-27T05:50:53Z</dcterms:modified>
  <cp:category/>
</cp:coreProperties>
</file>