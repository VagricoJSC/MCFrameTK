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E4529555-E561-4BF4-AEA0-184DB14517B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reAlcRate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<sst xmlns="http://schemas.openxmlformats.org/spreadsheetml/2006/main" count="141" uniqueCount="99">
  <si>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</si>
  <si>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</si>
  <si>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</si>
  <si>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</si>
  <si>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</si>
  <si>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</si>
  <si>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</si>
  <si>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</si>
  <si>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</si>
  <si>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</si>
  <si>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</si>
  <si>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</si>
  <si>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</si>
  <si>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</si>
  <si>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</si>
  <si>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</si>
  <si>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</si>
  <si>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</si>
  <si>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</si>
  <si>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</si>
  <si>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</si>
  <si>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</si>
  <si>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</si>
  <si>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</si>
  <si>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</si>
  <si>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</si>
  <si>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</si>
  <si>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@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</si>
  <si>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</si>
  <si>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</si>
  <si>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</si>
  <si>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</si>
  <si>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</si>
  <si>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</si>
  <si>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</si>
  <si>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</si>
  <si>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</si>
  <si>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</si>
  <si>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</si>
  <si>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</si>
  <si>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</si>
  <si>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</si>
  <si>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</si>
  <si>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</si>
  <si>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</si>
  <si>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</si>
  <si>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</si>
  <si>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MGBGB0050</t>
    <phoneticPr fontId="2"/>
  </si>
  <si>
    <t>MGBGB_PreAlcRateBatch</t>
  </si>
  <si>
    <t>PreAlcRate_Upd01</t>
  </si>
  <si>
    <t>一次配賦比率作成バッチ</t>
    <rPh sb="6" eb="8">
      <t>サクセイ</t>
    </rPh>
    <phoneticPr fontId="4"/>
  </si>
  <si>
    <t>一次配賦比率を作成する。</t>
    <rPh sb="0" eb="2">
      <t>イチジ</t>
    </rPh>
    <rPh sb="2" eb="4">
      <t>ハイフ</t>
    </rPh>
    <rPh sb="4" eb="6">
      <t>ヒリツ</t>
    </rPh>
    <rPh sb="7" eb="9">
      <t>サクセイ</t>
    </rPh>
    <phoneticPr fontId="2"/>
  </si>
  <si>
    <t>一次配賦比率作成</t>
    <rPh sb="0" eb="2">
      <t>イチジ</t>
    </rPh>
    <rPh sb="2" eb="4">
      <t>ハイフ</t>
    </rPh>
    <rPh sb="4" eb="6">
      <t>ヒリツ</t>
    </rPh>
    <rPh sb="6" eb="8">
      <t>サクセイ</t>
    </rPh>
    <phoneticPr fontId="2"/>
  </si>
  <si>
    <t>PreAlcRate_Upd01_Dtl</t>
    <phoneticPr fontId="2"/>
  </si>
  <si>
    <t>L</t>
    <phoneticPr fontId="2"/>
  </si>
  <si>
    <t>sa_typ</t>
  </si>
  <si>
    <t>#MA.SA_TYP</t>
    <phoneticPr fontId="3"/>
  </si>
  <si>
    <t>予実区分</t>
    <phoneticPr fontId="3"/>
  </si>
  <si>
    <t>ym</t>
  </si>
  <si>
    <t>#MA.YM</t>
    <phoneticPr fontId="3"/>
  </si>
  <si>
    <t>ym_fr</t>
  </si>
  <si>
    <t>ym_to</t>
  </si>
  <si>
    <t>calc_ctg_cd</t>
  </si>
  <si>
    <t>#MA.CALC_CTG_CD</t>
    <phoneticPr fontId="3"/>
  </si>
  <si>
    <t>計算カテゴリＣＤ</t>
    <phoneticPr fontId="3"/>
  </si>
  <si>
    <t>pre_alc_rate_cd</t>
  </si>
  <si>
    <t>#MA.PRE_ALC_RATE_CD</t>
    <phoneticPr fontId="3"/>
  </si>
  <si>
    <t>一次配賦基準ＣＤ</t>
    <phoneticPr fontId="3"/>
  </si>
  <si>
    <t>wg_cd</t>
  </si>
  <si>
    <t>#MA.WG_CD</t>
  </si>
  <si>
    <t>ワーキンググループＣＤ</t>
    <phoneticPr fontId="3"/>
  </si>
  <si>
    <t>E</t>
    <phoneticPr fontId="3"/>
  </si>
  <si>
    <t>-</t>
    <phoneticPr fontId="3"/>
  </si>
  <si>
    <t>作成対象年月</t>
    <rPh sb="0" eb="2">
      <t>サクセイ</t>
    </rPh>
    <rPh sb="2" eb="6">
      <t>タイショウネンゲツ</t>
    </rPh>
    <phoneticPr fontId="3"/>
  </si>
  <si>
    <t>取得先対象年月ＦＲＯＭ</t>
    <rPh sb="0" eb="3">
      <t>シュトクサキ</t>
    </rPh>
    <rPh sb="3" eb="5">
      <t>タイショウ</t>
    </rPh>
    <rPh sb="5" eb="7">
      <t>ネンゲツ</t>
    </rPh>
    <phoneticPr fontId="4"/>
  </si>
  <si>
    <t>取得先対象年月ＴＯ</t>
    <rPh sb="3" eb="5">
      <t>タイショウ</t>
    </rPh>
    <rPh sb="5" eb="7">
      <t>ネンゲツ</t>
    </rPh>
    <phoneticPr fontId="4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</si>
  <si>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</si>
  <si>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</si>
  <si>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</si>
  <si>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</si>
  <si>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</si>
  <si>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</si>
  <si>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</si>
  <si>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</si>
  <si>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</si>
  <si>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</si>
  <si>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</si>
  <si>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</si>
  <si>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</si>
  <si>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</si>
  <si>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Plan/Result type</t>
  </si>
  <si>
    <t>Month to create</t>
  </si>
  <si>
    <t>Acquisition month FROM</t>
  </si>
  <si>
    <t>Acquisition month TO</t>
  </si>
  <si>
    <t>Calculation category cd.</t>
  </si>
  <si>
    <t>Departmental alloc. basis cd.</t>
  </si>
  <si>
    <t>WG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</si>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</sst>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3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47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48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50</v>
      </c>
      <c r="F4" s="7" t="s">
        <v>11</v>
      </c>
      <c r="G4" s="8" t="s">
        <v>45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1" t="s">
        <v>14</v>
      </c>
      <c r="B1" s="51" t="s">
        <v>14</v>
      </c>
      <c r="C1" s="5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3" t="s">
        <v>76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MGBGB0050</v>
      </c>
      <c r="I2" s="7" t="s">
        <v>16</v>
      </c>
      <c r="J2" s="8" t="s">
        <v>49</v>
      </c>
      <c r="K2" s="7" t="s">
        <v>4</v>
      </c>
      <c r="L2" s="52" t="str">
        <f>IF(LogicCommon!G2="","",LogicCommon!G2)</f>
        <v>MC</v>
      </c>
      <c r="M2" s="5" t="s">
        <v>17</v>
      </c>
      <c r="N2" s="24" t="s">
        <v>46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14</v>
      </c>
      <c r="B3" s="54"/>
      <c r="C3" s="54"/>
      <c r="D3" s="55" t="str">
        <f>IF(LogicCommon!A3="","",LogicCommon!A3)</f>
        <v/>
      </c>
      <c r="E3" s="7" t="s">
        <v>6</v>
      </c>
      <c r="F3" s="52" t="str">
        <f>IF(LogicCommon!C3="","",LogicCommon!C3)</f>
        <v>MGBG</v>
      </c>
      <c r="G3" s="7" t="s">
        <v>8</v>
      </c>
      <c r="H3" s="52" t="str">
        <f>IF(LogicCommon!E3="","",LogicCommon!E3)</f>
        <v>MGBGB_PreAlcRateBatch</v>
      </c>
      <c r="I3" s="7" t="s">
        <v>18</v>
      </c>
      <c r="J3" s="8" t="s">
        <v>19</v>
      </c>
      <c r="K3" s="7" t="s">
        <v>9</v>
      </c>
      <c r="L3" s="52" t="str">
        <f>IF(LogicCommon!G3="","",LogicCommon!G3)</f>
        <v/>
      </c>
      <c r="M3" s="42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3" t="s">
        <v>14</v>
      </c>
      <c r="B4" s="54"/>
      <c r="C4" s="54"/>
      <c r="D4" s="4"/>
      <c r="E4" s="7" t="s">
        <v>22</v>
      </c>
      <c r="F4" s="56" t="s">
        <v>23</v>
      </c>
      <c r="G4" s="7" t="s">
        <v>10</v>
      </c>
      <c r="H4" s="52" t="str">
        <f>IF(LogicCommon!E4="","",LogicCommon!E4)</f>
        <v>一次配賦比率作成バッチ</v>
      </c>
      <c r="I4" s="7" t="s">
        <v>24</v>
      </c>
      <c r="J4" s="8" t="s">
        <v>52</v>
      </c>
      <c r="K4" s="7" t="s">
        <v>11</v>
      </c>
      <c r="L4" s="52" t="str">
        <f>IF(LogicCommon!G4="","",LogicCommon!G4)</f>
        <v>MG.MGUDL5010</v>
      </c>
      <c r="M4" s="57" t="s">
        <v>25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14</v>
      </c>
      <c r="B5" s="51"/>
      <c r="C5" s="51"/>
      <c r="D5" s="21"/>
      <c r="E5" s="7" t="s">
        <v>26</v>
      </c>
      <c r="F5" s="56" t="s">
        <v>27</v>
      </c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14</v>
      </c>
      <c r="B6" s="54"/>
      <c r="C6" s="54"/>
      <c r="D6" s="4" t="s">
        <v>12</v>
      </c>
      <c r="E6" s="12" t="s">
        <v>51</v>
      </c>
      <c r="F6" s="12"/>
      <c r="G6" s="12"/>
      <c r="H6" s="12"/>
      <c r="I6" s="12"/>
      <c r="J6" s="12"/>
      <c r="K6" s="12"/>
      <c r="L6" s="61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29</v>
      </c>
      <c r="B7" s="23"/>
      <c r="C7" s="23"/>
      <c r="D7" s="6"/>
      <c r="E7" s="6"/>
      <c r="F7" s="6"/>
      <c r="G7" s="6"/>
      <c r="H7" s="6"/>
      <c r="I7" s="6" t="s">
        <v>30</v>
      </c>
      <c r="J7" s="6"/>
      <c r="K7" s="8" t="s">
        <v>31</v>
      </c>
      <c r="L7" s="25" t="s">
        <v>32</v>
      </c>
      <c r="M7" s="26"/>
      <c r="N7" s="25" t="s">
        <v>33</v>
      </c>
      <c r="O7" s="26"/>
      <c r="P7" s="25" t="s">
        <v>34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29</v>
      </c>
      <c r="B8" s="64"/>
      <c r="C8" s="65"/>
      <c r="D8" s="25" t="s">
        <v>77</v>
      </c>
      <c r="E8" s="25" t="s">
        <v>78</v>
      </c>
      <c r="F8" s="61"/>
      <c r="G8" s="25" t="s">
        <v>35</v>
      </c>
      <c r="H8" s="25" t="s">
        <v>79</v>
      </c>
      <c r="I8" s="61"/>
      <c r="J8" s="3"/>
      <c r="K8" s="8"/>
      <c r="L8" s="25" t="s">
        <v>36</v>
      </c>
      <c r="M8" s="26"/>
      <c r="N8" s="25" t="s">
        <v>36</v>
      </c>
      <c r="O8" s="26"/>
      <c r="P8" s="25" t="s">
        <v>36</v>
      </c>
      <c r="Q8" s="26"/>
      <c r="R8" s="3"/>
      <c r="S8" s="21"/>
      <c r="T8" s="68" t="s">
        <v>80</v>
      </c>
      <c r="U8" s="69"/>
    </row>
    <row r="9" spans="1:21" s="10" customFormat="1" ht="60" customHeight="1" x14ac:dyDescent="0.2">
      <c r="A9" s="8" t="s">
        <v>29</v>
      </c>
      <c r="B9" s="30"/>
      <c r="C9" s="31"/>
      <c r="D9" s="25" t="s">
        <v>81</v>
      </c>
      <c r="E9" s="66" t="s">
        <v>82</v>
      </c>
      <c r="F9" s="25" t="s">
        <v>83</v>
      </c>
      <c r="G9" s="25" t="s">
        <v>84</v>
      </c>
      <c r="H9" s="25" t="s">
        <v>85</v>
      </c>
      <c r="I9" s="67" t="s">
        <v>86</v>
      </c>
      <c r="J9" s="25" t="s">
        <v>87</v>
      </c>
      <c r="K9" s="63"/>
      <c r="L9" s="67"/>
      <c r="M9" s="25"/>
      <c r="N9" s="25"/>
      <c r="O9" s="25"/>
      <c r="P9" s="25"/>
      <c r="Q9" s="25"/>
      <c r="R9" s="68" t="s">
        <v>88</v>
      </c>
      <c r="S9" s="69"/>
      <c r="T9" s="68" t="s">
        <v>89</v>
      </c>
      <c r="U9" s="69"/>
    </row>
    <row r="10" spans="1:21" s="10" customFormat="1" ht="39" x14ac:dyDescent="0.2">
      <c r="A10" s="30" t="s">
        <v>37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86</v>
      </c>
      <c r="M10" s="25" t="s">
        <v>87</v>
      </c>
      <c r="N10" s="25" t="s">
        <v>86</v>
      </c>
      <c r="O10" s="25" t="s">
        <v>87</v>
      </c>
      <c r="P10" s="25" t="s">
        <v>86</v>
      </c>
      <c r="Q10" s="25" t="s">
        <v>87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38</v>
      </c>
      <c r="C11" s="31"/>
      <c r="D11" s="24" t="s">
        <v>53</v>
      </c>
      <c r="E11" s="29" t="s">
        <v>54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55</v>
      </c>
      <c r="E12" s="26" t="s">
        <v>56</v>
      </c>
      <c r="F12" s="26"/>
      <c r="G12" s="62" t="s">
        <v>90</v>
      </c>
      <c r="H12" s="62" t="s">
        <v>57</v>
      </c>
      <c r="I12" s="8" t="s">
        <v>71</v>
      </c>
      <c r="J12" s="8" t="s">
        <v>72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58</v>
      </c>
      <c r="E13" s="26" t="s">
        <v>59</v>
      </c>
      <c r="F13" s="26"/>
      <c r="G13" s="62" t="s">
        <v>91</v>
      </c>
      <c r="H13" s="62" t="s">
        <v>73</v>
      </c>
      <c r="I13" s="8" t="s">
        <v>71</v>
      </c>
      <c r="J13" s="8" t="s">
        <v>72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59</v>
      </c>
      <c r="F14" s="26"/>
      <c r="G14" s="62" t="s">
        <v>92</v>
      </c>
      <c r="H14" s="62" t="s">
        <v>74</v>
      </c>
      <c r="I14" s="8" t="s">
        <v>71</v>
      </c>
      <c r="J14" s="8" t="s">
        <v>72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61</v>
      </c>
      <c r="E15" s="26" t="s">
        <v>59</v>
      </c>
      <c r="F15" s="26"/>
      <c r="G15" s="62" t="s">
        <v>93</v>
      </c>
      <c r="H15" s="62" t="s">
        <v>75</v>
      </c>
      <c r="I15" s="8" t="s">
        <v>71</v>
      </c>
      <c r="J15" s="8" t="s">
        <v>72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62" t="s">
        <v>94</v>
      </c>
      <c r="H16" s="62" t="s">
        <v>64</v>
      </c>
      <c r="I16" s="8" t="s">
        <v>71</v>
      </c>
      <c r="J16" s="8" t="s">
        <v>72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62" t="s">
        <v>95</v>
      </c>
      <c r="H17" s="62" t="s">
        <v>67</v>
      </c>
      <c r="I17" s="8" t="s">
        <v>71</v>
      </c>
      <c r="J17" s="8" t="s">
        <v>72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62" t="s">
        <v>96</v>
      </c>
      <c r="H18" s="62" t="s">
        <v>70</v>
      </c>
      <c r="I18" s="8" t="s">
        <v>71</v>
      </c>
      <c r="J18" s="8" t="s">
        <v>72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"/>
      <c r="S19" s="9"/>
      <c r="T19" s="9"/>
      <c r="U19" s="44"/>
    </row>
    <row r="20" spans="1:21" s="10" customFormat="1" x14ac:dyDescent="0.2">
      <c r="A20" s="53"/>
      <c r="U20" s="45"/>
    </row>
    <row r="21" spans="1:21" s="10" customFormat="1" x14ac:dyDescent="0.2">
      <c r="A21" s="53"/>
      <c r="U21" s="45"/>
    </row>
    <row r="22" spans="1:21" s="10" customFormat="1" x14ac:dyDescent="0.2">
      <c r="A22" s="53"/>
      <c r="U22" s="45"/>
    </row>
    <row r="23" spans="1:21" s="10" customFormat="1" x14ac:dyDescent="0.2">
      <c r="A23" s="5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6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99" t="s">
        <v>39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2" t="s">
        <v>40</v>
      </c>
      <c r="B3" s="103"/>
      <c r="C3" s="103"/>
      <c r="D3" s="103"/>
      <c r="E3" s="103"/>
      <c r="F3" s="103"/>
      <c r="G3" s="104"/>
      <c r="H3" s="105" t="s">
        <v>41</v>
      </c>
      <c r="I3" s="103"/>
      <c r="J3" s="103"/>
      <c r="K3" s="103"/>
      <c r="L3" s="103"/>
      <c r="M3" s="103"/>
      <c r="N3" s="104"/>
      <c r="O3" s="105" t="s">
        <v>42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43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44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97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98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PreAlcRate_Upd01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2026-03-27T05:52:28Z</dcterms:modified>
  <cp:category/>
</cp:coreProperties>
</file>