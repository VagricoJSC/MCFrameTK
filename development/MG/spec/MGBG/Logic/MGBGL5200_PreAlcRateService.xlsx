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6B011C18-E210-414D-9143-E482465C1B7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LogicCommon" sheetId="1" r:id="rId1"/>
    <sheet name="PreAlcRate_Chk01" sheetId="2" r:id="rId2"/>
    <sheet name="PreAlcRate_Upd01" sheetId="3" r:id="rId3"/>
    <sheet name="来歴" sheetId="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<sst xmlns="http://schemas.openxmlformats.org/spreadsheetml/2006/main" count="304" uniqueCount="136">
  <si>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</si>
  <si>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</si>
  <si>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</si>
  <si>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</si>
  <si>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Pj.ID :</t>
    <phoneticPr fontId="3"/>
  </si>
  <si>
    <t>MC</t>
    <phoneticPr fontId="2"/>
  </si>
  <si>
    <t>SubModuleID :</t>
    <phoneticPr fontId="3"/>
  </si>
  <si>
    <t>MGBG</t>
    <phoneticPr fontId="2"/>
  </si>
  <si>
    <t>LogicClass :</t>
    <phoneticPr fontId="3"/>
  </si>
  <si>
    <t>SuperClassPj.ID :</t>
    <phoneticPr fontId="3"/>
  </si>
  <si>
    <t>LogicName :</t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</si>
  <si>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</si>
  <si>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</si>
  <si>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</si>
  <si>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</si>
  <si>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</si>
  <si>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</si>
  <si>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</si>
  <si>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</si>
  <si>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</si>
  <si>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</si>
  <si>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</si>
  <si>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</si>
  <si>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</si>
  <si>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</si>
  <si>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ImplOpe.ID:</t>
    <phoneticPr fontId="3"/>
  </si>
  <si>
    <t>ACType :</t>
    <phoneticPr fontId="3"/>
  </si>
  <si>
    <t>ID</t>
    <phoneticPr fontId="3"/>
  </si>
  <si>
    <t>#</t>
    <phoneticPr fontId="3"/>
  </si>
  <si>
    <t>U</t>
    <phoneticPr fontId="3"/>
  </si>
  <si>
    <t>K</t>
  </si>
  <si>
    <t>o</t>
    <phoneticPr fontId="3"/>
  </si>
  <si>
    <t>o</t>
    <phoneticPr fontId="3"/>
  </si>
  <si>
    <t>super/share</t>
    <phoneticPr fontId="3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</si>
  <si>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</si>
  <si>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</si>
  <si>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</si>
  <si>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</si>
  <si>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</si>
  <si>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</si>
  <si>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</si>
  <si>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</si>
  <si>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</si>
  <si>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</si>
  <si>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</si>
  <si>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</si>
  <si>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</si>
  <si>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</si>
  <si>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</si>
  <si>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</si>
  <si>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  <phoneticPr fontId="2"/>
  </si>
  <si>
    <t>NULL_VAL</t>
  </si>
  <si>
    <t>TargetName</t>
    <phoneticPr fontId="3"/>
  </si>
  <si>
    <t>#</t>
    <phoneticPr fontId="3"/>
  </si>
  <si>
    <t>E</t>
    <phoneticPr fontId="3"/>
  </si>
  <si>
    <t>-</t>
    <phoneticPr fontId="3"/>
  </si>
  <si>
    <t>@</t>
    <phoneticPr fontId="2"/>
  </si>
  <si>
    <t>#</t>
    <phoneticPr fontId="3"/>
  </si>
  <si>
    <t>U</t>
    <phoneticPr fontId="3"/>
  </si>
  <si>
    <t>K</t>
    <phoneticPr fontId="2"/>
  </si>
  <si>
    <t>o</t>
    <phoneticPr fontId="3"/>
  </si>
  <si>
    <t>TargetName</t>
    <phoneticPr fontId="3"/>
  </si>
  <si>
    <t>$share$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</si>
  <si>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</si>
  <si>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</si>
  <si>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</si>
  <si>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</si>
  <si>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</si>
  <si>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</si>
  <si>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</si>
  <si>
    <t>MA.MAUDL5010.Checker</t>
  </si>
  <si>
    <t>"mcframe.serverMAUD.MAUDL5010.MAUDL_Operation"</t>
  </si>
  <si>
    <t>作成前チェック</t>
    <rPh sb="0" eb="2">
      <t>サクセイ</t>
    </rPh>
    <rPh sb="2" eb="3">
      <t>マエ</t>
    </rPh>
    <phoneticPr fontId="2"/>
  </si>
  <si>
    <t>PreAlcRate_Upd01</t>
  </si>
  <si>
    <t>MGBGL_PreAlcRateService</t>
  </si>
  <si>
    <t>PreAlcRate_Chk01</t>
  </si>
  <si>
    <t>一次配賦比率作成サービス</t>
    <phoneticPr fontId="4"/>
  </si>
  <si>
    <t>*</t>
  </si>
  <si>
    <t>sa_typ</t>
  </si>
  <si>
    <t>#MA.SA_TYP</t>
    <phoneticPr fontId="3"/>
  </si>
  <si>
    <t>予実区分</t>
    <phoneticPr fontId="3"/>
  </si>
  <si>
    <t>E</t>
    <phoneticPr fontId="2"/>
  </si>
  <si>
    <t>MAC_SA_TYP</t>
    <phoneticPr fontId="2"/>
  </si>
  <si>
    <t>ym</t>
  </si>
  <si>
    <t>#MA.YM</t>
    <phoneticPr fontId="3"/>
  </si>
  <si>
    <t>ym_fr</t>
  </si>
  <si>
    <t>E:BF</t>
    <phoneticPr fontId="2"/>
  </si>
  <si>
    <t>ym_to</t>
  </si>
  <si>
    <t>E:AF</t>
    <phoneticPr fontId="2"/>
  </si>
  <si>
    <t>calc_ctg_cd</t>
  </si>
  <si>
    <t>#MA.CALC_CTG_CD</t>
    <phoneticPr fontId="3"/>
  </si>
  <si>
    <t>計算カテゴリＣＤ</t>
    <phoneticPr fontId="3"/>
  </si>
  <si>
    <t>MA.MAUAL0010.CalcCtg</t>
    <phoneticPr fontId="2"/>
  </si>
  <si>
    <t>pre_alc_rate_cd</t>
  </si>
  <si>
    <t>#MA.PRE_ALC_RATE_CD</t>
    <phoneticPr fontId="3"/>
  </si>
  <si>
    <t>一次配賦基準ＣＤ</t>
    <phoneticPr fontId="3"/>
  </si>
  <si>
    <t>MA.MAUAL0010.PreAlcRate</t>
    <phoneticPr fontId="3"/>
  </si>
  <si>
    <t>wg_cd</t>
  </si>
  <si>
    <t>#MA.WG_CD</t>
  </si>
  <si>
    <t>ワーキンググループＣＤ</t>
    <phoneticPr fontId="3"/>
  </si>
  <si>
    <t>MA.MAUAL0010.CostWg</t>
    <phoneticPr fontId="2"/>
  </si>
  <si>
    <t>PreAlcRate_Chk01_Dtl</t>
    <phoneticPr fontId="3"/>
  </si>
  <si>
    <t>一次配賦比率作成前チェック</t>
    <rPh sb="8" eb="9">
      <t>マエ</t>
    </rPh>
    <phoneticPr fontId="2"/>
  </si>
  <si>
    <t>一次配賦比率を作成する。</t>
    <rPh sb="7" eb="9">
      <t>サクセイ</t>
    </rPh>
    <phoneticPr fontId="2"/>
  </si>
  <si>
    <t>PreAlcRate_Upd01_Dtl</t>
    <phoneticPr fontId="3"/>
  </si>
  <si>
    <t>PreAlcRate_Chk01.PreAlcRate_Chk01_Dtl</t>
    <phoneticPr fontId="2"/>
  </si>
  <si>
    <t>MGBGL5200</t>
    <phoneticPr fontId="2"/>
  </si>
  <si>
    <t>作成対象年月</t>
    <rPh sb="0" eb="2">
      <t>サクセイ</t>
    </rPh>
    <rPh sb="2" eb="6">
      <t>タイショウネンゲツ</t>
    </rPh>
    <phoneticPr fontId="3"/>
  </si>
  <si>
    <t>取得先対象年月ＦＲＯＭ</t>
    <rPh sb="0" eb="3">
      <t>シュトクサキ</t>
    </rPh>
    <rPh sb="3" eb="5">
      <t>タイショウ</t>
    </rPh>
    <rPh sb="5" eb="7">
      <t>ネンゲツ</t>
    </rPh>
    <phoneticPr fontId="4"/>
  </si>
  <si>
    <t>取得先対象年月ＴＯ</t>
    <rPh sb="3" eb="5">
      <t>タイショウ</t>
    </rPh>
    <rPh sb="5" eb="7">
      <t>ネンゲツ</t>
    </rPh>
    <phoneticPr fontId="4"/>
  </si>
  <si>
    <t>一次配賦比率作成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</si>
  <si>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</si>
  <si>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</si>
  <si>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</si>
  <si>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</si>
  <si>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</si>
  <si>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</si>
  <si>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</si>
  <si>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</si>
  <si>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</si>
  <si>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</si>
  <si>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</si>
  <si>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</si>
  <si>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</si>
  <si>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</si>
  <si>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Plan/Result type</t>
  </si>
  <si>
    <t>Month to create</t>
  </si>
  <si>
    <t>Acquisition month FROM</t>
  </si>
  <si>
    <t>Acquisition month TO</t>
  </si>
  <si>
    <t>Calculation category cd.</t>
  </si>
  <si>
    <t>Departmental alloc. basis cd.</t>
  </si>
  <si>
    <t>WG cd.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</si>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</sst>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18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11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7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5" borderId="3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vertical="top"/>
    </xf>
    <xf numFmtId="0" fontId="1" fillId="3" borderId="3" xfId="0" applyFont="1" applyFill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8" xfId="0" applyFont="1" applyBorder="1" applyAlignment="1">
      <alignment wrapText="1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106</v>
      </c>
      <c r="F2" s="7" t="s">
        <v>4</v>
      </c>
      <c r="G2" s="8" t="s">
        <v>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6</v>
      </c>
      <c r="C3" s="8" t="s">
        <v>7</v>
      </c>
      <c r="D3" s="7" t="s">
        <v>8</v>
      </c>
      <c r="E3" s="8" t="s">
        <v>74</v>
      </c>
      <c r="F3" s="7" t="s">
        <v>9</v>
      </c>
      <c r="G3" s="8"/>
      <c r="H3" s="5"/>
      <c r="I3" s="5"/>
    </row>
    <row r="4" spans="1:13" x14ac:dyDescent="0.2">
      <c r="A4" s="4"/>
      <c r="B4" s="7"/>
      <c r="C4" s="7"/>
      <c r="D4" s="7" t="s">
        <v>10</v>
      </c>
      <c r="E4" s="11" t="s">
        <v>76</v>
      </c>
      <c r="F4" s="7" t="s">
        <v>11</v>
      </c>
      <c r="G4" s="8" t="s">
        <v>69</v>
      </c>
      <c r="I4" s="5"/>
      <c r="J4" s="4"/>
    </row>
    <row r="5" spans="1:13" x14ac:dyDescent="0.2">
      <c r="A5" s="6" t="s">
        <v>12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13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1" t="s">
        <v>14</v>
      </c>
      <c r="B1" s="41" t="s">
        <v>14</v>
      </c>
      <c r="C1" s="4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14</v>
      </c>
      <c r="B2" s="23"/>
      <c r="C2" s="23"/>
      <c r="D2" s="61" t="s">
        <v>111</v>
      </c>
      <c r="E2" s="7" t="s">
        <v>1</v>
      </c>
      <c r="F2" s="42" t="str">
        <f>IF(LogicCommon!C2="","",LogicCommon!C2)</f>
        <v>MG</v>
      </c>
      <c r="G2" s="7" t="s">
        <v>3</v>
      </c>
      <c r="H2" s="42" t="str">
        <f>IF(LogicCommon!E2="","",LogicCommon!E2)</f>
        <v>MGBGL5200</v>
      </c>
      <c r="I2" s="7" t="s">
        <v>16</v>
      </c>
      <c r="J2" s="8" t="s">
        <v>75</v>
      </c>
      <c r="K2" s="7" t="s">
        <v>4</v>
      </c>
      <c r="L2" s="42" t="str">
        <f>IF(LogicCommon!G2="","",LogicCommon!G2)</f>
        <v>MC</v>
      </c>
      <c r="M2" s="5" t="s">
        <v>17</v>
      </c>
      <c r="N2" s="43" t="s">
        <v>70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44" t="s">
        <v>14</v>
      </c>
      <c r="B3" s="45"/>
      <c r="C3" s="45"/>
      <c r="D3" s="46" t="str">
        <f>IF(LogicCommon!A3="","",LogicCommon!A3)</f>
        <v/>
      </c>
      <c r="E3" s="7" t="s">
        <v>6</v>
      </c>
      <c r="F3" s="42" t="str">
        <f>IF(LogicCommon!C3="","",LogicCommon!C3)</f>
        <v>MGBG</v>
      </c>
      <c r="G3" s="7" t="s">
        <v>8</v>
      </c>
      <c r="H3" s="42" t="str">
        <f>IF(LogicCommon!E3="","",LogicCommon!E3)</f>
        <v>MGBGL_PreAlcRateService</v>
      </c>
      <c r="I3" s="7" t="s">
        <v>18</v>
      </c>
      <c r="J3" s="8" t="s">
        <v>19</v>
      </c>
      <c r="K3" s="7" t="s">
        <v>9</v>
      </c>
      <c r="L3" s="42" t="str">
        <f>IF(LogicCommon!G3="","",LogicCommon!G3)</f>
        <v/>
      </c>
      <c r="M3" s="47"/>
      <c r="N3" s="7"/>
      <c r="O3" s="7" t="s">
        <v>20</v>
      </c>
      <c r="P3" s="8" t="s">
        <v>21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44" t="s">
        <v>14</v>
      </c>
      <c r="B4" s="45"/>
      <c r="C4" s="45"/>
      <c r="D4" s="4"/>
      <c r="E4" s="7" t="s">
        <v>22</v>
      </c>
      <c r="F4" s="48" t="s">
        <v>23</v>
      </c>
      <c r="G4" s="7" t="s">
        <v>10</v>
      </c>
      <c r="H4" s="42" t="str">
        <f>IF(LogicCommon!E4="","",LogicCommon!E4)</f>
        <v>一次配賦比率作成サービス</v>
      </c>
      <c r="I4" s="7" t="s">
        <v>24</v>
      </c>
      <c r="J4" s="8" t="s">
        <v>72</v>
      </c>
      <c r="K4" s="7" t="s">
        <v>11</v>
      </c>
      <c r="L4" s="42" t="str">
        <f>IF(LogicCommon!G4="","",LogicCommon!G4)</f>
        <v>MG.MGUDL5010</v>
      </c>
      <c r="M4" s="49" t="s">
        <v>25</v>
      </c>
      <c r="N4" s="43"/>
      <c r="O4" s="5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1" t="s">
        <v>14</v>
      </c>
      <c r="B5" s="41"/>
      <c r="C5" s="41"/>
      <c r="D5" s="21"/>
      <c r="E5" s="7" t="s">
        <v>26</v>
      </c>
      <c r="F5" s="48"/>
      <c r="G5" s="52"/>
      <c r="H5" s="52"/>
      <c r="I5" s="52"/>
      <c r="J5" s="52"/>
      <c r="K5" s="52"/>
      <c r="L5" s="6"/>
      <c r="M5" s="5"/>
      <c r="N5" s="5"/>
      <c r="O5" s="5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44" t="s">
        <v>14</v>
      </c>
      <c r="B6" s="45"/>
      <c r="C6" s="45"/>
      <c r="D6" s="4" t="s">
        <v>12</v>
      </c>
      <c r="E6" s="12" t="s">
        <v>102</v>
      </c>
      <c r="F6" s="12"/>
      <c r="G6" s="12"/>
      <c r="H6" s="12"/>
      <c r="I6" s="12"/>
      <c r="J6" s="12"/>
      <c r="K6" s="12"/>
      <c r="L6" s="53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27</v>
      </c>
      <c r="AE6" s="15"/>
      <c r="AF6" s="15" t="s">
        <v>27</v>
      </c>
      <c r="AG6" s="15"/>
      <c r="AH6" s="15" t="s">
        <v>27</v>
      </c>
      <c r="AI6" s="4"/>
      <c r="AJ6" s="4"/>
      <c r="AK6" s="4"/>
      <c r="AL6" s="4"/>
    </row>
    <row r="7" spans="1:38" s="10" customFormat="1" x14ac:dyDescent="0.2">
      <c r="A7" s="23" t="s">
        <v>28</v>
      </c>
      <c r="B7" s="23"/>
      <c r="C7" s="23"/>
      <c r="D7" s="6"/>
      <c r="E7" s="6"/>
      <c r="F7" s="6"/>
      <c r="G7" s="6"/>
      <c r="H7" s="6"/>
      <c r="I7" s="6" t="s">
        <v>29</v>
      </c>
      <c r="J7" s="6"/>
      <c r="K7" s="8" t="s">
        <v>30</v>
      </c>
      <c r="L7" s="8" t="s">
        <v>30</v>
      </c>
      <c r="M7" s="8" t="s">
        <v>30</v>
      </c>
      <c r="N7" s="8" t="s">
        <v>30</v>
      </c>
      <c r="O7" s="8" t="s">
        <v>30</v>
      </c>
      <c r="P7" s="8" t="s">
        <v>30</v>
      </c>
      <c r="Q7" s="8" t="s">
        <v>30</v>
      </c>
      <c r="R7" s="8" t="s">
        <v>30</v>
      </c>
      <c r="S7" s="8" t="s">
        <v>30</v>
      </c>
      <c r="T7" s="8" t="s">
        <v>30</v>
      </c>
      <c r="U7" s="8" t="s">
        <v>30</v>
      </c>
      <c r="V7" s="8" t="s">
        <v>30</v>
      </c>
      <c r="W7" s="8" t="s">
        <v>30</v>
      </c>
      <c r="X7" s="8" t="s">
        <v>30</v>
      </c>
      <c r="Y7" s="8" t="s">
        <v>30</v>
      </c>
      <c r="Z7" s="8" t="s">
        <v>30</v>
      </c>
      <c r="AA7" s="8" t="s">
        <v>30</v>
      </c>
      <c r="AB7" s="8" t="s">
        <v>30</v>
      </c>
      <c r="AC7" s="24" t="s">
        <v>31</v>
      </c>
      <c r="AD7" s="25"/>
      <c r="AE7" s="24" t="s">
        <v>31</v>
      </c>
      <c r="AF7" s="25"/>
      <c r="AG7" s="24" t="s">
        <v>32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28</v>
      </c>
      <c r="B8" s="62"/>
      <c r="C8" s="63"/>
      <c r="D8" s="24" t="s">
        <v>112</v>
      </c>
      <c r="E8" s="24" t="s">
        <v>113</v>
      </c>
      <c r="F8" s="53"/>
      <c r="G8" s="24" t="s">
        <v>33</v>
      </c>
      <c r="H8" s="24" t="s">
        <v>114</v>
      </c>
      <c r="I8" s="53"/>
      <c r="J8" s="3"/>
      <c r="K8" s="8" t="s">
        <v>34</v>
      </c>
      <c r="L8" s="8" t="s">
        <v>35</v>
      </c>
      <c r="M8" s="8" t="s">
        <v>36</v>
      </c>
      <c r="N8" s="8" t="s">
        <v>37</v>
      </c>
      <c r="O8" s="8" t="s">
        <v>38</v>
      </c>
      <c r="P8" s="8" t="s">
        <v>39</v>
      </c>
      <c r="Q8" s="8" t="s">
        <v>40</v>
      </c>
      <c r="R8" s="8" t="s">
        <v>41</v>
      </c>
      <c r="S8" s="8" t="s">
        <v>42</v>
      </c>
      <c r="T8" s="8" t="s">
        <v>43</v>
      </c>
      <c r="U8" s="8" t="s">
        <v>44</v>
      </c>
      <c r="V8" s="8" t="s">
        <v>45</v>
      </c>
      <c r="W8" s="8" t="s">
        <v>46</v>
      </c>
      <c r="X8" s="8" t="s">
        <v>47</v>
      </c>
      <c r="Y8" s="8" t="s">
        <v>48</v>
      </c>
      <c r="Z8" s="8" t="s">
        <v>49</v>
      </c>
      <c r="AA8" s="8" t="s">
        <v>50</v>
      </c>
      <c r="AB8" s="8" t="s">
        <v>51</v>
      </c>
      <c r="AC8" s="24" t="s">
        <v>52</v>
      </c>
      <c r="AD8" s="25"/>
      <c r="AE8" s="24" t="s">
        <v>52</v>
      </c>
      <c r="AF8" s="25"/>
      <c r="AG8" s="24" t="s">
        <v>52</v>
      </c>
      <c r="AH8" s="25"/>
      <c r="AI8" s="3"/>
      <c r="AJ8" s="21"/>
      <c r="AK8" s="64" t="s">
        <v>123</v>
      </c>
      <c r="AL8" s="65"/>
    </row>
    <row r="9" spans="1:38" s="10" customFormat="1" ht="60" customHeight="1" x14ac:dyDescent="0.2">
      <c r="A9" s="8" t="s">
        <v>28</v>
      </c>
      <c r="B9" s="26"/>
      <c r="C9" s="55"/>
      <c r="D9" s="24" t="s">
        <v>115</v>
      </c>
      <c r="E9" s="58" t="s">
        <v>116</v>
      </c>
      <c r="F9" s="24" t="s">
        <v>117</v>
      </c>
      <c r="G9" s="24" t="s">
        <v>118</v>
      </c>
      <c r="H9" s="24" t="s">
        <v>119</v>
      </c>
      <c r="I9" s="59" t="s">
        <v>120</v>
      </c>
      <c r="J9" s="24" t="s">
        <v>121</v>
      </c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59"/>
      <c r="AD9" s="24"/>
      <c r="AE9" s="24"/>
      <c r="AF9" s="24"/>
      <c r="AG9" s="24"/>
      <c r="AH9" s="24"/>
      <c r="AI9" s="64" t="s">
        <v>122</v>
      </c>
      <c r="AJ9" s="65"/>
      <c r="AK9" s="64" t="s">
        <v>124</v>
      </c>
      <c r="AL9" s="65"/>
    </row>
    <row r="10" spans="1:38" s="10" customFormat="1" ht="52" x14ac:dyDescent="0.2">
      <c r="A10" s="26" t="s">
        <v>53</v>
      </c>
      <c r="B10" s="28"/>
      <c r="C10" s="28"/>
      <c r="D10" s="29"/>
      <c r="E10" s="27"/>
      <c r="F10" s="27"/>
      <c r="G10" s="30"/>
      <c r="H10" s="30"/>
      <c r="I10" s="27"/>
      <c r="J10" s="27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24" t="s">
        <v>120</v>
      </c>
      <c r="AD10" s="24" t="s">
        <v>121</v>
      </c>
      <c r="AE10" s="24" t="s">
        <v>120</v>
      </c>
      <c r="AF10" s="24" t="s">
        <v>121</v>
      </c>
      <c r="AG10" s="24" t="s">
        <v>120</v>
      </c>
      <c r="AH10" s="24" t="s">
        <v>121</v>
      </c>
      <c r="AI10" s="27"/>
      <c r="AJ10" s="27"/>
      <c r="AK10" s="32"/>
      <c r="AL10" s="40"/>
    </row>
    <row r="11" spans="1:38" s="10" customFormat="1" x14ac:dyDescent="0.2">
      <c r="A11" s="8">
        <v>10</v>
      </c>
      <c r="B11" s="26" t="s">
        <v>77</v>
      </c>
      <c r="C11" s="55"/>
      <c r="D11" s="57" t="s">
        <v>101</v>
      </c>
      <c r="E11" s="54" t="s">
        <v>15</v>
      </c>
      <c r="F11" s="60"/>
      <c r="G11" s="43"/>
      <c r="H11" s="2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54"/>
      <c r="AD11" s="54"/>
      <c r="AE11" s="54"/>
      <c r="AF11" s="54"/>
      <c r="AG11" s="54"/>
      <c r="AH11" s="54"/>
      <c r="AI11" s="58"/>
      <c r="AJ11" s="59"/>
      <c r="AK11" s="66"/>
      <c r="AL11" s="67"/>
    </row>
    <row r="12" spans="1:38" s="10" customFormat="1" x14ac:dyDescent="0.2">
      <c r="A12" s="8">
        <v>10</v>
      </c>
      <c r="B12" s="8"/>
      <c r="C12" s="8"/>
      <c r="D12" s="8" t="s">
        <v>78</v>
      </c>
      <c r="E12" s="25" t="s">
        <v>79</v>
      </c>
      <c r="F12" s="25"/>
      <c r="G12" s="56" t="s">
        <v>125</v>
      </c>
      <c r="H12" s="56" t="s">
        <v>80</v>
      </c>
      <c r="I12" s="8" t="s">
        <v>54</v>
      </c>
      <c r="J12" s="8" t="s">
        <v>55</v>
      </c>
      <c r="K12" s="8"/>
      <c r="L12" s="8" t="s">
        <v>81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 t="s">
        <v>82</v>
      </c>
      <c r="AB12" s="8"/>
      <c r="AC12" s="8"/>
      <c r="AD12" s="8"/>
      <c r="AE12" s="8"/>
      <c r="AF12" s="8"/>
      <c r="AG12" s="8"/>
      <c r="AH12" s="8"/>
      <c r="AI12" s="64"/>
      <c r="AJ12" s="65"/>
      <c r="AK12" s="66"/>
      <c r="AL12" s="67"/>
    </row>
    <row r="13" spans="1:38" s="10" customFormat="1" x14ac:dyDescent="0.2">
      <c r="A13" s="8">
        <v>10</v>
      </c>
      <c r="B13" s="8"/>
      <c r="C13" s="8"/>
      <c r="D13" s="8" t="s">
        <v>83</v>
      </c>
      <c r="E13" s="25" t="s">
        <v>84</v>
      </c>
      <c r="F13" s="25"/>
      <c r="G13" s="56" t="s">
        <v>126</v>
      </c>
      <c r="H13" s="56" t="s">
        <v>107</v>
      </c>
      <c r="I13" s="8" t="s">
        <v>54</v>
      </c>
      <c r="J13" s="8" t="s">
        <v>55</v>
      </c>
      <c r="K13" s="8"/>
      <c r="L13" s="8" t="s">
        <v>81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64"/>
      <c r="AJ13" s="65"/>
      <c r="AK13" s="66"/>
      <c r="AL13" s="67"/>
    </row>
    <row r="14" spans="1:38" s="10" customFormat="1" x14ac:dyDescent="0.2">
      <c r="A14" s="8">
        <v>10</v>
      </c>
      <c r="B14" s="8"/>
      <c r="C14" s="8"/>
      <c r="D14" s="8" t="s">
        <v>85</v>
      </c>
      <c r="E14" s="25" t="s">
        <v>84</v>
      </c>
      <c r="F14" s="25"/>
      <c r="G14" s="56" t="s">
        <v>127</v>
      </c>
      <c r="H14" s="56" t="s">
        <v>108</v>
      </c>
      <c r="I14" s="8" t="s">
        <v>54</v>
      </c>
      <c r="J14" s="8" t="s">
        <v>55</v>
      </c>
      <c r="K14" s="8"/>
      <c r="L14" s="8" t="s">
        <v>81</v>
      </c>
      <c r="M14" s="8"/>
      <c r="N14" s="8"/>
      <c r="O14" s="8"/>
      <c r="P14" s="8" t="s">
        <v>86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4"/>
      <c r="AJ14" s="65"/>
      <c r="AK14" s="66"/>
      <c r="AL14" s="67"/>
    </row>
    <row r="15" spans="1:38" s="10" customFormat="1" x14ac:dyDescent="0.2">
      <c r="A15" s="8">
        <v>10</v>
      </c>
      <c r="B15" s="8"/>
      <c r="C15" s="8"/>
      <c r="D15" s="8" t="s">
        <v>87</v>
      </c>
      <c r="E15" s="25" t="s">
        <v>84</v>
      </c>
      <c r="F15" s="25"/>
      <c r="G15" s="56" t="s">
        <v>128</v>
      </c>
      <c r="H15" s="56" t="s">
        <v>109</v>
      </c>
      <c r="I15" s="8" t="s">
        <v>54</v>
      </c>
      <c r="J15" s="8" t="s">
        <v>55</v>
      </c>
      <c r="K15" s="8"/>
      <c r="L15" s="8" t="s">
        <v>81</v>
      </c>
      <c r="M15" s="8"/>
      <c r="N15" s="8"/>
      <c r="O15" s="8"/>
      <c r="P15" s="8" t="s">
        <v>88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64"/>
      <c r="AJ15" s="65"/>
      <c r="AK15" s="66"/>
      <c r="AL15" s="67"/>
    </row>
    <row r="16" spans="1:38" s="10" customFormat="1" x14ac:dyDescent="0.2">
      <c r="A16" s="8">
        <v>10</v>
      </c>
      <c r="B16" s="8"/>
      <c r="C16" s="8"/>
      <c r="D16" s="8" t="s">
        <v>89</v>
      </c>
      <c r="E16" s="25" t="s">
        <v>90</v>
      </c>
      <c r="F16" s="25"/>
      <c r="G16" s="56" t="s">
        <v>129</v>
      </c>
      <c r="H16" s="56" t="s">
        <v>91</v>
      </c>
      <c r="I16" s="8" t="s">
        <v>54</v>
      </c>
      <c r="J16" s="8" t="s">
        <v>55</v>
      </c>
      <c r="K16" s="8"/>
      <c r="L16" s="8" t="s">
        <v>81</v>
      </c>
      <c r="M16" s="8"/>
      <c r="N16" s="8"/>
      <c r="O16" s="8"/>
      <c r="P16" s="8"/>
      <c r="Q16" s="8"/>
      <c r="R16" s="8"/>
      <c r="S16" s="8"/>
      <c r="T16" s="8"/>
      <c r="U16" s="8"/>
      <c r="V16" s="8" t="s">
        <v>92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64"/>
      <c r="AJ16" s="65"/>
      <c r="AK16" s="66"/>
      <c r="AL16" s="67"/>
    </row>
    <row r="17" spans="1:38" s="10" customFormat="1" x14ac:dyDescent="0.2">
      <c r="A17" s="8">
        <v>10</v>
      </c>
      <c r="B17" s="8"/>
      <c r="C17" s="8"/>
      <c r="D17" s="8" t="s">
        <v>93</v>
      </c>
      <c r="E17" s="25" t="s">
        <v>94</v>
      </c>
      <c r="F17" s="25"/>
      <c r="G17" s="56" t="s">
        <v>130</v>
      </c>
      <c r="H17" s="56" t="s">
        <v>95</v>
      </c>
      <c r="I17" s="8" t="s">
        <v>54</v>
      </c>
      <c r="J17" s="8" t="s">
        <v>55</v>
      </c>
      <c r="K17" s="8"/>
      <c r="L17" s="8" t="s">
        <v>81</v>
      </c>
      <c r="M17" s="8"/>
      <c r="N17" s="8"/>
      <c r="O17" s="8"/>
      <c r="P17" s="8"/>
      <c r="Q17" s="8"/>
      <c r="R17" s="8"/>
      <c r="S17" s="8"/>
      <c r="T17" s="8"/>
      <c r="U17" s="8"/>
      <c r="V17" s="8" t="s">
        <v>96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64"/>
      <c r="AJ17" s="65"/>
      <c r="AK17" s="66"/>
      <c r="AL17" s="67"/>
    </row>
    <row r="18" spans="1:38" s="10" customFormat="1" x14ac:dyDescent="0.2">
      <c r="A18" s="8">
        <v>10</v>
      </c>
      <c r="B18" s="8"/>
      <c r="C18" s="8"/>
      <c r="D18" s="8" t="s">
        <v>97</v>
      </c>
      <c r="E18" s="25" t="s">
        <v>98</v>
      </c>
      <c r="F18" s="25"/>
      <c r="G18" s="56" t="s">
        <v>131</v>
      </c>
      <c r="H18" s="56" t="s">
        <v>99</v>
      </c>
      <c r="I18" s="8" t="s">
        <v>54</v>
      </c>
      <c r="J18" s="8" t="s">
        <v>55</v>
      </c>
      <c r="K18" s="8"/>
      <c r="L18" s="8" t="s">
        <v>81</v>
      </c>
      <c r="M18" s="8"/>
      <c r="N18" s="8"/>
      <c r="O18" s="8"/>
      <c r="P18" s="8"/>
      <c r="Q18" s="8"/>
      <c r="R18" s="8"/>
      <c r="S18" s="8"/>
      <c r="T18" s="8"/>
      <c r="U18" s="8"/>
      <c r="V18" s="8" t="s">
        <v>100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64"/>
      <c r="AJ18" s="65"/>
      <c r="AK18" s="66"/>
      <c r="AL18" s="67"/>
    </row>
    <row r="19" spans="1:38" s="10" customFormat="1" x14ac:dyDescent="0.2">
      <c r="A19" s="22"/>
      <c r="B19" s="23"/>
      <c r="C19" s="23"/>
      <c r="D19" s="16" t="s">
        <v>13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9"/>
      <c r="AI19" s="9"/>
      <c r="AJ19" s="9"/>
      <c r="AK19" s="9"/>
      <c r="AL19" s="33"/>
    </row>
    <row r="20" spans="1:38" s="10" customFormat="1" x14ac:dyDescent="0.2">
      <c r="A20" s="44"/>
      <c r="AL20" s="34"/>
    </row>
    <row r="21" spans="1:38" s="10" customFormat="1" x14ac:dyDescent="0.2">
      <c r="A21" s="44"/>
      <c r="AL21" s="34"/>
    </row>
    <row r="22" spans="1:38" s="10" customFormat="1" x14ac:dyDescent="0.2">
      <c r="A22" s="44"/>
      <c r="AL22" s="34"/>
    </row>
    <row r="23" spans="1:38" s="10" customFormat="1" x14ac:dyDescent="0.2">
      <c r="A23" s="51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35"/>
    </row>
  </sheetData>
  <mergeCells count="18">
    <mergeCell ref="AK8:AL8"/>
    <mergeCell ref="AI9:AJ9"/>
    <mergeCell ref="AK9:AL9"/>
    <mergeCell ref="AI12:AJ12"/>
    <mergeCell ref="AK12:AL12"/>
    <mergeCell ref="AK11:AL11"/>
    <mergeCell ref="AI13:AJ13"/>
    <mergeCell ref="AK13:AL13"/>
    <mergeCell ref="AI14:AJ14"/>
    <mergeCell ref="AK14:AL14"/>
    <mergeCell ref="AI15:AJ15"/>
    <mergeCell ref="AK15:AL15"/>
    <mergeCell ref="AI16:AJ16"/>
    <mergeCell ref="AK16:AL16"/>
    <mergeCell ref="AI17:AJ17"/>
    <mergeCell ref="AK17:AL17"/>
    <mergeCell ref="AI18:AJ18"/>
    <mergeCell ref="AK18:AL1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8.6328125" style="4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41" t="s">
        <v>14</v>
      </c>
      <c r="B1" s="41" t="s">
        <v>14</v>
      </c>
      <c r="C1" s="4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</v>
      </c>
      <c r="B2" s="23"/>
      <c r="C2" s="23"/>
      <c r="D2" s="61" t="s">
        <v>111</v>
      </c>
      <c r="E2" s="7" t="s">
        <v>1</v>
      </c>
      <c r="F2" s="42" t="str">
        <f>IF(LogicCommon!C2="","",LogicCommon!C2)</f>
        <v>MG</v>
      </c>
      <c r="G2" s="7" t="s">
        <v>3</v>
      </c>
      <c r="H2" s="42" t="str">
        <f>IF(LogicCommon!E2="","",LogicCommon!E2)</f>
        <v>MGBGL5200</v>
      </c>
      <c r="I2" s="7" t="s">
        <v>16</v>
      </c>
      <c r="J2" s="8" t="s">
        <v>73</v>
      </c>
      <c r="K2" s="7" t="s">
        <v>4</v>
      </c>
      <c r="L2" s="42" t="str">
        <f>IF(LogicCommon!G2="","",LogicCommon!G2)</f>
        <v>MC</v>
      </c>
      <c r="M2" s="5" t="s">
        <v>17</v>
      </c>
      <c r="N2" s="43" t="s">
        <v>71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4" t="s">
        <v>14</v>
      </c>
      <c r="B3" s="45"/>
      <c r="C3" s="45"/>
      <c r="D3" s="46" t="str">
        <f>IF(LogicCommon!A3="","",LogicCommon!A3)</f>
        <v/>
      </c>
      <c r="E3" s="7" t="s">
        <v>6</v>
      </c>
      <c r="F3" s="42" t="str">
        <f>IF(LogicCommon!C3="","",LogicCommon!C3)</f>
        <v>MGBG</v>
      </c>
      <c r="G3" s="7" t="s">
        <v>8</v>
      </c>
      <c r="H3" s="42" t="str">
        <f>IF(LogicCommon!E3="","",LogicCommon!E3)</f>
        <v>MGBGL_PreAlcRateService</v>
      </c>
      <c r="I3" s="7" t="s">
        <v>18</v>
      </c>
      <c r="J3" s="8" t="s">
        <v>56</v>
      </c>
      <c r="K3" s="7" t="s">
        <v>9</v>
      </c>
      <c r="L3" s="42" t="str">
        <f>IF(LogicCommon!G3="","",LogicCommon!G3)</f>
        <v/>
      </c>
      <c r="M3" s="47"/>
      <c r="N3" s="7"/>
      <c r="O3" s="7" t="s">
        <v>20</v>
      </c>
      <c r="P3" s="8" t="s">
        <v>21</v>
      </c>
      <c r="Q3" s="4"/>
      <c r="R3" s="5"/>
      <c r="S3" s="5"/>
      <c r="T3" s="5"/>
      <c r="U3" s="5"/>
    </row>
    <row r="4" spans="1:21" s="10" customFormat="1" x14ac:dyDescent="0.2">
      <c r="A4" s="44" t="s">
        <v>14</v>
      </c>
      <c r="B4" s="45"/>
      <c r="C4" s="45"/>
      <c r="D4" s="4"/>
      <c r="E4" s="7" t="s">
        <v>22</v>
      </c>
      <c r="F4" s="48" t="s">
        <v>23</v>
      </c>
      <c r="G4" s="7" t="s">
        <v>10</v>
      </c>
      <c r="H4" s="42" t="str">
        <f>IF(LogicCommon!E4="","",LogicCommon!E4)</f>
        <v>一次配賦比率作成サービス</v>
      </c>
      <c r="I4" s="7" t="s">
        <v>24</v>
      </c>
      <c r="J4" s="8" t="s">
        <v>110</v>
      </c>
      <c r="K4" s="7" t="s">
        <v>11</v>
      </c>
      <c r="L4" s="42" t="str">
        <f>IF(LogicCommon!G4="","",LogicCommon!G4)</f>
        <v>MG.MGUDL5010</v>
      </c>
      <c r="M4" s="49" t="s">
        <v>25</v>
      </c>
      <c r="N4" s="43"/>
      <c r="O4" s="50"/>
      <c r="P4" s="4"/>
      <c r="Q4" s="4"/>
      <c r="R4" s="5"/>
      <c r="S4" s="5"/>
      <c r="T4" s="5"/>
      <c r="U4" s="5"/>
    </row>
    <row r="5" spans="1:21" s="10" customFormat="1" x14ac:dyDescent="0.2">
      <c r="A5" s="51" t="s">
        <v>14</v>
      </c>
      <c r="B5" s="41"/>
      <c r="C5" s="41"/>
      <c r="D5" s="21"/>
      <c r="E5" s="7" t="s">
        <v>26</v>
      </c>
      <c r="F5" s="48"/>
      <c r="G5" s="52"/>
      <c r="H5" s="52"/>
      <c r="I5" s="52"/>
      <c r="J5" s="52"/>
      <c r="K5" s="52"/>
      <c r="L5" s="6"/>
      <c r="M5" s="5"/>
      <c r="N5" s="5"/>
      <c r="O5" s="50"/>
      <c r="P5" s="4"/>
      <c r="Q5" s="4"/>
      <c r="R5" s="5"/>
      <c r="S5" s="5"/>
      <c r="T5" s="5"/>
      <c r="U5" s="5"/>
    </row>
    <row r="6" spans="1:21" s="10" customFormat="1" x14ac:dyDescent="0.2">
      <c r="A6" s="44" t="s">
        <v>14</v>
      </c>
      <c r="B6" s="45"/>
      <c r="C6" s="45"/>
      <c r="D6" s="4" t="s">
        <v>12</v>
      </c>
      <c r="E6" s="12" t="s">
        <v>103</v>
      </c>
      <c r="F6" s="12"/>
      <c r="G6" s="12"/>
      <c r="H6" s="12"/>
      <c r="I6" s="12"/>
      <c r="J6" s="12"/>
      <c r="K6" s="12"/>
      <c r="L6" s="53"/>
      <c r="M6" s="15" t="s">
        <v>27</v>
      </c>
      <c r="N6" s="15"/>
      <c r="O6" s="15" t="s">
        <v>27</v>
      </c>
      <c r="P6" s="15"/>
      <c r="Q6" s="15" t="s">
        <v>27</v>
      </c>
      <c r="R6" s="4"/>
      <c r="S6" s="4"/>
      <c r="T6" s="4"/>
      <c r="U6" s="4"/>
    </row>
    <row r="7" spans="1:21" s="10" customFormat="1" x14ac:dyDescent="0.2">
      <c r="A7" s="23" t="s">
        <v>57</v>
      </c>
      <c r="B7" s="23"/>
      <c r="C7" s="23"/>
      <c r="D7" s="6"/>
      <c r="E7" s="6"/>
      <c r="F7" s="6"/>
      <c r="G7" s="6"/>
      <c r="H7" s="6"/>
      <c r="I7" s="6" t="s">
        <v>58</v>
      </c>
      <c r="J7" s="6"/>
      <c r="K7" s="36" t="s">
        <v>59</v>
      </c>
      <c r="L7" s="24" t="s">
        <v>60</v>
      </c>
      <c r="M7" s="25"/>
      <c r="N7" s="24" t="s">
        <v>60</v>
      </c>
      <c r="O7" s="25"/>
      <c r="P7" s="24" t="s">
        <v>60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28</v>
      </c>
      <c r="B8" s="62"/>
      <c r="C8" s="63"/>
      <c r="D8" s="24" t="s">
        <v>112</v>
      </c>
      <c r="E8" s="24" t="s">
        <v>113</v>
      </c>
      <c r="F8" s="53"/>
      <c r="G8" s="24" t="s">
        <v>33</v>
      </c>
      <c r="H8" s="24" t="s">
        <v>114</v>
      </c>
      <c r="I8" s="53"/>
      <c r="J8" s="3"/>
      <c r="K8" s="8"/>
      <c r="L8" s="24" t="s">
        <v>61</v>
      </c>
      <c r="M8" s="25"/>
      <c r="N8" s="24" t="s">
        <v>61</v>
      </c>
      <c r="O8" s="25"/>
      <c r="P8" s="24" t="s">
        <v>61</v>
      </c>
      <c r="Q8" s="25"/>
      <c r="R8" s="3"/>
      <c r="S8" s="21"/>
      <c r="T8" s="64" t="s">
        <v>123</v>
      </c>
      <c r="U8" s="65"/>
    </row>
    <row r="9" spans="1:21" s="10" customFormat="1" ht="60" customHeight="1" x14ac:dyDescent="0.2">
      <c r="A9" s="8" t="s">
        <v>28</v>
      </c>
      <c r="B9" s="26"/>
      <c r="C9" s="55"/>
      <c r="D9" s="24" t="s">
        <v>132</v>
      </c>
      <c r="E9" s="58" t="s">
        <v>133</v>
      </c>
      <c r="F9" s="24" t="s">
        <v>117</v>
      </c>
      <c r="G9" s="24" t="s">
        <v>118</v>
      </c>
      <c r="H9" s="24" t="s">
        <v>119</v>
      </c>
      <c r="I9" s="59" t="s">
        <v>120</v>
      </c>
      <c r="J9" s="24" t="s">
        <v>121</v>
      </c>
      <c r="K9" s="61"/>
      <c r="L9" s="59"/>
      <c r="M9" s="24"/>
      <c r="N9" s="24"/>
      <c r="O9" s="24"/>
      <c r="P9" s="24"/>
      <c r="Q9" s="24"/>
      <c r="R9" s="64" t="s">
        <v>122</v>
      </c>
      <c r="S9" s="65"/>
      <c r="T9" s="64" t="s">
        <v>124</v>
      </c>
      <c r="U9" s="65"/>
    </row>
    <row r="10" spans="1:21" s="10" customFormat="1" ht="52" x14ac:dyDescent="0.2">
      <c r="A10" s="26" t="s">
        <v>53</v>
      </c>
      <c r="B10" s="28"/>
      <c r="C10" s="28"/>
      <c r="D10" s="29"/>
      <c r="E10" s="27"/>
      <c r="F10" s="27"/>
      <c r="G10" s="30"/>
      <c r="H10" s="30"/>
      <c r="I10" s="27"/>
      <c r="J10" s="27"/>
      <c r="K10" s="31"/>
      <c r="L10" s="24" t="s">
        <v>120</v>
      </c>
      <c r="M10" s="24" t="s">
        <v>121</v>
      </c>
      <c r="N10" s="24" t="s">
        <v>120</v>
      </c>
      <c r="O10" s="24" t="s">
        <v>121</v>
      </c>
      <c r="P10" s="24" t="s">
        <v>120</v>
      </c>
      <c r="Q10" s="24" t="s">
        <v>121</v>
      </c>
      <c r="R10" s="27"/>
      <c r="S10" s="27"/>
      <c r="T10" s="32"/>
      <c r="U10" s="40"/>
    </row>
    <row r="11" spans="1:21" s="10" customFormat="1" x14ac:dyDescent="0.2">
      <c r="A11" s="8">
        <v>10</v>
      </c>
      <c r="B11" s="26" t="s">
        <v>77</v>
      </c>
      <c r="C11" s="55"/>
      <c r="D11" s="57" t="s">
        <v>104</v>
      </c>
      <c r="E11" s="54" t="s">
        <v>15</v>
      </c>
      <c r="F11" s="60"/>
      <c r="G11" s="43" t="s">
        <v>62</v>
      </c>
      <c r="H11" s="25" t="s">
        <v>105</v>
      </c>
      <c r="I11" s="29"/>
      <c r="J11" s="29"/>
      <c r="K11" s="54"/>
      <c r="L11" s="54"/>
      <c r="M11" s="54"/>
      <c r="N11" s="54"/>
      <c r="O11" s="54"/>
      <c r="P11" s="54"/>
      <c r="Q11" s="58"/>
      <c r="R11" s="59"/>
      <c r="S11" s="66"/>
      <c r="T11" s="67"/>
    </row>
    <row r="12" spans="1:21" s="10" customFormat="1" x14ac:dyDescent="0.2">
      <c r="A12" s="8">
        <v>10</v>
      </c>
      <c r="B12" s="8"/>
      <c r="C12" s="8"/>
      <c r="D12" s="8" t="s">
        <v>78</v>
      </c>
      <c r="E12" s="25" t="s">
        <v>79</v>
      </c>
      <c r="F12" s="25"/>
      <c r="G12" s="56" t="s">
        <v>125</v>
      </c>
      <c r="H12" s="56" t="s">
        <v>80</v>
      </c>
      <c r="I12" s="8" t="s">
        <v>54</v>
      </c>
      <c r="J12" s="8" t="s">
        <v>55</v>
      </c>
      <c r="K12" s="8"/>
      <c r="L12" s="8"/>
      <c r="M12" s="8"/>
      <c r="N12" s="8"/>
      <c r="O12" s="8"/>
      <c r="P12" s="8"/>
      <c r="Q12" s="64"/>
      <c r="R12" s="65"/>
      <c r="S12" s="66"/>
      <c r="T12" s="67"/>
    </row>
    <row r="13" spans="1:21" s="10" customFormat="1" x14ac:dyDescent="0.2">
      <c r="A13" s="8">
        <v>10</v>
      </c>
      <c r="B13" s="8"/>
      <c r="C13" s="8"/>
      <c r="D13" s="8" t="s">
        <v>83</v>
      </c>
      <c r="E13" s="25" t="s">
        <v>84</v>
      </c>
      <c r="F13" s="25"/>
      <c r="G13" s="56" t="s">
        <v>126</v>
      </c>
      <c r="H13" s="56" t="s">
        <v>107</v>
      </c>
      <c r="I13" s="8" t="s">
        <v>54</v>
      </c>
      <c r="J13" s="8" t="s">
        <v>55</v>
      </c>
      <c r="K13" s="8"/>
      <c r="L13" s="8"/>
      <c r="M13" s="8"/>
      <c r="N13" s="8"/>
      <c r="O13" s="8"/>
      <c r="P13" s="8"/>
      <c r="Q13" s="64"/>
      <c r="R13" s="65"/>
      <c r="S13" s="66"/>
      <c r="T13" s="67"/>
    </row>
    <row r="14" spans="1:21" s="10" customFormat="1" x14ac:dyDescent="0.2">
      <c r="A14" s="8">
        <v>10</v>
      </c>
      <c r="B14" s="8"/>
      <c r="C14" s="8"/>
      <c r="D14" s="8" t="s">
        <v>85</v>
      </c>
      <c r="E14" s="25" t="s">
        <v>84</v>
      </c>
      <c r="F14" s="25"/>
      <c r="G14" s="56" t="s">
        <v>127</v>
      </c>
      <c r="H14" s="56" t="s">
        <v>108</v>
      </c>
      <c r="I14" s="8" t="s">
        <v>54</v>
      </c>
      <c r="J14" s="8" t="s">
        <v>55</v>
      </c>
      <c r="K14" s="8"/>
      <c r="L14" s="8"/>
      <c r="M14" s="8"/>
      <c r="N14" s="8"/>
      <c r="O14" s="8"/>
      <c r="P14" s="8"/>
      <c r="Q14" s="64"/>
      <c r="R14" s="65"/>
      <c r="S14" s="66"/>
      <c r="T14" s="67"/>
    </row>
    <row r="15" spans="1:21" s="10" customFormat="1" x14ac:dyDescent="0.2">
      <c r="A15" s="8">
        <v>10</v>
      </c>
      <c r="B15" s="8"/>
      <c r="C15" s="8"/>
      <c r="D15" s="8" t="s">
        <v>87</v>
      </c>
      <c r="E15" s="25" t="s">
        <v>84</v>
      </c>
      <c r="F15" s="25"/>
      <c r="G15" s="56" t="s">
        <v>128</v>
      </c>
      <c r="H15" s="56" t="s">
        <v>109</v>
      </c>
      <c r="I15" s="8" t="s">
        <v>54</v>
      </c>
      <c r="J15" s="8" t="s">
        <v>55</v>
      </c>
      <c r="K15" s="8"/>
      <c r="L15" s="8"/>
      <c r="M15" s="8"/>
      <c r="N15" s="8"/>
      <c r="O15" s="8"/>
      <c r="P15" s="8"/>
      <c r="Q15" s="64"/>
      <c r="R15" s="65"/>
      <c r="S15" s="66"/>
      <c r="T15" s="67"/>
    </row>
    <row r="16" spans="1:21" s="10" customFormat="1" x14ac:dyDescent="0.2">
      <c r="A16" s="8">
        <v>10</v>
      </c>
      <c r="B16" s="8"/>
      <c r="C16" s="8"/>
      <c r="D16" s="8" t="s">
        <v>89</v>
      </c>
      <c r="E16" s="25" t="s">
        <v>90</v>
      </c>
      <c r="F16" s="25"/>
      <c r="G16" s="56" t="s">
        <v>129</v>
      </c>
      <c r="H16" s="56" t="s">
        <v>91</v>
      </c>
      <c r="I16" s="8" t="s">
        <v>54</v>
      </c>
      <c r="J16" s="8" t="s">
        <v>55</v>
      </c>
      <c r="K16" s="8"/>
      <c r="L16" s="8"/>
      <c r="M16" s="8"/>
      <c r="N16" s="8"/>
      <c r="O16" s="8"/>
      <c r="P16" s="8"/>
      <c r="Q16" s="64"/>
      <c r="R16" s="65"/>
      <c r="S16" s="66"/>
      <c r="T16" s="67"/>
    </row>
    <row r="17" spans="1:21" s="10" customFormat="1" x14ac:dyDescent="0.2">
      <c r="A17" s="8">
        <v>10</v>
      </c>
      <c r="B17" s="8"/>
      <c r="C17" s="8"/>
      <c r="D17" s="8" t="s">
        <v>93</v>
      </c>
      <c r="E17" s="25" t="s">
        <v>94</v>
      </c>
      <c r="F17" s="25"/>
      <c r="G17" s="56" t="s">
        <v>130</v>
      </c>
      <c r="H17" s="56" t="s">
        <v>95</v>
      </c>
      <c r="I17" s="8" t="s">
        <v>54</v>
      </c>
      <c r="J17" s="8" t="s">
        <v>55</v>
      </c>
      <c r="K17" s="8"/>
      <c r="L17" s="8"/>
      <c r="M17" s="8"/>
      <c r="N17" s="8"/>
      <c r="O17" s="8"/>
      <c r="P17" s="8"/>
      <c r="Q17" s="64"/>
      <c r="R17" s="65"/>
      <c r="S17" s="66"/>
      <c r="T17" s="67"/>
    </row>
    <row r="18" spans="1:21" s="10" customFormat="1" x14ac:dyDescent="0.2">
      <c r="A18" s="8">
        <v>10</v>
      </c>
      <c r="B18" s="8"/>
      <c r="C18" s="8"/>
      <c r="D18" s="8" t="s">
        <v>97</v>
      </c>
      <c r="E18" s="25" t="s">
        <v>98</v>
      </c>
      <c r="F18" s="25"/>
      <c r="G18" s="56" t="s">
        <v>131</v>
      </c>
      <c r="H18" s="56" t="s">
        <v>99</v>
      </c>
      <c r="I18" s="8" t="s">
        <v>54</v>
      </c>
      <c r="J18" s="8" t="s">
        <v>55</v>
      </c>
      <c r="K18" s="8"/>
      <c r="L18" s="8"/>
      <c r="M18" s="8"/>
      <c r="N18" s="8"/>
      <c r="O18" s="8"/>
      <c r="P18" s="8"/>
      <c r="Q18" s="64"/>
      <c r="R18" s="65"/>
      <c r="S18" s="66"/>
      <c r="T18" s="67"/>
    </row>
    <row r="19" spans="1:21" s="10" customFormat="1" x14ac:dyDescent="0.2">
      <c r="A19" s="22"/>
      <c r="B19" s="23"/>
      <c r="C19" s="23"/>
      <c r="D19" s="16" t="s">
        <v>13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9"/>
      <c r="R19" s="9"/>
      <c r="S19" s="9"/>
      <c r="T19" s="9"/>
      <c r="U19" s="33"/>
    </row>
    <row r="20" spans="1:21" s="10" customFormat="1" x14ac:dyDescent="0.2">
      <c r="A20" s="44"/>
      <c r="U20" s="34"/>
    </row>
    <row r="21" spans="1:21" s="10" customFormat="1" x14ac:dyDescent="0.2">
      <c r="A21" s="44"/>
      <c r="U21" s="34"/>
    </row>
    <row r="22" spans="1:21" s="10" customFormat="1" x14ac:dyDescent="0.2">
      <c r="A22" s="44"/>
      <c r="U22" s="34"/>
    </row>
    <row r="23" spans="1:21" s="10" customFormat="1" x14ac:dyDescent="0.2">
      <c r="A23" s="51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35"/>
    </row>
  </sheetData>
  <mergeCells count="18">
    <mergeCell ref="T8:U8"/>
    <mergeCell ref="R9:S9"/>
    <mergeCell ref="T9:U9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8:R18"/>
    <mergeCell ref="S18:T18"/>
    <mergeCell ref="Q16:R16"/>
    <mergeCell ref="S16:T16"/>
    <mergeCell ref="Q17:R17"/>
    <mergeCell ref="S17:T1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37" customWidth="1"/>
    <col min="43" max="44" width="2.08984375" style="39" customWidth="1"/>
    <col min="45" max="71" width="2.08984375" style="37" customWidth="1"/>
    <col min="72" max="256" width="9" style="37"/>
    <col min="257" max="327" width="2.08984375" style="37" customWidth="1"/>
    <col min="328" max="512" width="9" style="37"/>
    <col min="513" max="583" width="2.08984375" style="37" customWidth="1"/>
    <col min="584" max="768" width="9" style="37"/>
    <col min="769" max="839" width="2.08984375" style="37" customWidth="1"/>
    <col min="840" max="1024" width="9" style="37"/>
    <col min="1025" max="1095" width="2.08984375" style="37" customWidth="1"/>
    <col min="1096" max="1280" width="9" style="37"/>
    <col min="1281" max="1351" width="2.08984375" style="37" customWidth="1"/>
    <col min="1352" max="1536" width="9" style="37"/>
    <col min="1537" max="1607" width="2.08984375" style="37" customWidth="1"/>
    <col min="1608" max="1792" width="9" style="37"/>
    <col min="1793" max="1863" width="2.08984375" style="37" customWidth="1"/>
    <col min="1864" max="2048" width="9" style="37"/>
    <col min="2049" max="2119" width="2.08984375" style="37" customWidth="1"/>
    <col min="2120" max="2304" width="9" style="37"/>
    <col min="2305" max="2375" width="2.08984375" style="37" customWidth="1"/>
    <col min="2376" max="2560" width="9" style="37"/>
    <col min="2561" max="2631" width="2.08984375" style="37" customWidth="1"/>
    <col min="2632" max="2816" width="9" style="37"/>
    <col min="2817" max="2887" width="2.08984375" style="37" customWidth="1"/>
    <col min="2888" max="3072" width="9" style="37"/>
    <col min="3073" max="3143" width="2.08984375" style="37" customWidth="1"/>
    <col min="3144" max="3328" width="9" style="37"/>
    <col min="3329" max="3399" width="2.08984375" style="37" customWidth="1"/>
    <col min="3400" max="3584" width="9" style="37"/>
    <col min="3585" max="3655" width="2.08984375" style="37" customWidth="1"/>
    <col min="3656" max="3840" width="9" style="37"/>
    <col min="3841" max="3911" width="2.08984375" style="37" customWidth="1"/>
    <col min="3912" max="4096" width="9" style="37"/>
    <col min="4097" max="4167" width="2.08984375" style="37" customWidth="1"/>
    <col min="4168" max="4352" width="9" style="37"/>
    <col min="4353" max="4423" width="2.08984375" style="37" customWidth="1"/>
    <col min="4424" max="4608" width="9" style="37"/>
    <col min="4609" max="4679" width="2.08984375" style="37" customWidth="1"/>
    <col min="4680" max="4864" width="9" style="37"/>
    <col min="4865" max="4935" width="2.08984375" style="37" customWidth="1"/>
    <col min="4936" max="5120" width="9" style="37"/>
    <col min="5121" max="5191" width="2.08984375" style="37" customWidth="1"/>
    <col min="5192" max="5376" width="9" style="37"/>
    <col min="5377" max="5447" width="2.08984375" style="37" customWidth="1"/>
    <col min="5448" max="5632" width="9" style="37"/>
    <col min="5633" max="5703" width="2.08984375" style="37" customWidth="1"/>
    <col min="5704" max="5888" width="9" style="37"/>
    <col min="5889" max="5959" width="2.08984375" style="37" customWidth="1"/>
    <col min="5960" max="6144" width="9" style="37"/>
    <col min="6145" max="6215" width="2.08984375" style="37" customWidth="1"/>
    <col min="6216" max="6400" width="9" style="37"/>
    <col min="6401" max="6471" width="2.08984375" style="37" customWidth="1"/>
    <col min="6472" max="6656" width="9" style="37"/>
    <col min="6657" max="6727" width="2.08984375" style="37" customWidth="1"/>
    <col min="6728" max="6912" width="9" style="37"/>
    <col min="6913" max="6983" width="2.08984375" style="37" customWidth="1"/>
    <col min="6984" max="7168" width="9" style="37"/>
    <col min="7169" max="7239" width="2.08984375" style="37" customWidth="1"/>
    <col min="7240" max="7424" width="9" style="37"/>
    <col min="7425" max="7495" width="2.08984375" style="37" customWidth="1"/>
    <col min="7496" max="7680" width="9" style="37"/>
    <col min="7681" max="7751" width="2.08984375" style="37" customWidth="1"/>
    <col min="7752" max="7936" width="9" style="37"/>
    <col min="7937" max="8007" width="2.08984375" style="37" customWidth="1"/>
    <col min="8008" max="8192" width="9" style="37"/>
    <col min="8193" max="8263" width="2.08984375" style="37" customWidth="1"/>
    <col min="8264" max="8448" width="9" style="37"/>
    <col min="8449" max="8519" width="2.08984375" style="37" customWidth="1"/>
    <col min="8520" max="8704" width="9" style="37"/>
    <col min="8705" max="8775" width="2.08984375" style="37" customWidth="1"/>
    <col min="8776" max="8960" width="9" style="37"/>
    <col min="8961" max="9031" width="2.08984375" style="37" customWidth="1"/>
    <col min="9032" max="9216" width="9" style="37"/>
    <col min="9217" max="9287" width="2.08984375" style="37" customWidth="1"/>
    <col min="9288" max="9472" width="9" style="37"/>
    <col min="9473" max="9543" width="2.08984375" style="37" customWidth="1"/>
    <col min="9544" max="9728" width="9" style="37"/>
    <col min="9729" max="9799" width="2.08984375" style="37" customWidth="1"/>
    <col min="9800" max="9984" width="9" style="37"/>
    <col min="9985" max="10055" width="2.08984375" style="37" customWidth="1"/>
    <col min="10056" max="10240" width="9" style="37"/>
    <col min="10241" max="10311" width="2.08984375" style="37" customWidth="1"/>
    <col min="10312" max="10496" width="9" style="37"/>
    <col min="10497" max="10567" width="2.08984375" style="37" customWidth="1"/>
    <col min="10568" max="10752" width="9" style="37"/>
    <col min="10753" max="10823" width="2.08984375" style="37" customWidth="1"/>
    <col min="10824" max="11008" width="9" style="37"/>
    <col min="11009" max="11079" width="2.08984375" style="37" customWidth="1"/>
    <col min="11080" max="11264" width="9" style="37"/>
    <col min="11265" max="11335" width="2.08984375" style="37" customWidth="1"/>
    <col min="11336" max="11520" width="9" style="37"/>
    <col min="11521" max="11591" width="2.08984375" style="37" customWidth="1"/>
    <col min="11592" max="11776" width="9" style="37"/>
    <col min="11777" max="11847" width="2.08984375" style="37" customWidth="1"/>
    <col min="11848" max="12032" width="9" style="37"/>
    <col min="12033" max="12103" width="2.08984375" style="37" customWidth="1"/>
    <col min="12104" max="12288" width="9" style="37"/>
    <col min="12289" max="12359" width="2.08984375" style="37" customWidth="1"/>
    <col min="12360" max="12544" width="9" style="37"/>
    <col min="12545" max="12615" width="2.08984375" style="37" customWidth="1"/>
    <col min="12616" max="12800" width="9" style="37"/>
    <col min="12801" max="12871" width="2.08984375" style="37" customWidth="1"/>
    <col min="12872" max="13056" width="9" style="37"/>
    <col min="13057" max="13127" width="2.08984375" style="37" customWidth="1"/>
    <col min="13128" max="13312" width="9" style="37"/>
    <col min="13313" max="13383" width="2.08984375" style="37" customWidth="1"/>
    <col min="13384" max="13568" width="9" style="37"/>
    <col min="13569" max="13639" width="2.08984375" style="37" customWidth="1"/>
    <col min="13640" max="13824" width="9" style="37"/>
    <col min="13825" max="13895" width="2.08984375" style="37" customWidth="1"/>
    <col min="13896" max="14080" width="9" style="37"/>
    <col min="14081" max="14151" width="2.08984375" style="37" customWidth="1"/>
    <col min="14152" max="14336" width="9" style="37"/>
    <col min="14337" max="14407" width="2.08984375" style="37" customWidth="1"/>
    <col min="14408" max="14592" width="9" style="37"/>
    <col min="14593" max="14663" width="2.08984375" style="37" customWidth="1"/>
    <col min="14664" max="14848" width="9" style="37"/>
    <col min="14849" max="14919" width="2.08984375" style="37" customWidth="1"/>
    <col min="14920" max="15104" width="9" style="37"/>
    <col min="15105" max="15175" width="2.08984375" style="37" customWidth="1"/>
    <col min="15176" max="15360" width="9" style="37"/>
    <col min="15361" max="15431" width="2.08984375" style="37" customWidth="1"/>
    <col min="15432" max="15616" width="9" style="37"/>
    <col min="15617" max="15687" width="2.08984375" style="37" customWidth="1"/>
    <col min="15688" max="15872" width="9" style="37"/>
    <col min="15873" max="15943" width="2.08984375" style="37" customWidth="1"/>
    <col min="15944" max="16128" width="9" style="37"/>
    <col min="16129" max="16199" width="2.08984375" style="37" customWidth="1"/>
    <col min="16200" max="16384" width="9" style="37"/>
  </cols>
  <sheetData>
    <row r="1" spans="1:57" ht="38.25" customHeight="1" thickBot="1" x14ac:dyDescent="0.25">
      <c r="A1" s="97" t="s">
        <v>63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</row>
    <row r="3" spans="1:57" ht="15" customHeight="1" thickBot="1" x14ac:dyDescent="0.25">
      <c r="A3" s="100" t="s">
        <v>64</v>
      </c>
      <c r="B3" s="101"/>
      <c r="C3" s="101"/>
      <c r="D3" s="101"/>
      <c r="E3" s="101"/>
      <c r="F3" s="101"/>
      <c r="G3" s="102"/>
      <c r="H3" s="103" t="s">
        <v>65</v>
      </c>
      <c r="I3" s="101"/>
      <c r="J3" s="101"/>
      <c r="K3" s="101"/>
      <c r="L3" s="101"/>
      <c r="M3" s="101"/>
      <c r="N3" s="102"/>
      <c r="O3" s="103" t="s">
        <v>66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67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68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134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135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PreAlcRate_Chk01</vt:lpstr>
      <vt:lpstr>PreAlcRate_Upd01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2026-03-27T05:52:38Z</dcterms:modified>
  <cp:category/>
</cp:coreProperties>
</file>