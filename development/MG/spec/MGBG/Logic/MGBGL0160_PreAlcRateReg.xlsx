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E0DF06E4-CB42-46F8-8A09-6FC951EFD8D9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Srch01" sheetId="2" r:id="rId2"/>
    <sheet name="Chk01" sheetId="3" r:id="rId3"/>
    <sheet name="Ins01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<sst xmlns="http://schemas.openxmlformats.org/spreadsheetml/2006/main" count="548" uniqueCount="204">
  <si>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</si>
  <si>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</si>
  <si>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</si>
  <si>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</si>
  <si>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MGBGL0160</t>
    <phoneticPr fontId="2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</si>
  <si>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</si>
  <si>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</si>
  <si>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</si>
  <si>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</si>
  <si>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</si>
  <si>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MGBGL_PreAlcRateReg</t>
    <phoneticPr fontId="2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</si>
  <si>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</si>
  <si>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</si>
  <si>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</si>
  <si>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</si>
  <si>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</si>
  <si>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</si>
  <si>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</si>
  <si>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</si>
  <si>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</si>
  <si>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</si>
  <si>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</si>
  <si>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</si>
  <si>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</si>
  <si>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</si>
  <si>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</si>
  <si>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</si>
  <si>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</si>
  <si>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</si>
  <si>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</si>
  <si>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</si>
  <si>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</si>
  <si>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</si>
  <si>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</si>
  <si>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</si>
  <si>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</si>
  <si>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</si>
  <si>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</si>
  <si>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</si>
  <si>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</si>
  <si>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</si>
  <si>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</si>
  <si>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</si>
  <si>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</si>
  <si>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</si>
  <si>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calc_ctg_cd</t>
  </si>
  <si>
    <t>#MA.CALC_CTG_CD</t>
    <phoneticPr fontId="3"/>
  </si>
  <si>
    <t>計算カテゴリＣＤ</t>
    <phoneticPr fontId="3"/>
  </si>
  <si>
    <t>E</t>
    <phoneticPr fontId="2"/>
  </si>
  <si>
    <t>-</t>
    <phoneticPr fontId="3"/>
  </si>
  <si>
    <t>calc_ctg_nm</t>
    <phoneticPr fontId="3"/>
  </si>
  <si>
    <t>#MA.CALC_CTG_NM</t>
    <phoneticPr fontId="3"/>
  </si>
  <si>
    <t>計算カテゴリ名</t>
    <phoneticPr fontId="3"/>
  </si>
  <si>
    <t>wg_cd</t>
  </si>
  <si>
    <t>#MA.WG_CD</t>
  </si>
  <si>
    <t>ワーキンググループＣＤ</t>
    <phoneticPr fontId="2"/>
  </si>
  <si>
    <t>wg_nm</t>
  </si>
  <si>
    <t>#MA.WG_NM</t>
  </si>
  <si>
    <t>ワーキンググループ名</t>
    <phoneticPr fontId="4"/>
  </si>
  <si>
    <t>pre_alc_rate_cd</t>
  </si>
  <si>
    <t>#MA.PRE_ALC_RATE_CD</t>
    <phoneticPr fontId="3"/>
  </si>
  <si>
    <t>一次配賦基準ＣＤ</t>
    <phoneticPr fontId="3"/>
  </si>
  <si>
    <t>pre_alc_rate_nm</t>
    <phoneticPr fontId="3"/>
  </si>
  <si>
    <t>#MA.PRE_ALC_RATE_NM</t>
    <phoneticPr fontId="3"/>
  </si>
  <si>
    <t>一次配賦基準名</t>
    <phoneticPr fontId="3"/>
  </si>
  <si>
    <t>pre_alc_set_typ</t>
  </si>
  <si>
    <t>#MA.PRE_ALC_SET_TYP</t>
    <phoneticPr fontId="3"/>
  </si>
  <si>
    <t>比率設定区分</t>
    <phoneticPr fontId="3"/>
  </si>
  <si>
    <t>no_exist_flg</t>
  </si>
  <si>
    <t>#MA.FLG</t>
    <phoneticPr fontId="3"/>
  </si>
  <si>
    <t>未登録</t>
    <phoneticPr fontId="3"/>
  </si>
  <si>
    <t>R</t>
    <phoneticPr fontId="2"/>
  </si>
  <si>
    <t>no_exist_flg_str</t>
    <phoneticPr fontId="3"/>
  </si>
  <si>
    <t>#MA.FLG_STR</t>
    <phoneticPr fontId="3"/>
  </si>
  <si>
    <t>-</t>
    <phoneticPr fontId="2"/>
  </si>
  <si>
    <t>pln_mly_flg_str</t>
  </si>
  <si>
    <t>#MA.FLG_STR</t>
    <phoneticPr fontId="3"/>
  </si>
  <si>
    <t>計画月次比率</t>
    <phoneticPr fontId="3"/>
  </si>
  <si>
    <t>act_mly_flg_str</t>
  </si>
  <si>
    <t>実績月次比率</t>
    <phoneticPr fontId="3"/>
  </si>
  <si>
    <t>sa_typ</t>
  </si>
  <si>
    <t>#MA.SA_TYP</t>
    <phoneticPr fontId="3"/>
  </si>
  <si>
    <t>予実区分</t>
    <phoneticPr fontId="3"/>
  </si>
  <si>
    <t>ym</t>
  </si>
  <si>
    <t>#MA.YM</t>
    <phoneticPr fontId="3"/>
  </si>
  <si>
    <t>term</t>
    <phoneticPr fontId="3"/>
  </si>
  <si>
    <t>期</t>
    <phoneticPr fontId="3"/>
  </si>
  <si>
    <t>Srch01_Rslt</t>
    <phoneticPr fontId="3"/>
  </si>
  <si>
    <t>exist_flg</t>
  </si>
  <si>
    <t>#MA.FLG</t>
    <phoneticPr fontId="3"/>
  </si>
  <si>
    <t>登録</t>
    <phoneticPr fontId="3"/>
  </si>
  <si>
    <t>E</t>
    <phoneticPr fontId="3"/>
  </si>
  <si>
    <t>#MA.CALC_CTG_CD</t>
    <phoneticPr fontId="3"/>
  </si>
  <si>
    <t>calc_ctg_nm</t>
  </si>
  <si>
    <t>#MA.CALC_CTG_NM</t>
    <phoneticPr fontId="3"/>
  </si>
  <si>
    <t>#MA.PRE_ALC_RATE_CD</t>
    <phoneticPr fontId="3"/>
  </si>
  <si>
    <t>pre_alc_rate_nm</t>
  </si>
  <si>
    <t>#MA.PRE_ALC_RATE_NM</t>
    <phoneticPr fontId="3"/>
  </si>
  <si>
    <t>#MA.PRE_ALC_SET_TYP</t>
    <phoneticPr fontId="3"/>
  </si>
  <si>
    <t>MAC_PRE_ALC_SET_TYP</t>
    <phoneticPr fontId="3"/>
  </si>
  <si>
    <t>pre_alc_set_typ_nm</t>
    <phoneticPr fontId="3"/>
  </si>
  <si>
    <t>#MA.PRE_ALC_SET_TYP_NM</t>
    <phoneticPr fontId="3"/>
  </si>
  <si>
    <t>比率設定区分名</t>
    <phoneticPr fontId="3"/>
  </si>
  <si>
    <t>pln_mly_flg</t>
  </si>
  <si>
    <t>act_mly_flg</t>
  </si>
  <si>
    <t>#MA.FLG</t>
    <phoneticPr fontId="3"/>
  </si>
  <si>
    <t>pln_rule_flg</t>
  </si>
  <si>
    <t>計画基準</t>
    <phoneticPr fontId="3"/>
  </si>
  <si>
    <t>Chk01</t>
    <phoneticPr fontId="3"/>
  </si>
  <si>
    <t>比率作成前チェック</t>
    <rPh sb="0" eb="2">
      <t>ヒリツ</t>
    </rPh>
    <rPh sb="2" eb="4">
      <t>サクセイ</t>
    </rPh>
    <phoneticPr fontId="2"/>
  </si>
  <si>
    <t>比率作成する前のチェックを行う</t>
    <rPh sb="0" eb="2">
      <t>ヒリツ</t>
    </rPh>
    <rPh sb="2" eb="4">
      <t>サクセイ</t>
    </rPh>
    <rPh sb="6" eb="7">
      <t>マエ</t>
    </rPh>
    <rPh sb="13" eb="14">
      <t>オコナ</t>
    </rPh>
    <phoneticPr fontId="2"/>
  </si>
  <si>
    <t>K</t>
    <phoneticPr fontId="2"/>
  </si>
  <si>
    <t>REQ_UPD_CNT_CHK</t>
    <phoneticPr fontId="2"/>
  </si>
  <si>
    <t>REQUIRED</t>
    <phoneticPr fontId="2"/>
  </si>
  <si>
    <t>CHK_NUM</t>
    <phoneticPr fontId="2"/>
  </si>
  <si>
    <t>SMALL_LARGE</t>
    <phoneticPr fontId="2"/>
  </si>
  <si>
    <t>CHK_DT</t>
    <phoneticPr fontId="2"/>
  </si>
  <si>
    <t>BEFORE_AFTER</t>
    <phoneticPr fontId="2"/>
  </si>
  <si>
    <t>CHK_PTN</t>
    <phoneticPr fontId="2"/>
  </si>
  <si>
    <t>DUPLICATE</t>
    <phoneticPr fontId="2"/>
  </si>
  <si>
    <t>TOO_MANY_INPUTS</t>
    <phoneticPr fontId="2"/>
  </si>
  <si>
    <t>AT_LEAST_ONE</t>
    <phoneticPr fontId="2"/>
  </si>
  <si>
    <t>ONLY_ONE_INPUT</t>
    <phoneticPr fontId="2"/>
  </si>
  <si>
    <t>LIST_LOGIC</t>
    <phoneticPr fontId="2"/>
  </si>
  <si>
    <t>LIST_OUT</t>
    <phoneticPr fontId="2"/>
  </si>
  <si>
    <t>LIST_OUT_BASE</t>
    <phoneticPr fontId="2"/>
  </si>
  <si>
    <t>LIST_IN</t>
  </si>
  <si>
    <t>LIST_IN_BASE</t>
    <phoneticPr fontId="2"/>
  </si>
  <si>
    <t>CONST</t>
    <phoneticPr fontId="2"/>
  </si>
  <si>
    <t>NULL_VAL</t>
    <phoneticPr fontId="2"/>
  </si>
  <si>
    <t>#</t>
    <phoneticPr fontId="3"/>
  </si>
  <si>
    <t>#MA.SA_TYP</t>
    <phoneticPr fontId="3"/>
  </si>
  <si>
    <t>ym_fr</t>
  </si>
  <si>
    <t>ym_to</t>
  </si>
  <si>
    <t>#MA.YM</t>
    <phoneticPr fontId="3"/>
  </si>
  <si>
    <t>Chk01_Dtl</t>
    <phoneticPr fontId="3"/>
  </si>
  <si>
    <t>ワーキンググループＣＤ</t>
    <phoneticPr fontId="3"/>
  </si>
  <si>
    <t>Ins01</t>
    <phoneticPr fontId="3"/>
  </si>
  <si>
    <t>@</t>
    <phoneticPr fontId="3"/>
  </si>
  <si>
    <t>比率作成</t>
    <phoneticPr fontId="2"/>
  </si>
  <si>
    <t>比率作成処理をする</t>
    <rPh sb="0" eb="2">
      <t>ヒリツ</t>
    </rPh>
    <rPh sb="2" eb="4">
      <t>サクセイ</t>
    </rPh>
    <rPh sb="4" eb="6">
      <t>ショリ</t>
    </rPh>
    <phoneticPr fontId="2"/>
  </si>
  <si>
    <t>ID</t>
    <phoneticPr fontId="2"/>
  </si>
  <si>
    <t>$share$</t>
  </si>
  <si>
    <t>#MA.SA_TYP</t>
    <phoneticPr fontId="3"/>
  </si>
  <si>
    <t>#MA.YM</t>
    <phoneticPr fontId="3"/>
  </si>
  <si>
    <t>Ins01_Dtl</t>
    <phoneticPr fontId="3"/>
  </si>
  <si>
    <t>Chk01.Chk01_Dtl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</si>
  <si>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</si>
  <si>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</si>
  <si>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</si>
  <si>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</si>
  <si>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</si>
  <si>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</si>
  <si>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</si>
  <si>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</si>
  <si>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MA.MAUDL5010.Checker</t>
    <phoneticPr fontId="2"/>
  </si>
  <si>
    <t>"mcframe.serverMAUD.MAUDL5010.MAUDL_Operation"</t>
    <phoneticPr fontId="2"/>
  </si>
  <si>
    <t>一次配賦比率作成処理</t>
    <phoneticPr fontId="2"/>
  </si>
  <si>
    <t>作成対象年月</t>
    <rPh sb="0" eb="2">
      <t>サクセイ</t>
    </rPh>
    <rPh sb="2" eb="6">
      <t>タイショウネンゲツ</t>
    </rPh>
    <phoneticPr fontId="3"/>
  </si>
  <si>
    <t>取得先対象年月ＦＲＯＭ</t>
    <rPh sb="0" eb="3">
      <t>シュトクサキ</t>
    </rPh>
    <rPh sb="3" eb="5">
      <t>タイショウ</t>
    </rPh>
    <rPh sb="5" eb="7">
      <t>ネンゲツ</t>
    </rPh>
    <phoneticPr fontId="3"/>
  </si>
  <si>
    <t>取得先対象年月ＴＯ</t>
    <rPh sb="3" eb="5">
      <t>タイショウ</t>
    </rPh>
    <rPh sb="5" eb="7">
      <t>ネンゲツ</t>
    </rPh>
    <phoneticPr fontId="3"/>
  </si>
  <si>
    <t>作成対象年月</t>
    <rPh sb="0" eb="2">
      <t>サクセイ</t>
    </rPh>
    <rPh sb="2" eb="6">
      <t>タイショウネンゲツ</t>
    </rPh>
    <phoneticPr fontId="3"/>
  </si>
  <si>
    <t>作成対象年月ＦＲＯＭ</t>
    <rPh sb="0" eb="2">
      <t>サクセイ</t>
    </rPh>
    <rPh sb="2" eb="4">
      <t>タイショウ</t>
    </rPh>
    <rPh sb="4" eb="6">
      <t>ネンゲツ</t>
    </rPh>
    <phoneticPr fontId="3"/>
  </si>
  <si>
    <t>作成対象年月ＴＯ</t>
    <rPh sb="0" eb="2">
      <t>サクセイ</t>
    </rPh>
    <rPh sb="2" eb="4">
      <t>タイショウ</t>
    </rPh>
    <rPh sb="4" eb="6">
      <t>ネンゲツ</t>
    </rPh>
    <phoneticPr fontId="3"/>
  </si>
  <si>
    <t>tgt_ym_fr</t>
    <phoneticPr fontId="3"/>
  </si>
  <si>
    <t>tgt_ym_to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</si>
  <si>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</si>
  <si>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</si>
  <si>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</si>
  <si>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</si>
  <si>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</si>
  <si>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</si>
  <si>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</si>
  <si>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</si>
  <si>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</si>
  <si>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</si>
  <si>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</si>
  <si>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</si>
  <si>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</si>
  <si>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</si>
  <si>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</si>
  <si>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</si>
  <si>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</si>
  <si>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</si>
  <si>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Departmental alloc. basis cd.</t>
  </si>
  <si>
    <t>Departmental alloc. basis name</t>
  </si>
  <si>
    <t>Ratio setting type</t>
  </si>
  <si>
    <t>Non-entry</t>
  </si>
  <si>
    <t>Monthly ratio (Plan)</t>
  </si>
  <si>
    <t>Monthly ratio (Result)</t>
  </si>
  <si>
    <t>Plan/Result type</t>
  </si>
  <si>
    <t>Month to create FROM</t>
  </si>
  <si>
    <t>Month to create TO</t>
  </si>
  <si>
    <t>Term</t>
  </si>
  <si>
    <t>Entry</t>
  </si>
  <si>
    <t>Month to create</t>
  </si>
  <si>
    <t>Ratio setting type name</t>
  </si>
  <si>
    <t>Plan based</t>
  </si>
  <si>
    <t>項目名
Field Name</t>
    <phoneticPr fontId="3"/>
  </si>
  <si>
    <t>型
Type</t>
    <phoneticPr fontId="3"/>
  </si>
  <si>
    <t>Acquisition month FROM</t>
  </si>
  <si>
    <t>Acquisition month TO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</si>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</sst>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157</v>
      </c>
      <c r="F4" s="7" t="s">
        <v>13</v>
      </c>
      <c r="G4" s="8" t="s">
        <v>153</v>
      </c>
      <c r="I4" s="5"/>
      <c r="J4" s="4"/>
    </row>
    <row r="5" spans="1:13" x14ac:dyDescent="0.2">
      <c r="A5" s="6" t="s">
        <v>14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15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90625" style="4" bestFit="1" customWidth="1"/>
    <col min="12" max="12" width="17.0898437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9.453125" style="5" bestFit="1" customWidth="1"/>
    <col min="20" max="20" width="15.81640625" style="5" customWidth="1"/>
    <col min="21" max="21" width="9.453125" style="5" bestFit="1" customWidth="1"/>
    <col min="22" max="22" width="11.6328125" style="5" bestFit="1" customWidth="1"/>
    <col min="23" max="23" width="9.453125" style="5" bestFit="1" customWidth="1"/>
    <col min="24" max="16384" width="9" style="5"/>
  </cols>
  <sheetData>
    <row r="1" spans="1:21" s="10" customFormat="1" x14ac:dyDescent="0.2">
      <c r="A1" s="52" t="s">
        <v>16</v>
      </c>
      <c r="B1" s="52" t="s">
        <v>16</v>
      </c>
      <c r="C1" s="5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16</v>
      </c>
      <c r="B2" s="23"/>
      <c r="C2" s="23"/>
      <c r="D2" s="64" t="s">
        <v>166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MGBGL0160</v>
      </c>
      <c r="I2" s="7" t="s">
        <v>18</v>
      </c>
      <c r="J2" s="8" t="s">
        <v>19</v>
      </c>
      <c r="K2" s="7" t="s">
        <v>5</v>
      </c>
      <c r="L2" s="53" t="str">
        <f>IF(LogicCommon!G2="","",LogicCommon!G2)</f>
        <v>MC</v>
      </c>
      <c r="M2" s="5" t="s">
        <v>20</v>
      </c>
      <c r="N2" s="24" t="s">
        <v>154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16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MGBG</v>
      </c>
      <c r="G3" s="7" t="s">
        <v>9</v>
      </c>
      <c r="H3" s="53" t="str">
        <f>IF(LogicCommon!E3="","",LogicCommon!E3)</f>
        <v>MGBGL_PreAlcRateReg</v>
      </c>
      <c r="I3" s="7" t="s">
        <v>21</v>
      </c>
      <c r="J3" s="8" t="s">
        <v>22</v>
      </c>
      <c r="K3" s="7" t="s">
        <v>11</v>
      </c>
      <c r="L3" s="53" t="str">
        <f>IF(LogicCommon!G3="","",LogicCommon!G3)</f>
        <v/>
      </c>
      <c r="M3" s="57"/>
      <c r="N3" s="7"/>
      <c r="O3" s="7" t="s">
        <v>23</v>
      </c>
      <c r="P3" s="8" t="s">
        <v>24</v>
      </c>
      <c r="Q3" s="4"/>
      <c r="R3" s="5"/>
      <c r="S3" s="5"/>
      <c r="T3" s="5"/>
      <c r="U3" s="5"/>
    </row>
    <row r="4" spans="1:21" s="10" customFormat="1" x14ac:dyDescent="0.2">
      <c r="A4" s="54" t="s">
        <v>16</v>
      </c>
      <c r="B4" s="55"/>
      <c r="C4" s="55"/>
      <c r="D4" s="4"/>
      <c r="E4" s="7" t="s">
        <v>25</v>
      </c>
      <c r="F4" s="58" t="s">
        <v>26</v>
      </c>
      <c r="G4" s="7" t="s">
        <v>12</v>
      </c>
      <c r="H4" s="53" t="str">
        <f>IF(LogicCommon!E4="","",LogicCommon!E4)</f>
        <v>一次配賦比率作成処理</v>
      </c>
      <c r="I4" s="7" t="s">
        <v>27</v>
      </c>
      <c r="J4" s="8" t="s">
        <v>28</v>
      </c>
      <c r="K4" s="7" t="s">
        <v>13</v>
      </c>
      <c r="L4" s="53" t="str">
        <f>IF(LogicCommon!G4="","",LogicCommon!G4)</f>
        <v>MG.MGUDL5010</v>
      </c>
      <c r="M4" s="59" t="s">
        <v>29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16</v>
      </c>
      <c r="B5" s="52"/>
      <c r="C5" s="52"/>
      <c r="D5" s="21"/>
      <c r="E5" s="7" t="s">
        <v>30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16</v>
      </c>
      <c r="B6" s="55"/>
      <c r="C6" s="55"/>
      <c r="D6" s="4" t="s">
        <v>14</v>
      </c>
      <c r="E6" s="12" t="s">
        <v>31</v>
      </c>
      <c r="F6" s="12"/>
      <c r="G6" s="12"/>
      <c r="H6" s="12"/>
      <c r="I6" s="12"/>
      <c r="J6" s="12"/>
      <c r="K6" s="12"/>
      <c r="L6" s="63"/>
      <c r="M6" s="15" t="s">
        <v>32</v>
      </c>
      <c r="N6" s="15"/>
      <c r="O6" s="15" t="s">
        <v>32</v>
      </c>
      <c r="P6" s="15"/>
      <c r="Q6" s="15" t="s">
        <v>32</v>
      </c>
      <c r="R6" s="4"/>
      <c r="S6" s="4"/>
      <c r="T6" s="4"/>
      <c r="U6" s="4"/>
    </row>
    <row r="7" spans="1:21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5" t="s">
        <v>36</v>
      </c>
      <c r="M7" s="26"/>
      <c r="N7" s="25" t="s">
        <v>36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33</v>
      </c>
      <c r="B8" s="65"/>
      <c r="C8" s="66"/>
      <c r="D8" s="25" t="s">
        <v>167</v>
      </c>
      <c r="E8" s="25" t="s">
        <v>168</v>
      </c>
      <c r="F8" s="63"/>
      <c r="G8" s="25" t="s">
        <v>37</v>
      </c>
      <c r="H8" s="25" t="s">
        <v>169</v>
      </c>
      <c r="I8" s="63"/>
      <c r="J8" s="3"/>
      <c r="K8" s="8" t="s">
        <v>38</v>
      </c>
      <c r="L8" s="25" t="s">
        <v>39</v>
      </c>
      <c r="M8" s="26"/>
      <c r="N8" s="25" t="s">
        <v>40</v>
      </c>
      <c r="O8" s="26"/>
      <c r="P8" s="25" t="s">
        <v>39</v>
      </c>
      <c r="Q8" s="26"/>
      <c r="R8" s="3"/>
      <c r="S8" s="21"/>
      <c r="T8" s="67" t="s">
        <v>170</v>
      </c>
      <c r="U8" s="68"/>
    </row>
    <row r="9" spans="1:21" s="10" customFormat="1" ht="60" customHeight="1" x14ac:dyDescent="0.2">
      <c r="A9" s="8" t="s">
        <v>33</v>
      </c>
      <c r="B9" s="29"/>
      <c r="C9" s="30"/>
      <c r="D9" s="25" t="s">
        <v>171</v>
      </c>
      <c r="E9" s="47" t="s">
        <v>172</v>
      </c>
      <c r="F9" s="25" t="s">
        <v>173</v>
      </c>
      <c r="G9" s="25" t="s">
        <v>174</v>
      </c>
      <c r="H9" s="25" t="s">
        <v>175</v>
      </c>
      <c r="I9" s="48" t="s">
        <v>176</v>
      </c>
      <c r="J9" s="25" t="s">
        <v>177</v>
      </c>
      <c r="K9" s="64"/>
      <c r="L9" s="48"/>
      <c r="M9" s="25"/>
      <c r="N9" s="25"/>
      <c r="O9" s="25"/>
      <c r="P9" s="25"/>
      <c r="Q9" s="25"/>
      <c r="R9" s="67" t="s">
        <v>178</v>
      </c>
      <c r="S9" s="68"/>
      <c r="T9" s="67" t="s">
        <v>179</v>
      </c>
      <c r="U9" s="68"/>
    </row>
    <row r="10" spans="1:21" s="10" customFormat="1" ht="52" x14ac:dyDescent="0.2">
      <c r="A10" s="29" t="s">
        <v>41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176</v>
      </c>
      <c r="M10" s="25" t="s">
        <v>177</v>
      </c>
      <c r="N10" s="25" t="s">
        <v>176</v>
      </c>
      <c r="O10" s="25" t="s">
        <v>177</v>
      </c>
      <c r="P10" s="25" t="s">
        <v>176</v>
      </c>
      <c r="Q10" s="25" t="s">
        <v>177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42</v>
      </c>
      <c r="C11" s="30"/>
      <c r="D11" s="24" t="s">
        <v>43</v>
      </c>
      <c r="E11" s="27" t="s">
        <v>44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69"/>
      <c r="U11" s="70"/>
    </row>
    <row r="12" spans="1:21" s="10" customFormat="1" ht="13.5" customHeigh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39" t="s">
        <v>180</v>
      </c>
      <c r="H12" s="39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67"/>
      <c r="S12" s="68"/>
      <c r="T12" s="69"/>
      <c r="U12" s="70"/>
    </row>
    <row r="13" spans="1:21" s="10" customFormat="1" ht="13.5" customHeigh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39" t="s">
        <v>181</v>
      </c>
      <c r="H13" s="39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67"/>
      <c r="S13" s="68"/>
      <c r="T13" s="69"/>
      <c r="U13" s="70"/>
    </row>
    <row r="14" spans="1:21" s="10" customFormat="1" ht="13.5" customHeigh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39" t="s">
        <v>182</v>
      </c>
      <c r="H14" s="39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47"/>
      <c r="S14" s="48"/>
      <c r="T14" s="49"/>
      <c r="U14" s="50"/>
    </row>
    <row r="15" spans="1:21" s="10" customFormat="1" ht="13.5" customHeight="1" x14ac:dyDescent="0.2">
      <c r="A15" s="8">
        <v>10</v>
      </c>
      <c r="B15" s="8"/>
      <c r="C15" s="8"/>
      <c r="D15" s="8" t="s">
        <v>56</v>
      </c>
      <c r="E15" s="26" t="s">
        <v>57</v>
      </c>
      <c r="F15" s="26"/>
      <c r="G15" s="39" t="s">
        <v>183</v>
      </c>
      <c r="H15" s="39" t="s">
        <v>58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47"/>
      <c r="S15" s="48"/>
      <c r="T15" s="49"/>
      <c r="U15" s="50"/>
    </row>
    <row r="16" spans="1:21" s="10" customFormat="1" ht="13.5" customHeight="1" x14ac:dyDescent="0.2">
      <c r="A16" s="8">
        <v>10</v>
      </c>
      <c r="B16" s="8"/>
      <c r="C16" s="8"/>
      <c r="D16" s="8" t="s">
        <v>59</v>
      </c>
      <c r="E16" s="26" t="s">
        <v>60</v>
      </c>
      <c r="F16" s="26"/>
      <c r="G16" s="39" t="s">
        <v>184</v>
      </c>
      <c r="H16" s="39" t="s">
        <v>61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67"/>
      <c r="S16" s="68"/>
      <c r="T16" s="69"/>
      <c r="U16" s="70"/>
    </row>
    <row r="17" spans="1:21" s="10" customFormat="1" ht="13.5" customHeight="1" x14ac:dyDescent="0.2">
      <c r="A17" s="8">
        <v>10</v>
      </c>
      <c r="B17" s="8"/>
      <c r="C17" s="8"/>
      <c r="D17" s="8" t="s">
        <v>62</v>
      </c>
      <c r="E17" s="26" t="s">
        <v>63</v>
      </c>
      <c r="F17" s="26"/>
      <c r="G17" s="39" t="s">
        <v>185</v>
      </c>
      <c r="H17" s="39" t="s">
        <v>64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67"/>
      <c r="S17" s="68"/>
      <c r="T17" s="69"/>
      <c r="U17" s="70"/>
    </row>
    <row r="18" spans="1:21" s="10" customFormat="1" x14ac:dyDescent="0.2">
      <c r="A18" s="8">
        <v>10</v>
      </c>
      <c r="B18" s="8"/>
      <c r="C18" s="8"/>
      <c r="D18" s="8" t="s">
        <v>65</v>
      </c>
      <c r="E18" s="26" t="s">
        <v>66</v>
      </c>
      <c r="F18" s="26"/>
      <c r="G18" s="39" t="s">
        <v>186</v>
      </c>
      <c r="H18" s="39" t="s">
        <v>67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67"/>
      <c r="S18" s="68"/>
      <c r="T18" s="69"/>
      <c r="U18" s="70"/>
    </row>
    <row r="19" spans="1:21" s="10" customFormat="1" x14ac:dyDescent="0.2">
      <c r="A19" s="8">
        <v>10</v>
      </c>
      <c r="B19" s="8"/>
      <c r="C19" s="8"/>
      <c r="D19" s="8" t="s">
        <v>68</v>
      </c>
      <c r="E19" s="26" t="s">
        <v>69</v>
      </c>
      <c r="F19" s="26"/>
      <c r="G19" s="39" t="s">
        <v>187</v>
      </c>
      <c r="H19" s="39" t="s">
        <v>70</v>
      </c>
      <c r="I19" s="8" t="s">
        <v>71</v>
      </c>
      <c r="J19" s="8" t="s">
        <v>49</v>
      </c>
      <c r="K19" s="8"/>
      <c r="L19" s="8"/>
      <c r="M19" s="8"/>
      <c r="N19" s="8"/>
      <c r="O19" s="8"/>
      <c r="P19" s="8"/>
      <c r="Q19" s="8"/>
      <c r="R19" s="67"/>
      <c r="S19" s="68"/>
      <c r="T19" s="69"/>
      <c r="U19" s="70"/>
    </row>
    <row r="20" spans="1:21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187</v>
      </c>
      <c r="H20" s="39" t="s">
        <v>70</v>
      </c>
      <c r="I20" s="8" t="s">
        <v>74</v>
      </c>
      <c r="J20" s="8" t="s">
        <v>49</v>
      </c>
      <c r="K20" s="8"/>
      <c r="L20" s="8"/>
      <c r="M20" s="8"/>
      <c r="N20" s="8"/>
      <c r="O20" s="8"/>
      <c r="P20" s="8"/>
      <c r="Q20" s="8"/>
      <c r="R20" s="67"/>
      <c r="S20" s="68"/>
      <c r="T20" s="69"/>
      <c r="U20" s="70"/>
    </row>
    <row r="21" spans="1:21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188</v>
      </c>
      <c r="H21" s="39" t="s">
        <v>77</v>
      </c>
      <c r="I21" s="8" t="s">
        <v>74</v>
      </c>
      <c r="J21" s="8" t="s">
        <v>49</v>
      </c>
      <c r="K21" s="8"/>
      <c r="L21" s="8"/>
      <c r="M21" s="8"/>
      <c r="N21" s="8"/>
      <c r="O21" s="8"/>
      <c r="P21" s="8"/>
      <c r="Q21" s="8"/>
      <c r="R21" s="67"/>
      <c r="S21" s="68"/>
      <c r="T21" s="69"/>
      <c r="U21" s="70"/>
    </row>
    <row r="22" spans="1:21" s="10" customFormat="1" x14ac:dyDescent="0.2">
      <c r="A22" s="8">
        <v>10</v>
      </c>
      <c r="B22" s="8"/>
      <c r="C22" s="8"/>
      <c r="D22" s="8" t="s">
        <v>78</v>
      </c>
      <c r="E22" s="26" t="s">
        <v>76</v>
      </c>
      <c r="F22" s="26"/>
      <c r="G22" s="39" t="s">
        <v>189</v>
      </c>
      <c r="H22" s="39" t="s">
        <v>79</v>
      </c>
      <c r="I22" s="8" t="s">
        <v>74</v>
      </c>
      <c r="J22" s="8" t="s">
        <v>49</v>
      </c>
      <c r="K22" s="8"/>
      <c r="L22" s="8"/>
      <c r="M22" s="8"/>
      <c r="N22" s="8"/>
      <c r="O22" s="8"/>
      <c r="P22" s="8"/>
      <c r="Q22" s="8"/>
      <c r="R22" s="67"/>
      <c r="S22" s="68"/>
      <c r="T22" s="69"/>
      <c r="U22" s="70"/>
    </row>
    <row r="23" spans="1:21" s="10" customFormat="1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190</v>
      </c>
      <c r="H23" s="39" t="s">
        <v>82</v>
      </c>
      <c r="I23" s="8" t="s">
        <v>48</v>
      </c>
      <c r="J23" s="8" t="s">
        <v>74</v>
      </c>
      <c r="K23" s="8"/>
      <c r="L23" s="8"/>
      <c r="M23" s="8"/>
      <c r="N23" s="8"/>
      <c r="O23" s="8"/>
      <c r="P23" s="8"/>
      <c r="Q23" s="8"/>
      <c r="R23" s="67"/>
      <c r="S23" s="68"/>
      <c r="T23" s="69"/>
      <c r="U23" s="70"/>
    </row>
    <row r="24" spans="1:21" s="10" customFormat="1" x14ac:dyDescent="0.2">
      <c r="A24" s="8">
        <v>10</v>
      </c>
      <c r="B24" s="8"/>
      <c r="C24" s="8"/>
      <c r="D24" s="26" t="s">
        <v>164</v>
      </c>
      <c r="E24" s="26" t="s">
        <v>84</v>
      </c>
      <c r="F24" s="26"/>
      <c r="G24" s="39" t="s">
        <v>191</v>
      </c>
      <c r="H24" s="39" t="s">
        <v>162</v>
      </c>
      <c r="I24" s="8" t="s">
        <v>48</v>
      </c>
      <c r="J24" s="8" t="s">
        <v>74</v>
      </c>
      <c r="K24" s="8"/>
      <c r="L24" s="8"/>
      <c r="M24" s="8"/>
      <c r="N24" s="8"/>
      <c r="O24" s="8"/>
      <c r="P24" s="8"/>
      <c r="Q24" s="8"/>
      <c r="R24" s="67"/>
      <c r="S24" s="68"/>
      <c r="T24" s="69"/>
      <c r="U24" s="70"/>
    </row>
    <row r="25" spans="1:21" s="10" customFormat="1" x14ac:dyDescent="0.2">
      <c r="A25" s="8">
        <v>10</v>
      </c>
      <c r="B25" s="8"/>
      <c r="C25" s="8"/>
      <c r="D25" s="26" t="s">
        <v>165</v>
      </c>
      <c r="E25" s="26" t="s">
        <v>84</v>
      </c>
      <c r="F25" s="26"/>
      <c r="G25" s="39" t="s">
        <v>192</v>
      </c>
      <c r="H25" s="39" t="s">
        <v>163</v>
      </c>
      <c r="I25" s="8" t="s">
        <v>48</v>
      </c>
      <c r="J25" s="8" t="s">
        <v>74</v>
      </c>
      <c r="K25" s="8"/>
      <c r="L25" s="8"/>
      <c r="M25" s="8"/>
      <c r="N25" s="8"/>
      <c r="O25" s="8"/>
      <c r="P25" s="8"/>
      <c r="Q25" s="8"/>
      <c r="R25" s="67"/>
      <c r="S25" s="68"/>
      <c r="T25" s="69"/>
      <c r="U25" s="70"/>
    </row>
    <row r="26" spans="1:21" s="10" customFormat="1" x14ac:dyDescent="0.2">
      <c r="A26" s="8">
        <v>10</v>
      </c>
      <c r="B26" s="8"/>
      <c r="C26" s="8"/>
      <c r="D26" s="8" t="s">
        <v>85</v>
      </c>
      <c r="E26" s="26" t="s">
        <v>84</v>
      </c>
      <c r="F26" s="26"/>
      <c r="G26" s="39" t="s">
        <v>193</v>
      </c>
      <c r="H26" s="39" t="s">
        <v>86</v>
      </c>
      <c r="I26" s="8" t="s">
        <v>74</v>
      </c>
      <c r="J26" s="8" t="s">
        <v>74</v>
      </c>
      <c r="K26" s="8"/>
      <c r="L26" s="8"/>
      <c r="M26" s="8"/>
      <c r="N26" s="8"/>
      <c r="O26" s="8"/>
      <c r="P26" s="8"/>
      <c r="Q26" s="8"/>
      <c r="R26" s="67"/>
      <c r="S26" s="68"/>
      <c r="T26" s="69"/>
      <c r="U26" s="70"/>
    </row>
    <row r="27" spans="1:21" s="10" customFormat="1" ht="52" x14ac:dyDescent="0.2">
      <c r="A27" s="54"/>
      <c r="L27" s="10" t="s">
        <v>176</v>
      </c>
      <c r="M27" s="10" t="s">
        <v>177</v>
      </c>
      <c r="N27" s="10" t="s">
        <v>176</v>
      </c>
      <c r="O27" s="10" t="s">
        <v>177</v>
      </c>
      <c r="P27" s="10" t="s">
        <v>176</v>
      </c>
      <c r="Q27" s="10" t="s">
        <v>177</v>
      </c>
      <c r="U27" s="40"/>
    </row>
    <row r="28" spans="1:21" s="10" customFormat="1" x14ac:dyDescent="0.2">
      <c r="A28" s="8">
        <v>20</v>
      </c>
      <c r="B28" s="29" t="s">
        <v>42</v>
      </c>
      <c r="C28" s="30"/>
      <c r="D28" s="41" t="s">
        <v>87</v>
      </c>
      <c r="E28" s="27" t="s">
        <v>17</v>
      </c>
      <c r="F28" s="42"/>
      <c r="G28" s="24"/>
      <c r="H28" s="26"/>
      <c r="I28" s="15"/>
      <c r="J28" s="15"/>
      <c r="K28" s="15"/>
      <c r="L28" s="27"/>
      <c r="M28" s="27"/>
      <c r="N28" s="27"/>
      <c r="O28" s="27"/>
      <c r="P28" s="27"/>
      <c r="Q28" s="27"/>
      <c r="R28" s="47"/>
      <c r="S28" s="48"/>
      <c r="T28" s="69"/>
      <c r="U28" s="70"/>
    </row>
    <row r="29" spans="1:21" s="10" customFormat="1" x14ac:dyDescent="0.2">
      <c r="A29" s="8">
        <v>20</v>
      </c>
      <c r="B29" s="8"/>
      <c r="C29" s="8"/>
      <c r="D29" s="8" t="s">
        <v>88</v>
      </c>
      <c r="E29" s="26" t="s">
        <v>89</v>
      </c>
      <c r="F29" s="26"/>
      <c r="G29" s="39" t="s">
        <v>194</v>
      </c>
      <c r="H29" s="39" t="s">
        <v>90</v>
      </c>
      <c r="I29" s="8" t="s">
        <v>74</v>
      </c>
      <c r="J29" s="8" t="s">
        <v>91</v>
      </c>
      <c r="K29" s="8"/>
      <c r="L29" s="8"/>
      <c r="M29" s="8"/>
      <c r="N29" s="8"/>
      <c r="O29" s="8"/>
      <c r="P29" s="8"/>
      <c r="Q29" s="8"/>
      <c r="R29" s="67"/>
      <c r="S29" s="68"/>
      <c r="T29" s="69"/>
      <c r="U29" s="70"/>
    </row>
    <row r="30" spans="1:21" s="10" customFormat="1" x14ac:dyDescent="0.2">
      <c r="A30" s="8">
        <v>20</v>
      </c>
      <c r="B30" s="8"/>
      <c r="C30" s="8"/>
      <c r="D30" s="8" t="s">
        <v>83</v>
      </c>
      <c r="E30" s="26" t="s">
        <v>84</v>
      </c>
      <c r="F30" s="26"/>
      <c r="G30" s="39" t="s">
        <v>195</v>
      </c>
      <c r="H30" s="39" t="s">
        <v>158</v>
      </c>
      <c r="I30" s="8" t="s">
        <v>74</v>
      </c>
      <c r="J30" s="8" t="s">
        <v>91</v>
      </c>
      <c r="K30" s="8"/>
      <c r="L30" s="8"/>
      <c r="M30" s="8"/>
      <c r="N30" s="8"/>
      <c r="O30" s="8"/>
      <c r="P30" s="8"/>
      <c r="Q30" s="8"/>
      <c r="R30" s="67"/>
      <c r="S30" s="68"/>
      <c r="T30" s="69"/>
      <c r="U30" s="70"/>
    </row>
    <row r="31" spans="1:21" s="10" customFormat="1" x14ac:dyDescent="0.2">
      <c r="A31" s="8">
        <v>20</v>
      </c>
      <c r="B31" s="8"/>
      <c r="C31" s="8"/>
      <c r="D31" s="8" t="s">
        <v>45</v>
      </c>
      <c r="E31" s="26" t="s">
        <v>92</v>
      </c>
      <c r="F31" s="26"/>
      <c r="G31" s="39" t="s">
        <v>180</v>
      </c>
      <c r="H31" s="39" t="s">
        <v>47</v>
      </c>
      <c r="I31" s="8" t="s">
        <v>74</v>
      </c>
      <c r="J31" s="8" t="s">
        <v>91</v>
      </c>
      <c r="K31" s="8"/>
      <c r="L31" s="8"/>
      <c r="M31" s="8"/>
      <c r="N31" s="8"/>
      <c r="O31" s="8"/>
      <c r="P31" s="8"/>
      <c r="Q31" s="8"/>
      <c r="R31" s="67"/>
      <c r="S31" s="68"/>
      <c r="T31" s="69"/>
      <c r="U31" s="70"/>
    </row>
    <row r="32" spans="1:21" s="10" customFormat="1" x14ac:dyDescent="0.2">
      <c r="A32" s="8">
        <v>20</v>
      </c>
      <c r="B32" s="8"/>
      <c r="C32" s="8"/>
      <c r="D32" s="8" t="s">
        <v>93</v>
      </c>
      <c r="E32" s="26" t="s">
        <v>94</v>
      </c>
      <c r="F32" s="26"/>
      <c r="G32" s="39" t="s">
        <v>181</v>
      </c>
      <c r="H32" s="39" t="s">
        <v>52</v>
      </c>
      <c r="I32" s="8" t="s">
        <v>49</v>
      </c>
      <c r="J32" s="8" t="s">
        <v>91</v>
      </c>
      <c r="K32" s="8"/>
      <c r="L32" s="8"/>
      <c r="M32" s="8"/>
      <c r="N32" s="8"/>
      <c r="O32" s="8"/>
      <c r="P32" s="8"/>
      <c r="Q32" s="8"/>
      <c r="R32" s="67"/>
      <c r="S32" s="68"/>
      <c r="T32" s="69"/>
      <c r="U32" s="70"/>
    </row>
    <row r="33" spans="1:21" s="10" customFormat="1" ht="13.5" customHeight="1" x14ac:dyDescent="0.2">
      <c r="A33" s="8">
        <v>20</v>
      </c>
      <c r="B33" s="8"/>
      <c r="C33" s="8"/>
      <c r="D33" s="8" t="s">
        <v>53</v>
      </c>
      <c r="E33" s="26" t="s">
        <v>54</v>
      </c>
      <c r="F33" s="26"/>
      <c r="G33" s="39" t="s">
        <v>182</v>
      </c>
      <c r="H33" s="39" t="s">
        <v>55</v>
      </c>
      <c r="I33" s="8" t="s">
        <v>49</v>
      </c>
      <c r="J33" s="8" t="s">
        <v>91</v>
      </c>
      <c r="K33" s="8"/>
      <c r="L33" s="8"/>
      <c r="M33" s="8"/>
      <c r="N33" s="8"/>
      <c r="O33" s="8"/>
      <c r="P33" s="8"/>
      <c r="Q33" s="8"/>
      <c r="R33" s="47"/>
      <c r="S33" s="48"/>
      <c r="T33" s="49"/>
      <c r="U33" s="50"/>
    </row>
    <row r="34" spans="1:21" s="10" customFormat="1" ht="13.5" customHeight="1" x14ac:dyDescent="0.2">
      <c r="A34" s="8">
        <v>20</v>
      </c>
      <c r="B34" s="8"/>
      <c r="C34" s="8"/>
      <c r="D34" s="8" t="s">
        <v>56</v>
      </c>
      <c r="E34" s="26" t="s">
        <v>57</v>
      </c>
      <c r="F34" s="26"/>
      <c r="G34" s="39" t="s">
        <v>183</v>
      </c>
      <c r="H34" s="39" t="s">
        <v>58</v>
      </c>
      <c r="I34" s="8" t="s">
        <v>49</v>
      </c>
      <c r="J34" s="8" t="s">
        <v>91</v>
      </c>
      <c r="K34" s="8"/>
      <c r="L34" s="8"/>
      <c r="M34" s="8"/>
      <c r="N34" s="8"/>
      <c r="O34" s="8"/>
      <c r="P34" s="8"/>
      <c r="Q34" s="8"/>
      <c r="R34" s="47"/>
      <c r="S34" s="48"/>
      <c r="T34" s="49"/>
      <c r="U34" s="50"/>
    </row>
    <row r="35" spans="1:21" s="10" customFormat="1" x14ac:dyDescent="0.2">
      <c r="A35" s="8">
        <v>20</v>
      </c>
      <c r="B35" s="8"/>
      <c r="C35" s="8"/>
      <c r="D35" s="8" t="s">
        <v>59</v>
      </c>
      <c r="E35" s="26" t="s">
        <v>95</v>
      </c>
      <c r="F35" s="26"/>
      <c r="G35" s="39" t="s">
        <v>184</v>
      </c>
      <c r="H35" s="39" t="s">
        <v>61</v>
      </c>
      <c r="I35" s="8" t="s">
        <v>49</v>
      </c>
      <c r="J35" s="8" t="s">
        <v>91</v>
      </c>
      <c r="K35" s="8"/>
      <c r="L35" s="8"/>
      <c r="M35" s="8"/>
      <c r="N35" s="8"/>
      <c r="O35" s="8"/>
      <c r="P35" s="8"/>
      <c r="Q35" s="8"/>
      <c r="R35" s="67"/>
      <c r="S35" s="68"/>
      <c r="T35" s="69"/>
      <c r="U35" s="70"/>
    </row>
    <row r="36" spans="1:21" s="10" customFormat="1" x14ac:dyDescent="0.2">
      <c r="A36" s="8">
        <v>20</v>
      </c>
      <c r="B36" s="8"/>
      <c r="C36" s="8"/>
      <c r="D36" s="8" t="s">
        <v>96</v>
      </c>
      <c r="E36" s="26" t="s">
        <v>97</v>
      </c>
      <c r="F36" s="26"/>
      <c r="G36" s="39" t="s">
        <v>185</v>
      </c>
      <c r="H36" s="39" t="s">
        <v>64</v>
      </c>
      <c r="I36" s="8" t="s">
        <v>49</v>
      </c>
      <c r="J36" s="8" t="s">
        <v>91</v>
      </c>
      <c r="K36" s="8"/>
      <c r="L36" s="8"/>
      <c r="M36" s="8"/>
      <c r="N36" s="8"/>
      <c r="O36" s="8"/>
      <c r="P36" s="8"/>
      <c r="Q36" s="8"/>
      <c r="R36" s="67"/>
      <c r="S36" s="68"/>
      <c r="T36" s="69"/>
      <c r="U36" s="70"/>
    </row>
    <row r="37" spans="1:21" s="10" customFormat="1" x14ac:dyDescent="0.2">
      <c r="A37" s="8">
        <v>20</v>
      </c>
      <c r="B37" s="8"/>
      <c r="C37" s="8"/>
      <c r="D37" s="8" t="s">
        <v>65</v>
      </c>
      <c r="E37" s="26" t="s">
        <v>98</v>
      </c>
      <c r="F37" s="26"/>
      <c r="G37" s="39" t="s">
        <v>186</v>
      </c>
      <c r="H37" s="39" t="s">
        <v>67</v>
      </c>
      <c r="I37" s="8" t="s">
        <v>49</v>
      </c>
      <c r="J37" s="8" t="s">
        <v>91</v>
      </c>
      <c r="K37" s="8" t="s">
        <v>99</v>
      </c>
      <c r="L37" s="8"/>
      <c r="M37" s="8"/>
      <c r="N37" s="8"/>
      <c r="O37" s="8"/>
      <c r="P37" s="8"/>
      <c r="Q37" s="8"/>
      <c r="R37" s="67"/>
      <c r="S37" s="68"/>
      <c r="T37" s="69"/>
      <c r="U37" s="70"/>
    </row>
    <row r="38" spans="1:21" s="10" customFormat="1" x14ac:dyDescent="0.2">
      <c r="A38" s="8">
        <v>20</v>
      </c>
      <c r="B38" s="8"/>
      <c r="C38" s="8"/>
      <c r="D38" s="8" t="s">
        <v>100</v>
      </c>
      <c r="E38" s="26" t="s">
        <v>101</v>
      </c>
      <c r="F38" s="26"/>
      <c r="G38" s="39" t="s">
        <v>196</v>
      </c>
      <c r="H38" s="39" t="s">
        <v>102</v>
      </c>
      <c r="I38" s="8" t="s">
        <v>49</v>
      </c>
      <c r="J38" s="8" t="s">
        <v>91</v>
      </c>
      <c r="K38" s="8"/>
      <c r="L38" s="8"/>
      <c r="M38" s="8"/>
      <c r="N38" s="8"/>
      <c r="O38" s="8"/>
      <c r="P38" s="8"/>
      <c r="Q38" s="8"/>
      <c r="R38" s="47"/>
      <c r="S38" s="48"/>
      <c r="T38" s="49"/>
      <c r="U38" s="50"/>
    </row>
    <row r="39" spans="1:21" s="10" customFormat="1" x14ac:dyDescent="0.2">
      <c r="A39" s="8">
        <v>20</v>
      </c>
      <c r="B39" s="8"/>
      <c r="C39" s="8"/>
      <c r="D39" s="8" t="s">
        <v>103</v>
      </c>
      <c r="E39" s="26" t="s">
        <v>69</v>
      </c>
      <c r="F39" s="26"/>
      <c r="G39" s="39" t="s">
        <v>188</v>
      </c>
      <c r="H39" s="39" t="s">
        <v>77</v>
      </c>
      <c r="I39" s="8" t="s">
        <v>49</v>
      </c>
      <c r="J39" s="8" t="s">
        <v>91</v>
      </c>
      <c r="K39" s="8"/>
      <c r="L39" s="8"/>
      <c r="M39" s="8"/>
      <c r="N39" s="8"/>
      <c r="O39" s="8"/>
      <c r="P39" s="8"/>
      <c r="Q39" s="8"/>
      <c r="R39" s="47"/>
      <c r="S39" s="48"/>
      <c r="T39" s="49"/>
      <c r="U39" s="50"/>
    </row>
    <row r="40" spans="1:21" s="10" customFormat="1" x14ac:dyDescent="0.2">
      <c r="A40" s="8">
        <v>20</v>
      </c>
      <c r="B40" s="8"/>
      <c r="C40" s="8"/>
      <c r="D40" s="8" t="s">
        <v>104</v>
      </c>
      <c r="E40" s="26" t="s">
        <v>105</v>
      </c>
      <c r="F40" s="26"/>
      <c r="G40" s="39" t="s">
        <v>189</v>
      </c>
      <c r="H40" s="39" t="s">
        <v>79</v>
      </c>
      <c r="I40" s="8" t="s">
        <v>49</v>
      </c>
      <c r="J40" s="8" t="s">
        <v>91</v>
      </c>
      <c r="K40" s="8"/>
      <c r="L40" s="8"/>
      <c r="M40" s="8"/>
      <c r="N40" s="8"/>
      <c r="O40" s="8"/>
      <c r="P40" s="8"/>
      <c r="Q40" s="8"/>
      <c r="R40" s="47"/>
      <c r="S40" s="48"/>
      <c r="T40" s="49"/>
      <c r="U40" s="50"/>
    </row>
    <row r="41" spans="1:21" s="10" customFormat="1" x14ac:dyDescent="0.2">
      <c r="A41" s="8">
        <v>20</v>
      </c>
      <c r="B41" s="8"/>
      <c r="C41" s="8"/>
      <c r="D41" s="8" t="s">
        <v>106</v>
      </c>
      <c r="E41" s="26" t="s">
        <v>105</v>
      </c>
      <c r="F41" s="26"/>
      <c r="G41" s="39" t="s">
        <v>197</v>
      </c>
      <c r="H41" s="39" t="s">
        <v>107</v>
      </c>
      <c r="I41" s="8" t="s">
        <v>49</v>
      </c>
      <c r="J41" s="8" t="s">
        <v>91</v>
      </c>
      <c r="K41" s="8"/>
      <c r="L41" s="8"/>
      <c r="M41" s="8"/>
      <c r="N41" s="8"/>
      <c r="O41" s="8"/>
      <c r="P41" s="8"/>
      <c r="Q41" s="8"/>
      <c r="R41" s="67"/>
      <c r="S41" s="68"/>
      <c r="T41" s="69"/>
      <c r="U41" s="70"/>
    </row>
    <row r="42" spans="1:21" s="10" customFormat="1" x14ac:dyDescent="0.2">
      <c r="A42" s="22"/>
      <c r="B42" s="23"/>
      <c r="C42" s="23"/>
      <c r="D42" s="16" t="s">
        <v>15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4"/>
      <c r="U43" s="40"/>
    </row>
    <row r="44" spans="1:21" s="10" customFormat="1" x14ac:dyDescent="0.2">
      <c r="A44" s="54"/>
      <c r="U44" s="40"/>
    </row>
    <row r="45" spans="1:21" s="10" customFormat="1" x14ac:dyDescent="0.2">
      <c r="A45" s="54"/>
      <c r="U45" s="40"/>
    </row>
    <row r="46" spans="1:21" s="10" customFormat="1" x14ac:dyDescent="0.2">
      <c r="A46" s="54"/>
      <c r="U46" s="40"/>
    </row>
    <row r="47" spans="1:21" s="10" customFormat="1" x14ac:dyDescent="0.2">
      <c r="A47" s="61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3"/>
    </row>
  </sheetData>
  <mergeCells count="47">
    <mergeCell ref="T8:U8"/>
    <mergeCell ref="R9:S9"/>
    <mergeCell ref="T9:U9"/>
    <mergeCell ref="T11:U11"/>
    <mergeCell ref="R12:S12"/>
    <mergeCell ref="T12:U12"/>
    <mergeCell ref="R13:S13"/>
    <mergeCell ref="T13:U13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9:S29"/>
    <mergeCell ref="T29:U29"/>
    <mergeCell ref="R21:S21"/>
    <mergeCell ref="T21:U21"/>
    <mergeCell ref="R22:S22"/>
    <mergeCell ref="T22:U22"/>
    <mergeCell ref="R23:S23"/>
    <mergeCell ref="T23:U23"/>
    <mergeCell ref="R25:S25"/>
    <mergeCell ref="T25:U25"/>
    <mergeCell ref="R26:S26"/>
    <mergeCell ref="T26:U26"/>
    <mergeCell ref="T28:U28"/>
    <mergeCell ref="R41:S41"/>
    <mergeCell ref="T41:U41"/>
    <mergeCell ref="R24:S24"/>
    <mergeCell ref="T24:U24"/>
    <mergeCell ref="R35:S35"/>
    <mergeCell ref="T35:U35"/>
    <mergeCell ref="R36:S36"/>
    <mergeCell ref="T36:U36"/>
    <mergeCell ref="R37:S37"/>
    <mergeCell ref="T37:U37"/>
    <mergeCell ref="R30:S30"/>
    <mergeCell ref="T30:U30"/>
    <mergeCell ref="R31:S31"/>
    <mergeCell ref="T31:U31"/>
    <mergeCell ref="R32:S32"/>
    <mergeCell ref="T32:U3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17.81640625" style="4" bestFit="1" customWidth="1"/>
    <col min="7" max="7" width="30.81640625" style="4" customWidth="1"/>
    <col min="8" max="8" width="29.1796875" style="4" customWidth="1"/>
    <col min="9" max="10" width="15.81640625" style="4" customWidth="1"/>
    <col min="11" max="11" width="19.90625" style="4" bestFit="1" customWidth="1"/>
    <col min="12" max="12" width="17.0898437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4" bestFit="1" customWidth="1"/>
    <col min="20" max="20" width="13.90625" style="4" bestFit="1" customWidth="1"/>
    <col min="21" max="21" width="16.08984375" style="4" bestFit="1" customWidth="1"/>
    <col min="22" max="22" width="22.81640625" style="4" bestFit="1" customWidth="1"/>
    <col min="23" max="23" width="12.81640625" style="4" bestFit="1" customWidth="1"/>
    <col min="24" max="24" width="15" style="4" bestFit="1" customWidth="1"/>
    <col min="25" max="25" width="8.453125" style="4" bestFit="1" customWidth="1"/>
    <col min="26" max="26" width="13.90625" style="4" bestFit="1" customWidth="1"/>
    <col min="27" max="27" width="11.6328125" style="4" bestFit="1" customWidth="1"/>
    <col min="28" max="28" width="9.453125" style="4" bestFit="1" customWidth="1"/>
    <col min="29" max="29" width="9.453125" style="5" bestFit="1" customWidth="1"/>
    <col min="30" max="30" width="11.6328125" style="5" bestFit="1" customWidth="1"/>
    <col min="31" max="31" width="9.453125" style="5" bestFit="1" customWidth="1"/>
    <col min="32" max="32" width="11.6328125" style="5" bestFit="1" customWidth="1"/>
    <col min="33" max="33" width="9.453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16</v>
      </c>
      <c r="B1" s="52" t="s">
        <v>16</v>
      </c>
      <c r="C1" s="5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16</v>
      </c>
      <c r="B2" s="23"/>
      <c r="C2" s="23"/>
      <c r="D2" s="64" t="s">
        <v>166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MGBGL0160</v>
      </c>
      <c r="I2" s="7" t="s">
        <v>18</v>
      </c>
      <c r="J2" s="8" t="s">
        <v>108</v>
      </c>
      <c r="K2" s="7" t="s">
        <v>5</v>
      </c>
      <c r="L2" s="53" t="str">
        <f>IF(LogicCommon!G2="","",LogicCommon!G2)</f>
        <v>MC</v>
      </c>
      <c r="M2" s="5" t="s">
        <v>20</v>
      </c>
      <c r="N2" s="24" t="s">
        <v>155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16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MGBG</v>
      </c>
      <c r="G3" s="7" t="s">
        <v>9</v>
      </c>
      <c r="H3" s="53" t="str">
        <f>IF(LogicCommon!E3="","",LogicCommon!E3)</f>
        <v>MGBGL_PreAlcRateReg</v>
      </c>
      <c r="I3" s="7" t="s">
        <v>21</v>
      </c>
      <c r="J3" s="8" t="s">
        <v>22</v>
      </c>
      <c r="K3" s="7" t="s">
        <v>11</v>
      </c>
      <c r="L3" s="53" t="str">
        <f>IF(LogicCommon!G3="","",LogicCommon!G3)</f>
        <v/>
      </c>
      <c r="M3" s="57"/>
      <c r="N3" s="7"/>
      <c r="O3" s="7" t="s">
        <v>23</v>
      </c>
      <c r="P3" s="8" t="s">
        <v>24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16</v>
      </c>
      <c r="B4" s="55"/>
      <c r="C4" s="55"/>
      <c r="D4" s="4"/>
      <c r="E4" s="7" t="s">
        <v>25</v>
      </c>
      <c r="F4" s="58" t="s">
        <v>26</v>
      </c>
      <c r="G4" s="7" t="s">
        <v>12</v>
      </c>
      <c r="H4" s="53" t="str">
        <f>IF(LogicCommon!E4="","",LogicCommon!E4)</f>
        <v>一次配賦比率作成処理</v>
      </c>
      <c r="I4" s="7" t="s">
        <v>27</v>
      </c>
      <c r="J4" s="8" t="s">
        <v>109</v>
      </c>
      <c r="K4" s="7" t="s">
        <v>13</v>
      </c>
      <c r="L4" s="53" t="str">
        <f>IF(LogicCommon!G4="","",LogicCommon!G4)</f>
        <v>MG.MGUDL5010</v>
      </c>
      <c r="M4" s="59" t="s">
        <v>29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1" t="s">
        <v>16</v>
      </c>
      <c r="B5" s="52"/>
      <c r="C5" s="52"/>
      <c r="D5" s="21"/>
      <c r="E5" s="7" t="s">
        <v>30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16</v>
      </c>
      <c r="B6" s="55"/>
      <c r="C6" s="55"/>
      <c r="D6" s="4" t="s">
        <v>14</v>
      </c>
      <c r="E6" s="12" t="s">
        <v>110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32</v>
      </c>
      <c r="AE6" s="15"/>
      <c r="AF6" s="15" t="s">
        <v>32</v>
      </c>
      <c r="AG6" s="15"/>
      <c r="AH6" s="15" t="s">
        <v>32</v>
      </c>
      <c r="AI6" s="4"/>
      <c r="AJ6" s="4"/>
      <c r="AK6" s="4"/>
      <c r="AL6" s="4"/>
    </row>
    <row r="7" spans="1:38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8" t="s">
        <v>35</v>
      </c>
      <c r="M7" s="8" t="s">
        <v>111</v>
      </c>
      <c r="N7" s="8" t="s">
        <v>35</v>
      </c>
      <c r="O7" s="8" t="s">
        <v>35</v>
      </c>
      <c r="P7" s="8" t="s">
        <v>35</v>
      </c>
      <c r="Q7" s="8" t="s">
        <v>35</v>
      </c>
      <c r="R7" s="8" t="s">
        <v>35</v>
      </c>
      <c r="S7" s="8" t="s">
        <v>35</v>
      </c>
      <c r="T7" s="8" t="s">
        <v>35</v>
      </c>
      <c r="U7" s="8" t="s">
        <v>35</v>
      </c>
      <c r="V7" s="8" t="s">
        <v>35</v>
      </c>
      <c r="W7" s="8" t="s">
        <v>35</v>
      </c>
      <c r="X7" s="8" t="s">
        <v>35</v>
      </c>
      <c r="Y7" s="8" t="s">
        <v>35</v>
      </c>
      <c r="Z7" s="8" t="s">
        <v>35</v>
      </c>
      <c r="AA7" s="8" t="s">
        <v>35</v>
      </c>
      <c r="AB7" s="8" t="s">
        <v>35</v>
      </c>
      <c r="AC7" s="25" t="s">
        <v>36</v>
      </c>
      <c r="AD7" s="26"/>
      <c r="AE7" s="25" t="s">
        <v>36</v>
      </c>
      <c r="AF7" s="26"/>
      <c r="AG7" s="25" t="s">
        <v>36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33</v>
      </c>
      <c r="B8" s="65"/>
      <c r="C8" s="66"/>
      <c r="D8" s="25" t="s">
        <v>167</v>
      </c>
      <c r="E8" s="25" t="s">
        <v>168</v>
      </c>
      <c r="F8" s="63"/>
      <c r="G8" s="25" t="s">
        <v>37</v>
      </c>
      <c r="H8" s="25" t="s">
        <v>169</v>
      </c>
      <c r="I8" s="63"/>
      <c r="J8" s="3"/>
      <c r="K8" s="8" t="s">
        <v>112</v>
      </c>
      <c r="L8" s="8" t="s">
        <v>113</v>
      </c>
      <c r="M8" s="8" t="s">
        <v>114</v>
      </c>
      <c r="N8" s="8" t="s">
        <v>115</v>
      </c>
      <c r="O8" s="8" t="s">
        <v>116</v>
      </c>
      <c r="P8" s="8" t="s">
        <v>117</v>
      </c>
      <c r="Q8" s="8" t="s">
        <v>118</v>
      </c>
      <c r="R8" s="8" t="s">
        <v>119</v>
      </c>
      <c r="S8" s="8" t="s">
        <v>120</v>
      </c>
      <c r="T8" s="8" t="s">
        <v>121</v>
      </c>
      <c r="U8" s="8" t="s">
        <v>122</v>
      </c>
      <c r="V8" s="8" t="s">
        <v>123</v>
      </c>
      <c r="W8" s="8" t="s">
        <v>124</v>
      </c>
      <c r="X8" s="8" t="s">
        <v>125</v>
      </c>
      <c r="Y8" s="8" t="s">
        <v>126</v>
      </c>
      <c r="Z8" s="8" t="s">
        <v>127</v>
      </c>
      <c r="AA8" s="8" t="s">
        <v>128</v>
      </c>
      <c r="AB8" s="8" t="s">
        <v>129</v>
      </c>
      <c r="AC8" s="25" t="s">
        <v>40</v>
      </c>
      <c r="AD8" s="26"/>
      <c r="AE8" s="25" t="s">
        <v>39</v>
      </c>
      <c r="AF8" s="26"/>
      <c r="AG8" s="25" t="s">
        <v>40</v>
      </c>
      <c r="AH8" s="26"/>
      <c r="AI8" s="3"/>
      <c r="AJ8" s="21"/>
      <c r="AK8" s="67" t="s">
        <v>170</v>
      </c>
      <c r="AL8" s="68"/>
    </row>
    <row r="9" spans="1:38" s="10" customFormat="1" ht="60" customHeight="1" x14ac:dyDescent="0.2">
      <c r="A9" s="8" t="s">
        <v>33</v>
      </c>
      <c r="B9" s="29"/>
      <c r="C9" s="30"/>
      <c r="D9" s="25" t="s">
        <v>198</v>
      </c>
      <c r="E9" s="47" t="s">
        <v>199</v>
      </c>
      <c r="F9" s="25" t="s">
        <v>173</v>
      </c>
      <c r="G9" s="25" t="s">
        <v>174</v>
      </c>
      <c r="H9" s="25" t="s">
        <v>175</v>
      </c>
      <c r="I9" s="48" t="s">
        <v>176</v>
      </c>
      <c r="J9" s="25" t="s">
        <v>177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48"/>
      <c r="AD9" s="25"/>
      <c r="AE9" s="25"/>
      <c r="AF9" s="25"/>
      <c r="AG9" s="25"/>
      <c r="AH9" s="25"/>
      <c r="AI9" s="67" t="s">
        <v>178</v>
      </c>
      <c r="AJ9" s="68"/>
      <c r="AK9" s="67" t="s">
        <v>179</v>
      </c>
      <c r="AL9" s="68"/>
    </row>
    <row r="10" spans="1:38" s="10" customFormat="1" ht="52" x14ac:dyDescent="0.2">
      <c r="A10" s="29" t="s">
        <v>130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176</v>
      </c>
      <c r="AD10" s="25" t="s">
        <v>177</v>
      </c>
      <c r="AE10" s="25" t="s">
        <v>176</v>
      </c>
      <c r="AF10" s="25" t="s">
        <v>177</v>
      </c>
      <c r="AG10" s="25" t="s">
        <v>176</v>
      </c>
      <c r="AH10" s="25" t="s">
        <v>177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42</v>
      </c>
      <c r="C11" s="30"/>
      <c r="D11" s="41" t="s">
        <v>135</v>
      </c>
      <c r="E11" s="27" t="s">
        <v>17</v>
      </c>
      <c r="F11" s="37"/>
      <c r="G11" s="24"/>
      <c r="H11" s="26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7"/>
      <c r="AD11" s="27"/>
      <c r="AE11" s="27"/>
      <c r="AF11" s="27"/>
      <c r="AG11" s="27"/>
      <c r="AH11" s="27"/>
      <c r="AI11" s="47"/>
      <c r="AJ11" s="48"/>
      <c r="AK11" s="69"/>
      <c r="AL11" s="70"/>
    </row>
    <row r="12" spans="1:38" s="10" customFormat="1" x14ac:dyDescent="0.2">
      <c r="A12" s="8">
        <v>10</v>
      </c>
      <c r="B12" s="8"/>
      <c r="C12" s="8"/>
      <c r="D12" s="8" t="s">
        <v>80</v>
      </c>
      <c r="E12" s="26" t="s">
        <v>131</v>
      </c>
      <c r="F12" s="26"/>
      <c r="G12" s="39" t="s">
        <v>190</v>
      </c>
      <c r="H12" s="39" t="s">
        <v>82</v>
      </c>
      <c r="I12" s="8" t="s">
        <v>91</v>
      </c>
      <c r="J12" s="8" t="s">
        <v>49</v>
      </c>
      <c r="K12" s="8"/>
      <c r="L12" s="8" t="s">
        <v>48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7"/>
      <c r="AJ12" s="68"/>
      <c r="AK12" s="69"/>
      <c r="AL12" s="70"/>
    </row>
    <row r="13" spans="1:38" s="10" customFormat="1" x14ac:dyDescent="0.2">
      <c r="A13" s="8">
        <v>10</v>
      </c>
      <c r="B13" s="8"/>
      <c r="C13" s="8"/>
      <c r="D13" s="8" t="s">
        <v>83</v>
      </c>
      <c r="E13" s="26" t="s">
        <v>84</v>
      </c>
      <c r="F13" s="26"/>
      <c r="G13" s="39" t="s">
        <v>195</v>
      </c>
      <c r="H13" s="39" t="s">
        <v>161</v>
      </c>
      <c r="I13" s="8" t="s">
        <v>91</v>
      </c>
      <c r="J13" s="8" t="s">
        <v>49</v>
      </c>
      <c r="K13" s="8"/>
      <c r="L13" s="8" t="s">
        <v>48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67"/>
      <c r="AJ13" s="68"/>
      <c r="AK13" s="69"/>
      <c r="AL13" s="70"/>
    </row>
    <row r="14" spans="1:38" s="10" customFormat="1" x14ac:dyDescent="0.2">
      <c r="A14" s="8">
        <v>10</v>
      </c>
      <c r="B14" s="8"/>
      <c r="C14" s="8"/>
      <c r="D14" s="8" t="s">
        <v>132</v>
      </c>
      <c r="E14" s="26" t="s">
        <v>84</v>
      </c>
      <c r="F14" s="26"/>
      <c r="G14" s="39" t="s">
        <v>200</v>
      </c>
      <c r="H14" s="39" t="s">
        <v>159</v>
      </c>
      <c r="I14" s="8" t="s">
        <v>91</v>
      </c>
      <c r="J14" s="8" t="s">
        <v>49</v>
      </c>
      <c r="K14" s="8"/>
      <c r="L14" s="8" t="s">
        <v>48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67"/>
      <c r="AJ14" s="68"/>
      <c r="AK14" s="69"/>
      <c r="AL14" s="70"/>
    </row>
    <row r="15" spans="1:38" s="10" customFormat="1" x14ac:dyDescent="0.2">
      <c r="A15" s="8">
        <v>10</v>
      </c>
      <c r="B15" s="8"/>
      <c r="C15" s="8"/>
      <c r="D15" s="8" t="s">
        <v>133</v>
      </c>
      <c r="E15" s="26" t="s">
        <v>134</v>
      </c>
      <c r="F15" s="26"/>
      <c r="G15" s="39" t="s">
        <v>201</v>
      </c>
      <c r="H15" s="39" t="s">
        <v>160</v>
      </c>
      <c r="I15" s="8" t="s">
        <v>91</v>
      </c>
      <c r="J15" s="8" t="s">
        <v>49</v>
      </c>
      <c r="K15" s="8"/>
      <c r="L15" s="8" t="s">
        <v>48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67"/>
      <c r="AJ15" s="68"/>
      <c r="AK15" s="69"/>
      <c r="AL15" s="70"/>
    </row>
    <row r="16" spans="1:38" s="10" customFormat="1" x14ac:dyDescent="0.2">
      <c r="A16" s="8">
        <v>10</v>
      </c>
      <c r="B16" s="8"/>
      <c r="C16" s="8"/>
      <c r="D16" s="8" t="s">
        <v>45</v>
      </c>
      <c r="E16" s="26" t="s">
        <v>46</v>
      </c>
      <c r="F16" s="26"/>
      <c r="G16" s="39" t="s">
        <v>180</v>
      </c>
      <c r="H16" s="39" t="s">
        <v>47</v>
      </c>
      <c r="I16" s="8" t="s">
        <v>91</v>
      </c>
      <c r="J16" s="8" t="s">
        <v>49</v>
      </c>
      <c r="K16" s="8"/>
      <c r="L16" s="8" t="s">
        <v>48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67"/>
      <c r="AJ16" s="68"/>
      <c r="AK16" s="69"/>
      <c r="AL16" s="70"/>
    </row>
    <row r="17" spans="1:38" s="10" customFormat="1" x14ac:dyDescent="0.2">
      <c r="A17" s="8">
        <v>10</v>
      </c>
      <c r="B17" s="8"/>
      <c r="C17" s="8"/>
      <c r="D17" s="8" t="s">
        <v>59</v>
      </c>
      <c r="E17" s="26" t="s">
        <v>60</v>
      </c>
      <c r="F17" s="26"/>
      <c r="G17" s="39" t="s">
        <v>184</v>
      </c>
      <c r="H17" s="39" t="s">
        <v>61</v>
      </c>
      <c r="I17" s="8" t="s">
        <v>91</v>
      </c>
      <c r="J17" s="8" t="s">
        <v>49</v>
      </c>
      <c r="K17" s="8"/>
      <c r="L17" s="8" t="s">
        <v>48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67"/>
      <c r="AJ17" s="68"/>
      <c r="AK17" s="69"/>
      <c r="AL17" s="70"/>
    </row>
    <row r="18" spans="1:38" s="10" customFormat="1" x14ac:dyDescent="0.2">
      <c r="A18" s="8">
        <v>10</v>
      </c>
      <c r="B18" s="8"/>
      <c r="C18" s="8"/>
      <c r="D18" s="8" t="s">
        <v>53</v>
      </c>
      <c r="E18" s="26" t="s">
        <v>54</v>
      </c>
      <c r="F18" s="26"/>
      <c r="G18" s="39" t="s">
        <v>182</v>
      </c>
      <c r="H18" s="39" t="s">
        <v>136</v>
      </c>
      <c r="I18" s="8" t="s">
        <v>91</v>
      </c>
      <c r="J18" s="8" t="s">
        <v>49</v>
      </c>
      <c r="K18" s="8"/>
      <c r="L18" s="8" t="s">
        <v>48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67"/>
      <c r="AJ18" s="68"/>
      <c r="AK18" s="69"/>
      <c r="AL18" s="70"/>
    </row>
    <row r="19" spans="1:38" s="10" customFormat="1" x14ac:dyDescent="0.2">
      <c r="A19" s="22"/>
      <c r="B19" s="23"/>
      <c r="C19" s="23"/>
      <c r="D19" s="16" t="s">
        <v>15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18"/>
    </row>
    <row r="20" spans="1:38" s="10" customFormat="1" x14ac:dyDescent="0.2">
      <c r="A20" s="54"/>
      <c r="AL20" s="40"/>
    </row>
    <row r="21" spans="1:38" s="10" customFormat="1" x14ac:dyDescent="0.2">
      <c r="A21" s="54"/>
      <c r="AL21" s="40"/>
    </row>
    <row r="22" spans="1:38" s="10" customFormat="1" x14ac:dyDescent="0.2">
      <c r="A22" s="54"/>
      <c r="AL22" s="40"/>
    </row>
    <row r="23" spans="1:38" s="10" customFormat="1" x14ac:dyDescent="0.2">
      <c r="A23" s="54"/>
      <c r="AL23" s="40"/>
    </row>
    <row r="24" spans="1:38" s="10" customFormat="1" x14ac:dyDescent="0.2">
      <c r="A24" s="61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43"/>
    </row>
  </sheetData>
  <mergeCells count="18">
    <mergeCell ref="AK8:AL8"/>
    <mergeCell ref="AI9:AJ9"/>
    <mergeCell ref="AK9:AL9"/>
    <mergeCell ref="AK11:AL11"/>
    <mergeCell ref="AI12:AJ12"/>
    <mergeCell ref="AK12:AL12"/>
    <mergeCell ref="AK17:AL17"/>
    <mergeCell ref="AI18:AJ18"/>
    <mergeCell ref="AK18:AL18"/>
    <mergeCell ref="AI13:AJ13"/>
    <mergeCell ref="AK13:AL13"/>
    <mergeCell ref="AI14:AJ14"/>
    <mergeCell ref="AK14:AL14"/>
    <mergeCell ref="AI15:AJ15"/>
    <mergeCell ref="AK15:AL15"/>
    <mergeCell ref="AI16:AJ16"/>
    <mergeCell ref="AK16:AL16"/>
    <mergeCell ref="AI17:AJ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90625" style="4" bestFit="1" customWidth="1"/>
    <col min="12" max="12" width="17.0898437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57.08984375" style="4" bestFit="1" customWidth="1"/>
    <col min="18" max="18" width="10.453125" style="4" bestFit="1" customWidth="1"/>
    <col min="19" max="19" width="15.81640625" style="5" customWidth="1"/>
    <col min="20" max="20" width="11.6328125" style="5" bestFit="1" customWidth="1"/>
    <col min="21" max="21" width="9.453125" style="5" bestFit="1" customWidth="1"/>
    <col min="22" max="22" width="11.6328125" style="5" bestFit="1" customWidth="1"/>
    <col min="23" max="23" width="9.453125" style="5" bestFit="1" customWidth="1"/>
    <col min="24" max="16384" width="9" style="5"/>
  </cols>
  <sheetData>
    <row r="1" spans="1:20" s="10" customFormat="1" x14ac:dyDescent="0.2">
      <c r="A1" s="52" t="s">
        <v>16</v>
      </c>
      <c r="B1" s="52" t="s">
        <v>16</v>
      </c>
      <c r="C1" s="52"/>
      <c r="D1" s="1" t="s">
        <v>17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 x14ac:dyDescent="0.2">
      <c r="A2" s="22" t="s">
        <v>16</v>
      </c>
      <c r="B2" s="23"/>
      <c r="C2" s="23"/>
      <c r="D2" s="64" t="s">
        <v>166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MGBGL0160</v>
      </c>
      <c r="I2" s="7" t="s">
        <v>18</v>
      </c>
      <c r="J2" s="8" t="s">
        <v>137</v>
      </c>
      <c r="K2" s="7" t="s">
        <v>5</v>
      </c>
      <c r="L2" s="53" t="str">
        <f>IF(LogicCommon!G2="","",LogicCommon!G2)</f>
        <v>MC</v>
      </c>
      <c r="M2" s="5" t="s">
        <v>20</v>
      </c>
      <c r="N2" s="24" t="s">
        <v>156</v>
      </c>
      <c r="O2" s="7"/>
      <c r="P2" s="7"/>
      <c r="Q2" s="4"/>
      <c r="R2" s="5"/>
      <c r="S2" s="5"/>
      <c r="T2" s="5"/>
    </row>
    <row r="3" spans="1:20" s="10" customFormat="1" x14ac:dyDescent="0.2">
      <c r="A3" s="54" t="s">
        <v>16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MGBG</v>
      </c>
      <c r="G3" s="7" t="s">
        <v>9</v>
      </c>
      <c r="H3" s="53" t="str">
        <f>IF(LogicCommon!E3="","",LogicCommon!E3)</f>
        <v>MGBGL_PreAlcRateReg</v>
      </c>
      <c r="I3" s="7" t="s">
        <v>21</v>
      </c>
      <c r="J3" s="8" t="s">
        <v>138</v>
      </c>
      <c r="K3" s="7" t="s">
        <v>11</v>
      </c>
      <c r="L3" s="53" t="str">
        <f>IF(LogicCommon!G3="","",LogicCommon!G3)</f>
        <v/>
      </c>
      <c r="M3" s="57"/>
      <c r="N3" s="7"/>
      <c r="O3" s="7" t="s">
        <v>23</v>
      </c>
      <c r="P3" s="8" t="s">
        <v>24</v>
      </c>
      <c r="Q3" s="4"/>
      <c r="R3" s="5"/>
      <c r="S3" s="5"/>
      <c r="T3" s="5"/>
    </row>
    <row r="4" spans="1:20" s="10" customFormat="1" x14ac:dyDescent="0.2">
      <c r="A4" s="54" t="s">
        <v>16</v>
      </c>
      <c r="B4" s="55"/>
      <c r="C4" s="55"/>
      <c r="D4" s="4"/>
      <c r="E4" s="7" t="s">
        <v>25</v>
      </c>
      <c r="F4" s="58" t="s">
        <v>26</v>
      </c>
      <c r="G4" s="7" t="s">
        <v>12</v>
      </c>
      <c r="H4" s="53" t="str">
        <f>IF(LogicCommon!E4="","",LogicCommon!E4)</f>
        <v>一次配賦比率作成処理</v>
      </c>
      <c r="I4" s="7" t="s">
        <v>27</v>
      </c>
      <c r="J4" s="8" t="s">
        <v>139</v>
      </c>
      <c r="K4" s="7" t="s">
        <v>13</v>
      </c>
      <c r="L4" s="53" t="str">
        <f>IF(LogicCommon!G4="","",LogicCommon!G4)</f>
        <v>MG.MGUDL5010</v>
      </c>
      <c r="M4" s="59" t="s">
        <v>29</v>
      </c>
      <c r="N4" s="24"/>
      <c r="O4" s="60"/>
      <c r="P4" s="4"/>
      <c r="Q4" s="4"/>
      <c r="R4" s="5"/>
      <c r="S4" s="5"/>
      <c r="T4" s="5"/>
    </row>
    <row r="5" spans="1:20" s="10" customFormat="1" x14ac:dyDescent="0.2">
      <c r="A5" s="61" t="s">
        <v>16</v>
      </c>
      <c r="B5" s="52"/>
      <c r="C5" s="52"/>
      <c r="D5" s="21"/>
      <c r="E5" s="7" t="s">
        <v>30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</row>
    <row r="6" spans="1:20" s="10" customFormat="1" x14ac:dyDescent="0.2">
      <c r="A6" s="54" t="s">
        <v>16</v>
      </c>
      <c r="B6" s="55"/>
      <c r="C6" s="55"/>
      <c r="D6" s="4" t="s">
        <v>14</v>
      </c>
      <c r="E6" s="12" t="s">
        <v>140</v>
      </c>
      <c r="F6" s="12"/>
      <c r="G6" s="12"/>
      <c r="H6" s="12"/>
      <c r="I6" s="12"/>
      <c r="J6" s="12"/>
      <c r="K6" s="12"/>
      <c r="L6" s="63" t="s">
        <v>141</v>
      </c>
      <c r="M6" s="15"/>
      <c r="N6" s="15" t="s">
        <v>141</v>
      </c>
      <c r="O6" s="15"/>
      <c r="P6" s="15" t="s">
        <v>141</v>
      </c>
      <c r="Q6" s="15"/>
      <c r="R6" s="4"/>
      <c r="S6" s="4"/>
      <c r="T6" s="4"/>
    </row>
    <row r="7" spans="1:20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25" t="s">
        <v>36</v>
      </c>
      <c r="L7" s="26"/>
      <c r="M7" s="25" t="s">
        <v>36</v>
      </c>
      <c r="N7" s="26"/>
      <c r="O7" s="25" t="s">
        <v>36</v>
      </c>
      <c r="P7" s="26"/>
      <c r="Q7" s="5"/>
      <c r="R7" s="5"/>
      <c r="S7" s="5"/>
      <c r="T7" s="5"/>
    </row>
    <row r="8" spans="1:20" s="10" customFormat="1" ht="60" customHeight="1" x14ac:dyDescent="0.2">
      <c r="A8" s="26" t="s">
        <v>33</v>
      </c>
      <c r="B8" s="65"/>
      <c r="C8" s="66"/>
      <c r="D8" s="25" t="s">
        <v>167</v>
      </c>
      <c r="E8" s="25" t="s">
        <v>168</v>
      </c>
      <c r="F8" s="63"/>
      <c r="G8" s="25" t="s">
        <v>37</v>
      </c>
      <c r="H8" s="25" t="s">
        <v>169</v>
      </c>
      <c r="I8" s="63"/>
      <c r="J8" s="3"/>
      <c r="K8" s="25" t="s">
        <v>40</v>
      </c>
      <c r="L8" s="26"/>
      <c r="M8" s="25" t="s">
        <v>40</v>
      </c>
      <c r="N8" s="26"/>
      <c r="O8" s="25" t="s">
        <v>40</v>
      </c>
      <c r="P8" s="26"/>
      <c r="Q8" s="3"/>
      <c r="R8" s="21"/>
      <c r="S8" s="67" t="s">
        <v>170</v>
      </c>
      <c r="T8" s="68"/>
    </row>
    <row r="9" spans="1:20" s="10" customFormat="1" ht="60" customHeight="1" x14ac:dyDescent="0.2">
      <c r="A9" s="8" t="s">
        <v>33</v>
      </c>
      <c r="B9" s="29"/>
      <c r="C9" s="30"/>
      <c r="D9" s="25" t="s">
        <v>198</v>
      </c>
      <c r="E9" s="47" t="s">
        <v>199</v>
      </c>
      <c r="F9" s="25" t="s">
        <v>173</v>
      </c>
      <c r="G9" s="25" t="s">
        <v>174</v>
      </c>
      <c r="H9" s="25" t="s">
        <v>175</v>
      </c>
      <c r="I9" s="48" t="s">
        <v>176</v>
      </c>
      <c r="J9" s="25" t="s">
        <v>177</v>
      </c>
      <c r="K9" s="48"/>
      <c r="L9" s="25"/>
      <c r="M9" s="25"/>
      <c r="N9" s="25"/>
      <c r="O9" s="25"/>
      <c r="P9" s="25"/>
      <c r="Q9" s="67" t="s">
        <v>178</v>
      </c>
      <c r="R9" s="68"/>
      <c r="S9" s="67" t="s">
        <v>179</v>
      </c>
      <c r="T9" s="68"/>
    </row>
    <row r="10" spans="1:20" s="10" customFormat="1" ht="52" x14ac:dyDescent="0.2">
      <c r="A10" s="29" t="s">
        <v>33</v>
      </c>
      <c r="B10" s="32"/>
      <c r="C10" s="32"/>
      <c r="D10" s="33"/>
      <c r="E10" s="31"/>
      <c r="F10" s="31"/>
      <c r="G10" s="34"/>
      <c r="H10" s="34"/>
      <c r="I10" s="31"/>
      <c r="J10" s="31"/>
      <c r="K10" s="25" t="s">
        <v>176</v>
      </c>
      <c r="L10" s="25" t="s">
        <v>177</v>
      </c>
      <c r="M10" s="25" t="s">
        <v>176</v>
      </c>
      <c r="N10" s="25" t="s">
        <v>177</v>
      </c>
      <c r="O10" s="25" t="s">
        <v>176</v>
      </c>
      <c r="P10" s="25" t="s">
        <v>177</v>
      </c>
      <c r="Q10" s="31"/>
      <c r="R10" s="31"/>
      <c r="S10" s="36"/>
      <c r="T10" s="51"/>
    </row>
    <row r="11" spans="1:20" s="10" customFormat="1" x14ac:dyDescent="0.2">
      <c r="A11" s="8">
        <v>10</v>
      </c>
      <c r="B11" s="29" t="s">
        <v>42</v>
      </c>
      <c r="C11" s="30"/>
      <c r="D11" s="41" t="s">
        <v>145</v>
      </c>
      <c r="E11" s="27" t="s">
        <v>17</v>
      </c>
      <c r="F11" s="37"/>
      <c r="G11" s="24" t="s">
        <v>142</v>
      </c>
      <c r="H11" s="26" t="s">
        <v>146</v>
      </c>
      <c r="I11" s="33"/>
      <c r="J11" s="33"/>
      <c r="K11" s="27"/>
      <c r="L11" s="27"/>
      <c r="M11" s="27"/>
      <c r="N11" s="27"/>
      <c r="O11" s="27"/>
      <c r="P11" s="27"/>
      <c r="Q11" s="47"/>
      <c r="R11" s="48"/>
      <c r="S11" s="69"/>
      <c r="T11" s="70"/>
    </row>
    <row r="12" spans="1:20" s="10" customFormat="1" x14ac:dyDescent="0.2">
      <c r="A12" s="8">
        <v>10</v>
      </c>
      <c r="B12" s="8"/>
      <c r="C12" s="8"/>
      <c r="D12" s="8" t="s">
        <v>80</v>
      </c>
      <c r="E12" s="26" t="s">
        <v>143</v>
      </c>
      <c r="F12" s="26"/>
      <c r="G12" s="39" t="s">
        <v>190</v>
      </c>
      <c r="H12" s="39" t="s">
        <v>82</v>
      </c>
      <c r="I12" s="8" t="s">
        <v>91</v>
      </c>
      <c r="J12" s="8" t="s">
        <v>49</v>
      </c>
      <c r="K12" s="8"/>
      <c r="L12" s="8"/>
      <c r="M12" s="8"/>
      <c r="N12" s="8"/>
      <c r="O12" s="8"/>
      <c r="P12" s="8"/>
      <c r="Q12" s="67"/>
      <c r="R12" s="68"/>
      <c r="S12" s="69"/>
      <c r="T12" s="70"/>
    </row>
    <row r="13" spans="1:20" s="10" customFormat="1" x14ac:dyDescent="0.2">
      <c r="A13" s="8">
        <v>10</v>
      </c>
      <c r="B13" s="8"/>
      <c r="C13" s="8"/>
      <c r="D13" s="8" t="s">
        <v>83</v>
      </c>
      <c r="E13" s="26" t="s">
        <v>134</v>
      </c>
      <c r="F13" s="26"/>
      <c r="G13" s="39" t="s">
        <v>195</v>
      </c>
      <c r="H13" s="39" t="s">
        <v>161</v>
      </c>
      <c r="I13" s="8" t="s">
        <v>91</v>
      </c>
      <c r="J13" s="8" t="s">
        <v>49</v>
      </c>
      <c r="K13" s="8"/>
      <c r="L13" s="8"/>
      <c r="M13" s="8"/>
      <c r="N13" s="8"/>
      <c r="O13" s="8"/>
      <c r="P13" s="8"/>
      <c r="Q13" s="67"/>
      <c r="R13" s="68"/>
      <c r="S13" s="69"/>
      <c r="T13" s="70"/>
    </row>
    <row r="14" spans="1:20" s="10" customFormat="1" x14ac:dyDescent="0.2">
      <c r="A14" s="8">
        <v>10</v>
      </c>
      <c r="B14" s="8"/>
      <c r="C14" s="8"/>
      <c r="D14" s="8" t="s">
        <v>132</v>
      </c>
      <c r="E14" s="26" t="s">
        <v>144</v>
      </c>
      <c r="F14" s="26"/>
      <c r="G14" s="39" t="s">
        <v>200</v>
      </c>
      <c r="H14" s="39" t="s">
        <v>159</v>
      </c>
      <c r="I14" s="8" t="s">
        <v>91</v>
      </c>
      <c r="J14" s="8" t="s">
        <v>49</v>
      </c>
      <c r="K14" s="8"/>
      <c r="L14" s="8"/>
      <c r="M14" s="8"/>
      <c r="N14" s="8"/>
      <c r="O14" s="8"/>
      <c r="P14" s="8"/>
      <c r="Q14" s="67"/>
      <c r="R14" s="68"/>
      <c r="S14" s="69"/>
      <c r="T14" s="70"/>
    </row>
    <row r="15" spans="1:20" s="10" customFormat="1" x14ac:dyDescent="0.2">
      <c r="A15" s="8">
        <v>10</v>
      </c>
      <c r="B15" s="8"/>
      <c r="C15" s="8"/>
      <c r="D15" s="8" t="s">
        <v>133</v>
      </c>
      <c r="E15" s="26" t="s">
        <v>144</v>
      </c>
      <c r="F15" s="26"/>
      <c r="G15" s="39" t="s">
        <v>201</v>
      </c>
      <c r="H15" s="39" t="s">
        <v>160</v>
      </c>
      <c r="I15" s="8" t="s">
        <v>91</v>
      </c>
      <c r="J15" s="8" t="s">
        <v>49</v>
      </c>
      <c r="K15" s="8"/>
      <c r="L15" s="8"/>
      <c r="M15" s="8"/>
      <c r="N15" s="8"/>
      <c r="O15" s="8"/>
      <c r="P15" s="8"/>
      <c r="Q15" s="67"/>
      <c r="R15" s="68"/>
      <c r="S15" s="69"/>
      <c r="T15" s="70"/>
    </row>
    <row r="16" spans="1:20" s="10" customFormat="1" x14ac:dyDescent="0.2">
      <c r="A16" s="8">
        <v>10</v>
      </c>
      <c r="B16" s="8"/>
      <c r="C16" s="8"/>
      <c r="D16" s="8" t="s">
        <v>45</v>
      </c>
      <c r="E16" s="26" t="s">
        <v>46</v>
      </c>
      <c r="F16" s="26"/>
      <c r="G16" s="39" t="s">
        <v>180</v>
      </c>
      <c r="H16" s="39" t="s">
        <v>47</v>
      </c>
      <c r="I16" s="8" t="s">
        <v>91</v>
      </c>
      <c r="J16" s="8" t="s">
        <v>49</v>
      </c>
      <c r="K16" s="8"/>
      <c r="L16" s="8"/>
      <c r="M16" s="8"/>
      <c r="N16" s="8"/>
      <c r="O16" s="8"/>
      <c r="P16" s="8"/>
      <c r="Q16" s="67"/>
      <c r="R16" s="68"/>
      <c r="S16" s="69"/>
      <c r="T16" s="70"/>
    </row>
    <row r="17" spans="1:20" s="10" customFormat="1" x14ac:dyDescent="0.2">
      <c r="A17" s="8">
        <v>10</v>
      </c>
      <c r="B17" s="8"/>
      <c r="C17" s="8"/>
      <c r="D17" s="8" t="s">
        <v>59</v>
      </c>
      <c r="E17" s="26" t="s">
        <v>95</v>
      </c>
      <c r="F17" s="26"/>
      <c r="G17" s="39" t="s">
        <v>184</v>
      </c>
      <c r="H17" s="39" t="s">
        <v>61</v>
      </c>
      <c r="I17" s="8" t="s">
        <v>91</v>
      </c>
      <c r="J17" s="8" t="s">
        <v>49</v>
      </c>
      <c r="K17" s="8"/>
      <c r="L17" s="8"/>
      <c r="M17" s="8"/>
      <c r="N17" s="8"/>
      <c r="O17" s="8"/>
      <c r="P17" s="8"/>
      <c r="Q17" s="67"/>
      <c r="R17" s="68"/>
      <c r="S17" s="69"/>
      <c r="T17" s="70"/>
    </row>
    <row r="18" spans="1:20" s="10" customFormat="1" x14ac:dyDescent="0.2">
      <c r="A18" s="8">
        <v>10</v>
      </c>
      <c r="B18" s="8"/>
      <c r="C18" s="8"/>
      <c r="D18" s="8" t="s">
        <v>53</v>
      </c>
      <c r="E18" s="26" t="s">
        <v>54</v>
      </c>
      <c r="F18" s="26"/>
      <c r="G18" s="39" t="s">
        <v>182</v>
      </c>
      <c r="H18" s="39" t="s">
        <v>136</v>
      </c>
      <c r="I18" s="8" t="s">
        <v>91</v>
      </c>
      <c r="J18" s="8" t="s">
        <v>49</v>
      </c>
      <c r="K18" s="8"/>
      <c r="L18" s="8"/>
      <c r="M18" s="8"/>
      <c r="N18" s="8"/>
      <c r="O18" s="8"/>
      <c r="P18" s="8"/>
      <c r="Q18" s="67"/>
      <c r="R18" s="68"/>
      <c r="S18" s="69"/>
      <c r="T18" s="70"/>
    </row>
    <row r="19" spans="1:20" s="10" customFormat="1" x14ac:dyDescent="0.2">
      <c r="A19" s="22"/>
      <c r="B19" s="23"/>
      <c r="C19" s="23"/>
      <c r="D19" s="16" t="s">
        <v>15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18"/>
    </row>
    <row r="20" spans="1:20" s="10" customFormat="1" x14ac:dyDescent="0.2">
      <c r="A20" s="54"/>
      <c r="T20" s="40"/>
    </row>
    <row r="21" spans="1:20" s="10" customFormat="1" x14ac:dyDescent="0.2">
      <c r="A21" s="54"/>
      <c r="T21" s="40"/>
    </row>
    <row r="22" spans="1:20" s="10" customFormat="1" x14ac:dyDescent="0.2">
      <c r="A22" s="54"/>
      <c r="T22" s="40"/>
    </row>
    <row r="23" spans="1:20" s="10" customFormat="1" x14ac:dyDescent="0.2">
      <c r="A23" s="54"/>
      <c r="T23" s="40"/>
    </row>
    <row r="24" spans="1:20" s="10" customFormat="1" x14ac:dyDescent="0.2">
      <c r="A24" s="54"/>
      <c r="T24" s="40"/>
    </row>
    <row r="25" spans="1:20" s="10" customFormat="1" x14ac:dyDescent="0.2">
      <c r="A25" s="61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43"/>
    </row>
  </sheetData>
  <mergeCells count="18">
    <mergeCell ref="S8:T8"/>
    <mergeCell ref="Q9:R9"/>
    <mergeCell ref="S9:T9"/>
    <mergeCell ref="S11:T11"/>
    <mergeCell ref="Q12:R12"/>
    <mergeCell ref="S12:T12"/>
    <mergeCell ref="Q18:R18"/>
    <mergeCell ref="S18:T18"/>
    <mergeCell ref="Q13:R13"/>
    <mergeCell ref="S13:T13"/>
    <mergeCell ref="Q14:R14"/>
    <mergeCell ref="S14:T14"/>
    <mergeCell ref="Q15:R15"/>
    <mergeCell ref="S15:T15"/>
    <mergeCell ref="Q16:R16"/>
    <mergeCell ref="S16:T16"/>
    <mergeCell ref="Q17:R17"/>
    <mergeCell ref="S17:T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100" t="s">
        <v>147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03" t="s">
        <v>148</v>
      </c>
      <c r="B3" s="104"/>
      <c r="C3" s="104"/>
      <c r="D3" s="104"/>
      <c r="E3" s="104"/>
      <c r="F3" s="104"/>
      <c r="G3" s="105"/>
      <c r="H3" s="106" t="s">
        <v>149</v>
      </c>
      <c r="I3" s="104"/>
      <c r="J3" s="104"/>
      <c r="K3" s="104"/>
      <c r="L3" s="104"/>
      <c r="M3" s="104"/>
      <c r="N3" s="105"/>
      <c r="O3" s="106" t="s">
        <v>150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151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152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202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203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Chk01</vt:lpstr>
      <vt:lpstr>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2026-03-27T05:52:33Z</dcterms:modified>
  <cp:category/>
</cp:coreProperties>
</file>