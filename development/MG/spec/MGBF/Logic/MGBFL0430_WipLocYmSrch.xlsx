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DE884FEC-6E76-44E1-AE98-27B5CBC4E011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Srch01" sheetId="2" r:id="rId2"/>
    <sheet name="Srch02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<sst xmlns="http://schemas.openxmlformats.org/spreadsheetml/2006/main" count="582" uniqueCount="224">
  <si>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</si>
  <si>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</si>
  <si>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</si>
  <si>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</si>
  <si>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MGBFL0430</t>
    <phoneticPr fontId="3"/>
  </si>
  <si>
    <t>Pj.ID :</t>
    <phoneticPr fontId="4"/>
  </si>
  <si>
    <t>MC</t>
    <phoneticPr fontId="3"/>
  </si>
  <si>
    <t>SubModuleID :</t>
    <phoneticPr fontId="4"/>
  </si>
  <si>
    <t>MGBF</t>
    <phoneticPr fontId="3"/>
  </si>
  <si>
    <t>LogicClass :</t>
    <phoneticPr fontId="4"/>
  </si>
  <si>
    <t>MGBFL_WipLocYmSrch</t>
    <phoneticPr fontId="3"/>
  </si>
  <si>
    <t>SuperClassPj.ID :</t>
    <phoneticPr fontId="4"/>
  </si>
  <si>
    <t>LogicName :</t>
    <phoneticPr fontId="4"/>
  </si>
  <si>
    <t>月別部門製造原価一覧照会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</si>
  <si>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</si>
  <si>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</si>
  <si>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</si>
  <si>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</si>
  <si>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</si>
  <si>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</si>
  <si>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</si>
  <si>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</si>
  <si>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</si>
  <si>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</si>
  <si>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</si>
  <si>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</si>
  <si>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</si>
  <si>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</si>
  <si>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</si>
  <si>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</si>
  <si>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</si>
  <si>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</si>
  <si>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場所別の仕掛・発生・完成原価情報を月別に検索する</t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</si>
  <si>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</si>
  <si>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</si>
  <si>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</si>
  <si>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</si>
  <si>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</si>
  <si>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</si>
  <si>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</si>
  <si>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</si>
  <si>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</si>
  <si>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</si>
  <si>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</si>
  <si>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</si>
  <si>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</si>
  <si>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</si>
  <si>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</si>
  <si>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</si>
  <si>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calc_grp_cd</t>
    <phoneticPr fontId="4"/>
  </si>
  <si>
    <t>#MA.CALC_GRP_CD</t>
    <phoneticPr fontId="4"/>
  </si>
  <si>
    <t>計算グループＣＤ</t>
    <phoneticPr fontId="4"/>
  </si>
  <si>
    <t>E</t>
    <phoneticPr fontId="4"/>
  </si>
  <si>
    <t>ym_fr</t>
  </si>
  <si>
    <t>#MA.YM</t>
  </si>
  <si>
    <t>年月ＦＲＯＭ</t>
    <phoneticPr fontId="5"/>
  </si>
  <si>
    <t>ym_to</t>
  </si>
  <si>
    <t>年月ＴＯ</t>
    <phoneticPr fontId="5"/>
  </si>
  <si>
    <t>wg_cd</t>
  </si>
  <si>
    <t>#MA.WG_CD</t>
  </si>
  <si>
    <t>ワーキンググループＣＤ</t>
    <phoneticPr fontId="4"/>
  </si>
  <si>
    <t>wg_nm</t>
    <phoneticPr fontId="4"/>
  </si>
  <si>
    <t>#MA.WG_NM</t>
    <phoneticPr fontId="4"/>
  </si>
  <si>
    <t>ワーキンググループ名</t>
    <phoneticPr fontId="4"/>
  </si>
  <si>
    <t>dpt_lvl_cd</t>
  </si>
  <si>
    <t>#MA.DPT_LVL_CD</t>
  </si>
  <si>
    <t>部門階層ＣＤ</t>
    <phoneticPr fontId="5"/>
  </si>
  <si>
    <t>-</t>
    <phoneticPr fontId="4"/>
  </si>
  <si>
    <t>mng_dpt_cd</t>
  </si>
  <si>
    <t>#MA.COST_DPT_CD</t>
  </si>
  <si>
    <t>部門ＣＤ</t>
    <phoneticPr fontId="4"/>
  </si>
  <si>
    <t>mng_dpt_nm</t>
  </si>
  <si>
    <t>#MA.COST_DPT_NM</t>
  </si>
  <si>
    <t>部門名</t>
    <phoneticPr fontId="4"/>
  </si>
  <si>
    <t>site_cd</t>
  </si>
  <si>
    <t>#MA.SITE_CD</t>
  </si>
  <si>
    <t>工場・物流倉庫ＣＤ</t>
    <phoneticPr fontId="4"/>
  </si>
  <si>
    <t>site_nm</t>
  </si>
  <si>
    <t>#MA.SITE_NM</t>
  </si>
  <si>
    <t>工場・物流倉庫名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</si>
  <si>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</si>
  <si>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</si>
  <si>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</si>
  <si>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</si>
  <si>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</si>
  <si>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</si>
  <si>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str_ln_cd</t>
  </si>
  <si>
    <t>#MA.STR_LN_CD</t>
  </si>
  <si>
    <t>ラインＣＤ</t>
    <phoneticPr fontId="4"/>
  </si>
  <si>
    <t>str_ln_nm</t>
  </si>
  <si>
    <t>#MA.STR_LN_NM</t>
  </si>
  <si>
    <t>ライン名</t>
    <phoneticPr fontId="4"/>
  </si>
  <si>
    <t>calc_grp_flg</t>
    <phoneticPr fontId="4"/>
  </si>
  <si>
    <t>#MA.FLG</t>
  </si>
  <si>
    <t>計算グループ</t>
    <phoneticPr fontId="4"/>
  </si>
  <si>
    <t>wg_flg</t>
    <phoneticPr fontId="4"/>
  </si>
  <si>
    <t>ワーキンググループ</t>
    <phoneticPr fontId="4"/>
  </si>
  <si>
    <t>site_flg</t>
    <phoneticPr fontId="4"/>
  </si>
  <si>
    <t>工場・物流倉庫</t>
    <phoneticPr fontId="4"/>
  </si>
  <si>
    <t>loc_flg</t>
    <phoneticPr fontId="4"/>
  </si>
  <si>
    <t>場所</t>
    <phoneticPr fontId="4"/>
  </si>
  <si>
    <t>str_ln_flg</t>
    <phoneticPr fontId="4"/>
  </si>
  <si>
    <t>ライン</t>
    <phoneticPr fontId="4"/>
  </si>
  <si>
    <t>mng_dpt_flg</t>
    <phoneticPr fontId="4"/>
  </si>
  <si>
    <t>部門</t>
    <phoneticPr fontId="4"/>
  </si>
  <si>
    <t>Srch01_Rslt</t>
    <phoneticPr fontId="4"/>
  </si>
  <si>
    <t>L</t>
    <phoneticPr fontId="4"/>
  </si>
  <si>
    <t>dummy_term</t>
    <phoneticPr fontId="4"/>
  </si>
  <si>
    <t>#MA.YM</t>
    <phoneticPr fontId="4"/>
  </si>
  <si>
    <t>期マスタ（結合用ダミー）</t>
    <phoneticPr fontId="3"/>
  </si>
  <si>
    <t>-</t>
    <phoneticPr fontId="3"/>
  </si>
  <si>
    <t>calc_grp_cd</t>
    <phoneticPr fontId="4"/>
  </si>
  <si>
    <t>#MA.CALC_GRP_CD</t>
    <phoneticPr fontId="4"/>
  </si>
  <si>
    <t>calc_grp_nm</t>
    <phoneticPr fontId="4"/>
  </si>
  <si>
    <t>#MA.CALC_GRP_NM</t>
    <phoneticPr fontId="4"/>
  </si>
  <si>
    <t>計算グループ名</t>
    <phoneticPr fontId="4"/>
  </si>
  <si>
    <t>wg_cd</t>
    <phoneticPr fontId="4"/>
  </si>
  <si>
    <t>ワーキンググループＣＤ</t>
    <phoneticPr fontId="3"/>
  </si>
  <si>
    <t>wg_flg</t>
    <phoneticPr fontId="4"/>
  </si>
  <si>
    <t>wg_nm</t>
    <phoneticPr fontId="4"/>
  </si>
  <si>
    <t>#MA.WG_NM</t>
  </si>
  <si>
    <t>mng_dpt_cd</t>
    <phoneticPr fontId="4"/>
  </si>
  <si>
    <t>場所ＣＤ</t>
    <phoneticPr fontId="1"/>
  </si>
  <si>
    <t>loc_flg</t>
    <phoneticPr fontId="4"/>
  </si>
  <si>
    <t>場所名</t>
    <phoneticPr fontId="1"/>
  </si>
  <si>
    <t>ym</t>
  </si>
  <si>
    <t>年月</t>
    <phoneticPr fontId="5"/>
  </si>
  <si>
    <t>st_wip_amt</t>
  </si>
  <si>
    <t>#MA.MONEY</t>
    <phoneticPr fontId="4"/>
  </si>
  <si>
    <t>月初仕掛原価</t>
    <phoneticPr fontId="4"/>
  </si>
  <si>
    <t>prod_amt</t>
  </si>
  <si>
    <t>#MA.MONEY</t>
    <phoneticPr fontId="4"/>
  </si>
  <si>
    <t>発生原価</t>
    <phoneticPr fontId="4"/>
  </si>
  <si>
    <t>inpt_amt</t>
  </si>
  <si>
    <t>製造品投入原価</t>
    <phoneticPr fontId="4"/>
  </si>
  <si>
    <t>comp_amt</t>
  </si>
  <si>
    <t>#MA.MONEY</t>
    <phoneticPr fontId="4"/>
  </si>
  <si>
    <t>完成原価</t>
    <phoneticPr fontId="4"/>
  </si>
  <si>
    <t>end_wip_amt</t>
  </si>
  <si>
    <t>#MA.MONEY</t>
    <phoneticPr fontId="4"/>
  </si>
  <si>
    <t>月末仕掛原価</t>
    <phoneticPr fontId="4"/>
  </si>
  <si>
    <t>Srch02</t>
    <phoneticPr fontId="4"/>
  </si>
  <si>
    <t>@</t>
    <phoneticPr fontId="4"/>
  </si>
  <si>
    <t>部門別の仕掛・発生・完成原価情報を月別に検索する</t>
  </si>
  <si>
    <t>#</t>
    <phoneticPr fontId="4"/>
  </si>
  <si>
    <t>TargetName</t>
    <phoneticPr fontId="4"/>
  </si>
  <si>
    <t>Srch02_Cnd</t>
    <phoneticPr fontId="4"/>
  </si>
  <si>
    <t>R</t>
    <phoneticPr fontId="4"/>
  </si>
  <si>
    <t>$share$</t>
    <phoneticPr fontId="4"/>
  </si>
  <si>
    <t>MG.MGBFL0430.Srch01.Srch01_Cnd</t>
    <phoneticPr fontId="4"/>
  </si>
  <si>
    <t>calc_grp_cd</t>
  </si>
  <si>
    <t>#MA.CALC_GRP_CD</t>
    <phoneticPr fontId="4"/>
  </si>
  <si>
    <t>wg_nm</t>
    <phoneticPr fontId="4"/>
  </si>
  <si>
    <t>#MA.WG_NM</t>
    <phoneticPr fontId="4"/>
  </si>
  <si>
    <t>E</t>
    <phoneticPr fontId="3"/>
  </si>
  <si>
    <t>site_flg</t>
    <phoneticPr fontId="4"/>
  </si>
  <si>
    <t>mng_dpt_flg</t>
    <phoneticPr fontId="4"/>
  </si>
  <si>
    <t>Srch02_Rslt</t>
    <phoneticPr fontId="4"/>
  </si>
  <si>
    <t>L</t>
    <phoneticPr fontId="4"/>
  </si>
  <si>
    <t>$share$</t>
    <phoneticPr fontId="4"/>
  </si>
  <si>
    <t>MG.MGBFL0430.Srch01.Srch01_Rslt</t>
    <phoneticPr fontId="4"/>
  </si>
  <si>
    <t>dummy_term</t>
    <phoneticPr fontId="4"/>
  </si>
  <si>
    <t>#MA.YM</t>
    <phoneticPr fontId="4"/>
  </si>
  <si>
    <t>#MA.CALC_GRP_CD</t>
  </si>
  <si>
    <t>calc_grp_nm</t>
  </si>
  <si>
    <t>#MA.CALC_GRP_NM</t>
  </si>
  <si>
    <t>wg_cd</t>
    <phoneticPr fontId="4"/>
  </si>
  <si>
    <t>wg_nm</t>
    <phoneticPr fontId="4"/>
  </si>
  <si>
    <t>#MA.MONEY</t>
    <phoneticPr fontId="4"/>
  </si>
  <si>
    <t>#MA.MONEY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</si>
  <si>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</si>
  <si>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</si>
  <si>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</si>
  <si>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</si>
  <si>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</si>
  <si>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</si>
  <si>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</si>
  <si>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</si>
  <si>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</si>
  <si>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</si>
  <si>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</si>
  <si>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</si>
  <si>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</si>
  <si>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</si>
  <si>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</si>
  <si>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</si>
  <si>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</si>
  <si>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</si>
  <si>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</si>
  <si>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</si>
  <si>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</si>
  <si>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</si>
  <si>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group cd.</t>
  </si>
  <si>
    <t>Month FROM</t>
  </si>
  <si>
    <t>Month TO</t>
  </si>
  <si>
    <t>WG cd.</t>
  </si>
  <si>
    <t>WG name</t>
  </si>
  <si>
    <t>Dept. hierarchy cd.</t>
  </si>
  <si>
    <t>Dept. cd.</t>
  </si>
  <si>
    <t>Dept.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</si>
  <si>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</si>
  <si>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</si>
  <si>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</si>
  <si>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</si>
  <si>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</si>
  <si>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</si>
  <si>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Calculation group</t>
  </si>
  <si>
    <t>WG</t>
  </si>
  <si>
    <t>Factory/Distribution warehouse</t>
  </si>
  <si>
    <t>Location</t>
  </si>
  <si>
    <t>Line</t>
  </si>
  <si>
    <t>Dept.</t>
  </si>
  <si>
    <t>Term master (Dummy for join)</t>
  </si>
  <si>
    <t>Calculation group name</t>
  </si>
  <si>
    <t>Year month</t>
  </si>
  <si>
    <t>Beginning WIP cost</t>
  </si>
  <si>
    <t>Incurred cost</t>
  </si>
  <si>
    <t>Mfg. item input cost</t>
  </si>
  <si>
    <t>Cost of completed item</t>
  </si>
  <si>
    <t>Ending WIP cost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</si>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</sst>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 applyProtection="1">
      <alignment vertical="top"/>
      <protection locked="0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vertical="top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2" borderId="5" xfId="0" applyFont="1" applyFill="1" applyBorder="1" applyAlignment="1"/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28" t="s">
        <v>2</v>
      </c>
      <c r="D2" s="7" t="s">
        <v>3</v>
      </c>
      <c r="E2" s="28" t="s">
        <v>4</v>
      </c>
      <c r="F2" s="7" t="s">
        <v>5</v>
      </c>
      <c r="G2" s="28" t="s">
        <v>6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7</v>
      </c>
      <c r="C3" s="28" t="s">
        <v>8</v>
      </c>
      <c r="D3" s="7" t="s">
        <v>9</v>
      </c>
      <c r="E3" s="28" t="s">
        <v>10</v>
      </c>
      <c r="F3" s="7" t="s">
        <v>11</v>
      </c>
      <c r="G3" s="28"/>
      <c r="H3" s="5"/>
      <c r="I3" s="5"/>
    </row>
    <row r="4" spans="1:13" x14ac:dyDescent="0.2">
      <c r="A4" s="4"/>
      <c r="B4" s="7"/>
      <c r="C4" s="7"/>
      <c r="D4" s="7" t="s">
        <v>12</v>
      </c>
      <c r="E4" s="10" t="s">
        <v>13</v>
      </c>
      <c r="F4" s="7" t="s">
        <v>14</v>
      </c>
      <c r="G4" s="28" t="s">
        <v>176</v>
      </c>
      <c r="I4" s="5"/>
      <c r="J4" s="4"/>
    </row>
    <row r="5" spans="1:13" x14ac:dyDescent="0.2">
      <c r="A5" s="6" t="s">
        <v>15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16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6.08984375" style="4" bestFit="1" customWidth="1"/>
    <col min="13" max="13" width="22.08984375" style="4" customWidth="1"/>
    <col min="14" max="14" width="50.81640625" style="4" customWidth="1"/>
    <col min="15" max="15" width="32.36328125" style="4" customWidth="1"/>
    <col min="16" max="16" width="26.08984375" style="4" bestFit="1" customWidth="1"/>
    <col min="17" max="17" width="44.08984375" style="4" bestFit="1" customWidth="1"/>
    <col min="18" max="18" width="30.81640625" style="4" customWidth="1"/>
    <col min="19" max="23" width="17.1796875" style="5" customWidth="1"/>
    <col min="24" max="16384" width="9" style="5"/>
  </cols>
  <sheetData>
    <row r="1" spans="1:21" s="9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17</v>
      </c>
      <c r="B2" s="22"/>
      <c r="C2" s="22"/>
      <c r="D2" s="65" t="s">
        <v>178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MGBFL0430</v>
      </c>
      <c r="I2" s="7" t="s">
        <v>19</v>
      </c>
      <c r="J2" s="2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3" t="s">
        <v>177</v>
      </c>
      <c r="O2" s="7"/>
      <c r="P2" s="7"/>
      <c r="Q2" s="4"/>
      <c r="R2" s="4"/>
      <c r="S2" s="5"/>
      <c r="T2" s="5"/>
      <c r="U2" s="5"/>
    </row>
    <row r="3" spans="1:21" s="9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MGBF</v>
      </c>
      <c r="G3" s="7" t="s">
        <v>9</v>
      </c>
      <c r="H3" s="54" t="str">
        <f>IF(LogicCommon!E3="","",LogicCommon!E3)</f>
        <v>MGBFL_WipLocYmSrch</v>
      </c>
      <c r="I3" s="7" t="s">
        <v>22</v>
      </c>
      <c r="J3" s="2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28" t="s">
        <v>25</v>
      </c>
      <c r="Q3" s="4"/>
      <c r="R3" s="4"/>
      <c r="S3" s="5"/>
      <c r="T3" s="5"/>
      <c r="U3" s="5"/>
    </row>
    <row r="4" spans="1:21" s="9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月別部門製造原価一覧照会</v>
      </c>
      <c r="I4" s="7" t="s">
        <v>28</v>
      </c>
      <c r="J4" s="28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3"/>
      <c r="O4" s="61"/>
      <c r="P4" s="4"/>
      <c r="Q4" s="4"/>
      <c r="R4" s="4"/>
      <c r="S4" s="5"/>
      <c r="T4" s="5"/>
      <c r="U4" s="5"/>
    </row>
    <row r="5" spans="1:21" s="9" customFormat="1" x14ac:dyDescent="0.2">
      <c r="A5" s="62" t="s">
        <v>17</v>
      </c>
      <c r="B5" s="53"/>
      <c r="C5" s="53"/>
      <c r="D5" s="20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4"/>
      <c r="S5" s="5"/>
      <c r="T5" s="5"/>
      <c r="U5" s="5"/>
    </row>
    <row r="6" spans="1:21" s="9" customFormat="1" x14ac:dyDescent="0.2">
      <c r="A6" s="55" t="s">
        <v>17</v>
      </c>
      <c r="B6" s="56"/>
      <c r="C6" s="56"/>
      <c r="D6" s="4" t="s">
        <v>15</v>
      </c>
      <c r="E6" s="11" t="s">
        <v>32</v>
      </c>
      <c r="F6" s="11"/>
      <c r="G6" s="11"/>
      <c r="H6" s="11"/>
      <c r="I6" s="11"/>
      <c r="J6" s="11"/>
      <c r="K6" s="11"/>
      <c r="L6" s="64"/>
      <c r="M6" s="14" t="s">
        <v>33</v>
      </c>
      <c r="N6" s="14"/>
      <c r="O6" s="14" t="s">
        <v>33</v>
      </c>
      <c r="P6" s="14"/>
      <c r="Q6" s="14" t="s">
        <v>33</v>
      </c>
      <c r="R6" s="4"/>
      <c r="S6" s="4"/>
      <c r="T6" s="4"/>
      <c r="U6" s="4"/>
    </row>
    <row r="7" spans="1:21" s="9" customFormat="1" x14ac:dyDescent="0.2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28" t="s">
        <v>36</v>
      </c>
      <c r="L7" s="25" t="s">
        <v>37</v>
      </c>
      <c r="M7" s="26"/>
      <c r="N7" s="25" t="s">
        <v>38</v>
      </c>
      <c r="O7" s="26"/>
      <c r="P7" s="25" t="s">
        <v>39</v>
      </c>
      <c r="Q7" s="26"/>
      <c r="R7" s="4"/>
      <c r="S7" s="4"/>
      <c r="T7" s="4"/>
      <c r="U7" s="4"/>
    </row>
    <row r="8" spans="1:21" s="9" customFormat="1" ht="60" customHeight="1" x14ac:dyDescent="0.2">
      <c r="A8" s="26" t="s">
        <v>34</v>
      </c>
      <c r="B8" s="66"/>
      <c r="C8" s="67"/>
      <c r="D8" s="25" t="s">
        <v>179</v>
      </c>
      <c r="E8" s="25" t="s">
        <v>180</v>
      </c>
      <c r="F8" s="64"/>
      <c r="G8" s="25" t="s">
        <v>40</v>
      </c>
      <c r="H8" s="25" t="s">
        <v>181</v>
      </c>
      <c r="I8" s="64"/>
      <c r="J8" s="3"/>
      <c r="K8" s="28" t="s">
        <v>41</v>
      </c>
      <c r="L8" s="25" t="s">
        <v>42</v>
      </c>
      <c r="M8" s="26"/>
      <c r="N8" s="25" t="s">
        <v>43</v>
      </c>
      <c r="O8" s="26"/>
      <c r="P8" s="25" t="s">
        <v>44</v>
      </c>
      <c r="Q8" s="26"/>
      <c r="R8" s="3"/>
      <c r="S8" s="20"/>
      <c r="T8" s="118" t="s">
        <v>182</v>
      </c>
      <c r="U8" s="119"/>
    </row>
    <row r="9" spans="1:21" s="9" customFormat="1" ht="60" customHeight="1" x14ac:dyDescent="0.2">
      <c r="A9" s="28" t="s">
        <v>34</v>
      </c>
      <c r="B9" s="29"/>
      <c r="C9" s="30"/>
      <c r="D9" s="25" t="s">
        <v>183</v>
      </c>
      <c r="E9" s="51" t="s">
        <v>184</v>
      </c>
      <c r="F9" s="25" t="s">
        <v>185</v>
      </c>
      <c r="G9" s="25" t="s">
        <v>186</v>
      </c>
      <c r="H9" s="25" t="s">
        <v>187</v>
      </c>
      <c r="I9" s="52" t="s">
        <v>188</v>
      </c>
      <c r="J9" s="25" t="s">
        <v>189</v>
      </c>
      <c r="K9" s="65"/>
      <c r="L9" s="52"/>
      <c r="M9" s="25"/>
      <c r="N9" s="25"/>
      <c r="O9" s="25"/>
      <c r="P9" s="25"/>
      <c r="Q9" s="25"/>
      <c r="R9" s="118" t="s">
        <v>190</v>
      </c>
      <c r="S9" s="119"/>
      <c r="T9" s="118" t="s">
        <v>191</v>
      </c>
      <c r="U9" s="119"/>
    </row>
    <row r="10" spans="1:21" s="9" customFormat="1" ht="39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188</v>
      </c>
      <c r="M10" s="25" t="s">
        <v>189</v>
      </c>
      <c r="N10" s="25" t="s">
        <v>188</v>
      </c>
      <c r="O10" s="25" t="s">
        <v>189</v>
      </c>
      <c r="P10" s="25" t="s">
        <v>188</v>
      </c>
      <c r="Q10" s="25" t="s">
        <v>189</v>
      </c>
      <c r="R10" s="31"/>
      <c r="S10" s="31"/>
      <c r="T10" s="36"/>
      <c r="U10" s="48"/>
    </row>
    <row r="11" spans="1:21" s="9" customFormat="1" x14ac:dyDescent="0.2">
      <c r="A11" s="28">
        <v>10</v>
      </c>
      <c r="B11" s="29" t="s">
        <v>46</v>
      </c>
      <c r="C11" s="30"/>
      <c r="D11" s="23" t="s">
        <v>47</v>
      </c>
      <c r="E11" s="27" t="s">
        <v>48</v>
      </c>
      <c r="F11" s="37"/>
      <c r="G11" s="23"/>
      <c r="H11" s="38"/>
      <c r="I11" s="39"/>
      <c r="J11" s="34"/>
      <c r="K11" s="34"/>
      <c r="L11" s="27"/>
      <c r="M11" s="27"/>
      <c r="N11" s="27"/>
      <c r="O11" s="27"/>
      <c r="P11" s="27"/>
      <c r="Q11" s="27"/>
      <c r="R11" s="39"/>
      <c r="S11" s="37"/>
      <c r="T11" s="120"/>
      <c r="U11" s="121"/>
    </row>
    <row r="12" spans="1:21" s="9" customFormat="1" x14ac:dyDescent="0.2">
      <c r="A12" s="28">
        <v>10</v>
      </c>
      <c r="B12" s="28"/>
      <c r="C12" s="28"/>
      <c r="D12" s="28" t="s">
        <v>49</v>
      </c>
      <c r="E12" s="26" t="s">
        <v>50</v>
      </c>
      <c r="F12" s="26"/>
      <c r="G12" s="40" t="s">
        <v>192</v>
      </c>
      <c r="H12" s="40" t="s">
        <v>51</v>
      </c>
      <c r="I12" s="28" t="s">
        <v>52</v>
      </c>
      <c r="J12" s="28"/>
      <c r="K12" s="28"/>
      <c r="L12" s="28"/>
      <c r="M12" s="28"/>
      <c r="N12" s="28"/>
      <c r="O12" s="28"/>
      <c r="P12" s="28"/>
      <c r="Q12" s="28"/>
      <c r="R12" s="118"/>
      <c r="S12" s="119"/>
      <c r="T12" s="120"/>
      <c r="U12" s="121"/>
    </row>
    <row r="13" spans="1:21" s="9" customFormat="1" x14ac:dyDescent="0.2">
      <c r="A13" s="28">
        <v>10</v>
      </c>
      <c r="B13" s="28"/>
      <c r="C13" s="28"/>
      <c r="D13" s="28" t="s">
        <v>53</v>
      </c>
      <c r="E13" s="26" t="s">
        <v>54</v>
      </c>
      <c r="F13" s="26"/>
      <c r="G13" s="40" t="s">
        <v>193</v>
      </c>
      <c r="H13" s="40" t="s">
        <v>55</v>
      </c>
      <c r="I13" s="28" t="s">
        <v>52</v>
      </c>
      <c r="J13" s="28"/>
      <c r="K13" s="28"/>
      <c r="L13" s="28"/>
      <c r="M13" s="28"/>
      <c r="N13" s="28"/>
      <c r="O13" s="28"/>
      <c r="P13" s="28"/>
      <c r="Q13" s="28"/>
      <c r="R13" s="118"/>
      <c r="S13" s="119"/>
      <c r="T13" s="120"/>
      <c r="U13" s="121"/>
    </row>
    <row r="14" spans="1:21" s="9" customFormat="1" x14ac:dyDescent="0.2">
      <c r="A14" s="28">
        <v>10</v>
      </c>
      <c r="B14" s="28"/>
      <c r="C14" s="28"/>
      <c r="D14" s="28" t="s">
        <v>56</v>
      </c>
      <c r="E14" s="26" t="s">
        <v>54</v>
      </c>
      <c r="F14" s="26"/>
      <c r="G14" s="40" t="s">
        <v>194</v>
      </c>
      <c r="H14" s="40" t="s">
        <v>57</v>
      </c>
      <c r="I14" s="28" t="s">
        <v>52</v>
      </c>
      <c r="J14" s="28"/>
      <c r="K14" s="28"/>
      <c r="L14" s="28"/>
      <c r="M14" s="28"/>
      <c r="N14" s="28"/>
      <c r="O14" s="28"/>
      <c r="P14" s="28"/>
      <c r="Q14" s="28"/>
      <c r="R14" s="118"/>
      <c r="S14" s="119"/>
      <c r="T14" s="120"/>
      <c r="U14" s="121"/>
    </row>
    <row r="15" spans="1:21" s="9" customFormat="1" x14ac:dyDescent="0.2">
      <c r="A15" s="28">
        <v>10</v>
      </c>
      <c r="B15" s="28"/>
      <c r="C15" s="28"/>
      <c r="D15" s="28" t="s">
        <v>58</v>
      </c>
      <c r="E15" s="26" t="s">
        <v>59</v>
      </c>
      <c r="F15" s="26"/>
      <c r="G15" s="40" t="s">
        <v>195</v>
      </c>
      <c r="H15" s="40" t="s">
        <v>60</v>
      </c>
      <c r="I15" s="28" t="s">
        <v>52</v>
      </c>
      <c r="J15" s="28"/>
      <c r="K15" s="28"/>
      <c r="L15" s="28"/>
      <c r="M15" s="28"/>
      <c r="N15" s="28"/>
      <c r="O15" s="28"/>
      <c r="P15" s="28"/>
      <c r="Q15" s="28"/>
      <c r="R15" s="118"/>
      <c r="S15" s="119"/>
      <c r="T15" s="120"/>
      <c r="U15" s="121"/>
    </row>
    <row r="16" spans="1:21" s="9" customFormat="1" x14ac:dyDescent="0.2">
      <c r="A16" s="28">
        <v>10</v>
      </c>
      <c r="B16" s="28"/>
      <c r="C16" s="28"/>
      <c r="D16" s="28" t="s">
        <v>61</v>
      </c>
      <c r="E16" s="26" t="s">
        <v>62</v>
      </c>
      <c r="F16" s="26"/>
      <c r="G16" s="40" t="s">
        <v>196</v>
      </c>
      <c r="H16" s="40" t="s">
        <v>63</v>
      </c>
      <c r="I16" s="28" t="s">
        <v>52</v>
      </c>
      <c r="J16" s="28"/>
      <c r="K16" s="28"/>
      <c r="L16" s="28"/>
      <c r="M16" s="28"/>
      <c r="N16" s="28"/>
      <c r="O16" s="28"/>
      <c r="P16" s="28"/>
      <c r="Q16" s="28"/>
      <c r="R16" s="118"/>
      <c r="S16" s="119"/>
      <c r="T16" s="120"/>
      <c r="U16" s="121"/>
    </row>
    <row r="17" spans="1:21" s="9" customFormat="1" x14ac:dyDescent="0.2">
      <c r="A17" s="28">
        <v>10</v>
      </c>
      <c r="B17" s="28"/>
      <c r="C17" s="28"/>
      <c r="D17" s="28" t="s">
        <v>64</v>
      </c>
      <c r="E17" s="26" t="s">
        <v>65</v>
      </c>
      <c r="F17" s="26"/>
      <c r="G17" s="40" t="s">
        <v>197</v>
      </c>
      <c r="H17" s="40" t="s">
        <v>66</v>
      </c>
      <c r="I17" s="28" t="s">
        <v>67</v>
      </c>
      <c r="J17" s="28"/>
      <c r="K17" s="28"/>
      <c r="L17" s="28"/>
      <c r="M17" s="28"/>
      <c r="N17" s="28"/>
      <c r="O17" s="28"/>
      <c r="P17" s="28"/>
      <c r="Q17" s="28"/>
      <c r="R17" s="118"/>
      <c r="S17" s="119"/>
      <c r="T17" s="120"/>
      <c r="U17" s="121"/>
    </row>
    <row r="18" spans="1:21" s="9" customFormat="1" x14ac:dyDescent="0.2">
      <c r="A18" s="28">
        <v>10</v>
      </c>
      <c r="B18" s="28"/>
      <c r="C18" s="28"/>
      <c r="D18" s="28" t="s">
        <v>68</v>
      </c>
      <c r="E18" s="26" t="s">
        <v>69</v>
      </c>
      <c r="F18" s="26"/>
      <c r="G18" s="40" t="s">
        <v>198</v>
      </c>
      <c r="H18" s="40" t="s">
        <v>70</v>
      </c>
      <c r="I18" s="28" t="s">
        <v>52</v>
      </c>
      <c r="J18" s="28"/>
      <c r="K18" s="28"/>
      <c r="L18" s="28"/>
      <c r="M18" s="28"/>
      <c r="N18" s="28"/>
      <c r="O18" s="28"/>
      <c r="P18" s="28"/>
      <c r="Q18" s="28"/>
      <c r="R18" s="118"/>
      <c r="S18" s="119"/>
      <c r="T18" s="120"/>
      <c r="U18" s="121"/>
    </row>
    <row r="19" spans="1:21" s="9" customFormat="1" x14ac:dyDescent="0.2">
      <c r="A19" s="28">
        <v>10</v>
      </c>
      <c r="B19" s="28"/>
      <c r="C19" s="28"/>
      <c r="D19" s="28" t="s">
        <v>71</v>
      </c>
      <c r="E19" s="26" t="s">
        <v>72</v>
      </c>
      <c r="F19" s="26"/>
      <c r="G19" s="40" t="s">
        <v>199</v>
      </c>
      <c r="H19" s="40" t="s">
        <v>73</v>
      </c>
      <c r="I19" s="28" t="s">
        <v>52</v>
      </c>
      <c r="J19" s="28"/>
      <c r="K19" s="28"/>
      <c r="L19" s="28"/>
      <c r="M19" s="28"/>
      <c r="N19" s="28"/>
      <c r="O19" s="28"/>
      <c r="P19" s="28"/>
      <c r="Q19" s="28"/>
      <c r="R19" s="118"/>
      <c r="S19" s="119"/>
      <c r="T19" s="120"/>
      <c r="U19" s="121"/>
    </row>
    <row r="20" spans="1:21" s="9" customFormat="1" ht="26" x14ac:dyDescent="0.2">
      <c r="A20" s="28">
        <v>10</v>
      </c>
      <c r="B20" s="28"/>
      <c r="C20" s="28"/>
      <c r="D20" s="28" t="s">
        <v>74</v>
      </c>
      <c r="E20" s="26" t="s">
        <v>75</v>
      </c>
      <c r="F20" s="26"/>
      <c r="G20" s="40" t="s">
        <v>200</v>
      </c>
      <c r="H20" s="40" t="s">
        <v>76</v>
      </c>
      <c r="I20" s="28" t="s">
        <v>52</v>
      </c>
      <c r="J20" s="28"/>
      <c r="K20" s="28"/>
      <c r="L20" s="28"/>
      <c r="M20" s="28"/>
      <c r="N20" s="28"/>
      <c r="O20" s="28"/>
      <c r="P20" s="28"/>
      <c r="Q20" s="28"/>
      <c r="R20" s="118"/>
      <c r="S20" s="119"/>
      <c r="T20" s="120"/>
      <c r="U20" s="121"/>
    </row>
    <row r="21" spans="1:21" s="9" customFormat="1" ht="26" x14ac:dyDescent="0.2">
      <c r="A21" s="28">
        <v>10</v>
      </c>
      <c r="B21" s="28"/>
      <c r="C21" s="28"/>
      <c r="D21" s="28" t="s">
        <v>77</v>
      </c>
      <c r="E21" s="26" t="s">
        <v>78</v>
      </c>
      <c r="F21" s="26"/>
      <c r="G21" s="40" t="s">
        <v>201</v>
      </c>
      <c r="H21" s="40" t="s">
        <v>79</v>
      </c>
      <c r="I21" s="28" t="s">
        <v>52</v>
      </c>
      <c r="J21" s="28"/>
      <c r="K21" s="28"/>
      <c r="L21" s="28"/>
      <c r="M21" s="28"/>
      <c r="N21" s="28"/>
      <c r="O21" s="28"/>
      <c r="P21" s="28"/>
      <c r="Q21" s="28"/>
      <c r="R21" s="118"/>
      <c r="S21" s="119"/>
      <c r="T21" s="120"/>
      <c r="U21" s="121"/>
    </row>
    <row r="22" spans="1:21" s="9" customFormat="1" x14ac:dyDescent="0.2">
      <c r="A22" s="28">
        <v>10</v>
      </c>
      <c r="B22" s="28"/>
      <c r="C22" s="28"/>
      <c r="D22" s="28" t="s">
        <v>80</v>
      </c>
      <c r="E22" s="26" t="s">
        <v>81</v>
      </c>
      <c r="F22" s="26"/>
      <c r="G22" s="40" t="s">
        <v>202</v>
      </c>
      <c r="H22" s="40" t="s">
        <v>82</v>
      </c>
      <c r="I22" s="28" t="s">
        <v>52</v>
      </c>
      <c r="J22" s="28"/>
      <c r="K22" s="28"/>
      <c r="L22" s="28"/>
      <c r="M22" s="28"/>
      <c r="N22" s="28"/>
      <c r="O22" s="28"/>
      <c r="P22" s="28"/>
      <c r="Q22" s="28"/>
      <c r="R22" s="118"/>
      <c r="S22" s="119"/>
      <c r="T22" s="120"/>
      <c r="U22" s="121"/>
    </row>
    <row r="23" spans="1:21" s="9" customFormat="1" x14ac:dyDescent="0.2">
      <c r="A23" s="28">
        <v>10</v>
      </c>
      <c r="B23" s="28"/>
      <c r="C23" s="28"/>
      <c r="D23" s="28" t="s">
        <v>83</v>
      </c>
      <c r="E23" s="26" t="s">
        <v>84</v>
      </c>
      <c r="F23" s="26"/>
      <c r="G23" s="40" t="s">
        <v>203</v>
      </c>
      <c r="H23" s="40" t="s">
        <v>85</v>
      </c>
      <c r="I23" s="28" t="s">
        <v>52</v>
      </c>
      <c r="J23" s="28"/>
      <c r="K23" s="28"/>
      <c r="L23" s="28"/>
      <c r="M23" s="28"/>
      <c r="N23" s="28"/>
      <c r="O23" s="28"/>
      <c r="P23" s="28"/>
      <c r="Q23" s="28"/>
      <c r="R23" s="118"/>
      <c r="S23" s="119"/>
      <c r="T23" s="120"/>
      <c r="U23" s="121"/>
    </row>
    <row r="24" spans="1:21" s="9" customFormat="1" x14ac:dyDescent="0.2">
      <c r="A24" s="28">
        <v>10</v>
      </c>
      <c r="B24" s="28"/>
      <c r="C24" s="28"/>
      <c r="D24" s="28" t="s">
        <v>86</v>
      </c>
      <c r="E24" s="26" t="s">
        <v>87</v>
      </c>
      <c r="F24" s="26"/>
      <c r="G24" s="40" t="s">
        <v>204</v>
      </c>
      <c r="H24" s="40" t="s">
        <v>88</v>
      </c>
      <c r="I24" s="28" t="s">
        <v>52</v>
      </c>
      <c r="J24" s="28"/>
      <c r="K24" s="28"/>
      <c r="L24" s="28"/>
      <c r="M24" s="28"/>
      <c r="N24" s="28"/>
      <c r="O24" s="28"/>
      <c r="P24" s="28"/>
      <c r="Q24" s="28"/>
      <c r="R24" s="118"/>
      <c r="S24" s="119"/>
      <c r="T24" s="120"/>
      <c r="U24" s="121"/>
    </row>
    <row r="25" spans="1:21" s="9" customFormat="1" x14ac:dyDescent="0.2">
      <c r="A25" s="28">
        <v>10</v>
      </c>
      <c r="B25" s="28"/>
      <c r="C25" s="28"/>
      <c r="D25" s="28" t="s">
        <v>89</v>
      </c>
      <c r="E25" s="26" t="s">
        <v>90</v>
      </c>
      <c r="F25" s="26"/>
      <c r="G25" s="40" t="s">
        <v>205</v>
      </c>
      <c r="H25" s="40" t="s">
        <v>91</v>
      </c>
      <c r="I25" s="28" t="s">
        <v>52</v>
      </c>
      <c r="J25" s="28"/>
      <c r="K25" s="28"/>
      <c r="L25" s="28"/>
      <c r="M25" s="28"/>
      <c r="N25" s="28"/>
      <c r="O25" s="28"/>
      <c r="P25" s="28"/>
      <c r="Q25" s="28"/>
      <c r="R25" s="118"/>
      <c r="S25" s="119"/>
      <c r="T25" s="120"/>
      <c r="U25" s="121"/>
    </row>
    <row r="26" spans="1:21" s="9" customFormat="1" x14ac:dyDescent="0.2">
      <c r="A26" s="28">
        <v>10</v>
      </c>
      <c r="B26" s="28"/>
      <c r="C26" s="28"/>
      <c r="D26" s="28" t="s">
        <v>92</v>
      </c>
      <c r="E26" s="26" t="s">
        <v>93</v>
      </c>
      <c r="F26" s="26"/>
      <c r="G26" s="40" t="s">
        <v>206</v>
      </c>
      <c r="H26" s="40" t="s">
        <v>94</v>
      </c>
      <c r="I26" s="28" t="s">
        <v>52</v>
      </c>
      <c r="J26" s="28"/>
      <c r="K26" s="28"/>
      <c r="L26" s="28"/>
      <c r="M26" s="28"/>
      <c r="N26" s="28"/>
      <c r="O26" s="28"/>
      <c r="P26" s="28"/>
      <c r="Q26" s="28"/>
      <c r="R26" s="118"/>
      <c r="S26" s="119"/>
      <c r="T26" s="120"/>
      <c r="U26" s="121"/>
    </row>
    <row r="27" spans="1:21" s="9" customFormat="1" x14ac:dyDescent="0.2">
      <c r="A27" s="28">
        <v>10</v>
      </c>
      <c r="B27" s="28"/>
      <c r="C27" s="28"/>
      <c r="D27" s="28" t="s">
        <v>95</v>
      </c>
      <c r="E27" s="26" t="s">
        <v>93</v>
      </c>
      <c r="F27" s="26"/>
      <c r="G27" s="40" t="s">
        <v>207</v>
      </c>
      <c r="H27" s="40" t="s">
        <v>96</v>
      </c>
      <c r="I27" s="28" t="s">
        <v>52</v>
      </c>
      <c r="J27" s="28"/>
      <c r="K27" s="28"/>
      <c r="L27" s="28"/>
      <c r="M27" s="28"/>
      <c r="N27" s="28"/>
      <c r="O27" s="28"/>
      <c r="P27" s="28"/>
      <c r="Q27" s="28"/>
      <c r="R27" s="118"/>
      <c r="S27" s="119"/>
      <c r="T27" s="120"/>
      <c r="U27" s="121"/>
    </row>
    <row r="28" spans="1:21" s="9" customFormat="1" x14ac:dyDescent="0.2">
      <c r="A28" s="28">
        <v>10</v>
      </c>
      <c r="B28" s="28"/>
      <c r="C28" s="28"/>
      <c r="D28" s="28" t="s">
        <v>97</v>
      </c>
      <c r="E28" s="26" t="s">
        <v>93</v>
      </c>
      <c r="F28" s="26"/>
      <c r="G28" s="40" t="s">
        <v>208</v>
      </c>
      <c r="H28" s="40" t="s">
        <v>98</v>
      </c>
      <c r="I28" s="28" t="s">
        <v>52</v>
      </c>
      <c r="J28" s="28"/>
      <c r="K28" s="28"/>
      <c r="L28" s="28"/>
      <c r="M28" s="28"/>
      <c r="N28" s="28"/>
      <c r="O28" s="28"/>
      <c r="P28" s="28"/>
      <c r="Q28" s="28"/>
      <c r="R28" s="118"/>
      <c r="S28" s="119"/>
      <c r="T28" s="120"/>
      <c r="U28" s="121"/>
    </row>
    <row r="29" spans="1:21" s="9" customFormat="1" x14ac:dyDescent="0.2">
      <c r="A29" s="28">
        <v>10</v>
      </c>
      <c r="B29" s="28"/>
      <c r="C29" s="28"/>
      <c r="D29" s="28" t="s">
        <v>99</v>
      </c>
      <c r="E29" s="26" t="s">
        <v>93</v>
      </c>
      <c r="F29" s="26"/>
      <c r="G29" s="40" t="s">
        <v>209</v>
      </c>
      <c r="H29" s="40" t="s">
        <v>100</v>
      </c>
      <c r="I29" s="28" t="s">
        <v>52</v>
      </c>
      <c r="J29" s="28"/>
      <c r="K29" s="28"/>
      <c r="L29" s="28"/>
      <c r="M29" s="28"/>
      <c r="N29" s="28"/>
      <c r="O29" s="28"/>
      <c r="P29" s="28"/>
      <c r="Q29" s="28"/>
      <c r="R29" s="118"/>
      <c r="S29" s="119"/>
      <c r="T29" s="120"/>
      <c r="U29" s="121"/>
    </row>
    <row r="30" spans="1:21" s="9" customFormat="1" x14ac:dyDescent="0.2">
      <c r="A30" s="28">
        <v>10</v>
      </c>
      <c r="B30" s="28"/>
      <c r="C30" s="28"/>
      <c r="D30" s="28" t="s">
        <v>101</v>
      </c>
      <c r="E30" s="26" t="s">
        <v>93</v>
      </c>
      <c r="F30" s="26"/>
      <c r="G30" s="40" t="s">
        <v>210</v>
      </c>
      <c r="H30" s="40" t="s">
        <v>102</v>
      </c>
      <c r="I30" s="28" t="s">
        <v>52</v>
      </c>
      <c r="J30" s="28"/>
      <c r="K30" s="28"/>
      <c r="L30" s="28"/>
      <c r="M30" s="28"/>
      <c r="N30" s="28"/>
      <c r="O30" s="28"/>
      <c r="P30" s="28"/>
      <c r="Q30" s="28"/>
      <c r="R30" s="118"/>
      <c r="S30" s="119"/>
      <c r="T30" s="120"/>
      <c r="U30" s="121"/>
    </row>
    <row r="31" spans="1:21" s="9" customFormat="1" x14ac:dyDescent="0.2">
      <c r="A31" s="28">
        <v>10</v>
      </c>
      <c r="B31" s="28"/>
      <c r="C31" s="28"/>
      <c r="D31" s="28" t="s">
        <v>103</v>
      </c>
      <c r="E31" s="26" t="s">
        <v>93</v>
      </c>
      <c r="F31" s="26"/>
      <c r="G31" s="40" t="s">
        <v>211</v>
      </c>
      <c r="H31" s="40" t="s">
        <v>104</v>
      </c>
      <c r="I31" s="28" t="s">
        <v>52</v>
      </c>
      <c r="J31" s="28"/>
      <c r="K31" s="28"/>
      <c r="L31" s="28"/>
      <c r="M31" s="28"/>
      <c r="N31" s="28"/>
      <c r="O31" s="28"/>
      <c r="P31" s="28"/>
      <c r="Q31" s="28"/>
      <c r="R31" s="118"/>
      <c r="S31" s="119"/>
      <c r="T31" s="120"/>
      <c r="U31" s="121"/>
    </row>
    <row r="32" spans="1:21" s="9" customFormat="1" ht="39" x14ac:dyDescent="0.2">
      <c r="A32" s="55"/>
      <c r="L32" s="9" t="s">
        <v>188</v>
      </c>
      <c r="M32" s="9" t="s">
        <v>189</v>
      </c>
      <c r="N32" s="9" t="s">
        <v>188</v>
      </c>
      <c r="O32" s="9" t="s">
        <v>189</v>
      </c>
      <c r="P32" s="9" t="s">
        <v>188</v>
      </c>
      <c r="Q32" s="9" t="s">
        <v>189</v>
      </c>
      <c r="U32" s="41"/>
    </row>
    <row r="33" spans="1:21" s="9" customFormat="1" x14ac:dyDescent="0.2">
      <c r="A33" s="28">
        <v>20</v>
      </c>
      <c r="B33" s="29" t="s">
        <v>46</v>
      </c>
      <c r="C33" s="30"/>
      <c r="D33" s="42" t="s">
        <v>105</v>
      </c>
      <c r="E33" s="27" t="s">
        <v>106</v>
      </c>
      <c r="F33" s="43"/>
      <c r="G33" s="23"/>
      <c r="H33" s="38"/>
      <c r="I33" s="14"/>
      <c r="J33" s="14"/>
      <c r="K33" s="14"/>
      <c r="L33" s="27"/>
      <c r="M33" s="27"/>
      <c r="N33" s="27"/>
      <c r="O33" s="27"/>
      <c r="P33" s="27"/>
      <c r="Q33" s="27"/>
      <c r="R33" s="51"/>
      <c r="S33" s="52"/>
      <c r="T33" s="120"/>
      <c r="U33" s="121"/>
    </row>
    <row r="34" spans="1:21" s="9" customFormat="1" x14ac:dyDescent="0.2">
      <c r="A34" s="28">
        <v>20</v>
      </c>
      <c r="B34" s="28"/>
      <c r="C34" s="28"/>
      <c r="D34" s="28" t="s">
        <v>107</v>
      </c>
      <c r="E34" s="26" t="s">
        <v>108</v>
      </c>
      <c r="F34" s="26"/>
      <c r="G34" s="40" t="s">
        <v>212</v>
      </c>
      <c r="H34" s="40" t="s">
        <v>109</v>
      </c>
      <c r="I34" s="28"/>
      <c r="J34" s="28" t="s">
        <v>110</v>
      </c>
      <c r="K34" s="28"/>
      <c r="L34" s="28"/>
      <c r="M34" s="28"/>
      <c r="N34" s="28"/>
      <c r="O34" s="28"/>
      <c r="P34" s="28"/>
      <c r="Q34" s="28"/>
      <c r="R34" s="118"/>
      <c r="S34" s="119"/>
      <c r="T34" s="120"/>
      <c r="U34" s="121"/>
    </row>
    <row r="35" spans="1:21" s="9" customFormat="1" x14ac:dyDescent="0.2">
      <c r="A35" s="28">
        <v>20</v>
      </c>
      <c r="B35" s="28"/>
      <c r="C35" s="28"/>
      <c r="D35" s="28" t="s">
        <v>111</v>
      </c>
      <c r="E35" s="26" t="s">
        <v>112</v>
      </c>
      <c r="F35" s="26"/>
      <c r="G35" s="40" t="s">
        <v>192</v>
      </c>
      <c r="H35" s="40" t="s">
        <v>51</v>
      </c>
      <c r="I35" s="28"/>
      <c r="J35" s="28" t="s">
        <v>52</v>
      </c>
      <c r="K35" s="28"/>
      <c r="L35" s="28"/>
      <c r="M35" s="28"/>
      <c r="N35" s="28"/>
      <c r="O35" s="28"/>
      <c r="P35" s="28"/>
      <c r="Q35" s="28"/>
      <c r="R35" s="118"/>
      <c r="S35" s="119"/>
      <c r="T35" s="120"/>
      <c r="U35" s="121"/>
    </row>
    <row r="36" spans="1:21" s="9" customFormat="1" x14ac:dyDescent="0.2">
      <c r="A36" s="28">
        <v>20</v>
      </c>
      <c r="B36" s="28"/>
      <c r="C36" s="28"/>
      <c r="D36" s="28" t="s">
        <v>113</v>
      </c>
      <c r="E36" s="26" t="s">
        <v>114</v>
      </c>
      <c r="F36" s="26"/>
      <c r="G36" s="40" t="s">
        <v>213</v>
      </c>
      <c r="H36" s="40" t="s">
        <v>115</v>
      </c>
      <c r="I36" s="28"/>
      <c r="J36" s="28" t="s">
        <v>52</v>
      </c>
      <c r="K36" s="28"/>
      <c r="L36" s="28"/>
      <c r="M36" s="28"/>
      <c r="N36" s="28"/>
      <c r="O36" s="28"/>
      <c r="P36" s="28"/>
      <c r="Q36" s="28"/>
      <c r="R36" s="118"/>
      <c r="S36" s="119"/>
      <c r="T36" s="120"/>
      <c r="U36" s="121"/>
    </row>
    <row r="37" spans="1:21" s="9" customFormat="1" x14ac:dyDescent="0.2">
      <c r="A37" s="28">
        <v>20</v>
      </c>
      <c r="B37" s="28"/>
      <c r="C37" s="28"/>
      <c r="D37" s="28" t="s">
        <v>116</v>
      </c>
      <c r="E37" s="26" t="s">
        <v>59</v>
      </c>
      <c r="F37" s="26"/>
      <c r="G37" s="40" t="s">
        <v>195</v>
      </c>
      <c r="H37" s="40" t="s">
        <v>117</v>
      </c>
      <c r="I37" s="28"/>
      <c r="J37" s="28" t="s">
        <v>52</v>
      </c>
      <c r="K37" s="28"/>
      <c r="L37" s="28"/>
      <c r="M37" s="28"/>
      <c r="N37" s="28"/>
      <c r="O37" s="28"/>
      <c r="P37" s="28"/>
      <c r="Q37" s="28"/>
      <c r="R37" s="118"/>
      <c r="S37" s="119"/>
      <c r="T37" s="120"/>
      <c r="U37" s="121"/>
    </row>
    <row r="38" spans="1:21" s="9" customFormat="1" x14ac:dyDescent="0.2">
      <c r="A38" s="28">
        <v>20</v>
      </c>
      <c r="B38" s="28"/>
      <c r="C38" s="28"/>
      <c r="D38" s="28" t="s">
        <v>119</v>
      </c>
      <c r="E38" s="26" t="s">
        <v>120</v>
      </c>
      <c r="F38" s="26"/>
      <c r="G38" s="40" t="s">
        <v>196</v>
      </c>
      <c r="H38" s="40" t="s">
        <v>63</v>
      </c>
      <c r="I38" s="28"/>
      <c r="J38" s="28" t="s">
        <v>52</v>
      </c>
      <c r="K38" s="28"/>
      <c r="L38" s="28"/>
      <c r="M38" s="28"/>
      <c r="N38" s="28"/>
      <c r="O38" s="28"/>
      <c r="P38" s="28"/>
      <c r="Q38" s="28"/>
      <c r="R38" s="118"/>
      <c r="S38" s="119"/>
      <c r="T38" s="120"/>
      <c r="U38" s="121"/>
    </row>
    <row r="39" spans="1:21" s="9" customFormat="1" x14ac:dyDescent="0.2">
      <c r="A39" s="28">
        <v>20</v>
      </c>
      <c r="B39" s="28"/>
      <c r="C39" s="28"/>
      <c r="D39" s="28" t="s">
        <v>121</v>
      </c>
      <c r="E39" s="26" t="s">
        <v>69</v>
      </c>
      <c r="F39" s="26"/>
      <c r="G39" s="40" t="s">
        <v>198</v>
      </c>
      <c r="H39" s="40" t="s">
        <v>70</v>
      </c>
      <c r="I39" s="28"/>
      <c r="J39" s="28" t="s">
        <v>52</v>
      </c>
      <c r="K39" s="28"/>
      <c r="L39" s="28"/>
      <c r="M39" s="28"/>
      <c r="N39" s="28"/>
      <c r="O39" s="28"/>
      <c r="P39" s="28"/>
      <c r="Q39" s="28"/>
      <c r="R39" s="118"/>
      <c r="S39" s="119"/>
      <c r="T39" s="120"/>
      <c r="U39" s="121"/>
    </row>
    <row r="40" spans="1:21" s="9" customFormat="1" x14ac:dyDescent="0.2">
      <c r="A40" s="28">
        <v>20</v>
      </c>
      <c r="B40" s="28"/>
      <c r="C40" s="28"/>
      <c r="D40" s="28" t="s">
        <v>71</v>
      </c>
      <c r="E40" s="26" t="s">
        <v>72</v>
      </c>
      <c r="F40" s="26"/>
      <c r="G40" s="40" t="s">
        <v>199</v>
      </c>
      <c r="H40" s="40" t="s">
        <v>73</v>
      </c>
      <c r="I40" s="28"/>
      <c r="J40" s="28" t="s">
        <v>52</v>
      </c>
      <c r="K40" s="28"/>
      <c r="L40" s="28"/>
      <c r="M40" s="28"/>
      <c r="N40" s="28"/>
      <c r="O40" s="28"/>
      <c r="P40" s="28"/>
      <c r="Q40" s="28"/>
      <c r="R40" s="118"/>
      <c r="S40" s="119"/>
      <c r="T40" s="120"/>
      <c r="U40" s="121"/>
    </row>
    <row r="41" spans="1:21" s="9" customFormat="1" ht="26" x14ac:dyDescent="0.2">
      <c r="A41" s="28">
        <v>20</v>
      </c>
      <c r="B41" s="28"/>
      <c r="C41" s="28"/>
      <c r="D41" s="28" t="s">
        <v>74</v>
      </c>
      <c r="E41" s="26" t="s">
        <v>75</v>
      </c>
      <c r="F41" s="26"/>
      <c r="G41" s="40" t="s">
        <v>200</v>
      </c>
      <c r="H41" s="40" t="s">
        <v>76</v>
      </c>
      <c r="I41" s="28"/>
      <c r="J41" s="28" t="s">
        <v>52</v>
      </c>
      <c r="K41" s="28"/>
      <c r="L41" s="28"/>
      <c r="M41" s="28"/>
      <c r="N41" s="28"/>
      <c r="O41" s="28"/>
      <c r="P41" s="28"/>
      <c r="Q41" s="28"/>
      <c r="R41" s="118"/>
      <c r="S41" s="119"/>
      <c r="T41" s="120"/>
      <c r="U41" s="121"/>
    </row>
    <row r="42" spans="1:21" s="9" customFormat="1" ht="26" x14ac:dyDescent="0.2">
      <c r="A42" s="28">
        <v>20</v>
      </c>
      <c r="B42" s="28"/>
      <c r="C42" s="28"/>
      <c r="D42" s="28" t="s">
        <v>77</v>
      </c>
      <c r="E42" s="26" t="s">
        <v>78</v>
      </c>
      <c r="F42" s="26"/>
      <c r="G42" s="40" t="s">
        <v>201</v>
      </c>
      <c r="H42" s="40" t="s">
        <v>79</v>
      </c>
      <c r="I42" s="28"/>
      <c r="J42" s="28" t="s">
        <v>52</v>
      </c>
      <c r="K42" s="28"/>
      <c r="L42" s="28"/>
      <c r="M42" s="28"/>
      <c r="N42" s="28"/>
      <c r="O42" s="28"/>
      <c r="P42" s="28"/>
      <c r="Q42" s="28"/>
      <c r="R42" s="118"/>
      <c r="S42" s="119"/>
      <c r="T42" s="120"/>
      <c r="U42" s="121"/>
    </row>
    <row r="43" spans="1:21" s="9" customFormat="1" x14ac:dyDescent="0.2">
      <c r="A43" s="28">
        <v>20</v>
      </c>
      <c r="B43" s="28"/>
      <c r="C43" s="28"/>
      <c r="D43" s="28" t="s">
        <v>80</v>
      </c>
      <c r="E43" s="26" t="s">
        <v>81</v>
      </c>
      <c r="F43" s="26"/>
      <c r="G43" s="40" t="s">
        <v>202</v>
      </c>
      <c r="H43" s="40" t="s">
        <v>122</v>
      </c>
      <c r="I43" s="28"/>
      <c r="J43" s="28" t="s">
        <v>52</v>
      </c>
      <c r="K43" s="28"/>
      <c r="L43" s="28"/>
      <c r="M43" s="28"/>
      <c r="N43" s="28"/>
      <c r="O43" s="28"/>
      <c r="P43" s="28"/>
      <c r="Q43" s="28"/>
      <c r="R43" s="118"/>
      <c r="S43" s="119"/>
      <c r="T43" s="120"/>
      <c r="U43" s="121"/>
    </row>
    <row r="44" spans="1:21" s="9" customFormat="1" x14ac:dyDescent="0.2">
      <c r="A44" s="28">
        <v>20</v>
      </c>
      <c r="B44" s="28"/>
      <c r="C44" s="28"/>
      <c r="D44" s="28" t="s">
        <v>83</v>
      </c>
      <c r="E44" s="26" t="s">
        <v>84</v>
      </c>
      <c r="F44" s="26"/>
      <c r="G44" s="40" t="s">
        <v>203</v>
      </c>
      <c r="H44" s="40" t="s">
        <v>124</v>
      </c>
      <c r="I44" s="28"/>
      <c r="J44" s="28" t="s">
        <v>52</v>
      </c>
      <c r="K44" s="28"/>
      <c r="L44" s="28"/>
      <c r="M44" s="28"/>
      <c r="N44" s="28"/>
      <c r="O44" s="28"/>
      <c r="P44" s="28"/>
      <c r="Q44" s="28"/>
      <c r="R44" s="118"/>
      <c r="S44" s="119"/>
      <c r="T44" s="120"/>
      <c r="U44" s="121"/>
    </row>
    <row r="45" spans="1:21" s="9" customFormat="1" x14ac:dyDescent="0.2">
      <c r="A45" s="28">
        <v>20</v>
      </c>
      <c r="B45" s="28"/>
      <c r="C45" s="28"/>
      <c r="D45" s="28" t="s">
        <v>86</v>
      </c>
      <c r="E45" s="26" t="s">
        <v>87</v>
      </c>
      <c r="F45" s="26"/>
      <c r="G45" s="40" t="s">
        <v>204</v>
      </c>
      <c r="H45" s="40" t="s">
        <v>88</v>
      </c>
      <c r="I45" s="28"/>
      <c r="J45" s="28" t="s">
        <v>52</v>
      </c>
      <c r="K45" s="28"/>
      <c r="L45" s="28"/>
      <c r="M45" s="28"/>
      <c r="N45" s="28"/>
      <c r="O45" s="28"/>
      <c r="P45" s="28"/>
      <c r="Q45" s="28"/>
      <c r="R45" s="118"/>
      <c r="S45" s="119"/>
      <c r="T45" s="120"/>
      <c r="U45" s="121"/>
    </row>
    <row r="46" spans="1:21" s="9" customFormat="1" x14ac:dyDescent="0.2">
      <c r="A46" s="28">
        <v>20</v>
      </c>
      <c r="B46" s="28"/>
      <c r="C46" s="28"/>
      <c r="D46" s="28" t="s">
        <v>89</v>
      </c>
      <c r="E46" s="26" t="s">
        <v>90</v>
      </c>
      <c r="F46" s="26"/>
      <c r="G46" s="40" t="s">
        <v>205</v>
      </c>
      <c r="H46" s="40" t="s">
        <v>91</v>
      </c>
      <c r="I46" s="28"/>
      <c r="J46" s="28" t="s">
        <v>52</v>
      </c>
      <c r="K46" s="28"/>
      <c r="L46" s="28"/>
      <c r="M46" s="28"/>
      <c r="N46" s="28"/>
      <c r="O46" s="28"/>
      <c r="P46" s="28"/>
      <c r="Q46" s="28"/>
      <c r="R46" s="118"/>
      <c r="S46" s="119"/>
      <c r="T46" s="120"/>
      <c r="U46" s="121"/>
    </row>
    <row r="47" spans="1:21" s="9" customFormat="1" x14ac:dyDescent="0.2">
      <c r="A47" s="28">
        <v>20</v>
      </c>
      <c r="B47" s="28"/>
      <c r="C47" s="28"/>
      <c r="D47" s="28" t="s">
        <v>125</v>
      </c>
      <c r="E47" s="26" t="s">
        <v>54</v>
      </c>
      <c r="F47" s="26"/>
      <c r="G47" s="40" t="s">
        <v>214</v>
      </c>
      <c r="H47" s="40" t="s">
        <v>126</v>
      </c>
      <c r="I47" s="28"/>
      <c r="J47" s="28" t="s">
        <v>52</v>
      </c>
      <c r="K47" s="28"/>
      <c r="L47" s="28"/>
      <c r="M47" s="28"/>
      <c r="N47" s="28"/>
      <c r="O47" s="28"/>
      <c r="P47" s="28"/>
      <c r="Q47" s="28"/>
      <c r="R47" s="118"/>
      <c r="S47" s="119"/>
      <c r="T47" s="120"/>
      <c r="U47" s="121"/>
    </row>
    <row r="48" spans="1:21" s="9" customFormat="1" x14ac:dyDescent="0.2">
      <c r="A48" s="28">
        <v>20</v>
      </c>
      <c r="B48" s="28"/>
      <c r="C48" s="28"/>
      <c r="D48" s="28" t="s">
        <v>127</v>
      </c>
      <c r="E48" s="26" t="s">
        <v>128</v>
      </c>
      <c r="F48" s="26"/>
      <c r="G48" s="40" t="s">
        <v>215</v>
      </c>
      <c r="H48" s="40" t="s">
        <v>129</v>
      </c>
      <c r="I48" s="28"/>
      <c r="J48" s="28" t="s">
        <v>52</v>
      </c>
      <c r="K48" s="28"/>
      <c r="L48" s="28"/>
      <c r="M48" s="28"/>
      <c r="N48" s="28"/>
      <c r="O48" s="28"/>
      <c r="P48" s="28"/>
      <c r="Q48" s="28"/>
      <c r="R48" s="118"/>
      <c r="S48" s="119"/>
      <c r="T48" s="120"/>
      <c r="U48" s="121"/>
    </row>
    <row r="49" spans="1:21" s="9" customFormat="1" x14ac:dyDescent="0.2">
      <c r="A49" s="28">
        <v>20</v>
      </c>
      <c r="B49" s="28"/>
      <c r="C49" s="28"/>
      <c r="D49" s="28" t="s">
        <v>130</v>
      </c>
      <c r="E49" s="26" t="s">
        <v>131</v>
      </c>
      <c r="F49" s="26"/>
      <c r="G49" s="40" t="s">
        <v>216</v>
      </c>
      <c r="H49" s="40" t="s">
        <v>132</v>
      </c>
      <c r="I49" s="28"/>
      <c r="J49" s="28" t="s">
        <v>52</v>
      </c>
      <c r="K49" s="28"/>
      <c r="L49" s="28"/>
      <c r="M49" s="28"/>
      <c r="N49" s="28"/>
      <c r="O49" s="28"/>
      <c r="P49" s="28"/>
      <c r="Q49" s="28"/>
      <c r="R49" s="118"/>
      <c r="S49" s="119"/>
      <c r="T49" s="120"/>
      <c r="U49" s="121"/>
    </row>
    <row r="50" spans="1:21" s="9" customFormat="1" x14ac:dyDescent="0.2">
      <c r="A50" s="28">
        <v>20</v>
      </c>
      <c r="B50" s="28"/>
      <c r="C50" s="28"/>
      <c r="D50" s="28" t="s">
        <v>133</v>
      </c>
      <c r="E50" s="26" t="s">
        <v>128</v>
      </c>
      <c r="F50" s="26"/>
      <c r="G50" s="40" t="s">
        <v>217</v>
      </c>
      <c r="H50" s="40" t="s">
        <v>134</v>
      </c>
      <c r="I50" s="28"/>
      <c r="J50" s="28" t="s">
        <v>52</v>
      </c>
      <c r="K50" s="28"/>
      <c r="L50" s="28"/>
      <c r="M50" s="28"/>
      <c r="N50" s="28"/>
      <c r="O50" s="28"/>
      <c r="P50" s="28"/>
      <c r="Q50" s="28"/>
      <c r="R50" s="118"/>
      <c r="S50" s="119"/>
      <c r="T50" s="120"/>
      <c r="U50" s="121"/>
    </row>
    <row r="51" spans="1:21" s="9" customFormat="1" x14ac:dyDescent="0.2">
      <c r="A51" s="28">
        <v>20</v>
      </c>
      <c r="B51" s="28"/>
      <c r="C51" s="28"/>
      <c r="D51" s="28" t="s">
        <v>135</v>
      </c>
      <c r="E51" s="26" t="s">
        <v>136</v>
      </c>
      <c r="F51" s="26"/>
      <c r="G51" s="40" t="s">
        <v>218</v>
      </c>
      <c r="H51" s="40" t="s">
        <v>137</v>
      </c>
      <c r="I51" s="28"/>
      <c r="J51" s="28" t="s">
        <v>52</v>
      </c>
      <c r="K51" s="28"/>
      <c r="L51" s="28"/>
      <c r="M51" s="28"/>
      <c r="N51" s="28"/>
      <c r="O51" s="28"/>
      <c r="P51" s="28"/>
      <c r="Q51" s="28"/>
      <c r="R51" s="51"/>
      <c r="S51" s="52"/>
      <c r="T51" s="49"/>
      <c r="U51" s="50"/>
    </row>
    <row r="52" spans="1:21" s="9" customFormat="1" x14ac:dyDescent="0.2">
      <c r="A52" s="28">
        <v>20</v>
      </c>
      <c r="B52" s="28"/>
      <c r="C52" s="28"/>
      <c r="D52" s="28" t="s">
        <v>138</v>
      </c>
      <c r="E52" s="26" t="s">
        <v>139</v>
      </c>
      <c r="F52" s="26"/>
      <c r="G52" s="40" t="s">
        <v>219</v>
      </c>
      <c r="H52" s="40" t="s">
        <v>140</v>
      </c>
      <c r="I52" s="28"/>
      <c r="J52" s="28" t="s">
        <v>52</v>
      </c>
      <c r="K52" s="28"/>
      <c r="L52" s="28"/>
      <c r="M52" s="28"/>
      <c r="N52" s="28"/>
      <c r="O52" s="28"/>
      <c r="P52" s="28"/>
      <c r="Q52" s="28"/>
      <c r="R52" s="118"/>
      <c r="S52" s="119"/>
      <c r="T52" s="120"/>
      <c r="U52" s="121"/>
    </row>
    <row r="53" spans="1:21" s="9" customFormat="1" x14ac:dyDescent="0.2">
      <c r="A53" s="21"/>
      <c r="B53" s="22"/>
      <c r="C53" s="22"/>
      <c r="D53" s="15" t="s">
        <v>16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7"/>
    </row>
    <row r="54" spans="1:21" s="9" customFormat="1" x14ac:dyDescent="0.2">
      <c r="A54" s="55"/>
      <c r="U54" s="41"/>
    </row>
    <row r="55" spans="1:21" s="9" customFormat="1" x14ac:dyDescent="0.2">
      <c r="A55" s="55"/>
      <c r="U55" s="41"/>
    </row>
    <row r="56" spans="1:21" s="9" customFormat="1" x14ac:dyDescent="0.2">
      <c r="A56" s="55"/>
      <c r="U56" s="41"/>
    </row>
    <row r="57" spans="1:21" s="9" customFormat="1" x14ac:dyDescent="0.2">
      <c r="A57" s="55"/>
      <c r="U57" s="41"/>
    </row>
    <row r="58" spans="1:21" s="9" customFormat="1" x14ac:dyDescent="0.2">
      <c r="A58" s="55"/>
      <c r="U58" s="41"/>
    </row>
    <row r="59" spans="1:21" s="9" customFormat="1" x14ac:dyDescent="0.2">
      <c r="A59" s="55"/>
      <c r="U59" s="41"/>
    </row>
    <row r="60" spans="1:21" s="9" customFormat="1" x14ac:dyDescent="0.2">
      <c r="A60" s="55"/>
      <c r="U60" s="41"/>
    </row>
    <row r="61" spans="1:21" s="9" customFormat="1" x14ac:dyDescent="0.2">
      <c r="A61" s="55"/>
      <c r="U61" s="41"/>
    </row>
    <row r="62" spans="1:21" s="9" customFormat="1" x14ac:dyDescent="0.2">
      <c r="A62" s="55"/>
      <c r="U62" s="41"/>
    </row>
    <row r="63" spans="1:21" s="9" customFormat="1" x14ac:dyDescent="0.2">
      <c r="A63" s="55"/>
      <c r="U63" s="41"/>
    </row>
    <row r="64" spans="1:21" s="9" customFormat="1" x14ac:dyDescent="0.2">
      <c r="A64" s="55"/>
      <c r="U64" s="41"/>
    </row>
    <row r="65" spans="1:21" s="9" customFormat="1" x14ac:dyDescent="0.2">
      <c r="A65" s="55"/>
      <c r="U65" s="41"/>
    </row>
    <row r="66" spans="1:21" s="9" customFormat="1" x14ac:dyDescent="0.2">
      <c r="A66" s="55"/>
      <c r="U66" s="41"/>
    </row>
    <row r="67" spans="1:21" s="9" customFormat="1" x14ac:dyDescent="0.2">
      <c r="A67" s="62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44"/>
    </row>
  </sheetData>
  <mergeCells count="81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35:S35"/>
    <mergeCell ref="T35:U35"/>
    <mergeCell ref="R28:S28"/>
    <mergeCell ref="T28:U28"/>
    <mergeCell ref="R29:S29"/>
    <mergeCell ref="T29:U29"/>
    <mergeCell ref="R30:S30"/>
    <mergeCell ref="T30:U30"/>
    <mergeCell ref="R31:S31"/>
    <mergeCell ref="T31:U31"/>
    <mergeCell ref="T33:U33"/>
    <mergeCell ref="R34:S34"/>
    <mergeCell ref="T34:U34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R41:S41"/>
    <mergeCell ref="T41:U41"/>
    <mergeCell ref="R42:S42"/>
    <mergeCell ref="T42:U42"/>
    <mergeCell ref="R43:S43"/>
    <mergeCell ref="T43:U43"/>
    <mergeCell ref="R44:S44"/>
    <mergeCell ref="T44:U44"/>
    <mergeCell ref="R45:S45"/>
    <mergeCell ref="T45:U45"/>
    <mergeCell ref="R46:S46"/>
    <mergeCell ref="T46:U46"/>
    <mergeCell ref="R47:S47"/>
    <mergeCell ref="T47:U47"/>
    <mergeCell ref="R52:S52"/>
    <mergeCell ref="T52:U52"/>
    <mergeCell ref="R48:S48"/>
    <mergeCell ref="T48:U48"/>
    <mergeCell ref="R49:S49"/>
    <mergeCell ref="T49:U49"/>
    <mergeCell ref="R50:S50"/>
    <mergeCell ref="T50:U50"/>
  </mergeCells>
  <phoneticPr fontId="3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6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1.6328125" style="4" customWidth="1"/>
    <col min="14" max="14" width="50.81640625" style="4" customWidth="1"/>
    <col min="15" max="15" width="18.81640625" style="4" customWidth="1"/>
    <col min="16" max="16" width="4.453125" style="4" bestFit="1" customWidth="1"/>
    <col min="17" max="17" width="6.453125" style="4" customWidth="1"/>
    <col min="18" max="18" width="7.1796875" style="4" customWidth="1"/>
    <col min="19" max="23" width="17.1796875" style="5" customWidth="1"/>
    <col min="24" max="24" width="9" style="5"/>
    <col min="25" max="25" width="30.81640625" style="5" customWidth="1"/>
    <col min="26" max="26" width="9" style="5"/>
    <col min="27" max="27" width="15.81640625" style="5" customWidth="1"/>
    <col min="28" max="16384" width="9" style="5"/>
  </cols>
  <sheetData>
    <row r="1" spans="1:28" s="9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s="9" customFormat="1" ht="40" customHeight="1" x14ac:dyDescent="0.2">
      <c r="A2" s="21" t="s">
        <v>17</v>
      </c>
      <c r="B2" s="22"/>
      <c r="C2" s="22"/>
      <c r="D2" s="65" t="s">
        <v>178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MGBFL0430</v>
      </c>
      <c r="I2" s="7" t="s">
        <v>19</v>
      </c>
      <c r="J2" s="28" t="s">
        <v>141</v>
      </c>
      <c r="K2" s="7" t="s">
        <v>5</v>
      </c>
      <c r="L2" s="54" t="str">
        <f>IF(LogicCommon!G2="","",LogicCommon!G2)</f>
        <v>MC</v>
      </c>
      <c r="M2" s="5" t="s">
        <v>21</v>
      </c>
      <c r="N2" s="23" t="s">
        <v>177</v>
      </c>
      <c r="O2" s="7"/>
      <c r="P2" s="7"/>
      <c r="Q2" s="4"/>
      <c r="R2" s="4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s="9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MGBF</v>
      </c>
      <c r="G3" s="7" t="s">
        <v>9</v>
      </c>
      <c r="H3" s="54" t="str">
        <f>IF(LogicCommon!E3="","",LogicCommon!E3)</f>
        <v>MGBFL_WipLocYmSrch</v>
      </c>
      <c r="I3" s="7" t="s">
        <v>22</v>
      </c>
      <c r="J3" s="28" t="s">
        <v>142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28" t="s">
        <v>25</v>
      </c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s="9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月別部門製造原価一覧照会</v>
      </c>
      <c r="I4" s="7" t="s">
        <v>28</v>
      </c>
      <c r="J4" s="28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3"/>
      <c r="O4" s="61"/>
      <c r="P4" s="4"/>
      <c r="Q4" s="4"/>
      <c r="R4" s="4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s="9" customFormat="1" x14ac:dyDescent="0.2">
      <c r="A5" s="62" t="s">
        <v>17</v>
      </c>
      <c r="B5" s="53"/>
      <c r="C5" s="53"/>
      <c r="D5" s="20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4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s="9" customFormat="1" x14ac:dyDescent="0.2">
      <c r="A6" s="55" t="s">
        <v>17</v>
      </c>
      <c r="B6" s="56"/>
      <c r="C6" s="56"/>
      <c r="D6" s="4" t="s">
        <v>15</v>
      </c>
      <c r="E6" s="11" t="s">
        <v>143</v>
      </c>
      <c r="F6" s="11"/>
      <c r="G6" s="11"/>
      <c r="H6" s="11"/>
      <c r="I6" s="11"/>
      <c r="J6" s="11"/>
      <c r="K6" s="11"/>
      <c r="L6" s="64"/>
      <c r="M6" s="14"/>
      <c r="N6" s="14"/>
      <c r="O6" s="14"/>
      <c r="P6" s="14"/>
      <c r="Q6" s="14"/>
      <c r="R6" s="3"/>
      <c r="S6" s="14"/>
      <c r="T6" s="14" t="s">
        <v>33</v>
      </c>
      <c r="U6" s="14"/>
      <c r="V6" s="14" t="s">
        <v>33</v>
      </c>
      <c r="W6" s="14"/>
      <c r="X6" s="14" t="s">
        <v>33</v>
      </c>
      <c r="Y6" s="4"/>
      <c r="Z6" s="4"/>
      <c r="AA6" s="4"/>
      <c r="AB6" s="4"/>
    </row>
    <row r="7" spans="1:28" s="9" customFormat="1" x14ac:dyDescent="0.2">
      <c r="A7" s="22" t="s">
        <v>144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28"/>
      <c r="L7" s="24"/>
      <c r="M7" s="24"/>
      <c r="N7" s="24"/>
      <c r="O7" s="24"/>
      <c r="P7" s="24"/>
      <c r="Q7" s="24"/>
      <c r="R7" s="24"/>
      <c r="S7" s="25" t="s">
        <v>38</v>
      </c>
      <c r="T7" s="26"/>
      <c r="U7" s="25" t="s">
        <v>38</v>
      </c>
      <c r="V7" s="26"/>
      <c r="W7" s="25" t="s">
        <v>39</v>
      </c>
      <c r="X7" s="26"/>
      <c r="Y7" s="4"/>
      <c r="Z7" s="4"/>
      <c r="AA7" s="4"/>
      <c r="AB7" s="4"/>
    </row>
    <row r="8" spans="1:28" s="9" customFormat="1" ht="60" customHeight="1" x14ac:dyDescent="0.2">
      <c r="A8" s="26" t="s">
        <v>34</v>
      </c>
      <c r="B8" s="66"/>
      <c r="C8" s="67"/>
      <c r="D8" s="25" t="s">
        <v>179</v>
      </c>
      <c r="E8" s="25" t="s">
        <v>180</v>
      </c>
      <c r="F8" s="64"/>
      <c r="G8" s="25" t="s">
        <v>40</v>
      </c>
      <c r="H8" s="25" t="s">
        <v>181</v>
      </c>
      <c r="I8" s="64"/>
      <c r="J8" s="3"/>
      <c r="K8" s="28"/>
      <c r="L8" s="28"/>
      <c r="M8" s="28"/>
      <c r="N8" s="28"/>
      <c r="O8" s="28"/>
      <c r="P8" s="28"/>
      <c r="Q8" s="28"/>
      <c r="R8" s="28"/>
      <c r="S8" s="25" t="s">
        <v>145</v>
      </c>
      <c r="T8" s="26"/>
      <c r="U8" s="25" t="s">
        <v>43</v>
      </c>
      <c r="V8" s="26"/>
      <c r="W8" s="25" t="s">
        <v>44</v>
      </c>
      <c r="X8" s="26"/>
      <c r="Y8" s="3"/>
      <c r="Z8" s="20"/>
      <c r="AA8" s="118" t="s">
        <v>182</v>
      </c>
      <c r="AB8" s="119"/>
    </row>
    <row r="9" spans="1:28" s="9" customFormat="1" ht="60" customHeight="1" x14ac:dyDescent="0.2">
      <c r="A9" s="28" t="s">
        <v>34</v>
      </c>
      <c r="B9" s="29"/>
      <c r="C9" s="30"/>
      <c r="D9" s="25" t="s">
        <v>220</v>
      </c>
      <c r="E9" s="51" t="s">
        <v>221</v>
      </c>
      <c r="F9" s="25" t="s">
        <v>185</v>
      </c>
      <c r="G9" s="25" t="s">
        <v>186</v>
      </c>
      <c r="H9" s="25" t="s">
        <v>187</v>
      </c>
      <c r="I9" s="52" t="s">
        <v>188</v>
      </c>
      <c r="J9" s="25" t="s">
        <v>189</v>
      </c>
      <c r="K9" s="65"/>
      <c r="L9" s="65"/>
      <c r="M9" s="65"/>
      <c r="N9" s="65"/>
      <c r="O9" s="65"/>
      <c r="P9" s="65"/>
      <c r="Q9" s="65"/>
      <c r="R9" s="65"/>
      <c r="S9" s="52"/>
      <c r="T9" s="25"/>
      <c r="U9" s="25"/>
      <c r="V9" s="25"/>
      <c r="W9" s="25"/>
      <c r="X9" s="25"/>
      <c r="Y9" s="118" t="s">
        <v>190</v>
      </c>
      <c r="Z9" s="119"/>
      <c r="AA9" s="118" t="s">
        <v>191</v>
      </c>
      <c r="AB9" s="119"/>
    </row>
    <row r="10" spans="1:28" s="9" customFormat="1" ht="52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25" t="s">
        <v>188</v>
      </c>
      <c r="T10" s="25" t="s">
        <v>189</v>
      </c>
      <c r="U10" s="25" t="s">
        <v>188</v>
      </c>
      <c r="V10" s="25" t="s">
        <v>189</v>
      </c>
      <c r="W10" s="25" t="s">
        <v>188</v>
      </c>
      <c r="X10" s="25" t="s">
        <v>189</v>
      </c>
      <c r="Y10" s="31"/>
      <c r="Z10" s="31"/>
      <c r="AA10" s="36"/>
      <c r="AB10" s="48"/>
    </row>
    <row r="11" spans="1:28" s="9" customFormat="1" x14ac:dyDescent="0.2">
      <c r="A11" s="28">
        <v>10</v>
      </c>
      <c r="B11" s="29" t="s">
        <v>46</v>
      </c>
      <c r="C11" s="30"/>
      <c r="D11" s="23" t="s">
        <v>146</v>
      </c>
      <c r="E11" s="27" t="s">
        <v>147</v>
      </c>
      <c r="F11" s="37"/>
      <c r="G11" s="23" t="s">
        <v>148</v>
      </c>
      <c r="H11" s="38" t="s">
        <v>149</v>
      </c>
      <c r="I11" s="39"/>
      <c r="J11" s="34"/>
      <c r="K11" s="34"/>
      <c r="L11" s="34"/>
      <c r="M11" s="34"/>
      <c r="N11" s="34"/>
      <c r="O11" s="34"/>
      <c r="P11" s="34"/>
      <c r="Q11" s="34"/>
      <c r="R11" s="34"/>
      <c r="S11" s="27"/>
      <c r="T11" s="27"/>
      <c r="U11" s="27"/>
      <c r="V11" s="27"/>
      <c r="W11" s="27"/>
      <c r="X11" s="27"/>
      <c r="Y11" s="39"/>
      <c r="Z11" s="37"/>
      <c r="AA11" s="120"/>
      <c r="AB11" s="121"/>
    </row>
    <row r="12" spans="1:28" s="9" customFormat="1" x14ac:dyDescent="0.2">
      <c r="A12" s="28">
        <v>10</v>
      </c>
      <c r="B12" s="28"/>
      <c r="C12" s="28"/>
      <c r="D12" s="28" t="s">
        <v>150</v>
      </c>
      <c r="E12" s="26" t="s">
        <v>151</v>
      </c>
      <c r="F12" s="26"/>
      <c r="G12" s="40" t="s">
        <v>192</v>
      </c>
      <c r="H12" s="40" t="s">
        <v>51</v>
      </c>
      <c r="I12" s="28" t="s">
        <v>52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118"/>
      <c r="Z12" s="119"/>
      <c r="AA12" s="120"/>
      <c r="AB12" s="121"/>
    </row>
    <row r="13" spans="1:28" s="9" customFormat="1" x14ac:dyDescent="0.2">
      <c r="A13" s="28">
        <v>10</v>
      </c>
      <c r="B13" s="28"/>
      <c r="C13" s="28"/>
      <c r="D13" s="28" t="s">
        <v>53</v>
      </c>
      <c r="E13" s="26" t="s">
        <v>54</v>
      </c>
      <c r="F13" s="26"/>
      <c r="G13" s="40" t="s">
        <v>193</v>
      </c>
      <c r="H13" s="40" t="s">
        <v>55</v>
      </c>
      <c r="I13" s="28" t="s">
        <v>52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118"/>
      <c r="Z13" s="119"/>
      <c r="AA13" s="120"/>
      <c r="AB13" s="121"/>
    </row>
    <row r="14" spans="1:28" s="9" customFormat="1" x14ac:dyDescent="0.2">
      <c r="A14" s="28">
        <v>10</v>
      </c>
      <c r="B14" s="28"/>
      <c r="C14" s="28"/>
      <c r="D14" s="28" t="s">
        <v>56</v>
      </c>
      <c r="E14" s="26" t="s">
        <v>54</v>
      </c>
      <c r="F14" s="26"/>
      <c r="G14" s="40" t="s">
        <v>194</v>
      </c>
      <c r="H14" s="40" t="s">
        <v>57</v>
      </c>
      <c r="I14" s="28" t="s">
        <v>52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118"/>
      <c r="Z14" s="119"/>
      <c r="AA14" s="120"/>
      <c r="AB14" s="121"/>
    </row>
    <row r="15" spans="1:28" s="9" customFormat="1" x14ac:dyDescent="0.2">
      <c r="A15" s="28">
        <v>10</v>
      </c>
      <c r="B15" s="28"/>
      <c r="C15" s="28"/>
      <c r="D15" s="28" t="s">
        <v>58</v>
      </c>
      <c r="E15" s="26" t="s">
        <v>59</v>
      </c>
      <c r="F15" s="26"/>
      <c r="G15" s="40" t="s">
        <v>195</v>
      </c>
      <c r="H15" s="40" t="s">
        <v>60</v>
      </c>
      <c r="I15" s="28" t="s">
        <v>52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118"/>
      <c r="Z15" s="119"/>
      <c r="AA15" s="120"/>
      <c r="AB15" s="121"/>
    </row>
    <row r="16" spans="1:28" s="9" customFormat="1" x14ac:dyDescent="0.2">
      <c r="A16" s="28">
        <v>10</v>
      </c>
      <c r="B16" s="28"/>
      <c r="C16" s="28"/>
      <c r="D16" s="28" t="s">
        <v>152</v>
      </c>
      <c r="E16" s="26" t="s">
        <v>153</v>
      </c>
      <c r="F16" s="26"/>
      <c r="G16" s="40" t="s">
        <v>196</v>
      </c>
      <c r="H16" s="40" t="s">
        <v>63</v>
      </c>
      <c r="I16" s="28" t="s">
        <v>52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118"/>
      <c r="Z16" s="119"/>
      <c r="AA16" s="120"/>
      <c r="AB16" s="121"/>
    </row>
    <row r="17" spans="1:28" s="9" customFormat="1" x14ac:dyDescent="0.2">
      <c r="A17" s="28">
        <v>10</v>
      </c>
      <c r="B17" s="28"/>
      <c r="C17" s="28"/>
      <c r="D17" s="28" t="s">
        <v>64</v>
      </c>
      <c r="E17" s="26" t="s">
        <v>65</v>
      </c>
      <c r="F17" s="26"/>
      <c r="G17" s="40" t="s">
        <v>197</v>
      </c>
      <c r="H17" s="40" t="s">
        <v>66</v>
      </c>
      <c r="I17" s="28" t="s">
        <v>154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118"/>
      <c r="Z17" s="119"/>
      <c r="AA17" s="120"/>
      <c r="AB17" s="121"/>
    </row>
    <row r="18" spans="1:28" s="9" customFormat="1" x14ac:dyDescent="0.2">
      <c r="A18" s="28">
        <v>10</v>
      </c>
      <c r="B18" s="28"/>
      <c r="C18" s="28"/>
      <c r="D18" s="28" t="s">
        <v>68</v>
      </c>
      <c r="E18" s="26" t="s">
        <v>69</v>
      </c>
      <c r="F18" s="26"/>
      <c r="G18" s="40" t="s">
        <v>198</v>
      </c>
      <c r="H18" s="40" t="s">
        <v>70</v>
      </c>
      <c r="I18" s="28" t="s">
        <v>52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118"/>
      <c r="Z18" s="119"/>
      <c r="AA18" s="120"/>
      <c r="AB18" s="121"/>
    </row>
    <row r="19" spans="1:28" s="9" customFormat="1" x14ac:dyDescent="0.2">
      <c r="A19" s="28">
        <v>10</v>
      </c>
      <c r="B19" s="28"/>
      <c r="C19" s="28"/>
      <c r="D19" s="28" t="s">
        <v>71</v>
      </c>
      <c r="E19" s="26" t="s">
        <v>72</v>
      </c>
      <c r="F19" s="26"/>
      <c r="G19" s="40" t="s">
        <v>199</v>
      </c>
      <c r="H19" s="40" t="s">
        <v>73</v>
      </c>
      <c r="I19" s="28" t="s">
        <v>52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118"/>
      <c r="Z19" s="119"/>
      <c r="AA19" s="120"/>
      <c r="AB19" s="121"/>
    </row>
    <row r="20" spans="1:28" s="9" customFormat="1" ht="26" x14ac:dyDescent="0.2">
      <c r="A20" s="28">
        <v>10</v>
      </c>
      <c r="B20" s="28"/>
      <c r="C20" s="28"/>
      <c r="D20" s="28" t="s">
        <v>74</v>
      </c>
      <c r="E20" s="26" t="s">
        <v>75</v>
      </c>
      <c r="F20" s="26"/>
      <c r="G20" s="40" t="s">
        <v>200</v>
      </c>
      <c r="H20" s="40" t="s">
        <v>76</v>
      </c>
      <c r="I20" s="28" t="s">
        <v>110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118"/>
      <c r="Z20" s="119"/>
      <c r="AA20" s="120"/>
      <c r="AB20" s="121"/>
    </row>
    <row r="21" spans="1:28" s="9" customFormat="1" ht="26" x14ac:dyDescent="0.2">
      <c r="A21" s="28">
        <v>10</v>
      </c>
      <c r="B21" s="28"/>
      <c r="C21" s="28"/>
      <c r="D21" s="28" t="s">
        <v>77</v>
      </c>
      <c r="E21" s="26" t="s">
        <v>78</v>
      </c>
      <c r="F21" s="26"/>
      <c r="G21" s="40" t="s">
        <v>201</v>
      </c>
      <c r="H21" s="40" t="s">
        <v>79</v>
      </c>
      <c r="I21" s="28" t="s">
        <v>110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118"/>
      <c r="Z21" s="119"/>
      <c r="AA21" s="120"/>
      <c r="AB21" s="121"/>
    </row>
    <row r="22" spans="1:28" s="9" customFormat="1" x14ac:dyDescent="0.2">
      <c r="A22" s="28">
        <v>10</v>
      </c>
      <c r="B22" s="28"/>
      <c r="C22" s="28"/>
      <c r="D22" s="28" t="s">
        <v>80</v>
      </c>
      <c r="E22" s="26" t="s">
        <v>81</v>
      </c>
      <c r="F22" s="26"/>
      <c r="G22" s="40" t="s">
        <v>202</v>
      </c>
      <c r="H22" s="40" t="s">
        <v>82</v>
      </c>
      <c r="I22" s="28" t="s">
        <v>110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118"/>
      <c r="Z22" s="119"/>
      <c r="AA22" s="120"/>
      <c r="AB22" s="121"/>
    </row>
    <row r="23" spans="1:28" s="9" customFormat="1" x14ac:dyDescent="0.2">
      <c r="A23" s="28">
        <v>10</v>
      </c>
      <c r="B23" s="28"/>
      <c r="C23" s="28"/>
      <c r="D23" s="28" t="s">
        <v>83</v>
      </c>
      <c r="E23" s="26" t="s">
        <v>84</v>
      </c>
      <c r="F23" s="26"/>
      <c r="G23" s="40" t="s">
        <v>203</v>
      </c>
      <c r="H23" s="40" t="s">
        <v>85</v>
      </c>
      <c r="I23" s="28" t="s">
        <v>110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118"/>
      <c r="Z23" s="119"/>
      <c r="AA23" s="120"/>
      <c r="AB23" s="121"/>
    </row>
    <row r="24" spans="1:28" s="9" customFormat="1" x14ac:dyDescent="0.2">
      <c r="A24" s="28">
        <v>10</v>
      </c>
      <c r="B24" s="28"/>
      <c r="C24" s="28"/>
      <c r="D24" s="28" t="s">
        <v>86</v>
      </c>
      <c r="E24" s="26" t="s">
        <v>87</v>
      </c>
      <c r="F24" s="26"/>
      <c r="G24" s="40" t="s">
        <v>204</v>
      </c>
      <c r="H24" s="40" t="s">
        <v>88</v>
      </c>
      <c r="I24" s="28" t="s">
        <v>110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118"/>
      <c r="Z24" s="119"/>
      <c r="AA24" s="120"/>
      <c r="AB24" s="121"/>
    </row>
    <row r="25" spans="1:28" s="9" customFormat="1" x14ac:dyDescent="0.2">
      <c r="A25" s="28">
        <v>10</v>
      </c>
      <c r="B25" s="28"/>
      <c r="C25" s="28"/>
      <c r="D25" s="28" t="s">
        <v>89</v>
      </c>
      <c r="E25" s="26" t="s">
        <v>90</v>
      </c>
      <c r="F25" s="26"/>
      <c r="G25" s="40" t="s">
        <v>205</v>
      </c>
      <c r="H25" s="40" t="s">
        <v>91</v>
      </c>
      <c r="I25" s="28" t="s">
        <v>110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118"/>
      <c r="Z25" s="119"/>
      <c r="AA25" s="120"/>
      <c r="AB25" s="121"/>
    </row>
    <row r="26" spans="1:28" s="9" customFormat="1" x14ac:dyDescent="0.2">
      <c r="A26" s="28">
        <v>10</v>
      </c>
      <c r="B26" s="28"/>
      <c r="C26" s="28"/>
      <c r="D26" s="28" t="s">
        <v>92</v>
      </c>
      <c r="E26" s="26" t="s">
        <v>93</v>
      </c>
      <c r="F26" s="26"/>
      <c r="G26" s="40" t="s">
        <v>206</v>
      </c>
      <c r="H26" s="40" t="s">
        <v>94</v>
      </c>
      <c r="I26" s="28" t="s">
        <v>110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118"/>
      <c r="Z26" s="119"/>
      <c r="AA26" s="120"/>
      <c r="AB26" s="121"/>
    </row>
    <row r="27" spans="1:28" s="9" customFormat="1" x14ac:dyDescent="0.2">
      <c r="A27" s="28">
        <v>10</v>
      </c>
      <c r="B27" s="28"/>
      <c r="C27" s="28"/>
      <c r="D27" s="28" t="s">
        <v>118</v>
      </c>
      <c r="E27" s="26" t="s">
        <v>93</v>
      </c>
      <c r="F27" s="26"/>
      <c r="G27" s="40" t="s">
        <v>207</v>
      </c>
      <c r="H27" s="40" t="s">
        <v>96</v>
      </c>
      <c r="I27" s="28" t="s">
        <v>110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118"/>
      <c r="Z27" s="119"/>
      <c r="AA27" s="120"/>
      <c r="AB27" s="121"/>
    </row>
    <row r="28" spans="1:28" s="9" customFormat="1" x14ac:dyDescent="0.2">
      <c r="A28" s="28">
        <v>10</v>
      </c>
      <c r="B28" s="28"/>
      <c r="C28" s="28"/>
      <c r="D28" s="28" t="s">
        <v>155</v>
      </c>
      <c r="E28" s="26" t="s">
        <v>93</v>
      </c>
      <c r="F28" s="26"/>
      <c r="G28" s="40" t="s">
        <v>208</v>
      </c>
      <c r="H28" s="40" t="s">
        <v>98</v>
      </c>
      <c r="I28" s="28" t="s">
        <v>110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118"/>
      <c r="Z28" s="119"/>
      <c r="AA28" s="120"/>
      <c r="AB28" s="121"/>
    </row>
    <row r="29" spans="1:28" s="9" customFormat="1" x14ac:dyDescent="0.2">
      <c r="A29" s="28">
        <v>10</v>
      </c>
      <c r="B29" s="28"/>
      <c r="C29" s="28"/>
      <c r="D29" s="28" t="s">
        <v>123</v>
      </c>
      <c r="E29" s="26" t="s">
        <v>93</v>
      </c>
      <c r="F29" s="26"/>
      <c r="G29" s="40" t="s">
        <v>209</v>
      </c>
      <c r="H29" s="40" t="s">
        <v>100</v>
      </c>
      <c r="I29" s="28" t="s">
        <v>110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118"/>
      <c r="Z29" s="119"/>
      <c r="AA29" s="120"/>
      <c r="AB29" s="121"/>
    </row>
    <row r="30" spans="1:28" s="9" customFormat="1" x14ac:dyDescent="0.2">
      <c r="A30" s="28">
        <v>10</v>
      </c>
      <c r="B30" s="28"/>
      <c r="C30" s="28"/>
      <c r="D30" s="28" t="s">
        <v>101</v>
      </c>
      <c r="E30" s="26" t="s">
        <v>93</v>
      </c>
      <c r="F30" s="26"/>
      <c r="G30" s="40" t="s">
        <v>210</v>
      </c>
      <c r="H30" s="40" t="s">
        <v>102</v>
      </c>
      <c r="I30" s="28" t="s">
        <v>110</v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118"/>
      <c r="Z30" s="119"/>
      <c r="AA30" s="120"/>
      <c r="AB30" s="121"/>
    </row>
    <row r="31" spans="1:28" s="9" customFormat="1" x14ac:dyDescent="0.2">
      <c r="A31" s="28">
        <v>10</v>
      </c>
      <c r="B31" s="28"/>
      <c r="C31" s="28"/>
      <c r="D31" s="28" t="s">
        <v>156</v>
      </c>
      <c r="E31" s="26" t="s">
        <v>93</v>
      </c>
      <c r="F31" s="26"/>
      <c r="G31" s="40" t="s">
        <v>211</v>
      </c>
      <c r="H31" s="40" t="s">
        <v>104</v>
      </c>
      <c r="I31" s="28" t="s">
        <v>110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118"/>
      <c r="Z31" s="119"/>
      <c r="AA31" s="120"/>
      <c r="AB31" s="121"/>
    </row>
    <row r="32" spans="1:28" s="9" customFormat="1" ht="52" x14ac:dyDescent="0.2">
      <c r="A32" s="55"/>
      <c r="S32" s="9" t="s">
        <v>188</v>
      </c>
      <c r="T32" s="9" t="s">
        <v>189</v>
      </c>
      <c r="U32" s="9" t="s">
        <v>188</v>
      </c>
      <c r="V32" s="9" t="s">
        <v>189</v>
      </c>
      <c r="W32" s="9" t="s">
        <v>188</v>
      </c>
      <c r="X32" s="9" t="s">
        <v>189</v>
      </c>
      <c r="AB32" s="41"/>
    </row>
    <row r="33" spans="1:28" s="9" customFormat="1" x14ac:dyDescent="0.2">
      <c r="A33" s="28">
        <v>20</v>
      </c>
      <c r="B33" s="29" t="s">
        <v>46</v>
      </c>
      <c r="C33" s="30"/>
      <c r="D33" s="42" t="s">
        <v>157</v>
      </c>
      <c r="E33" s="27" t="s">
        <v>158</v>
      </c>
      <c r="F33" s="43"/>
      <c r="G33" s="23" t="s">
        <v>159</v>
      </c>
      <c r="H33" s="38" t="s">
        <v>160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27"/>
      <c r="T33" s="27"/>
      <c r="U33" s="27"/>
      <c r="V33" s="27"/>
      <c r="W33" s="27"/>
      <c r="X33" s="27"/>
      <c r="Y33" s="51"/>
      <c r="Z33" s="52"/>
      <c r="AA33" s="120"/>
      <c r="AB33" s="121"/>
    </row>
    <row r="34" spans="1:28" s="9" customFormat="1" x14ac:dyDescent="0.2">
      <c r="A34" s="28">
        <v>20</v>
      </c>
      <c r="B34" s="28"/>
      <c r="C34" s="28"/>
      <c r="D34" s="28" t="s">
        <v>161</v>
      </c>
      <c r="E34" s="26" t="s">
        <v>162</v>
      </c>
      <c r="F34" s="26"/>
      <c r="G34" s="40" t="s">
        <v>212</v>
      </c>
      <c r="H34" s="40" t="s">
        <v>109</v>
      </c>
      <c r="I34" s="28"/>
      <c r="J34" s="28" t="s">
        <v>110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118"/>
      <c r="Z34" s="119"/>
      <c r="AA34" s="120"/>
      <c r="AB34" s="121"/>
    </row>
    <row r="35" spans="1:28" s="9" customFormat="1" x14ac:dyDescent="0.2">
      <c r="A35" s="28">
        <v>20</v>
      </c>
      <c r="B35" s="28"/>
      <c r="C35" s="28"/>
      <c r="D35" s="28" t="s">
        <v>150</v>
      </c>
      <c r="E35" s="26" t="s">
        <v>163</v>
      </c>
      <c r="F35" s="26"/>
      <c r="G35" s="40" t="s">
        <v>192</v>
      </c>
      <c r="H35" s="40" t="s">
        <v>51</v>
      </c>
      <c r="I35" s="28"/>
      <c r="J35" s="28" t="s">
        <v>52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118"/>
      <c r="Z35" s="119"/>
      <c r="AA35" s="120"/>
      <c r="AB35" s="121"/>
    </row>
    <row r="36" spans="1:28" s="9" customFormat="1" x14ac:dyDescent="0.2">
      <c r="A36" s="28">
        <v>20</v>
      </c>
      <c r="B36" s="28"/>
      <c r="C36" s="28"/>
      <c r="D36" s="28" t="s">
        <v>164</v>
      </c>
      <c r="E36" s="26" t="s">
        <v>165</v>
      </c>
      <c r="F36" s="26"/>
      <c r="G36" s="40" t="s">
        <v>213</v>
      </c>
      <c r="H36" s="40" t="s">
        <v>115</v>
      </c>
      <c r="I36" s="28"/>
      <c r="J36" s="28" t="s">
        <v>52</v>
      </c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118"/>
      <c r="Z36" s="119"/>
      <c r="AA36" s="120"/>
      <c r="AB36" s="121"/>
    </row>
    <row r="37" spans="1:28" s="9" customFormat="1" x14ac:dyDescent="0.2">
      <c r="A37" s="28">
        <v>20</v>
      </c>
      <c r="B37" s="28"/>
      <c r="C37" s="28"/>
      <c r="D37" s="28" t="s">
        <v>166</v>
      </c>
      <c r="E37" s="26" t="s">
        <v>59</v>
      </c>
      <c r="F37" s="26"/>
      <c r="G37" s="40" t="s">
        <v>195</v>
      </c>
      <c r="H37" s="40" t="s">
        <v>117</v>
      </c>
      <c r="I37" s="28"/>
      <c r="J37" s="28" t="s">
        <v>52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118"/>
      <c r="Z37" s="119"/>
      <c r="AA37" s="120"/>
      <c r="AB37" s="121"/>
    </row>
    <row r="38" spans="1:28" s="9" customFormat="1" x14ac:dyDescent="0.2">
      <c r="A38" s="28">
        <v>20</v>
      </c>
      <c r="B38" s="28"/>
      <c r="C38" s="28"/>
      <c r="D38" s="28" t="s">
        <v>167</v>
      </c>
      <c r="E38" s="26" t="s">
        <v>120</v>
      </c>
      <c r="F38" s="26"/>
      <c r="G38" s="40" t="s">
        <v>196</v>
      </c>
      <c r="H38" s="40" t="s">
        <v>63</v>
      </c>
      <c r="I38" s="28"/>
      <c r="J38" s="28" t="s">
        <v>52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118"/>
      <c r="Z38" s="119"/>
      <c r="AA38" s="120"/>
      <c r="AB38" s="121"/>
    </row>
    <row r="39" spans="1:28" s="9" customFormat="1" x14ac:dyDescent="0.2">
      <c r="A39" s="28">
        <v>20</v>
      </c>
      <c r="B39" s="28"/>
      <c r="C39" s="28"/>
      <c r="D39" s="28" t="s">
        <v>121</v>
      </c>
      <c r="E39" s="26" t="s">
        <v>69</v>
      </c>
      <c r="F39" s="26"/>
      <c r="G39" s="40" t="s">
        <v>198</v>
      </c>
      <c r="H39" s="40" t="s">
        <v>70</v>
      </c>
      <c r="I39" s="28"/>
      <c r="J39" s="28" t="s">
        <v>52</v>
      </c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118"/>
      <c r="Z39" s="119"/>
      <c r="AA39" s="120"/>
      <c r="AB39" s="121"/>
    </row>
    <row r="40" spans="1:28" s="9" customFormat="1" x14ac:dyDescent="0.2">
      <c r="A40" s="28">
        <v>20</v>
      </c>
      <c r="B40" s="28"/>
      <c r="C40" s="28"/>
      <c r="D40" s="28" t="s">
        <v>71</v>
      </c>
      <c r="E40" s="26" t="s">
        <v>72</v>
      </c>
      <c r="F40" s="26"/>
      <c r="G40" s="40" t="s">
        <v>199</v>
      </c>
      <c r="H40" s="40" t="s">
        <v>73</v>
      </c>
      <c r="I40" s="28"/>
      <c r="J40" s="28" t="s">
        <v>52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118"/>
      <c r="Z40" s="119"/>
      <c r="AA40" s="120"/>
      <c r="AB40" s="121"/>
    </row>
    <row r="41" spans="1:28" s="9" customFormat="1" ht="26" x14ac:dyDescent="0.2">
      <c r="A41" s="28">
        <v>20</v>
      </c>
      <c r="B41" s="28"/>
      <c r="C41" s="28"/>
      <c r="D41" s="28" t="s">
        <v>74</v>
      </c>
      <c r="E41" s="26" t="s">
        <v>75</v>
      </c>
      <c r="F41" s="26"/>
      <c r="G41" s="40" t="s">
        <v>200</v>
      </c>
      <c r="H41" s="40" t="s">
        <v>76</v>
      </c>
      <c r="I41" s="28"/>
      <c r="J41" s="28" t="s">
        <v>110</v>
      </c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118"/>
      <c r="Z41" s="119"/>
      <c r="AA41" s="120"/>
      <c r="AB41" s="121"/>
    </row>
    <row r="42" spans="1:28" s="9" customFormat="1" ht="26" x14ac:dyDescent="0.2">
      <c r="A42" s="28">
        <v>20</v>
      </c>
      <c r="B42" s="28"/>
      <c r="C42" s="28"/>
      <c r="D42" s="28" t="s">
        <v>77</v>
      </c>
      <c r="E42" s="26" t="s">
        <v>78</v>
      </c>
      <c r="F42" s="26"/>
      <c r="G42" s="40" t="s">
        <v>201</v>
      </c>
      <c r="H42" s="40" t="s">
        <v>79</v>
      </c>
      <c r="I42" s="28"/>
      <c r="J42" s="28" t="s">
        <v>110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118"/>
      <c r="Z42" s="119"/>
      <c r="AA42" s="120"/>
      <c r="AB42" s="121"/>
    </row>
    <row r="43" spans="1:28" s="9" customFormat="1" x14ac:dyDescent="0.2">
      <c r="A43" s="28">
        <v>20</v>
      </c>
      <c r="B43" s="28"/>
      <c r="C43" s="28"/>
      <c r="D43" s="28" t="s">
        <v>80</v>
      </c>
      <c r="E43" s="26" t="s">
        <v>81</v>
      </c>
      <c r="F43" s="26"/>
      <c r="G43" s="40" t="s">
        <v>202</v>
      </c>
      <c r="H43" s="40" t="s">
        <v>122</v>
      </c>
      <c r="I43" s="28"/>
      <c r="J43" s="28" t="s">
        <v>110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118"/>
      <c r="Z43" s="119"/>
      <c r="AA43" s="120"/>
      <c r="AB43" s="121"/>
    </row>
    <row r="44" spans="1:28" s="9" customFormat="1" x14ac:dyDescent="0.2">
      <c r="A44" s="28">
        <v>20</v>
      </c>
      <c r="B44" s="28"/>
      <c r="C44" s="28"/>
      <c r="D44" s="28" t="s">
        <v>83</v>
      </c>
      <c r="E44" s="26" t="s">
        <v>84</v>
      </c>
      <c r="F44" s="26"/>
      <c r="G44" s="40" t="s">
        <v>203</v>
      </c>
      <c r="H44" s="40" t="s">
        <v>124</v>
      </c>
      <c r="I44" s="28"/>
      <c r="J44" s="28" t="s">
        <v>110</v>
      </c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118"/>
      <c r="Z44" s="119"/>
      <c r="AA44" s="120"/>
      <c r="AB44" s="121"/>
    </row>
    <row r="45" spans="1:28" s="9" customFormat="1" x14ac:dyDescent="0.2">
      <c r="A45" s="28">
        <v>20</v>
      </c>
      <c r="B45" s="28"/>
      <c r="C45" s="28"/>
      <c r="D45" s="28" t="s">
        <v>86</v>
      </c>
      <c r="E45" s="26" t="s">
        <v>87</v>
      </c>
      <c r="F45" s="26"/>
      <c r="G45" s="40" t="s">
        <v>204</v>
      </c>
      <c r="H45" s="40" t="s">
        <v>88</v>
      </c>
      <c r="I45" s="28"/>
      <c r="J45" s="28" t="s">
        <v>110</v>
      </c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118"/>
      <c r="Z45" s="119"/>
      <c r="AA45" s="120"/>
      <c r="AB45" s="121"/>
    </row>
    <row r="46" spans="1:28" s="9" customFormat="1" x14ac:dyDescent="0.2">
      <c r="A46" s="28">
        <v>20</v>
      </c>
      <c r="B46" s="28"/>
      <c r="C46" s="28"/>
      <c r="D46" s="28" t="s">
        <v>89</v>
      </c>
      <c r="E46" s="26" t="s">
        <v>90</v>
      </c>
      <c r="F46" s="26"/>
      <c r="G46" s="40" t="s">
        <v>205</v>
      </c>
      <c r="H46" s="40" t="s">
        <v>91</v>
      </c>
      <c r="I46" s="28"/>
      <c r="J46" s="28" t="s">
        <v>110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118"/>
      <c r="Z46" s="119"/>
      <c r="AA46" s="120"/>
      <c r="AB46" s="121"/>
    </row>
    <row r="47" spans="1:28" s="9" customFormat="1" x14ac:dyDescent="0.2">
      <c r="A47" s="28">
        <v>20</v>
      </c>
      <c r="B47" s="28"/>
      <c r="C47" s="28"/>
      <c r="D47" s="28" t="s">
        <v>125</v>
      </c>
      <c r="E47" s="26" t="s">
        <v>54</v>
      </c>
      <c r="F47" s="26"/>
      <c r="G47" s="40" t="s">
        <v>214</v>
      </c>
      <c r="H47" s="40" t="s">
        <v>126</v>
      </c>
      <c r="I47" s="28"/>
      <c r="J47" s="28" t="s">
        <v>154</v>
      </c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118"/>
      <c r="Z47" s="119"/>
      <c r="AA47" s="120"/>
      <c r="AB47" s="121"/>
    </row>
    <row r="48" spans="1:28" s="9" customFormat="1" x14ac:dyDescent="0.2">
      <c r="A48" s="28">
        <v>20</v>
      </c>
      <c r="B48" s="28"/>
      <c r="C48" s="28"/>
      <c r="D48" s="28" t="s">
        <v>127</v>
      </c>
      <c r="E48" s="26" t="s">
        <v>168</v>
      </c>
      <c r="F48" s="26"/>
      <c r="G48" s="40" t="s">
        <v>215</v>
      </c>
      <c r="H48" s="40" t="s">
        <v>129</v>
      </c>
      <c r="I48" s="28"/>
      <c r="J48" s="28" t="s">
        <v>52</v>
      </c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118"/>
      <c r="Z48" s="119"/>
      <c r="AA48" s="120"/>
      <c r="AB48" s="121"/>
    </row>
    <row r="49" spans="1:28" s="9" customFormat="1" x14ac:dyDescent="0.2">
      <c r="A49" s="28">
        <v>20</v>
      </c>
      <c r="B49" s="28"/>
      <c r="C49" s="28"/>
      <c r="D49" s="28" t="s">
        <v>130</v>
      </c>
      <c r="E49" s="26" t="s">
        <v>169</v>
      </c>
      <c r="F49" s="26"/>
      <c r="G49" s="40" t="s">
        <v>216</v>
      </c>
      <c r="H49" s="40" t="s">
        <v>132</v>
      </c>
      <c r="I49" s="28"/>
      <c r="J49" s="28" t="s">
        <v>52</v>
      </c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118"/>
      <c r="Z49" s="119"/>
      <c r="AA49" s="120"/>
      <c r="AB49" s="121"/>
    </row>
    <row r="50" spans="1:28" s="9" customFormat="1" x14ac:dyDescent="0.2">
      <c r="A50" s="28">
        <v>20</v>
      </c>
      <c r="B50" s="28"/>
      <c r="C50" s="28"/>
      <c r="D50" s="28" t="s">
        <v>133</v>
      </c>
      <c r="E50" s="26" t="s">
        <v>136</v>
      </c>
      <c r="F50" s="26"/>
      <c r="G50" s="40" t="s">
        <v>217</v>
      </c>
      <c r="H50" s="40" t="s">
        <v>134</v>
      </c>
      <c r="I50" s="28"/>
      <c r="J50" s="28" t="s">
        <v>52</v>
      </c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118"/>
      <c r="Z50" s="119"/>
      <c r="AA50" s="120"/>
      <c r="AB50" s="121"/>
    </row>
    <row r="51" spans="1:28" s="9" customFormat="1" x14ac:dyDescent="0.2">
      <c r="A51" s="28">
        <v>20</v>
      </c>
      <c r="B51" s="28"/>
      <c r="C51" s="28"/>
      <c r="D51" s="28" t="s">
        <v>135</v>
      </c>
      <c r="E51" s="26" t="s">
        <v>139</v>
      </c>
      <c r="F51" s="26"/>
      <c r="G51" s="40" t="s">
        <v>218</v>
      </c>
      <c r="H51" s="40" t="s">
        <v>137</v>
      </c>
      <c r="I51" s="28"/>
      <c r="J51" s="28" t="s">
        <v>52</v>
      </c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51"/>
      <c r="Z51" s="52"/>
      <c r="AA51" s="49"/>
      <c r="AB51" s="50"/>
    </row>
    <row r="52" spans="1:28" s="9" customFormat="1" x14ac:dyDescent="0.2">
      <c r="A52" s="28">
        <v>20</v>
      </c>
      <c r="B52" s="28"/>
      <c r="C52" s="28"/>
      <c r="D52" s="28" t="s">
        <v>138</v>
      </c>
      <c r="E52" s="26" t="s">
        <v>168</v>
      </c>
      <c r="F52" s="26"/>
      <c r="G52" s="40" t="s">
        <v>219</v>
      </c>
      <c r="H52" s="40" t="s">
        <v>140</v>
      </c>
      <c r="I52" s="28"/>
      <c r="J52" s="28" t="s">
        <v>52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118"/>
      <c r="Z52" s="119"/>
      <c r="AA52" s="120"/>
      <c r="AB52" s="121"/>
    </row>
    <row r="53" spans="1:28" s="9" customFormat="1" x14ac:dyDescent="0.2">
      <c r="A53" s="21"/>
      <c r="B53" s="22"/>
      <c r="C53" s="22"/>
      <c r="D53" s="15" t="s">
        <v>16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17"/>
    </row>
    <row r="54" spans="1:28" s="9" customFormat="1" x14ac:dyDescent="0.2">
      <c r="A54" s="55"/>
      <c r="AB54" s="41"/>
    </row>
    <row r="55" spans="1:28" s="9" customFormat="1" x14ac:dyDescent="0.2">
      <c r="A55" s="55"/>
      <c r="AB55" s="41"/>
    </row>
    <row r="56" spans="1:28" s="9" customFormat="1" x14ac:dyDescent="0.2">
      <c r="A56" s="55"/>
      <c r="AB56" s="41"/>
    </row>
    <row r="57" spans="1:28" s="9" customFormat="1" x14ac:dyDescent="0.2">
      <c r="A57" s="55"/>
      <c r="AB57" s="41"/>
    </row>
    <row r="58" spans="1:28" s="9" customFormat="1" x14ac:dyDescent="0.2">
      <c r="A58" s="55"/>
      <c r="AB58" s="41"/>
    </row>
    <row r="59" spans="1:28" s="9" customFormat="1" x14ac:dyDescent="0.2">
      <c r="A59" s="55"/>
      <c r="AB59" s="41"/>
    </row>
    <row r="60" spans="1:28" s="9" customFormat="1" x14ac:dyDescent="0.2">
      <c r="A60" s="55"/>
      <c r="AB60" s="41"/>
    </row>
    <row r="61" spans="1:28" s="9" customFormat="1" x14ac:dyDescent="0.2">
      <c r="A61" s="55"/>
      <c r="AB61" s="41"/>
    </row>
    <row r="62" spans="1:28" s="9" customFormat="1" x14ac:dyDescent="0.2">
      <c r="A62" s="55"/>
      <c r="AB62" s="41"/>
    </row>
    <row r="63" spans="1:28" s="9" customFormat="1" x14ac:dyDescent="0.2">
      <c r="A63" s="55"/>
      <c r="AB63" s="41"/>
    </row>
    <row r="64" spans="1:28" s="9" customFormat="1" x14ac:dyDescent="0.2">
      <c r="A64" s="55"/>
      <c r="AB64" s="41"/>
    </row>
    <row r="65" spans="1:28" s="9" customFormat="1" x14ac:dyDescent="0.2">
      <c r="A65" s="55"/>
      <c r="AB65" s="41"/>
    </row>
    <row r="66" spans="1:28" s="9" customFormat="1" x14ac:dyDescent="0.2">
      <c r="A66" s="55"/>
      <c r="AB66" s="41"/>
    </row>
    <row r="67" spans="1:28" s="9" customFormat="1" x14ac:dyDescent="0.2">
      <c r="A67" s="62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44"/>
    </row>
  </sheetData>
  <mergeCells count="81">
    <mergeCell ref="AA8:AB8"/>
    <mergeCell ref="Y9:Z9"/>
    <mergeCell ref="AA9:AB9"/>
    <mergeCell ref="AA11:AB11"/>
    <mergeCell ref="Y12:Z12"/>
    <mergeCell ref="AA12:AB12"/>
    <mergeCell ref="Y13:Z13"/>
    <mergeCell ref="AA13:AB13"/>
    <mergeCell ref="Y14:Z14"/>
    <mergeCell ref="AA14:AB14"/>
    <mergeCell ref="Y15:Z15"/>
    <mergeCell ref="AA15:AB15"/>
    <mergeCell ref="Y16:Z16"/>
    <mergeCell ref="AA16:AB16"/>
    <mergeCell ref="Y17:Z17"/>
    <mergeCell ref="AA17:AB17"/>
    <mergeCell ref="Y18:Z18"/>
    <mergeCell ref="AA18:AB18"/>
    <mergeCell ref="Y19:Z19"/>
    <mergeCell ref="AA19:AB19"/>
    <mergeCell ref="Y20:Z20"/>
    <mergeCell ref="AA20:AB20"/>
    <mergeCell ref="Y21:Z21"/>
    <mergeCell ref="AA21:AB21"/>
    <mergeCell ref="Y22:Z22"/>
    <mergeCell ref="AA22:AB22"/>
    <mergeCell ref="Y23:Z23"/>
    <mergeCell ref="AA23:AB23"/>
    <mergeCell ref="Y24:Z24"/>
    <mergeCell ref="AA24:AB24"/>
    <mergeCell ref="Y25:Z25"/>
    <mergeCell ref="AA25:AB25"/>
    <mergeCell ref="Y26:Z26"/>
    <mergeCell ref="AA26:AB26"/>
    <mergeCell ref="Y27:Z27"/>
    <mergeCell ref="AA27:AB27"/>
    <mergeCell ref="Y35:Z35"/>
    <mergeCell ref="AA35:AB35"/>
    <mergeCell ref="Y28:Z28"/>
    <mergeCell ref="AA28:AB28"/>
    <mergeCell ref="Y29:Z29"/>
    <mergeCell ref="AA29:AB29"/>
    <mergeCell ref="Y30:Z30"/>
    <mergeCell ref="AA30:AB30"/>
    <mergeCell ref="Y31:Z31"/>
    <mergeCell ref="AA31:AB31"/>
    <mergeCell ref="AA33:AB33"/>
    <mergeCell ref="Y34:Z34"/>
    <mergeCell ref="AA34:AB34"/>
    <mergeCell ref="Y36:Z36"/>
    <mergeCell ref="AA36:AB36"/>
    <mergeCell ref="Y37:Z37"/>
    <mergeCell ref="AA37:AB37"/>
    <mergeCell ref="Y38:Z38"/>
    <mergeCell ref="AA38:AB38"/>
    <mergeCell ref="Y39:Z39"/>
    <mergeCell ref="AA39:AB39"/>
    <mergeCell ref="Y40:Z40"/>
    <mergeCell ref="AA40:AB40"/>
    <mergeCell ref="Y41:Z41"/>
    <mergeCell ref="AA41:AB41"/>
    <mergeCell ref="Y42:Z42"/>
    <mergeCell ref="AA42:AB42"/>
    <mergeCell ref="Y43:Z43"/>
    <mergeCell ref="AA43:AB43"/>
    <mergeCell ref="Y44:Z44"/>
    <mergeCell ref="AA44:AB44"/>
    <mergeCell ref="Y45:Z45"/>
    <mergeCell ref="AA45:AB45"/>
    <mergeCell ref="Y46:Z46"/>
    <mergeCell ref="AA46:AB46"/>
    <mergeCell ref="Y47:Z47"/>
    <mergeCell ref="AA47:AB47"/>
    <mergeCell ref="Y52:Z52"/>
    <mergeCell ref="AA52:AB52"/>
    <mergeCell ref="Y48:Z48"/>
    <mergeCell ref="AA48:AB48"/>
    <mergeCell ref="Y49:Z49"/>
    <mergeCell ref="AA49:AB49"/>
    <mergeCell ref="Y50:Z50"/>
    <mergeCell ref="AA50:AB50"/>
  </mergeCells>
  <phoneticPr fontId="4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7" t="s">
        <v>170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0" t="s">
        <v>171</v>
      </c>
      <c r="B3" s="101"/>
      <c r="C3" s="101"/>
      <c r="D3" s="101"/>
      <c r="E3" s="101"/>
      <c r="F3" s="101"/>
      <c r="G3" s="102"/>
      <c r="H3" s="103" t="s">
        <v>172</v>
      </c>
      <c r="I3" s="101"/>
      <c r="J3" s="101"/>
      <c r="K3" s="101"/>
      <c r="L3" s="101"/>
      <c r="M3" s="101"/>
      <c r="N3" s="102"/>
      <c r="O3" s="103" t="s">
        <v>173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174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175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222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223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2026-03-27T05:52:04Z</dcterms:modified>
  <cp:category/>
</cp:coreProperties>
</file>