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669E116B-A88A-4E88-9018-55AC07C06AB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<sst xmlns="http://schemas.openxmlformats.org/spreadsheetml/2006/main" count="429" uniqueCount="231">
  <si>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</si>
  <si>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</si>
  <si>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</si>
  <si>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</si>
  <si>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MGBAL0140</t>
    <phoneticPr fontId="2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</si>
  <si>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</si>
  <si>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</si>
  <si>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</si>
  <si>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</si>
  <si>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</si>
  <si>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MGBAL_MlyOtherWkSrch</t>
    <phoneticPr fontId="2"/>
  </si>
  <si>
    <t>SuperClassPj.ID :</t>
    <phoneticPr fontId="3"/>
  </si>
  <si>
    <t>LogicName :</t>
    <phoneticPr fontId="3"/>
  </si>
  <si>
    <t>月別品目外工数一覧照会</t>
    <rPh sb="0" eb="2">
      <t>ツキベツ</t>
    </rPh>
    <rPh sb="2" eb="4">
      <t>ヒンモク</t>
    </rPh>
    <rPh sb="4" eb="5">
      <t>ガイ</t>
    </rPh>
    <rPh sb="5" eb="7">
      <t>コウスウ</t>
    </rPh>
    <rPh sb="7" eb="9">
      <t>イチラン</t>
    </rPh>
    <rPh sb="9" eb="11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</si>
  <si>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</si>
  <si>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</si>
  <si>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</si>
  <si>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</si>
  <si>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</si>
  <si>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</si>
  <si>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</si>
  <si>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</si>
  <si>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</si>
  <si>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</si>
  <si>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</si>
  <si>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</si>
  <si>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</si>
  <si>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</si>
  <si>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</si>
  <si>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</si>
  <si>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</si>
  <si>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</si>
  <si>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品目外工数に関して月別に計画値と実績値を参照する。</t>
    <rPh sb="0" eb="2">
      <t>ヒンモク</t>
    </rPh>
    <rPh sb="2" eb="3">
      <t>ガイ</t>
    </rPh>
    <rPh sb="3" eb="5">
      <t>コウスウ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</si>
  <si>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</si>
  <si>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</si>
  <si>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</si>
  <si>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</si>
  <si>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</si>
  <si>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</si>
  <si>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</si>
  <si>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</si>
  <si>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</si>
  <si>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</si>
  <si>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</si>
  <si>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</si>
  <si>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</si>
  <si>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</si>
  <si>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</si>
  <si>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</si>
  <si>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pln_calc_ctg_cd</t>
  </si>
  <si>
    <t>#MA.CALC_CTG_CD</t>
  </si>
  <si>
    <t>計画計算カテゴリＣＤ</t>
    <phoneticPr fontId="4"/>
  </si>
  <si>
    <t>E</t>
    <phoneticPr fontId="3"/>
  </si>
  <si>
    <t>act_calc_ctg_cd</t>
  </si>
  <si>
    <t>実績計算カテゴリＣＤ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</si>
  <si>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</si>
  <si>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</si>
  <si>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</si>
  <si>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</si>
  <si>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</si>
  <si>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</si>
  <si>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</si>
  <si>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</si>
  <si>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</si>
  <si>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</si>
  <si>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</si>
  <si>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dpt_cd</t>
  </si>
  <si>
    <t>#MA.COST_DPT_CD</t>
  </si>
  <si>
    <t>部門ＣＤ</t>
    <phoneticPr fontId="3"/>
  </si>
  <si>
    <t>dpt_nm</t>
  </si>
  <si>
    <t>#MA.COST_DPT_NM</t>
  </si>
  <si>
    <t>部門名</t>
    <phoneticPr fontId="3"/>
  </si>
  <si>
    <t>ctg_cd</t>
  </si>
  <si>
    <t>#MA.COST_CTG_CD</t>
  </si>
  <si>
    <t>品群ＣＤ</t>
    <phoneticPr fontId="3"/>
  </si>
  <si>
    <t>ctg_nm</t>
  </si>
  <si>
    <t>#MA.COST_CTG_NM</t>
  </si>
  <si>
    <t>品群名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</si>
  <si>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</si>
  <si>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</si>
  <si>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</si>
  <si>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</si>
  <si>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</si>
  <si>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</si>
  <si>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</si>
  <si>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</si>
  <si>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</si>
  <si>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</si>
  <si>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</si>
  <si>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</si>
  <si>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</si>
  <si>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</si>
  <si>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</si>
  <si>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</si>
  <si>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</si>
  <si>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</si>
  <si>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</si>
  <si>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</si>
  <si>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</si>
  <si>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</si>
  <si>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</si>
  <si>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</si>
  <si>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</si>
  <si>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</si>
  <si>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</si>
  <si>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</si>
  <si>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</si>
  <si>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</si>
  <si>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</si>
  <si>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</si>
  <si>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</si>
  <si>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</si>
  <si>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</si>
  <si>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</si>
  <si>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wk_cost_cd</t>
  </si>
  <si>
    <t>#MA.WK_COST_CD</t>
  </si>
  <si>
    <t>工数管理ＣＤ</t>
    <phoneticPr fontId="3"/>
  </si>
  <si>
    <t>wk_cost_nm</t>
  </si>
  <si>
    <t>#MA.WK_COST_NM</t>
  </si>
  <si>
    <t>工数管理名</t>
    <phoneticPr fontId="3"/>
  </si>
  <si>
    <t>wg_flg</t>
    <phoneticPr fontId="3"/>
  </si>
  <si>
    <t>#MA.FLG</t>
  </si>
  <si>
    <t>ワーキンググループ</t>
    <phoneticPr fontId="3"/>
  </si>
  <si>
    <t>dpt_flg</t>
    <phoneticPr fontId="3"/>
  </si>
  <si>
    <t>部門</t>
    <phoneticPr fontId="3"/>
  </si>
  <si>
    <t>ctg_flg</t>
    <phoneticPr fontId="3"/>
  </si>
  <si>
    <t>品群</t>
    <phoneticPr fontId="3"/>
  </si>
  <si>
    <t>loc_flg</t>
    <phoneticPr fontId="3"/>
  </si>
  <si>
    <t>場所</t>
    <phoneticPr fontId="3"/>
  </si>
  <si>
    <t>site_flg</t>
    <phoneticPr fontId="3"/>
  </si>
  <si>
    <t>工場・物流倉庫</t>
    <phoneticPr fontId="3"/>
  </si>
  <si>
    <t>oper_flg</t>
    <phoneticPr fontId="3"/>
  </si>
  <si>
    <t>工程</t>
    <phoneticPr fontId="3"/>
  </si>
  <si>
    <t>lot_flg</t>
    <phoneticPr fontId="3"/>
  </si>
  <si>
    <t xml:space="preserve">ロットＮＯ </t>
    <phoneticPr fontId="2"/>
  </si>
  <si>
    <t>sublot_flg</t>
    <phoneticPr fontId="3"/>
  </si>
  <si>
    <t>sno1_flg</t>
    <phoneticPr fontId="3"/>
  </si>
  <si>
    <t>sno2_flg</t>
  </si>
  <si>
    <t>sno3_flg</t>
  </si>
  <si>
    <t>sno4_flg</t>
  </si>
  <si>
    <t>Srch01_Rslt</t>
    <phoneticPr fontId="3"/>
  </si>
  <si>
    <t>L</t>
    <phoneticPr fontId="3"/>
  </si>
  <si>
    <t>dummy_term</t>
    <phoneticPr fontId="3"/>
  </si>
  <si>
    <t>#MA.YM</t>
    <phoneticPr fontId="3"/>
  </si>
  <si>
    <t>期マスタ（結合用ダミー）</t>
    <phoneticPr fontId="2"/>
  </si>
  <si>
    <t>-</t>
    <phoneticPr fontId="2"/>
  </si>
  <si>
    <t>wg_cd</t>
    <phoneticPr fontId="3"/>
  </si>
  <si>
    <t>ワーキンググループＣＤ</t>
    <phoneticPr fontId="2"/>
  </si>
  <si>
    <t>wg_nm</t>
    <phoneticPr fontId="3"/>
  </si>
  <si>
    <t>#MA.WG_NM</t>
  </si>
  <si>
    <t>dpt_cd</t>
    <phoneticPr fontId="3"/>
  </si>
  <si>
    <t>dpt_nm</t>
    <phoneticPr fontId="3"/>
  </si>
  <si>
    <t>dec_place</t>
  </si>
  <si>
    <t>#MA.DEC_PLACE</t>
  </si>
  <si>
    <t>小数部有効桁数</t>
    <phoneticPr fontId="3"/>
  </si>
  <si>
    <t>wk_cost_unit_nm</t>
  </si>
  <si>
    <t>#MA.WK_COST_UNIT_NM</t>
  </si>
  <si>
    <t>工数管理単位名</t>
    <phoneticPr fontId="3"/>
  </si>
  <si>
    <t>ym</t>
  </si>
  <si>
    <t>年月</t>
    <phoneticPr fontId="4"/>
  </si>
  <si>
    <t>pln_wk_cost</t>
  </si>
  <si>
    <t>#MA.WK_COST_QTY</t>
  </si>
  <si>
    <t>計画工数</t>
    <phoneticPr fontId="3"/>
  </si>
  <si>
    <t>act_wk_cost</t>
  </si>
  <si>
    <t>実績工数</t>
    <phoneticPr fontId="3"/>
  </si>
  <si>
    <t>diff_wk_cost</t>
  </si>
  <si>
    <t>実績計画差工数</t>
    <phoneticPr fontId="3"/>
  </si>
  <si>
    <t>pln_act_wk_cost</t>
  </si>
  <si>
    <t>計画実績工数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</si>
  <si>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</si>
  <si>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</si>
  <si>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</si>
  <si>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</si>
  <si>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</si>
  <si>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</si>
  <si>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"mcframe.serverMAUD.MAUDL5010.MAUDL_Searcher"</t>
  </si>
  <si>
    <t>MG.MGUDL5010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</si>
  <si>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</si>
  <si>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</si>
  <si>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</si>
  <si>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</si>
  <si>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</si>
  <si>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</si>
  <si>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</si>
  <si>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</si>
  <si>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</si>
  <si>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</si>
  <si>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</si>
  <si>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</si>
  <si>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</si>
  <si>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</si>
  <si>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Plan calculation category cd.</t>
  </si>
  <si>
    <t>Result calculation category cd.</t>
  </si>
  <si>
    <t>Month FROM</t>
  </si>
  <si>
    <t>Month TO</t>
  </si>
  <si>
    <t>WG cd.</t>
  </si>
  <si>
    <t>WG name</t>
  </si>
  <si>
    <t>Dept. cd.</t>
  </si>
  <si>
    <t>Dept. name</t>
  </si>
  <si>
    <t>Item category cd.</t>
  </si>
  <si>
    <t>Item category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</si>
  <si>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</si>
  <si>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</si>
  <si>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</si>
  <si>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</si>
  <si>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</si>
  <si>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</si>
  <si>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Lot No.</t>
  </si>
  <si>
    <t>Sublot No.</t>
  </si>
  <si>
    <t>SEIBAN No. 1</t>
  </si>
  <si>
    <t>SEIBAN No. 2</t>
  </si>
  <si>
    <t>SEIBAN No. 3</t>
  </si>
  <si>
    <t>SEIBAN No. 4</t>
  </si>
  <si>
    <t>Work element cd.</t>
  </si>
  <si>
    <t>Work element name</t>
  </si>
  <si>
    <t>WG</t>
  </si>
  <si>
    <t>Dept.</t>
  </si>
  <si>
    <t>Item category</t>
  </si>
  <si>
    <t>Location</t>
  </si>
  <si>
    <t>Factory/Distribution warehouse</t>
  </si>
  <si>
    <t>Operation</t>
  </si>
  <si>
    <t>Term master (Dummy for join)</t>
  </si>
  <si>
    <t>Number of decimal places</t>
  </si>
  <si>
    <t>Work element unit name</t>
  </si>
  <si>
    <t>Year month</t>
  </si>
  <si>
    <t>Planned man-hour</t>
  </si>
  <si>
    <t>Result man-hour</t>
  </si>
  <si>
    <t>Result/plan man-hour variance</t>
  </si>
  <si>
    <t>Plan/result man-hour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</si>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</sst>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5" xfId="0" applyFont="1" applyBorder="1" applyAlignment="1"/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176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47" t="s">
        <v>17</v>
      </c>
      <c r="B1" s="47" t="s">
        <v>17</v>
      </c>
      <c r="C1" s="4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177</v>
      </c>
      <c r="E2" s="7" t="s">
        <v>1</v>
      </c>
      <c r="F2" s="48" t="str">
        <f>IF(LogicCommon!C2="","",LogicCommon!C2)</f>
        <v>MG</v>
      </c>
      <c r="G2" s="7" t="s">
        <v>3</v>
      </c>
      <c r="H2" s="48" t="str">
        <f>IF(LogicCommon!E2="","",LogicCommon!E2)</f>
        <v>MGBAL0140</v>
      </c>
      <c r="I2" s="7" t="s">
        <v>19</v>
      </c>
      <c r="J2" s="8" t="s">
        <v>20</v>
      </c>
      <c r="K2" s="7" t="s">
        <v>5</v>
      </c>
      <c r="L2" s="48" t="str">
        <f>IF(LogicCommon!G2="","",LogicCommon!G2)</f>
        <v>MC</v>
      </c>
      <c r="M2" s="5" t="s">
        <v>21</v>
      </c>
      <c r="N2" s="24" t="s">
        <v>175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17</v>
      </c>
      <c r="B3" s="50"/>
      <c r="C3" s="50"/>
      <c r="D3" s="51" t="str">
        <f>IF(LogicCommon!A3="","",LogicCommon!A3)</f>
        <v/>
      </c>
      <c r="E3" s="7" t="s">
        <v>7</v>
      </c>
      <c r="F3" s="48" t="str">
        <f>IF(LogicCommon!C3="","",LogicCommon!C3)</f>
        <v>MGBA</v>
      </c>
      <c r="G3" s="7" t="s">
        <v>9</v>
      </c>
      <c r="H3" s="48" t="str">
        <f>IF(LogicCommon!E3="","",LogicCommon!E3)</f>
        <v>MGBAL_MlyOtherWkSrch</v>
      </c>
      <c r="I3" s="7" t="s">
        <v>22</v>
      </c>
      <c r="J3" s="8" t="s">
        <v>23</v>
      </c>
      <c r="K3" s="7" t="s">
        <v>11</v>
      </c>
      <c r="L3" s="48" t="str">
        <f>IF(LogicCommon!G3="","",LogicCommon!G3)</f>
        <v/>
      </c>
      <c r="M3" s="5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9" t="s">
        <v>17</v>
      </c>
      <c r="B4" s="50"/>
      <c r="C4" s="50"/>
      <c r="D4" s="4"/>
      <c r="E4" s="7" t="s">
        <v>26</v>
      </c>
      <c r="F4" s="53" t="s">
        <v>27</v>
      </c>
      <c r="G4" s="7" t="s">
        <v>12</v>
      </c>
      <c r="H4" s="48" t="str">
        <f>IF(LogicCommon!E4="","",LogicCommon!E4)</f>
        <v>月別品目外工数一覧照会</v>
      </c>
      <c r="I4" s="7" t="s">
        <v>28</v>
      </c>
      <c r="J4" s="8" t="s">
        <v>29</v>
      </c>
      <c r="K4" s="7" t="s">
        <v>14</v>
      </c>
      <c r="L4" s="48" t="str">
        <f>IF(LogicCommon!G4="","",LogicCommon!G4)</f>
        <v>MG.MGUDL5010</v>
      </c>
      <c r="M4" s="54" t="s">
        <v>30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17</v>
      </c>
      <c r="B5" s="47"/>
      <c r="C5" s="47"/>
      <c r="D5" s="21"/>
      <c r="E5" s="7" t="s">
        <v>31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17</v>
      </c>
      <c r="B6" s="50"/>
      <c r="C6" s="5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5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178</v>
      </c>
      <c r="E8" s="25" t="s">
        <v>179</v>
      </c>
      <c r="F8" s="58"/>
      <c r="G8" s="25" t="s">
        <v>40</v>
      </c>
      <c r="H8" s="25" t="s">
        <v>180</v>
      </c>
      <c r="I8" s="58"/>
      <c r="J8" s="3"/>
      <c r="K8" s="8" t="s">
        <v>41</v>
      </c>
      <c r="L8" s="25" t="s">
        <v>42</v>
      </c>
      <c r="M8" s="26"/>
      <c r="N8" s="25" t="s">
        <v>43</v>
      </c>
      <c r="O8" s="26"/>
      <c r="P8" s="25" t="s">
        <v>44</v>
      </c>
      <c r="Q8" s="26"/>
      <c r="R8" s="3"/>
      <c r="S8" s="21"/>
      <c r="T8" s="115" t="s">
        <v>181</v>
      </c>
      <c r="U8" s="116"/>
    </row>
    <row r="9" spans="1:21" s="10" customFormat="1" ht="60" customHeight="1" x14ac:dyDescent="0.2">
      <c r="A9" s="8" t="s">
        <v>34</v>
      </c>
      <c r="B9" s="29"/>
      <c r="C9" s="30"/>
      <c r="D9" s="25" t="s">
        <v>182</v>
      </c>
      <c r="E9" s="59" t="s">
        <v>183</v>
      </c>
      <c r="F9" s="25" t="s">
        <v>184</v>
      </c>
      <c r="G9" s="25" t="s">
        <v>185</v>
      </c>
      <c r="H9" s="25" t="s">
        <v>186</v>
      </c>
      <c r="I9" s="60" t="s">
        <v>187</v>
      </c>
      <c r="J9" s="25" t="s">
        <v>188</v>
      </c>
      <c r="K9" s="62"/>
      <c r="L9" s="60"/>
      <c r="M9" s="25"/>
      <c r="N9" s="25"/>
      <c r="O9" s="25"/>
      <c r="P9" s="25"/>
      <c r="Q9" s="25"/>
      <c r="R9" s="115" t="s">
        <v>189</v>
      </c>
      <c r="S9" s="116"/>
      <c r="T9" s="115" t="s">
        <v>190</v>
      </c>
      <c r="U9" s="116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187</v>
      </c>
      <c r="M10" s="25" t="s">
        <v>188</v>
      </c>
      <c r="N10" s="25" t="s">
        <v>187</v>
      </c>
      <c r="O10" s="25" t="s">
        <v>188</v>
      </c>
      <c r="P10" s="25" t="s">
        <v>187</v>
      </c>
      <c r="Q10" s="25" t="s">
        <v>188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191</v>
      </c>
      <c r="H12" s="39" t="s">
        <v>51</v>
      </c>
      <c r="I12" s="8" t="s">
        <v>52</v>
      </c>
      <c r="J12" s="8"/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ht="26" x14ac:dyDescent="0.2">
      <c r="A13" s="8">
        <v>10</v>
      </c>
      <c r="B13" s="8"/>
      <c r="C13" s="8"/>
      <c r="D13" s="8" t="s">
        <v>53</v>
      </c>
      <c r="E13" s="26" t="s">
        <v>50</v>
      </c>
      <c r="F13" s="26"/>
      <c r="G13" s="39" t="s">
        <v>192</v>
      </c>
      <c r="H13" s="39" t="s">
        <v>54</v>
      </c>
      <c r="I13" s="8" t="s">
        <v>52</v>
      </c>
      <c r="J13" s="8"/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39" t="s">
        <v>193</v>
      </c>
      <c r="H14" s="39" t="s">
        <v>57</v>
      </c>
      <c r="I14" s="8" t="s">
        <v>52</v>
      </c>
      <c r="J14" s="8"/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58</v>
      </c>
      <c r="E15" s="26" t="s">
        <v>56</v>
      </c>
      <c r="F15" s="26"/>
      <c r="G15" s="39" t="s">
        <v>194</v>
      </c>
      <c r="H15" s="39" t="s">
        <v>59</v>
      </c>
      <c r="I15" s="8" t="s">
        <v>52</v>
      </c>
      <c r="J15" s="8"/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195</v>
      </c>
      <c r="H16" s="39" t="s">
        <v>62</v>
      </c>
      <c r="I16" s="8" t="s">
        <v>52</v>
      </c>
      <c r="J16" s="8"/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196</v>
      </c>
      <c r="H17" s="39" t="s">
        <v>65</v>
      </c>
      <c r="I17" s="8" t="s">
        <v>52</v>
      </c>
      <c r="J17" s="8"/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197</v>
      </c>
      <c r="H18" s="39" t="s">
        <v>68</v>
      </c>
      <c r="I18" s="8" t="s">
        <v>52</v>
      </c>
      <c r="J18" s="8"/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198</v>
      </c>
      <c r="H19" s="39" t="s">
        <v>71</v>
      </c>
      <c r="I19" s="8" t="s">
        <v>52</v>
      </c>
      <c r="J19" s="8"/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199</v>
      </c>
      <c r="H20" s="39" t="s">
        <v>74</v>
      </c>
      <c r="I20" s="8" t="s">
        <v>52</v>
      </c>
      <c r="J20" s="8"/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200</v>
      </c>
      <c r="H21" s="39" t="s">
        <v>77</v>
      </c>
      <c r="I21" s="8" t="s">
        <v>52</v>
      </c>
      <c r="J21" s="8"/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ht="26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201</v>
      </c>
      <c r="H22" s="39" t="s">
        <v>80</v>
      </c>
      <c r="I22" s="8" t="s">
        <v>52</v>
      </c>
      <c r="J22" s="8"/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ht="26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202</v>
      </c>
      <c r="H23" s="39" t="s">
        <v>83</v>
      </c>
      <c r="I23" s="8" t="s">
        <v>52</v>
      </c>
      <c r="J23" s="8"/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203</v>
      </c>
      <c r="H24" s="39" t="s">
        <v>86</v>
      </c>
      <c r="I24" s="8" t="s">
        <v>52</v>
      </c>
      <c r="J24" s="8"/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204</v>
      </c>
      <c r="H25" s="39" t="s">
        <v>89</v>
      </c>
      <c r="I25" s="8" t="s">
        <v>52</v>
      </c>
      <c r="J25" s="8"/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205</v>
      </c>
      <c r="H26" s="39" t="s">
        <v>92</v>
      </c>
      <c r="I26" s="8" t="s">
        <v>52</v>
      </c>
      <c r="J26" s="8"/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206</v>
      </c>
      <c r="H27" s="39" t="s">
        <v>95</v>
      </c>
      <c r="I27" s="8" t="s">
        <v>52</v>
      </c>
      <c r="J27" s="8"/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207</v>
      </c>
      <c r="H28" s="39" t="s">
        <v>98</v>
      </c>
      <c r="I28" s="8" t="s">
        <v>52</v>
      </c>
      <c r="J28" s="8"/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208</v>
      </c>
      <c r="H29" s="39" t="s">
        <v>101</v>
      </c>
      <c r="I29" s="8" t="s">
        <v>52</v>
      </c>
      <c r="J29" s="8"/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209</v>
      </c>
      <c r="H30" s="39" t="s">
        <v>104</v>
      </c>
      <c r="I30" s="8" t="s">
        <v>52</v>
      </c>
      <c r="J30" s="8"/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105</v>
      </c>
      <c r="E31" s="26" t="s">
        <v>106</v>
      </c>
      <c r="F31" s="26"/>
      <c r="G31" s="39" t="s">
        <v>210</v>
      </c>
      <c r="H31" s="39" t="s">
        <v>107</v>
      </c>
      <c r="I31" s="8" t="s">
        <v>52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108</v>
      </c>
      <c r="E32" s="26" t="s">
        <v>109</v>
      </c>
      <c r="F32" s="26"/>
      <c r="G32" s="39" t="s">
        <v>211</v>
      </c>
      <c r="H32" s="39" t="s">
        <v>110</v>
      </c>
      <c r="I32" s="8" t="s">
        <v>52</v>
      </c>
      <c r="J32" s="8"/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111</v>
      </c>
      <c r="E33" s="26" t="s">
        <v>112</v>
      </c>
      <c r="F33" s="26"/>
      <c r="G33" s="39" t="s">
        <v>212</v>
      </c>
      <c r="H33" s="39" t="s">
        <v>113</v>
      </c>
      <c r="I33" s="8" t="s">
        <v>52</v>
      </c>
      <c r="J33" s="8"/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39" t="s">
        <v>213</v>
      </c>
      <c r="H34" s="39" t="s">
        <v>116</v>
      </c>
      <c r="I34" s="8" t="s">
        <v>52</v>
      </c>
      <c r="J34" s="8"/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117</v>
      </c>
      <c r="E35" s="26" t="s">
        <v>118</v>
      </c>
      <c r="F35" s="26"/>
      <c r="G35" s="39" t="s">
        <v>214</v>
      </c>
      <c r="H35" s="39" t="s">
        <v>119</v>
      </c>
      <c r="I35" s="8" t="s">
        <v>52</v>
      </c>
      <c r="J35" s="8"/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120</v>
      </c>
      <c r="E36" s="26" t="s">
        <v>121</v>
      </c>
      <c r="F36" s="26"/>
      <c r="G36" s="39" t="s">
        <v>215</v>
      </c>
      <c r="H36" s="39" t="s">
        <v>122</v>
      </c>
      <c r="I36" s="8" t="s">
        <v>52</v>
      </c>
      <c r="J36" s="8"/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123</v>
      </c>
      <c r="E37" s="26" t="s">
        <v>121</v>
      </c>
      <c r="F37" s="26"/>
      <c r="G37" s="39" t="s">
        <v>216</v>
      </c>
      <c r="H37" s="39" t="s">
        <v>124</v>
      </c>
      <c r="I37" s="8" t="s">
        <v>52</v>
      </c>
      <c r="J37" s="8"/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125</v>
      </c>
      <c r="E38" s="26" t="s">
        <v>121</v>
      </c>
      <c r="F38" s="26"/>
      <c r="G38" s="39" t="s">
        <v>217</v>
      </c>
      <c r="H38" s="39" t="s">
        <v>126</v>
      </c>
      <c r="I38" s="8" t="s">
        <v>52</v>
      </c>
      <c r="J38" s="8"/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127</v>
      </c>
      <c r="E39" s="26" t="s">
        <v>121</v>
      </c>
      <c r="F39" s="26"/>
      <c r="G39" s="39" t="s">
        <v>218</v>
      </c>
      <c r="H39" s="39" t="s">
        <v>128</v>
      </c>
      <c r="I39" s="8" t="s">
        <v>52</v>
      </c>
      <c r="J39" s="8"/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129</v>
      </c>
      <c r="E40" s="26" t="s">
        <v>121</v>
      </c>
      <c r="F40" s="26"/>
      <c r="G40" s="39" t="s">
        <v>219</v>
      </c>
      <c r="H40" s="39" t="s">
        <v>130</v>
      </c>
      <c r="I40" s="8" t="s">
        <v>52</v>
      </c>
      <c r="J40" s="8"/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131</v>
      </c>
      <c r="E41" s="26" t="s">
        <v>121</v>
      </c>
      <c r="F41" s="26"/>
      <c r="G41" s="39" t="s">
        <v>220</v>
      </c>
      <c r="H41" s="39" t="s">
        <v>132</v>
      </c>
      <c r="I41" s="8" t="s">
        <v>52</v>
      </c>
      <c r="J41" s="8"/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133</v>
      </c>
      <c r="E42" s="26" t="s">
        <v>121</v>
      </c>
      <c r="F42" s="26"/>
      <c r="G42" s="39" t="s">
        <v>207</v>
      </c>
      <c r="H42" s="39" t="s">
        <v>134</v>
      </c>
      <c r="I42" s="8" t="s">
        <v>52</v>
      </c>
      <c r="J42" s="8"/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135</v>
      </c>
      <c r="E43" s="26" t="s">
        <v>121</v>
      </c>
      <c r="F43" s="26"/>
      <c r="G43" s="39" t="s">
        <v>208</v>
      </c>
      <c r="H43" s="39" t="s">
        <v>101</v>
      </c>
      <c r="I43" s="8" t="s">
        <v>52</v>
      </c>
      <c r="J43" s="8"/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136</v>
      </c>
      <c r="E44" s="26" t="s">
        <v>121</v>
      </c>
      <c r="F44" s="26"/>
      <c r="G44" s="39" t="s">
        <v>209</v>
      </c>
      <c r="H44" s="39" t="s">
        <v>104</v>
      </c>
      <c r="I44" s="8" t="s">
        <v>52</v>
      </c>
      <c r="J44" s="8"/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137</v>
      </c>
      <c r="E45" s="26" t="s">
        <v>121</v>
      </c>
      <c r="F45" s="26"/>
      <c r="G45" s="39" t="s">
        <v>210</v>
      </c>
      <c r="H45" s="39" t="s">
        <v>107</v>
      </c>
      <c r="I45" s="8" t="s">
        <v>52</v>
      </c>
      <c r="J45" s="8"/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138</v>
      </c>
      <c r="E46" s="26" t="s">
        <v>121</v>
      </c>
      <c r="F46" s="26"/>
      <c r="G46" s="39" t="s">
        <v>211</v>
      </c>
      <c r="H46" s="39" t="s">
        <v>110</v>
      </c>
      <c r="I46" s="8" t="s">
        <v>52</v>
      </c>
      <c r="J46" s="8"/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10</v>
      </c>
      <c r="B47" s="8"/>
      <c r="C47" s="8"/>
      <c r="D47" s="8" t="s">
        <v>139</v>
      </c>
      <c r="E47" s="26" t="s">
        <v>121</v>
      </c>
      <c r="F47" s="26"/>
      <c r="G47" s="39" t="s">
        <v>212</v>
      </c>
      <c r="H47" s="39" t="s">
        <v>113</v>
      </c>
      <c r="I47" s="8" t="s">
        <v>52</v>
      </c>
      <c r="J47" s="8"/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ht="39" x14ac:dyDescent="0.2">
      <c r="A48" s="49"/>
      <c r="L48" s="10" t="s">
        <v>187</v>
      </c>
      <c r="M48" s="10" t="s">
        <v>188</v>
      </c>
      <c r="N48" s="10" t="s">
        <v>187</v>
      </c>
      <c r="O48" s="10" t="s">
        <v>188</v>
      </c>
      <c r="P48" s="10" t="s">
        <v>187</v>
      </c>
      <c r="Q48" s="10" t="s">
        <v>188</v>
      </c>
      <c r="U48" s="40"/>
    </row>
    <row r="49" spans="1:21" s="10" customFormat="1" x14ac:dyDescent="0.2">
      <c r="A49" s="8">
        <v>20</v>
      </c>
      <c r="B49" s="29" t="s">
        <v>46</v>
      </c>
      <c r="C49" s="30"/>
      <c r="D49" s="41" t="s">
        <v>140</v>
      </c>
      <c r="E49" s="27" t="s">
        <v>141</v>
      </c>
      <c r="F49" s="42"/>
      <c r="G49" s="24"/>
      <c r="H49" s="26"/>
      <c r="I49" s="15"/>
      <c r="J49" s="15"/>
      <c r="K49" s="15"/>
      <c r="L49" s="27"/>
      <c r="M49" s="27"/>
      <c r="N49" s="27"/>
      <c r="O49" s="27"/>
      <c r="P49" s="27"/>
      <c r="Q49" s="27"/>
      <c r="R49" s="59"/>
      <c r="S49" s="60"/>
      <c r="T49" s="117"/>
      <c r="U49" s="118"/>
    </row>
    <row r="50" spans="1:21" s="10" customFormat="1" x14ac:dyDescent="0.2">
      <c r="A50" s="8">
        <v>20</v>
      </c>
      <c r="B50" s="8"/>
      <c r="C50" s="8"/>
      <c r="D50" s="8" t="s">
        <v>142</v>
      </c>
      <c r="E50" s="26" t="s">
        <v>143</v>
      </c>
      <c r="F50" s="26"/>
      <c r="G50" s="39" t="s">
        <v>221</v>
      </c>
      <c r="H50" s="39" t="s">
        <v>144</v>
      </c>
      <c r="I50" s="8" t="s">
        <v>145</v>
      </c>
      <c r="J50" s="8" t="s">
        <v>145</v>
      </c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20</v>
      </c>
      <c r="B51" s="8"/>
      <c r="C51" s="8"/>
      <c r="D51" s="8" t="s">
        <v>146</v>
      </c>
      <c r="E51" s="26" t="s">
        <v>61</v>
      </c>
      <c r="F51" s="26"/>
      <c r="G51" s="39" t="s">
        <v>195</v>
      </c>
      <c r="H51" s="39" t="s">
        <v>147</v>
      </c>
      <c r="I51" s="8"/>
      <c r="J51" s="8" t="s">
        <v>52</v>
      </c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20</v>
      </c>
      <c r="B52" s="8"/>
      <c r="C52" s="8"/>
      <c r="D52" s="8" t="s">
        <v>148</v>
      </c>
      <c r="E52" s="26" t="s">
        <v>149</v>
      </c>
      <c r="F52" s="26"/>
      <c r="G52" s="39" t="s">
        <v>196</v>
      </c>
      <c r="H52" s="39" t="s">
        <v>65</v>
      </c>
      <c r="I52" s="8"/>
      <c r="J52" s="8" t="s">
        <v>52</v>
      </c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20</v>
      </c>
      <c r="B53" s="8"/>
      <c r="C53" s="8"/>
      <c r="D53" s="8" t="s">
        <v>150</v>
      </c>
      <c r="E53" s="26" t="s">
        <v>67</v>
      </c>
      <c r="F53" s="26"/>
      <c r="G53" s="39" t="s">
        <v>197</v>
      </c>
      <c r="H53" s="39" t="s">
        <v>68</v>
      </c>
      <c r="I53" s="8"/>
      <c r="J53" s="8" t="s">
        <v>52</v>
      </c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20</v>
      </c>
      <c r="B54" s="8"/>
      <c r="C54" s="8"/>
      <c r="D54" s="8" t="s">
        <v>151</v>
      </c>
      <c r="E54" s="26" t="s">
        <v>70</v>
      </c>
      <c r="F54" s="26"/>
      <c r="G54" s="39" t="s">
        <v>198</v>
      </c>
      <c r="H54" s="39" t="s">
        <v>71</v>
      </c>
      <c r="I54" s="8"/>
      <c r="J54" s="8" t="s">
        <v>52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20</v>
      </c>
      <c r="B55" s="8"/>
      <c r="C55" s="8"/>
      <c r="D55" s="8" t="s">
        <v>72</v>
      </c>
      <c r="E55" s="26" t="s">
        <v>73</v>
      </c>
      <c r="F55" s="26"/>
      <c r="G55" s="39" t="s">
        <v>199</v>
      </c>
      <c r="H55" s="39" t="s">
        <v>74</v>
      </c>
      <c r="I55" s="8"/>
      <c r="J55" s="8" t="s">
        <v>52</v>
      </c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20</v>
      </c>
      <c r="B56" s="8"/>
      <c r="C56" s="8"/>
      <c r="D56" s="8" t="s">
        <v>75</v>
      </c>
      <c r="E56" s="26" t="s">
        <v>76</v>
      </c>
      <c r="F56" s="26"/>
      <c r="G56" s="39" t="s">
        <v>200</v>
      </c>
      <c r="H56" s="39" t="s">
        <v>77</v>
      </c>
      <c r="I56" s="8"/>
      <c r="J56" s="8" t="s">
        <v>52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ht="26" x14ac:dyDescent="0.2">
      <c r="A57" s="8">
        <v>20</v>
      </c>
      <c r="B57" s="8"/>
      <c r="C57" s="8"/>
      <c r="D57" s="8" t="s">
        <v>78</v>
      </c>
      <c r="E57" s="26" t="s">
        <v>79</v>
      </c>
      <c r="F57" s="26"/>
      <c r="G57" s="39" t="s">
        <v>201</v>
      </c>
      <c r="H57" s="39" t="s">
        <v>80</v>
      </c>
      <c r="I57" s="8"/>
      <c r="J57" s="8" t="s">
        <v>52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ht="26" x14ac:dyDescent="0.2">
      <c r="A58" s="8">
        <v>20</v>
      </c>
      <c r="B58" s="8"/>
      <c r="C58" s="8"/>
      <c r="D58" s="8" t="s">
        <v>81</v>
      </c>
      <c r="E58" s="26" t="s">
        <v>82</v>
      </c>
      <c r="F58" s="26"/>
      <c r="G58" s="39" t="s">
        <v>202</v>
      </c>
      <c r="H58" s="39" t="s">
        <v>83</v>
      </c>
      <c r="I58" s="8"/>
      <c r="J58" s="8" t="s">
        <v>52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20</v>
      </c>
      <c r="B59" s="8"/>
      <c r="C59" s="8"/>
      <c r="D59" s="8" t="s">
        <v>84</v>
      </c>
      <c r="E59" s="26" t="s">
        <v>85</v>
      </c>
      <c r="F59" s="26"/>
      <c r="G59" s="39" t="s">
        <v>203</v>
      </c>
      <c r="H59" s="39" t="s">
        <v>86</v>
      </c>
      <c r="I59" s="8"/>
      <c r="J59" s="8" t="s">
        <v>52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20</v>
      </c>
      <c r="B60" s="8"/>
      <c r="C60" s="8"/>
      <c r="D60" s="8" t="s">
        <v>87</v>
      </c>
      <c r="E60" s="26" t="s">
        <v>88</v>
      </c>
      <c r="F60" s="26"/>
      <c r="G60" s="39" t="s">
        <v>204</v>
      </c>
      <c r="H60" s="39" t="s">
        <v>89</v>
      </c>
      <c r="I60" s="8"/>
      <c r="J60" s="8" t="s">
        <v>52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20</v>
      </c>
      <c r="B61" s="8"/>
      <c r="C61" s="8"/>
      <c r="D61" s="8" t="s">
        <v>90</v>
      </c>
      <c r="E61" s="26" t="s">
        <v>91</v>
      </c>
      <c r="F61" s="26"/>
      <c r="G61" s="39" t="s">
        <v>205</v>
      </c>
      <c r="H61" s="39" t="s">
        <v>92</v>
      </c>
      <c r="I61" s="8"/>
      <c r="J61" s="8" t="s">
        <v>52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20</v>
      </c>
      <c r="B62" s="8"/>
      <c r="C62" s="8"/>
      <c r="D62" s="8" t="s">
        <v>93</v>
      </c>
      <c r="E62" s="26" t="s">
        <v>94</v>
      </c>
      <c r="F62" s="26"/>
      <c r="G62" s="39" t="s">
        <v>206</v>
      </c>
      <c r="H62" s="39" t="s">
        <v>95</v>
      </c>
      <c r="I62" s="8"/>
      <c r="J62" s="8" t="s">
        <v>52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20</v>
      </c>
      <c r="B63" s="8"/>
      <c r="C63" s="8"/>
      <c r="D63" s="8" t="s">
        <v>96</v>
      </c>
      <c r="E63" s="26" t="s">
        <v>97</v>
      </c>
      <c r="F63" s="26"/>
      <c r="G63" s="39" t="s">
        <v>207</v>
      </c>
      <c r="H63" s="39" t="s">
        <v>98</v>
      </c>
      <c r="I63" s="8"/>
      <c r="J63" s="8" t="s">
        <v>52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20</v>
      </c>
      <c r="B64" s="8"/>
      <c r="C64" s="8"/>
      <c r="D64" s="8" t="s">
        <v>99</v>
      </c>
      <c r="E64" s="26" t="s">
        <v>100</v>
      </c>
      <c r="F64" s="26"/>
      <c r="G64" s="39" t="s">
        <v>208</v>
      </c>
      <c r="H64" s="39" t="s">
        <v>101</v>
      </c>
      <c r="I64" s="8"/>
      <c r="J64" s="8" t="s">
        <v>52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20</v>
      </c>
      <c r="B65" s="8"/>
      <c r="C65" s="8"/>
      <c r="D65" s="8" t="s">
        <v>102</v>
      </c>
      <c r="E65" s="26" t="s">
        <v>103</v>
      </c>
      <c r="F65" s="26"/>
      <c r="G65" s="39" t="s">
        <v>209</v>
      </c>
      <c r="H65" s="39" t="s">
        <v>104</v>
      </c>
      <c r="I65" s="8"/>
      <c r="J65" s="8" t="s">
        <v>52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20</v>
      </c>
      <c r="B66" s="8"/>
      <c r="C66" s="8"/>
      <c r="D66" s="8" t="s">
        <v>105</v>
      </c>
      <c r="E66" s="26" t="s">
        <v>106</v>
      </c>
      <c r="F66" s="26"/>
      <c r="G66" s="39" t="s">
        <v>210</v>
      </c>
      <c r="H66" s="39" t="s">
        <v>107</v>
      </c>
      <c r="I66" s="8"/>
      <c r="J66" s="8" t="s">
        <v>52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20</v>
      </c>
      <c r="B67" s="8"/>
      <c r="C67" s="8"/>
      <c r="D67" s="8" t="s">
        <v>108</v>
      </c>
      <c r="E67" s="26" t="s">
        <v>109</v>
      </c>
      <c r="F67" s="26"/>
      <c r="G67" s="39" t="s">
        <v>211</v>
      </c>
      <c r="H67" s="39" t="s">
        <v>110</v>
      </c>
      <c r="I67" s="8"/>
      <c r="J67" s="8" t="s">
        <v>52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20</v>
      </c>
      <c r="B68" s="8"/>
      <c r="C68" s="8"/>
      <c r="D68" s="8" t="s">
        <v>111</v>
      </c>
      <c r="E68" s="26" t="s">
        <v>112</v>
      </c>
      <c r="F68" s="26"/>
      <c r="G68" s="39" t="s">
        <v>212</v>
      </c>
      <c r="H68" s="39" t="s">
        <v>113</v>
      </c>
      <c r="I68" s="8"/>
      <c r="J68" s="8" t="s">
        <v>52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20</v>
      </c>
      <c r="B69" s="8"/>
      <c r="C69" s="8"/>
      <c r="D69" s="8" t="s">
        <v>114</v>
      </c>
      <c r="E69" s="26" t="s">
        <v>115</v>
      </c>
      <c r="F69" s="26"/>
      <c r="G69" s="39" t="s">
        <v>213</v>
      </c>
      <c r="H69" s="39" t="s">
        <v>116</v>
      </c>
      <c r="I69" s="8"/>
      <c r="J69" s="8" t="s">
        <v>52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20</v>
      </c>
      <c r="B70" s="8"/>
      <c r="C70" s="8"/>
      <c r="D70" s="8" t="s">
        <v>117</v>
      </c>
      <c r="E70" s="26" t="s">
        <v>118</v>
      </c>
      <c r="F70" s="26"/>
      <c r="G70" s="39" t="s">
        <v>214</v>
      </c>
      <c r="H70" s="39" t="s">
        <v>119</v>
      </c>
      <c r="I70" s="8"/>
      <c r="J70" s="8" t="s">
        <v>52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20</v>
      </c>
      <c r="B71" s="8"/>
      <c r="C71" s="8"/>
      <c r="D71" s="8" t="s">
        <v>152</v>
      </c>
      <c r="E71" s="26" t="s">
        <v>153</v>
      </c>
      <c r="F71" s="26"/>
      <c r="G71" s="39" t="s">
        <v>222</v>
      </c>
      <c r="H71" s="39" t="s">
        <v>154</v>
      </c>
      <c r="I71" s="8"/>
      <c r="J71" s="8" t="s">
        <v>52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20</v>
      </c>
      <c r="B72" s="8"/>
      <c r="C72" s="8"/>
      <c r="D72" s="8" t="s">
        <v>155</v>
      </c>
      <c r="E72" s="26" t="s">
        <v>156</v>
      </c>
      <c r="F72" s="26"/>
      <c r="G72" s="39" t="s">
        <v>223</v>
      </c>
      <c r="H72" s="39" t="s">
        <v>157</v>
      </c>
      <c r="I72" s="8"/>
      <c r="J72" s="8" t="s">
        <v>52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20</v>
      </c>
      <c r="B73" s="8"/>
      <c r="C73" s="8"/>
      <c r="D73" s="8" t="s">
        <v>158</v>
      </c>
      <c r="E73" s="26" t="s">
        <v>56</v>
      </c>
      <c r="F73" s="26"/>
      <c r="G73" s="39" t="s">
        <v>224</v>
      </c>
      <c r="H73" s="39" t="s">
        <v>159</v>
      </c>
      <c r="I73" s="8"/>
      <c r="J73" s="8" t="s">
        <v>52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20</v>
      </c>
      <c r="B74" s="8"/>
      <c r="C74" s="8"/>
      <c r="D74" s="8" t="s">
        <v>160</v>
      </c>
      <c r="E74" s="26" t="s">
        <v>161</v>
      </c>
      <c r="F74" s="26"/>
      <c r="G74" s="39" t="s">
        <v>225</v>
      </c>
      <c r="H74" s="39" t="s">
        <v>162</v>
      </c>
      <c r="I74" s="8"/>
      <c r="J74" s="8" t="s">
        <v>52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20</v>
      </c>
      <c r="B75" s="8"/>
      <c r="C75" s="8"/>
      <c r="D75" s="8" t="s">
        <v>163</v>
      </c>
      <c r="E75" s="26" t="s">
        <v>161</v>
      </c>
      <c r="F75" s="26"/>
      <c r="G75" s="39" t="s">
        <v>226</v>
      </c>
      <c r="H75" s="39" t="s">
        <v>164</v>
      </c>
      <c r="I75" s="8"/>
      <c r="J75" s="8" t="s">
        <v>52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20</v>
      </c>
      <c r="B76" s="8"/>
      <c r="C76" s="8"/>
      <c r="D76" s="8" t="s">
        <v>165</v>
      </c>
      <c r="E76" s="26" t="s">
        <v>161</v>
      </c>
      <c r="F76" s="26"/>
      <c r="G76" s="39" t="s">
        <v>227</v>
      </c>
      <c r="H76" s="39" t="s">
        <v>166</v>
      </c>
      <c r="I76" s="8"/>
      <c r="J76" s="8" t="s">
        <v>52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20</v>
      </c>
      <c r="B77" s="8"/>
      <c r="C77" s="8"/>
      <c r="D77" s="8" t="s">
        <v>167</v>
      </c>
      <c r="E77" s="26" t="s">
        <v>161</v>
      </c>
      <c r="F77" s="26"/>
      <c r="G77" s="39" t="s">
        <v>228</v>
      </c>
      <c r="H77" s="39" t="s">
        <v>168</v>
      </c>
      <c r="I77" s="8"/>
      <c r="J77" s="8" t="s">
        <v>52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22"/>
      <c r="B78" s="23"/>
      <c r="C78" s="23"/>
      <c r="D78" s="16" t="s">
        <v>16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8"/>
    </row>
    <row r="79" spans="1:21" s="10" customFormat="1" x14ac:dyDescent="0.2">
      <c r="A79" s="49"/>
      <c r="U79" s="40"/>
    </row>
    <row r="80" spans="1:21" s="10" customFormat="1" x14ac:dyDescent="0.2">
      <c r="A80" s="49"/>
      <c r="U80" s="40"/>
    </row>
    <row r="81" spans="1:21" s="10" customFormat="1" x14ac:dyDescent="0.2">
      <c r="A81" s="49"/>
      <c r="U81" s="40"/>
    </row>
    <row r="82" spans="1:21" s="10" customFormat="1" x14ac:dyDescent="0.2">
      <c r="A82" s="49"/>
      <c r="U82" s="40"/>
    </row>
    <row r="83" spans="1:21" s="10" customFormat="1" x14ac:dyDescent="0.2">
      <c r="A83" s="49"/>
      <c r="U83" s="40"/>
    </row>
    <row r="84" spans="1:21" s="10" customFormat="1" x14ac:dyDescent="0.2">
      <c r="A84" s="49"/>
      <c r="U84" s="40"/>
    </row>
    <row r="85" spans="1:21" s="10" customFormat="1" x14ac:dyDescent="0.2">
      <c r="A85" s="49"/>
      <c r="U85" s="40"/>
    </row>
    <row r="86" spans="1:21" s="10" customFormat="1" x14ac:dyDescent="0.2">
      <c r="A86" s="49"/>
      <c r="U86" s="40"/>
    </row>
    <row r="87" spans="1:21" s="10" customFormat="1" x14ac:dyDescent="0.2">
      <c r="A87" s="49"/>
      <c r="U87" s="40"/>
    </row>
    <row r="88" spans="1:21" s="10" customFormat="1" x14ac:dyDescent="0.2">
      <c r="A88" s="49"/>
      <c r="U88" s="40"/>
    </row>
    <row r="89" spans="1:21" s="10" customFormat="1" x14ac:dyDescent="0.2">
      <c r="A89" s="49"/>
      <c r="U89" s="40"/>
    </row>
    <row r="90" spans="1:21" s="10" customFormat="1" x14ac:dyDescent="0.2">
      <c r="A90" s="49"/>
      <c r="U90" s="40"/>
    </row>
    <row r="91" spans="1:21" s="10" customFormat="1" x14ac:dyDescent="0.2">
      <c r="A91" s="49"/>
      <c r="U91" s="40"/>
    </row>
    <row r="92" spans="1:21" s="10" customFormat="1" x14ac:dyDescent="0.2">
      <c r="A92" s="49"/>
      <c r="U92" s="40"/>
    </row>
    <row r="93" spans="1:21" s="10" customFormat="1" x14ac:dyDescent="0.2">
      <c r="A93" s="49"/>
      <c r="U93" s="40"/>
    </row>
    <row r="94" spans="1:21" s="10" customFormat="1" x14ac:dyDescent="0.2">
      <c r="A94" s="49"/>
      <c r="U94" s="40"/>
    </row>
    <row r="95" spans="1:21" s="10" customFormat="1" x14ac:dyDescent="0.2">
      <c r="A95" s="49"/>
      <c r="U95" s="40"/>
    </row>
    <row r="96" spans="1:21" s="10" customFormat="1" x14ac:dyDescent="0.2">
      <c r="A96" s="49"/>
      <c r="U96" s="40"/>
    </row>
    <row r="97" spans="1:21" s="10" customFormat="1" x14ac:dyDescent="0.2">
      <c r="A97" s="56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43"/>
    </row>
  </sheetData>
  <mergeCells count="133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51:S51"/>
    <mergeCell ref="T51:U51"/>
    <mergeCell ref="R52:S52"/>
    <mergeCell ref="T52:U52"/>
    <mergeCell ref="R53:S53"/>
    <mergeCell ref="T53:U53"/>
    <mergeCell ref="R46:S46"/>
    <mergeCell ref="T46:U46"/>
    <mergeCell ref="R47:S47"/>
    <mergeCell ref="T47:U47"/>
    <mergeCell ref="T49:U49"/>
    <mergeCell ref="R50:S50"/>
    <mergeCell ref="T50:U5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4" t="s">
        <v>169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170</v>
      </c>
      <c r="B3" s="98"/>
      <c r="C3" s="98"/>
      <c r="D3" s="98"/>
      <c r="E3" s="98"/>
      <c r="F3" s="98"/>
      <c r="G3" s="99"/>
      <c r="H3" s="100" t="s">
        <v>171</v>
      </c>
      <c r="I3" s="98"/>
      <c r="J3" s="98"/>
      <c r="K3" s="98"/>
      <c r="L3" s="98"/>
      <c r="M3" s="98"/>
      <c r="N3" s="99"/>
      <c r="O3" s="100" t="s">
        <v>172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173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174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229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230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2026-03-27T05:50:04Z</dcterms:modified>
  <cp:category/>
</cp:coreProperties>
</file>