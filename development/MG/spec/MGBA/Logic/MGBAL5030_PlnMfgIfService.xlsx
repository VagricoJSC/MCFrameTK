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B1D6ED7A-5E04-46CD-BCDE-001A5CC3BA1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PlnMfgIf_Chk01" sheetId="6" r:id="rId2"/>
    <sheet name="PlnMfgIf_Upd01" sheetId="13" r:id="rId3"/>
    <sheet name="来歴" sheetId="1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6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<sst xmlns="http://schemas.openxmlformats.org/spreadsheetml/2006/main" count="286" uniqueCount="138">
  <si>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</si>
  <si>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</si>
  <si>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</si>
  <si>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</si>
  <si>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</si>
  <si>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</si>
  <si>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</si>
  <si>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MGBA</t>
    <phoneticPr fontId="2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</si>
  <si>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</si>
  <si>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</si>
  <si>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</si>
  <si>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</si>
  <si>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</si>
  <si>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</si>
  <si>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</si>
  <si>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</si>
  <si>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</si>
  <si>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</si>
  <si>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</si>
  <si>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</si>
  <si>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</si>
  <si>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</si>
  <si>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</si>
  <si>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</si>
  <si>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</si>
  <si>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</si>
  <si>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</si>
  <si>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</si>
  <si>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</si>
  <si>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</si>
  <si>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super/share</t>
    <phoneticPr fontId="3"/>
  </si>
  <si>
    <t>TargetName</t>
    <phoneticPr fontId="3"/>
  </si>
  <si>
    <t>*</t>
  </si>
  <si>
    <t>wg_cd</t>
  </si>
  <si>
    <t>#MA.WG_CD</t>
  </si>
  <si>
    <t>E</t>
    <phoneticPr fontId="3"/>
  </si>
  <si>
    <t>calc_ctg_cd</t>
  </si>
  <si>
    <t>#MA.CALC_CTG_CD</t>
  </si>
  <si>
    <t>計算カテゴリＣＤ</t>
    <phoneticPr fontId="3"/>
  </si>
  <si>
    <t>ym_fr</t>
  </si>
  <si>
    <t>#MA.YM</t>
  </si>
  <si>
    <t>年月ＦＲＯＭ</t>
    <phoneticPr fontId="3"/>
  </si>
  <si>
    <t>ym_to</t>
  </si>
  <si>
    <t>年月ＴＯ</t>
    <phoneticPr fontId="3"/>
  </si>
  <si>
    <t>@</t>
    <phoneticPr fontId="2"/>
  </si>
  <si>
    <t>K</t>
    <phoneticPr fontId="3"/>
  </si>
  <si>
    <t>DUPLICATE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</si>
  <si>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</si>
  <si>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</si>
  <si>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</si>
  <si>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</si>
  <si>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#</t>
    <phoneticPr fontId="3"/>
  </si>
  <si>
    <t>E</t>
    <phoneticPr fontId="2"/>
  </si>
  <si>
    <t>R</t>
    <phoneticPr fontId="2"/>
  </si>
  <si>
    <t>MA.MAUAL0010.CalcCtg</t>
    <phoneticPr fontId="2"/>
  </si>
  <si>
    <t>R</t>
  </si>
  <si>
    <t>o</t>
    <phoneticPr fontId="3"/>
  </si>
  <si>
    <t>REQ_UPD_CNT_CHK</t>
    <phoneticPr fontId="2"/>
  </si>
  <si>
    <t>AT_LEAST_ONE</t>
    <phoneticPr fontId="2"/>
  </si>
  <si>
    <t>NULL_VAL</t>
    <phoneticPr fontId="2"/>
  </si>
  <si>
    <t>BEFORE_AFTER</t>
    <phoneticPr fontId="2"/>
  </si>
  <si>
    <t>TOO_MANY_INPUTS</t>
    <phoneticPr fontId="2"/>
  </si>
  <si>
    <t>ONLY_ONE_INPUT</t>
    <phoneticPr fontId="2"/>
  </si>
  <si>
    <t>ワーキンググループＣＤ</t>
    <phoneticPr fontId="2"/>
  </si>
  <si>
    <t>ym:BF</t>
    <phoneticPr fontId="2"/>
  </si>
  <si>
    <t>ym:AF</t>
    <phoneticPr fontId="2"/>
  </si>
  <si>
    <t>C</t>
    <phoneticPr fontId="2"/>
  </si>
  <si>
    <t>計画取込前チェック</t>
    <rPh sb="0" eb="2">
      <t>ケイカク</t>
    </rPh>
    <rPh sb="2" eb="4">
      <t>トリコミ</t>
    </rPh>
    <rPh sb="4" eb="5">
      <t>マエ</t>
    </rPh>
    <phoneticPr fontId="2"/>
  </si>
  <si>
    <t>ＳＣＭから製造計画を取り込むために、チェックを行う。</t>
    <rPh sb="5" eb="7">
      <t>セイゾウ</t>
    </rPh>
    <rPh sb="7" eb="9">
      <t>ケイカク</t>
    </rPh>
    <rPh sb="10" eb="11">
      <t>ト</t>
    </rPh>
    <rPh sb="12" eb="13">
      <t>コ</t>
    </rPh>
    <phoneticPr fontId="2"/>
  </si>
  <si>
    <t>K</t>
    <phoneticPr fontId="3"/>
  </si>
  <si>
    <t>#</t>
    <phoneticPr fontId="3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</si>
  <si>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</si>
  <si>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</si>
  <si>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</si>
  <si>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</si>
  <si>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CHK_PTN</t>
    <phoneticPr fontId="2"/>
  </si>
  <si>
    <t>LIST_IN_BASE</t>
    <phoneticPr fontId="2"/>
  </si>
  <si>
    <t>CONST</t>
    <phoneticPr fontId="2"/>
  </si>
  <si>
    <t>mfg_pln_imp_typ</t>
    <phoneticPr fontId="2"/>
  </si>
  <si>
    <t>#MA.MFG_PLN_IMP_TYP</t>
    <phoneticPr fontId="3"/>
  </si>
  <si>
    <t>生産計画取込区分</t>
    <phoneticPr fontId="2"/>
  </si>
  <si>
    <t>MAC_MFG_PLN_IMP_TYP</t>
    <phoneticPr fontId="2"/>
  </si>
  <si>
    <t>sim_mrp_no</t>
  </si>
  <si>
    <t>#MA.SIM_MRP_NO</t>
  </si>
  <si>
    <t>シミュレーションＮＯ</t>
    <phoneticPr fontId="3"/>
  </si>
  <si>
    <t>$share$</t>
  </si>
  <si>
    <t>-</t>
    <phoneticPr fontId="2"/>
  </si>
  <si>
    <t>#</t>
    <phoneticPr fontId="3"/>
  </si>
  <si>
    <t>@</t>
    <phoneticPr fontId="2"/>
  </si>
  <si>
    <t>計画取込</t>
    <rPh sb="0" eb="2">
      <t>ケイカク</t>
    </rPh>
    <rPh sb="2" eb="3">
      <t>ト</t>
    </rPh>
    <rPh sb="3" eb="4">
      <t>コ</t>
    </rPh>
    <phoneticPr fontId="2"/>
  </si>
  <si>
    <t>ＳＣＭから製造計画を取り込む。</t>
    <rPh sb="5" eb="7">
      <t>セイゾウ</t>
    </rPh>
    <rPh sb="7" eb="9">
      <t>ケイカク</t>
    </rPh>
    <rPh sb="10" eb="11">
      <t>ト</t>
    </rPh>
    <rPh sb="12" eb="13">
      <t>コ</t>
    </rPh>
    <phoneticPr fontId="2"/>
  </si>
  <si>
    <t>#</t>
    <phoneticPr fontId="3"/>
  </si>
  <si>
    <t>U</t>
    <phoneticPr fontId="3"/>
  </si>
  <si>
    <t>o</t>
    <phoneticPr fontId="3"/>
  </si>
  <si>
    <t>o</t>
    <phoneticPr fontId="3"/>
  </si>
  <si>
    <t>TargetName</t>
    <phoneticPr fontId="3"/>
  </si>
  <si>
    <t>TargetName</t>
    <phoneticPr fontId="3"/>
  </si>
  <si>
    <t>TargetName</t>
    <phoneticPr fontId="3"/>
  </si>
  <si>
    <t>#MA.MFG_PLN_IMP_TYP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</si>
  <si>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</si>
  <si>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</si>
  <si>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</si>
  <si>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</si>
  <si>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</si>
  <si>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</si>
  <si>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</si>
  <si>
    <t>MA.MAUDL5010.Checker</t>
  </si>
  <si>
    <t>"mcframe.serverMAUD.MAUDL5010.MAUDL_Operation"</t>
  </si>
  <si>
    <t>MGBAL5030</t>
    <phoneticPr fontId="2"/>
  </si>
  <si>
    <t>MGBAL_PlnMfgIfService</t>
    <phoneticPr fontId="2"/>
  </si>
  <si>
    <t>製造計画取込サービス</t>
    <phoneticPr fontId="2"/>
  </si>
  <si>
    <t>MG.MGBAL5030.PlnMfgIf_Chk01.PlnMfgIf_Chk01_Cnd</t>
    <phoneticPr fontId="3"/>
  </si>
  <si>
    <t>PlnMfgIf_Chk01_Cnd</t>
    <phoneticPr fontId="2"/>
  </si>
  <si>
    <t>PlnMfgIf_Upd01_Cnd</t>
    <phoneticPr fontId="2"/>
  </si>
  <si>
    <t>PlnMfgIf_Upd01</t>
    <phoneticPr fontId="2"/>
  </si>
  <si>
    <t>PlnMfgIf_Chk01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</si>
  <si>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</si>
  <si>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</si>
  <si>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</si>
  <si>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</si>
  <si>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</si>
  <si>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</si>
  <si>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</si>
  <si>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</si>
  <si>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</si>
  <si>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</si>
  <si>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</si>
  <si>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</si>
  <si>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</si>
  <si>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</si>
  <si>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category cd.</t>
  </si>
  <si>
    <t>WG cd.</t>
  </si>
  <si>
    <t>Month FROM</t>
  </si>
  <si>
    <t>Month TO</t>
  </si>
  <si>
    <t>Production plan import type</t>
  </si>
  <si>
    <t>Simulation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</si>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</sst>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8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0" borderId="6" xfId="0" applyFont="1" applyBorder="1" applyAlignment="1">
      <alignment vertical="center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5" xfId="0" applyFont="1" applyBorder="1" applyAlignment="1"/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108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109</v>
      </c>
      <c r="F3" s="7" t="s">
        <v>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110</v>
      </c>
      <c r="F4" s="7" t="s">
        <v>11</v>
      </c>
      <c r="G4" s="8" t="s">
        <v>105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L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bestFit="1" customWidth="1"/>
    <col min="9" max="10" width="15.81640625" style="4" customWidth="1"/>
    <col min="11" max="11" width="27.453125" style="4" customWidth="1"/>
    <col min="12" max="12" width="22.81640625" style="4" bestFit="1" customWidth="1"/>
    <col min="13" max="13" width="13.90625" style="4" bestFit="1" customWidth="1"/>
    <col min="14" max="14" width="50.81640625" style="4" customWidth="1"/>
    <col min="15" max="15" width="13.90625" style="4" bestFit="1" customWidth="1"/>
    <col min="16" max="16" width="17.1796875" style="4" customWidth="1"/>
    <col min="17" max="17" width="11.6328125" style="4" bestFit="1" customWidth="1"/>
    <col min="18" max="18" width="9.453125" style="4" bestFit="1" customWidth="1"/>
    <col min="19" max="21" width="16.08984375" style="5" customWidth="1"/>
    <col min="22" max="22" width="22.08984375" style="5" bestFit="1" customWidth="1"/>
    <col min="23" max="26" width="16.08984375" style="5" customWidth="1"/>
    <col min="27" max="27" width="21.08984375" style="5" bestFit="1" customWidth="1"/>
    <col min="28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6" t="s">
        <v>14</v>
      </c>
      <c r="B1" s="46" t="s">
        <v>14</v>
      </c>
      <c r="C1" s="46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</v>
      </c>
      <c r="B2" s="23"/>
      <c r="C2" s="23"/>
      <c r="D2" s="61" t="s">
        <v>116</v>
      </c>
      <c r="E2" s="7" t="s">
        <v>1</v>
      </c>
      <c r="F2" s="47" t="str">
        <f>IF(LogicCommon!C2="","",LogicCommon!C2)</f>
        <v>MG</v>
      </c>
      <c r="G2" s="7" t="s">
        <v>3</v>
      </c>
      <c r="H2" s="47" t="str">
        <f>IF(LogicCommon!E2="","",LogicCommon!E2)</f>
        <v>MGBAL5030</v>
      </c>
      <c r="I2" s="7" t="s">
        <v>16</v>
      </c>
      <c r="J2" s="8" t="s">
        <v>115</v>
      </c>
      <c r="K2" s="7" t="s">
        <v>4</v>
      </c>
      <c r="L2" s="47" t="str">
        <f>IF(LogicCommon!G2="","",LogicCommon!G2)</f>
        <v>MC</v>
      </c>
      <c r="M2" s="5" t="s">
        <v>17</v>
      </c>
      <c r="N2" s="24" t="s">
        <v>106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8" t="s">
        <v>14</v>
      </c>
      <c r="B3" s="49"/>
      <c r="C3" s="49"/>
      <c r="D3" s="50" t="str">
        <f>IF(LogicCommon!A3="","",LogicCommon!A3)</f>
        <v/>
      </c>
      <c r="E3" s="7" t="s">
        <v>6</v>
      </c>
      <c r="F3" s="47" t="str">
        <f>IF(LogicCommon!C3="","",LogicCommon!C3)</f>
        <v>MGBA</v>
      </c>
      <c r="G3" s="7" t="s">
        <v>8</v>
      </c>
      <c r="H3" s="47" t="str">
        <f>IF(LogicCommon!E3="","",LogicCommon!E3)</f>
        <v>MGBAL_PlnMfgIfService</v>
      </c>
      <c r="I3" s="7" t="s">
        <v>18</v>
      </c>
      <c r="J3" s="8" t="s">
        <v>44</v>
      </c>
      <c r="K3" s="7" t="s">
        <v>9</v>
      </c>
      <c r="L3" s="47" t="str">
        <f>IF(LogicCommon!G3="","",LogicCommon!G3)</f>
        <v/>
      </c>
      <c r="M3" s="51"/>
      <c r="N3" s="7"/>
      <c r="O3" s="7" t="s">
        <v>19</v>
      </c>
      <c r="P3" s="8" t="s">
        <v>20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8" t="s">
        <v>14</v>
      </c>
      <c r="B4" s="49"/>
      <c r="C4" s="49"/>
      <c r="D4" s="4"/>
      <c r="E4" s="7" t="s">
        <v>21</v>
      </c>
      <c r="F4" s="52" t="s">
        <v>22</v>
      </c>
      <c r="G4" s="7" t="s">
        <v>10</v>
      </c>
      <c r="H4" s="47" t="str">
        <f>IF(LogicCommon!E4="","",LogicCommon!E4)</f>
        <v>製造計画取込サービス</v>
      </c>
      <c r="I4" s="7" t="s">
        <v>23</v>
      </c>
      <c r="J4" s="8" t="s">
        <v>67</v>
      </c>
      <c r="K4" s="7" t="s">
        <v>11</v>
      </c>
      <c r="L4" s="47" t="str">
        <f>IF(LogicCommon!G4="","",LogicCommon!G4)</f>
        <v>MG.MGUDL5010</v>
      </c>
      <c r="M4" s="53" t="s">
        <v>24</v>
      </c>
      <c r="N4" s="24"/>
      <c r="O4" s="5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5" t="s">
        <v>14</v>
      </c>
      <c r="B5" s="46"/>
      <c r="C5" s="46"/>
      <c r="D5" s="21"/>
      <c r="E5" s="7" t="s">
        <v>25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4"/>
      <c r="T5" s="5"/>
      <c r="U5" s="4"/>
      <c r="V5" s="5"/>
      <c r="W5" s="4"/>
      <c r="X5" s="5"/>
      <c r="Y5" s="4"/>
      <c r="Z5" s="5"/>
      <c r="AA5" s="4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8" t="s">
        <v>14</v>
      </c>
      <c r="B6" s="49"/>
      <c r="C6" s="49"/>
      <c r="D6" s="4" t="s">
        <v>12</v>
      </c>
      <c r="E6" s="12" t="s">
        <v>68</v>
      </c>
      <c r="F6" s="12"/>
      <c r="G6" s="12"/>
      <c r="H6" s="12"/>
      <c r="I6" s="12"/>
      <c r="J6" s="12"/>
      <c r="K6" s="12"/>
      <c r="L6" s="57"/>
      <c r="M6" s="15"/>
      <c r="N6" s="15"/>
      <c r="O6" s="15"/>
      <c r="P6" s="15"/>
      <c r="Q6" s="15"/>
      <c r="R6" s="15"/>
      <c r="S6" s="3"/>
      <c r="T6" s="15"/>
      <c r="U6" s="3"/>
      <c r="V6" s="15"/>
      <c r="W6" s="3"/>
      <c r="X6" s="15"/>
      <c r="Y6" s="3"/>
      <c r="Z6" s="15"/>
      <c r="AA6" s="3"/>
      <c r="AB6" s="15"/>
      <c r="AC6" s="15"/>
      <c r="AD6" s="15" t="s">
        <v>26</v>
      </c>
      <c r="AE6" s="15"/>
      <c r="AF6" s="15" t="s">
        <v>26</v>
      </c>
      <c r="AG6" s="15"/>
      <c r="AH6" s="15" t="s">
        <v>26</v>
      </c>
      <c r="AI6" s="4"/>
      <c r="AJ6" s="4"/>
      <c r="AK6" s="5"/>
      <c r="AL6" s="5"/>
    </row>
    <row r="7" spans="1:38" s="10" customFormat="1" x14ac:dyDescent="0.2">
      <c r="A7" s="23" t="s">
        <v>51</v>
      </c>
      <c r="B7" s="23"/>
      <c r="C7" s="23"/>
      <c r="D7" s="6"/>
      <c r="E7" s="6"/>
      <c r="F7" s="6"/>
      <c r="G7" s="6"/>
      <c r="H7" s="6"/>
      <c r="I7" s="6" t="s">
        <v>28</v>
      </c>
      <c r="J7" s="6"/>
      <c r="K7" s="8" t="s">
        <v>45</v>
      </c>
      <c r="L7" s="8" t="s">
        <v>45</v>
      </c>
      <c r="M7" s="8" t="s">
        <v>45</v>
      </c>
      <c r="N7" s="8" t="s">
        <v>45</v>
      </c>
      <c r="O7" s="8" t="s">
        <v>45</v>
      </c>
      <c r="P7" s="8" t="s">
        <v>45</v>
      </c>
      <c r="Q7" s="8" t="s">
        <v>45</v>
      </c>
      <c r="R7" s="8" t="s">
        <v>45</v>
      </c>
      <c r="S7" s="8" t="s">
        <v>69</v>
      </c>
      <c r="T7" s="8" t="s">
        <v>45</v>
      </c>
      <c r="U7" s="8" t="s">
        <v>45</v>
      </c>
      <c r="V7" s="8" t="s">
        <v>45</v>
      </c>
      <c r="W7" s="8" t="s">
        <v>45</v>
      </c>
      <c r="X7" s="8" t="s">
        <v>45</v>
      </c>
      <c r="Y7" s="8" t="s">
        <v>69</v>
      </c>
      <c r="Z7" s="8" t="s">
        <v>45</v>
      </c>
      <c r="AA7" s="8" t="s">
        <v>45</v>
      </c>
      <c r="AB7" s="8" t="s">
        <v>69</v>
      </c>
      <c r="AC7" s="25" t="s">
        <v>29</v>
      </c>
      <c r="AD7" s="26"/>
      <c r="AE7" s="25" t="s">
        <v>29</v>
      </c>
      <c r="AF7" s="26"/>
      <c r="AG7" s="25" t="s">
        <v>29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27</v>
      </c>
      <c r="B8" s="62"/>
      <c r="C8" s="63"/>
      <c r="D8" s="25" t="s">
        <v>117</v>
      </c>
      <c r="E8" s="25" t="s">
        <v>118</v>
      </c>
      <c r="F8" s="57"/>
      <c r="G8" s="25" t="s">
        <v>30</v>
      </c>
      <c r="H8" s="25" t="s">
        <v>119</v>
      </c>
      <c r="I8" s="57"/>
      <c r="J8" s="3"/>
      <c r="K8" s="8" t="s">
        <v>57</v>
      </c>
      <c r="L8" s="8" t="s">
        <v>71</v>
      </c>
      <c r="M8" s="8" t="s">
        <v>72</v>
      </c>
      <c r="N8" s="8" t="s">
        <v>73</v>
      </c>
      <c r="O8" s="8" t="s">
        <v>74</v>
      </c>
      <c r="P8" s="8" t="s">
        <v>60</v>
      </c>
      <c r="Q8" s="8" t="s">
        <v>75</v>
      </c>
      <c r="R8" s="8" t="s">
        <v>46</v>
      </c>
      <c r="S8" s="8" t="s">
        <v>61</v>
      </c>
      <c r="T8" s="8" t="s">
        <v>58</v>
      </c>
      <c r="U8" s="8" t="s">
        <v>62</v>
      </c>
      <c r="V8" s="8" t="s">
        <v>47</v>
      </c>
      <c r="W8" s="8" t="s">
        <v>48</v>
      </c>
      <c r="X8" s="8" t="s">
        <v>49</v>
      </c>
      <c r="Y8" s="8" t="s">
        <v>50</v>
      </c>
      <c r="Z8" s="8" t="s">
        <v>76</v>
      </c>
      <c r="AA8" s="8" t="s">
        <v>77</v>
      </c>
      <c r="AB8" s="8" t="s">
        <v>59</v>
      </c>
      <c r="AC8" s="25" t="s">
        <v>31</v>
      </c>
      <c r="AD8" s="26"/>
      <c r="AE8" s="25" t="s">
        <v>31</v>
      </c>
      <c r="AF8" s="26"/>
      <c r="AG8" s="25" t="s">
        <v>31</v>
      </c>
      <c r="AH8" s="26"/>
      <c r="AI8" s="3"/>
      <c r="AJ8" s="21"/>
      <c r="AK8" s="64" t="s">
        <v>128</v>
      </c>
      <c r="AL8" s="65"/>
    </row>
    <row r="9" spans="1:38" s="10" customFormat="1" ht="60" customHeight="1" x14ac:dyDescent="0.2">
      <c r="A9" s="8" t="s">
        <v>27</v>
      </c>
      <c r="B9" s="29"/>
      <c r="C9" s="30"/>
      <c r="D9" s="25" t="s">
        <v>120</v>
      </c>
      <c r="E9" s="59" t="s">
        <v>121</v>
      </c>
      <c r="F9" s="25" t="s">
        <v>122</v>
      </c>
      <c r="G9" s="25" t="s">
        <v>123</v>
      </c>
      <c r="H9" s="25" t="s">
        <v>124</v>
      </c>
      <c r="I9" s="60" t="s">
        <v>125</v>
      </c>
      <c r="J9" s="25" t="s">
        <v>126</v>
      </c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0"/>
      <c r="AD9" s="25"/>
      <c r="AE9" s="25"/>
      <c r="AF9" s="25"/>
      <c r="AG9" s="25"/>
      <c r="AH9" s="25"/>
      <c r="AI9" s="64" t="s">
        <v>127</v>
      </c>
      <c r="AJ9" s="65"/>
      <c r="AK9" s="64" t="s">
        <v>129</v>
      </c>
      <c r="AL9" s="65"/>
    </row>
    <row r="10" spans="1:38" s="10" customFormat="1" ht="52" x14ac:dyDescent="0.2">
      <c r="A10" s="29" t="s">
        <v>70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125</v>
      </c>
      <c r="AD10" s="25" t="s">
        <v>126</v>
      </c>
      <c r="AE10" s="25" t="s">
        <v>125</v>
      </c>
      <c r="AF10" s="25" t="s">
        <v>126</v>
      </c>
      <c r="AG10" s="25" t="s">
        <v>125</v>
      </c>
      <c r="AH10" s="25" t="s">
        <v>126</v>
      </c>
      <c r="AI10" s="31"/>
      <c r="AJ10" s="31"/>
      <c r="AK10" s="36"/>
      <c r="AL10" s="58"/>
    </row>
    <row r="11" spans="1:38" s="10" customFormat="1" x14ac:dyDescent="0.2">
      <c r="A11" s="8">
        <v>10</v>
      </c>
      <c r="B11" s="29" t="s">
        <v>32</v>
      </c>
      <c r="C11" s="30"/>
      <c r="D11" s="24" t="s">
        <v>112</v>
      </c>
      <c r="E11" s="27" t="s">
        <v>53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66"/>
      <c r="AL11" s="67"/>
    </row>
    <row r="12" spans="1:38" s="10" customFormat="1" x14ac:dyDescent="0.2">
      <c r="A12" s="8">
        <v>10</v>
      </c>
      <c r="B12" s="8"/>
      <c r="C12" s="8"/>
      <c r="D12" s="8" t="s">
        <v>36</v>
      </c>
      <c r="E12" s="26" t="s">
        <v>37</v>
      </c>
      <c r="F12" s="26"/>
      <c r="G12" s="39" t="s">
        <v>130</v>
      </c>
      <c r="H12" s="39" t="s">
        <v>38</v>
      </c>
      <c r="I12" s="8" t="s">
        <v>52</v>
      </c>
      <c r="J12" s="8" t="s">
        <v>35</v>
      </c>
      <c r="K12" s="8"/>
      <c r="L12" s="8" t="s">
        <v>35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54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64"/>
      <c r="AJ12" s="65"/>
      <c r="AK12" s="66"/>
      <c r="AL12" s="67"/>
    </row>
    <row r="13" spans="1:38" s="10" customFormat="1" x14ac:dyDescent="0.2">
      <c r="A13" s="8">
        <v>10</v>
      </c>
      <c r="B13" s="8"/>
      <c r="C13" s="8"/>
      <c r="D13" s="8" t="s">
        <v>33</v>
      </c>
      <c r="E13" s="26" t="s">
        <v>66</v>
      </c>
      <c r="F13" s="26"/>
      <c r="G13" s="39" t="s">
        <v>131</v>
      </c>
      <c r="H13" s="39" t="s">
        <v>63</v>
      </c>
      <c r="I13" s="8" t="s">
        <v>52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64"/>
      <c r="AJ13" s="65"/>
      <c r="AK13" s="66"/>
      <c r="AL13" s="67"/>
    </row>
    <row r="14" spans="1:38" s="10" customFormat="1" x14ac:dyDescent="0.2">
      <c r="A14" s="8">
        <v>10</v>
      </c>
      <c r="B14" s="8"/>
      <c r="C14" s="8"/>
      <c r="D14" s="8" t="s">
        <v>39</v>
      </c>
      <c r="E14" s="26" t="s">
        <v>40</v>
      </c>
      <c r="F14" s="26"/>
      <c r="G14" s="39" t="s">
        <v>132</v>
      </c>
      <c r="H14" s="39" t="s">
        <v>41</v>
      </c>
      <c r="I14" s="8" t="s">
        <v>52</v>
      </c>
      <c r="J14" s="8" t="s">
        <v>52</v>
      </c>
      <c r="K14" s="8"/>
      <c r="L14" s="8" t="s">
        <v>35</v>
      </c>
      <c r="M14" s="8"/>
      <c r="N14" s="8"/>
      <c r="O14" s="8"/>
      <c r="P14" s="8" t="s">
        <v>64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4"/>
      <c r="AJ14" s="65"/>
      <c r="AK14" s="66"/>
      <c r="AL14" s="67"/>
    </row>
    <row r="15" spans="1:38" s="10" customFormat="1" x14ac:dyDescent="0.2">
      <c r="A15" s="8">
        <v>10</v>
      </c>
      <c r="B15" s="8"/>
      <c r="C15" s="8"/>
      <c r="D15" s="8" t="s">
        <v>42</v>
      </c>
      <c r="E15" s="26" t="s">
        <v>40</v>
      </c>
      <c r="F15" s="26"/>
      <c r="G15" s="39" t="s">
        <v>133</v>
      </c>
      <c r="H15" s="39" t="s">
        <v>43</v>
      </c>
      <c r="I15" s="8" t="s">
        <v>52</v>
      </c>
      <c r="J15" s="8" t="s">
        <v>52</v>
      </c>
      <c r="K15" s="8"/>
      <c r="L15" s="8" t="s">
        <v>52</v>
      </c>
      <c r="M15" s="8"/>
      <c r="N15" s="8"/>
      <c r="O15" s="8"/>
      <c r="P15" s="8" t="s">
        <v>65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4"/>
      <c r="AJ15" s="65"/>
      <c r="AK15" s="66"/>
      <c r="AL15" s="67"/>
    </row>
    <row r="16" spans="1:38" s="10" customFormat="1" x14ac:dyDescent="0.2">
      <c r="A16" s="8">
        <v>10</v>
      </c>
      <c r="B16" s="8"/>
      <c r="C16" s="8"/>
      <c r="D16" s="8" t="s">
        <v>78</v>
      </c>
      <c r="E16" s="26" t="s">
        <v>79</v>
      </c>
      <c r="F16" s="26"/>
      <c r="G16" s="39" t="s">
        <v>134</v>
      </c>
      <c r="H16" s="39" t="s">
        <v>80</v>
      </c>
      <c r="I16" s="8" t="s">
        <v>35</v>
      </c>
      <c r="J16" s="8" t="s">
        <v>35</v>
      </c>
      <c r="K16" s="8"/>
      <c r="L16" s="8" t="s">
        <v>35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 t="s">
        <v>81</v>
      </c>
      <c r="AB16" s="8"/>
      <c r="AC16" s="8"/>
      <c r="AD16" s="8"/>
      <c r="AE16" s="8"/>
      <c r="AF16" s="8"/>
      <c r="AG16" s="8"/>
      <c r="AH16" s="8"/>
      <c r="AI16" s="64"/>
      <c r="AJ16" s="65"/>
      <c r="AK16" s="66"/>
      <c r="AL16" s="67"/>
    </row>
    <row r="17" spans="1:38" s="10" customFormat="1" x14ac:dyDescent="0.2">
      <c r="A17" s="8">
        <v>10</v>
      </c>
      <c r="B17" s="8"/>
      <c r="C17" s="8"/>
      <c r="D17" s="8" t="s">
        <v>82</v>
      </c>
      <c r="E17" s="26" t="s">
        <v>83</v>
      </c>
      <c r="F17" s="26"/>
      <c r="G17" s="39" t="s">
        <v>135</v>
      </c>
      <c r="H17" s="39" t="s">
        <v>84</v>
      </c>
      <c r="I17" s="8" t="s">
        <v>35</v>
      </c>
      <c r="J17" s="8" t="s">
        <v>35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4"/>
      <c r="AJ17" s="65"/>
      <c r="AK17" s="66"/>
      <c r="AL17" s="67"/>
    </row>
    <row r="18" spans="1:38" s="10" customFormat="1" x14ac:dyDescent="0.2">
      <c r="A18" s="22"/>
      <c r="B18" s="23"/>
      <c r="C18" s="23"/>
      <c r="D18" s="16" t="s">
        <v>13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2"/>
    </row>
    <row r="19" spans="1:38" s="10" customFormat="1" x14ac:dyDescent="0.2">
      <c r="A19" s="48"/>
      <c r="AL19" s="40"/>
    </row>
    <row r="20" spans="1:38" s="10" customFormat="1" x14ac:dyDescent="0.2">
      <c r="A20" s="48"/>
      <c r="AL20" s="40"/>
    </row>
    <row r="21" spans="1:38" s="10" customFormat="1" x14ac:dyDescent="0.2">
      <c r="A21" s="48"/>
      <c r="AL21" s="40"/>
    </row>
    <row r="22" spans="1:38" s="10" customFormat="1" x14ac:dyDescent="0.2">
      <c r="A22" s="48"/>
      <c r="AL22" s="40"/>
    </row>
    <row r="23" spans="1:38" s="10" customFormat="1" x14ac:dyDescent="0.2">
      <c r="A23" s="48"/>
      <c r="AL23" s="40"/>
    </row>
    <row r="24" spans="1:38" s="10" customFormat="1" x14ac:dyDescent="0.2">
      <c r="A24" s="48"/>
      <c r="AL24" s="40"/>
    </row>
    <row r="25" spans="1:38" s="10" customFormat="1" x14ac:dyDescent="0.2">
      <c r="A25" s="48"/>
      <c r="AL25" s="40"/>
    </row>
    <row r="26" spans="1:38" s="10" customFormat="1" x14ac:dyDescent="0.2">
      <c r="A26" s="48"/>
      <c r="AL26" s="40"/>
    </row>
    <row r="27" spans="1:38" s="10" customFormat="1" x14ac:dyDescent="0.2">
      <c r="A27" s="48"/>
      <c r="AL27" s="40"/>
    </row>
    <row r="28" spans="1:38" s="10" customFormat="1" x14ac:dyDescent="0.2">
      <c r="A28" s="48"/>
      <c r="AL28" s="40"/>
    </row>
    <row r="29" spans="1:38" s="10" customFormat="1" x14ac:dyDescent="0.2">
      <c r="A29" s="48"/>
      <c r="AL29" s="40"/>
    </row>
    <row r="30" spans="1:38" s="10" customFormat="1" x14ac:dyDescent="0.2">
      <c r="A30" s="48"/>
      <c r="AL30" s="40"/>
    </row>
    <row r="31" spans="1:38" s="10" customFormat="1" x14ac:dyDescent="0.2">
      <c r="A31" s="48"/>
      <c r="AL31" s="40"/>
    </row>
    <row r="32" spans="1:38" s="10" customFormat="1" x14ac:dyDescent="0.2">
      <c r="A32" s="48"/>
      <c r="AL32" s="40"/>
    </row>
    <row r="33" spans="1:38" s="10" customFormat="1" x14ac:dyDescent="0.2">
      <c r="A33" s="48"/>
      <c r="AL33" s="40"/>
    </row>
    <row r="34" spans="1:38" s="10" customFormat="1" x14ac:dyDescent="0.2">
      <c r="A34" s="48"/>
      <c r="AL34" s="40"/>
    </row>
    <row r="35" spans="1:38" s="10" customFormat="1" x14ac:dyDescent="0.2">
      <c r="A35" s="48"/>
      <c r="AL35" s="40"/>
    </row>
    <row r="36" spans="1:38" s="10" customFormat="1" x14ac:dyDescent="0.2">
      <c r="A36" s="48"/>
      <c r="AL36" s="40"/>
    </row>
    <row r="37" spans="1:38" s="10" customFormat="1" x14ac:dyDescent="0.2">
      <c r="A37" s="5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1"/>
    </row>
  </sheetData>
  <mergeCells count="16">
    <mergeCell ref="AI16:AJ16"/>
    <mergeCell ref="AK16:AL16"/>
    <mergeCell ref="AI17:AJ17"/>
    <mergeCell ref="AK17:AL17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V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46" t="s">
        <v>14</v>
      </c>
      <c r="B1" s="46" t="s">
        <v>14</v>
      </c>
      <c r="C1" s="46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14</v>
      </c>
      <c r="B2" s="23"/>
      <c r="C2" s="23"/>
      <c r="D2" s="61" t="s">
        <v>116</v>
      </c>
      <c r="E2" s="7" t="s">
        <v>1</v>
      </c>
      <c r="F2" s="47" t="str">
        <f>IF(LogicCommon!C2="","",LogicCommon!C2)</f>
        <v>MG</v>
      </c>
      <c r="G2" s="7" t="s">
        <v>3</v>
      </c>
      <c r="H2" s="47" t="str">
        <f>IF(LogicCommon!E2="","",LogicCommon!E2)</f>
        <v>MGBAL5030</v>
      </c>
      <c r="I2" s="7" t="s">
        <v>16</v>
      </c>
      <c r="J2" s="8" t="s">
        <v>114</v>
      </c>
      <c r="K2" s="7" t="s">
        <v>4</v>
      </c>
      <c r="L2" s="47" t="str">
        <f>IF(LogicCommon!G2="","",LogicCommon!G2)</f>
        <v>MC</v>
      </c>
      <c r="M2" s="5" t="s">
        <v>17</v>
      </c>
      <c r="N2" s="24" t="s">
        <v>107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48" t="s">
        <v>14</v>
      </c>
      <c r="B3" s="49"/>
      <c r="C3" s="49"/>
      <c r="D3" s="50" t="str">
        <f>IF(LogicCommon!A3="","",LogicCommon!A3)</f>
        <v/>
      </c>
      <c r="E3" s="7" t="s">
        <v>6</v>
      </c>
      <c r="F3" s="47" t="str">
        <f>IF(LogicCommon!C3="","",LogicCommon!C3)</f>
        <v>MGBA</v>
      </c>
      <c r="G3" s="7" t="s">
        <v>8</v>
      </c>
      <c r="H3" s="47" t="str">
        <f>IF(LogicCommon!E3="","",LogicCommon!E3)</f>
        <v>MGBAL_PlnMfgIfService</v>
      </c>
      <c r="I3" s="7" t="s">
        <v>18</v>
      </c>
      <c r="J3" s="8" t="s">
        <v>88</v>
      </c>
      <c r="K3" s="7" t="s">
        <v>9</v>
      </c>
      <c r="L3" s="47" t="str">
        <f>IF(LogicCommon!G3="","",LogicCommon!G3)</f>
        <v/>
      </c>
      <c r="M3" s="51"/>
      <c r="N3" s="7"/>
      <c r="O3" s="7" t="s">
        <v>19</v>
      </c>
      <c r="P3" s="8" t="s">
        <v>20</v>
      </c>
      <c r="Q3" s="4"/>
      <c r="R3" s="5"/>
      <c r="S3" s="5"/>
      <c r="T3" s="5"/>
      <c r="U3" s="5"/>
      <c r="V3" s="5"/>
    </row>
    <row r="4" spans="1:22" s="10" customFormat="1" x14ac:dyDescent="0.2">
      <c r="A4" s="48" t="s">
        <v>14</v>
      </c>
      <c r="B4" s="49"/>
      <c r="C4" s="49"/>
      <c r="D4" s="4"/>
      <c r="E4" s="7" t="s">
        <v>21</v>
      </c>
      <c r="F4" s="52" t="s">
        <v>22</v>
      </c>
      <c r="G4" s="7" t="s">
        <v>10</v>
      </c>
      <c r="H4" s="47" t="str">
        <f>IF(LogicCommon!E4="","",LogicCommon!E4)</f>
        <v>製造計画取込サービス</v>
      </c>
      <c r="I4" s="7" t="s">
        <v>23</v>
      </c>
      <c r="J4" s="8" t="s">
        <v>89</v>
      </c>
      <c r="K4" s="7" t="s">
        <v>11</v>
      </c>
      <c r="L4" s="47" t="str">
        <f>IF(LogicCommon!G4="","",LogicCommon!G4)</f>
        <v>MG.MGUDL5010</v>
      </c>
      <c r="M4" s="53" t="s">
        <v>24</v>
      </c>
      <c r="N4" s="24"/>
      <c r="O4" s="54"/>
      <c r="P4" s="4"/>
      <c r="Q4" s="4"/>
      <c r="R4" s="5"/>
      <c r="S4" s="5"/>
      <c r="T4" s="5"/>
      <c r="U4" s="5"/>
      <c r="V4" s="5"/>
    </row>
    <row r="5" spans="1:22" s="10" customFormat="1" x14ac:dyDescent="0.2">
      <c r="A5" s="55" t="s">
        <v>14</v>
      </c>
      <c r="B5" s="46"/>
      <c r="C5" s="46"/>
      <c r="D5" s="21"/>
      <c r="E5" s="7" t="s">
        <v>25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4"/>
      <c r="S5" s="5"/>
      <c r="T5" s="5"/>
      <c r="U5" s="5"/>
      <c r="V5" s="5"/>
    </row>
    <row r="6" spans="1:22" s="10" customFormat="1" x14ac:dyDescent="0.2">
      <c r="A6" s="48" t="s">
        <v>14</v>
      </c>
      <c r="B6" s="49"/>
      <c r="C6" s="49"/>
      <c r="D6" s="4" t="s">
        <v>12</v>
      </c>
      <c r="E6" s="12" t="s">
        <v>90</v>
      </c>
      <c r="F6" s="12"/>
      <c r="G6" s="12"/>
      <c r="H6" s="12"/>
      <c r="I6" s="12"/>
      <c r="J6" s="12"/>
      <c r="K6" s="12"/>
      <c r="L6" s="57"/>
      <c r="M6" s="15"/>
      <c r="N6" s="15" t="s">
        <v>26</v>
      </c>
      <c r="O6" s="15"/>
      <c r="P6" s="15" t="s">
        <v>26</v>
      </c>
      <c r="Q6" s="15"/>
      <c r="R6" s="15" t="s">
        <v>26</v>
      </c>
      <c r="S6" s="4"/>
      <c r="T6" s="4"/>
      <c r="U6" s="4"/>
      <c r="V6" s="4"/>
    </row>
    <row r="7" spans="1:22" s="10" customFormat="1" x14ac:dyDescent="0.2">
      <c r="A7" s="23" t="s">
        <v>91</v>
      </c>
      <c r="B7" s="23"/>
      <c r="C7" s="23"/>
      <c r="D7" s="6"/>
      <c r="E7" s="6"/>
      <c r="F7" s="6"/>
      <c r="G7" s="6"/>
      <c r="H7" s="6"/>
      <c r="I7" s="6" t="s">
        <v>92</v>
      </c>
      <c r="J7" s="6"/>
      <c r="K7" s="8"/>
      <c r="L7" s="8"/>
      <c r="M7" s="25" t="s">
        <v>93</v>
      </c>
      <c r="N7" s="26"/>
      <c r="O7" s="25" t="s">
        <v>94</v>
      </c>
      <c r="P7" s="26"/>
      <c r="Q7" s="25" t="s">
        <v>56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27</v>
      </c>
      <c r="B8" s="62"/>
      <c r="C8" s="63"/>
      <c r="D8" s="25" t="s">
        <v>117</v>
      </c>
      <c r="E8" s="25" t="s">
        <v>118</v>
      </c>
      <c r="F8" s="57"/>
      <c r="G8" s="25" t="s">
        <v>30</v>
      </c>
      <c r="H8" s="25" t="s">
        <v>119</v>
      </c>
      <c r="I8" s="57"/>
      <c r="J8" s="3"/>
      <c r="K8" s="8"/>
      <c r="L8" s="8"/>
      <c r="M8" s="25" t="s">
        <v>95</v>
      </c>
      <c r="N8" s="26"/>
      <c r="O8" s="25" t="s">
        <v>96</v>
      </c>
      <c r="P8" s="26"/>
      <c r="Q8" s="25" t="s">
        <v>97</v>
      </c>
      <c r="R8" s="26"/>
      <c r="S8" s="3"/>
      <c r="T8" s="21"/>
      <c r="U8" s="64" t="s">
        <v>128</v>
      </c>
      <c r="V8" s="65"/>
    </row>
    <row r="9" spans="1:22" s="10" customFormat="1" ht="60" customHeight="1" x14ac:dyDescent="0.2">
      <c r="A9" s="8" t="s">
        <v>27</v>
      </c>
      <c r="B9" s="29"/>
      <c r="C9" s="30"/>
      <c r="D9" s="25" t="s">
        <v>120</v>
      </c>
      <c r="E9" s="59" t="s">
        <v>121</v>
      </c>
      <c r="F9" s="25" t="s">
        <v>122</v>
      </c>
      <c r="G9" s="25" t="s">
        <v>123</v>
      </c>
      <c r="H9" s="25" t="s">
        <v>124</v>
      </c>
      <c r="I9" s="60" t="s">
        <v>125</v>
      </c>
      <c r="J9" s="25" t="s">
        <v>126</v>
      </c>
      <c r="K9" s="61"/>
      <c r="L9" s="61"/>
      <c r="M9" s="60"/>
      <c r="N9" s="25"/>
      <c r="O9" s="25"/>
      <c r="P9" s="25"/>
      <c r="Q9" s="25"/>
      <c r="R9" s="25"/>
      <c r="S9" s="64" t="s">
        <v>127</v>
      </c>
      <c r="T9" s="65"/>
      <c r="U9" s="64" t="s">
        <v>129</v>
      </c>
      <c r="V9" s="65"/>
    </row>
    <row r="10" spans="1:22" s="10" customFormat="1" ht="39" x14ac:dyDescent="0.2">
      <c r="A10" s="29" t="s">
        <v>87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125</v>
      </c>
      <c r="N10" s="25" t="s">
        <v>126</v>
      </c>
      <c r="O10" s="25" t="s">
        <v>125</v>
      </c>
      <c r="P10" s="25" t="s">
        <v>126</v>
      </c>
      <c r="Q10" s="25" t="s">
        <v>125</v>
      </c>
      <c r="R10" s="25" t="s">
        <v>126</v>
      </c>
      <c r="S10" s="31"/>
      <c r="T10" s="31"/>
      <c r="U10" s="36"/>
      <c r="V10" s="58"/>
    </row>
    <row r="11" spans="1:22" s="10" customFormat="1" ht="26" x14ac:dyDescent="0.2">
      <c r="A11" s="8">
        <v>10</v>
      </c>
      <c r="B11" s="29" t="s">
        <v>32</v>
      </c>
      <c r="C11" s="30"/>
      <c r="D11" s="24" t="s">
        <v>113</v>
      </c>
      <c r="E11" s="27" t="s">
        <v>55</v>
      </c>
      <c r="F11" s="37"/>
      <c r="G11" s="24" t="s">
        <v>85</v>
      </c>
      <c r="H11" s="28" t="s">
        <v>111</v>
      </c>
      <c r="I11" s="38"/>
      <c r="J11" s="34"/>
      <c r="K11" s="34"/>
      <c r="L11" s="34"/>
      <c r="M11" s="27"/>
      <c r="N11" s="27"/>
      <c r="O11" s="27"/>
      <c r="P11" s="27"/>
      <c r="Q11" s="27"/>
      <c r="R11" s="27"/>
      <c r="S11" s="38"/>
      <c r="T11" s="37"/>
      <c r="U11" s="66"/>
      <c r="V11" s="67"/>
    </row>
    <row r="12" spans="1:22" s="10" customFormat="1" x14ac:dyDescent="0.2">
      <c r="A12" s="8">
        <v>10</v>
      </c>
      <c r="B12" s="8"/>
      <c r="C12" s="8"/>
      <c r="D12" s="8" t="s">
        <v>36</v>
      </c>
      <c r="E12" s="26" t="s">
        <v>37</v>
      </c>
      <c r="F12" s="26"/>
      <c r="G12" s="39" t="s">
        <v>130</v>
      </c>
      <c r="H12" s="39" t="s">
        <v>38</v>
      </c>
      <c r="I12" s="8" t="s">
        <v>52</v>
      </c>
      <c r="J12" s="8" t="s">
        <v>86</v>
      </c>
      <c r="K12" s="8"/>
      <c r="L12" s="8"/>
      <c r="M12" s="8"/>
      <c r="N12" s="8"/>
      <c r="O12" s="8"/>
      <c r="P12" s="8"/>
      <c r="Q12" s="8"/>
      <c r="R12" s="8"/>
      <c r="S12" s="64"/>
      <c r="T12" s="65"/>
      <c r="U12" s="66"/>
      <c r="V12" s="67"/>
    </row>
    <row r="13" spans="1:22" s="10" customFormat="1" x14ac:dyDescent="0.2">
      <c r="A13" s="8">
        <v>10</v>
      </c>
      <c r="B13" s="8"/>
      <c r="C13" s="8"/>
      <c r="D13" s="8" t="s">
        <v>33</v>
      </c>
      <c r="E13" s="26" t="s">
        <v>34</v>
      </c>
      <c r="F13" s="26"/>
      <c r="G13" s="39" t="s">
        <v>131</v>
      </c>
      <c r="H13" s="39" t="s">
        <v>63</v>
      </c>
      <c r="I13" s="8" t="s">
        <v>52</v>
      </c>
      <c r="J13" s="8" t="s">
        <v>86</v>
      </c>
      <c r="K13" s="8"/>
      <c r="L13" s="8"/>
      <c r="M13" s="8"/>
      <c r="N13" s="8"/>
      <c r="O13" s="8"/>
      <c r="P13" s="8"/>
      <c r="Q13" s="8"/>
      <c r="R13" s="8"/>
      <c r="S13" s="64"/>
      <c r="T13" s="65"/>
      <c r="U13" s="66"/>
      <c r="V13" s="67"/>
    </row>
    <row r="14" spans="1:22" s="10" customFormat="1" x14ac:dyDescent="0.2">
      <c r="A14" s="8">
        <v>10</v>
      </c>
      <c r="B14" s="8"/>
      <c r="C14" s="8"/>
      <c r="D14" s="8" t="s">
        <v>39</v>
      </c>
      <c r="E14" s="26" t="s">
        <v>40</v>
      </c>
      <c r="F14" s="26"/>
      <c r="G14" s="39" t="s">
        <v>132</v>
      </c>
      <c r="H14" s="39" t="s">
        <v>41</v>
      </c>
      <c r="I14" s="8" t="s">
        <v>52</v>
      </c>
      <c r="J14" s="8" t="s">
        <v>86</v>
      </c>
      <c r="K14" s="8"/>
      <c r="L14" s="8"/>
      <c r="M14" s="8"/>
      <c r="N14" s="8"/>
      <c r="O14" s="8"/>
      <c r="P14" s="8"/>
      <c r="Q14" s="8"/>
      <c r="R14" s="8"/>
      <c r="S14" s="64"/>
      <c r="T14" s="65"/>
      <c r="U14" s="66"/>
      <c r="V14" s="67"/>
    </row>
    <row r="15" spans="1:22" s="10" customFormat="1" x14ac:dyDescent="0.2">
      <c r="A15" s="8">
        <v>10</v>
      </c>
      <c r="B15" s="8"/>
      <c r="C15" s="8"/>
      <c r="D15" s="8" t="s">
        <v>42</v>
      </c>
      <c r="E15" s="26" t="s">
        <v>40</v>
      </c>
      <c r="F15" s="26"/>
      <c r="G15" s="39" t="s">
        <v>133</v>
      </c>
      <c r="H15" s="39" t="s">
        <v>43</v>
      </c>
      <c r="I15" s="8" t="s">
        <v>52</v>
      </c>
      <c r="J15" s="8" t="s">
        <v>86</v>
      </c>
      <c r="K15" s="8"/>
      <c r="L15" s="8"/>
      <c r="M15" s="8"/>
      <c r="N15" s="8"/>
      <c r="O15" s="8"/>
      <c r="P15" s="8"/>
      <c r="Q15" s="8"/>
      <c r="R15" s="8"/>
      <c r="S15" s="64"/>
      <c r="T15" s="65"/>
      <c r="U15" s="66"/>
      <c r="V15" s="67"/>
    </row>
    <row r="16" spans="1:22" s="10" customFormat="1" x14ac:dyDescent="0.2">
      <c r="A16" s="8">
        <v>10</v>
      </c>
      <c r="B16" s="8"/>
      <c r="C16" s="8"/>
      <c r="D16" s="8" t="s">
        <v>78</v>
      </c>
      <c r="E16" s="26" t="s">
        <v>98</v>
      </c>
      <c r="F16" s="26"/>
      <c r="G16" s="39" t="s">
        <v>134</v>
      </c>
      <c r="H16" s="39" t="s">
        <v>80</v>
      </c>
      <c r="I16" s="8" t="s">
        <v>35</v>
      </c>
      <c r="J16" s="8" t="s">
        <v>86</v>
      </c>
      <c r="K16" s="8"/>
      <c r="L16" s="8"/>
      <c r="M16" s="8"/>
      <c r="N16" s="8"/>
      <c r="O16" s="8"/>
      <c r="P16" s="8"/>
      <c r="Q16" s="8"/>
      <c r="R16" s="8"/>
      <c r="S16" s="64"/>
      <c r="T16" s="65"/>
      <c r="U16" s="66"/>
      <c r="V16" s="67"/>
    </row>
    <row r="17" spans="1:22" s="10" customFormat="1" x14ac:dyDescent="0.2">
      <c r="A17" s="8">
        <v>10</v>
      </c>
      <c r="B17" s="8"/>
      <c r="C17" s="8"/>
      <c r="D17" s="8" t="s">
        <v>82</v>
      </c>
      <c r="E17" s="26" t="s">
        <v>83</v>
      </c>
      <c r="F17" s="26"/>
      <c r="G17" s="39" t="s">
        <v>135</v>
      </c>
      <c r="H17" s="39" t="s">
        <v>84</v>
      </c>
      <c r="I17" s="8" t="s">
        <v>35</v>
      </c>
      <c r="J17" s="8" t="s">
        <v>86</v>
      </c>
      <c r="K17" s="8"/>
      <c r="L17" s="8"/>
      <c r="M17" s="8"/>
      <c r="N17" s="8"/>
      <c r="O17" s="8"/>
      <c r="P17" s="8"/>
      <c r="Q17" s="8"/>
      <c r="R17" s="8"/>
      <c r="S17" s="64"/>
      <c r="T17" s="65"/>
      <c r="U17" s="66"/>
      <c r="V17" s="67"/>
    </row>
    <row r="18" spans="1:22" s="10" customFormat="1" x14ac:dyDescent="0.2">
      <c r="A18" s="22"/>
      <c r="B18" s="23"/>
      <c r="C18" s="23"/>
      <c r="D18" s="16" t="s">
        <v>13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18"/>
    </row>
    <row r="19" spans="1:22" s="10" customFormat="1" x14ac:dyDescent="0.2">
      <c r="A19" s="48"/>
      <c r="V19" s="40"/>
    </row>
    <row r="20" spans="1:22" s="10" customFormat="1" x14ac:dyDescent="0.2">
      <c r="A20" s="48"/>
      <c r="V20" s="40"/>
    </row>
    <row r="21" spans="1:22" s="10" customFormat="1" x14ac:dyDescent="0.2">
      <c r="A21" s="48"/>
      <c r="V21" s="40"/>
    </row>
    <row r="22" spans="1:22" s="10" customFormat="1" x14ac:dyDescent="0.2">
      <c r="A22" s="48"/>
      <c r="V22" s="40"/>
    </row>
    <row r="23" spans="1:22" s="10" customFormat="1" x14ac:dyDescent="0.2">
      <c r="A23" s="48"/>
      <c r="V23" s="40"/>
    </row>
    <row r="24" spans="1:22" s="10" customFormat="1" x14ac:dyDescent="0.2">
      <c r="A24" s="48"/>
      <c r="V24" s="40"/>
    </row>
    <row r="25" spans="1:22" s="10" customFormat="1" x14ac:dyDescent="0.2">
      <c r="A25" s="48"/>
      <c r="V25" s="40"/>
    </row>
    <row r="26" spans="1:22" s="10" customFormat="1" x14ac:dyDescent="0.2">
      <c r="A26" s="48"/>
      <c r="V26" s="40"/>
    </row>
    <row r="27" spans="1:22" s="10" customFormat="1" x14ac:dyDescent="0.2">
      <c r="A27" s="48"/>
      <c r="V27" s="40"/>
    </row>
    <row r="28" spans="1:22" s="10" customFormat="1" x14ac:dyDescent="0.2">
      <c r="A28" s="48"/>
      <c r="V28" s="40"/>
    </row>
    <row r="29" spans="1:22" s="10" customFormat="1" x14ac:dyDescent="0.2">
      <c r="A29" s="48"/>
      <c r="V29" s="40"/>
    </row>
    <row r="30" spans="1:22" s="10" customFormat="1" x14ac:dyDescent="0.2">
      <c r="A30" s="48"/>
      <c r="V30" s="40"/>
    </row>
    <row r="31" spans="1:22" s="10" customFormat="1" x14ac:dyDescent="0.2">
      <c r="A31" s="48"/>
      <c r="V31" s="40"/>
    </row>
    <row r="32" spans="1:22" s="10" customFormat="1" x14ac:dyDescent="0.2">
      <c r="A32" s="48"/>
      <c r="V32" s="40"/>
    </row>
    <row r="33" spans="1:22" s="10" customFormat="1" x14ac:dyDescent="0.2">
      <c r="A33" s="48"/>
      <c r="V33" s="40"/>
    </row>
    <row r="34" spans="1:22" s="10" customFormat="1" x14ac:dyDescent="0.2">
      <c r="A34" s="5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41"/>
    </row>
  </sheetData>
  <mergeCells count="16">
    <mergeCell ref="S16:T16"/>
    <mergeCell ref="U16:V16"/>
    <mergeCell ref="S17:T17"/>
    <mergeCell ref="U17:V17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68" t="s">
        <v>99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71" t="s">
        <v>100</v>
      </c>
      <c r="B3" s="72"/>
      <c r="C3" s="72"/>
      <c r="D3" s="72"/>
      <c r="E3" s="72"/>
      <c r="F3" s="72"/>
      <c r="G3" s="73"/>
      <c r="H3" s="74" t="s">
        <v>101</v>
      </c>
      <c r="I3" s="72"/>
      <c r="J3" s="72"/>
      <c r="K3" s="72"/>
      <c r="L3" s="72"/>
      <c r="M3" s="72"/>
      <c r="N3" s="73"/>
      <c r="O3" s="74" t="s">
        <v>102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103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104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136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137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PlnMfgIf_Chk01</vt:lpstr>
      <vt:lpstr>PlnMfgIf_Upd01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2026-03-27T05:50:06Z</dcterms:modified>
  <cp:category/>
</cp:coreProperties>
</file>