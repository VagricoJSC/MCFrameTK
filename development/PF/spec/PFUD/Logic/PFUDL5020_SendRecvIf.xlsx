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788008A9-F840-474E-A4CB-A4106F391501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Conv01" sheetId="20" r:id="rId2"/>
    <sheet name="Conv02" sheetId="18" r:id="rId3"/>
    <sheet name="Conv03" sheetId="19" r:id="rId4"/>
    <sheet name="来歴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20" l="1"/>
  <c r="H2" i="20"/>
  <c r="L2" i="20"/>
  <c r="D3" i="20"/>
  <c r="F3" i="20"/>
  <c r="H3" i="20"/>
  <c r="L3" i="20"/>
  <c r="H4" i="20"/>
  <c r="L4" i="20"/>
  <c r="F2" i="19"/>
  <c r="H2" i="19"/>
  <c r="L2" i="19"/>
  <c r="D3" i="19"/>
  <c r="F3" i="19"/>
  <c r="H3" i="19"/>
  <c r="L3" i="19"/>
  <c r="H4" i="19"/>
  <c r="L4" i="19"/>
  <c r="F2" i="18"/>
  <c r="H2" i="18"/>
  <c r="L2" i="18"/>
  <c r="D3" i="18"/>
  <c r="F3" i="18"/>
  <c r="H3" i="18"/>
  <c r="L3" i="18"/>
  <c r="H4" i="18"/>
  <c r="L4" i="18"/>
</calcChain>
</file>

<file path=xl/sharedStrings.xml><?xml version="1.0" encoding="utf-8"?>
<sst xmlns="http://schemas.openxmlformats.org/spreadsheetml/2006/main" count="577" uniqueCount="215">
  <si>
    <t>*</t>
  </si>
  <si>
    <t>詳細 :</t>
    <rPh sb="0" eb="2">
      <t>ショウサイ</t>
    </rPh>
    <phoneticPr fontId="2"/>
  </si>
  <si>
    <t>LogicID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</si>
  <si>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</si>
  <si>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</si>
  <si>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</si>
  <si>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</si>
  <si>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</si>
  <si>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</si>
  <si>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</si>
  <si>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</si>
  <si>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</si>
  <si>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</si>
  <si>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</si>
  <si>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</si>
  <si>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</si>
  <si>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</si>
  <si>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</si>
  <si>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</si>
  <si>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Conv01</t>
    <phoneticPr fontId="2"/>
  </si>
  <si>
    <t>Ope.Method :</t>
    <phoneticPr fontId="2"/>
  </si>
  <si>
    <t>Gene.Type :</t>
    <phoneticPr fontId="2"/>
  </si>
  <si>
    <t>ALLI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</si>
  <si>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</si>
  <si>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</si>
  <si>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</si>
  <si>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</si>
  <si>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</si>
  <si>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</si>
  <si>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</si>
  <si>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</si>
  <si>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ConvDtl</t>
    <phoneticPr fontId="2"/>
  </si>
  <si>
    <t>L</t>
    <phoneticPr fontId="2"/>
  </si>
  <si>
    <t>E</t>
    <phoneticPr fontId="2"/>
  </si>
  <si>
    <t>data_no</t>
    <phoneticPr fontId="2"/>
  </si>
  <si>
    <t>データＮＯ</t>
    <phoneticPr fontId="4"/>
  </si>
  <si>
    <t>#</t>
    <phoneticPr fontId="2"/>
  </si>
  <si>
    <t>U</t>
    <phoneticPr fontId="2"/>
  </si>
  <si>
    <t>o</t>
    <phoneticPr fontId="2"/>
  </si>
  <si>
    <t>R</t>
    <phoneticPr fontId="2"/>
  </si>
  <si>
    <t>RI</t>
    <phoneticPr fontId="2"/>
  </si>
  <si>
    <t>RI</t>
    <phoneticPr fontId="2"/>
  </si>
  <si>
    <t>#</t>
    <phoneticPr fontId="2"/>
  </si>
  <si>
    <t>U</t>
    <phoneticPr fontId="2"/>
  </si>
  <si>
    <t>o</t>
    <phoneticPr fontId="2"/>
  </si>
  <si>
    <t>RI</t>
    <phoneticPr fontId="2"/>
  </si>
  <si>
    <t>R</t>
    <phoneticPr fontId="2"/>
  </si>
  <si>
    <t>コード変換</t>
    <rPh sb="3" eb="5">
      <t>ヘンカン</t>
    </rPh>
    <phoneticPr fontId="2"/>
  </si>
  <si>
    <t>形式変換</t>
    <rPh sb="0" eb="2">
      <t>ケイシキ</t>
    </rPh>
    <rPh sb="2" eb="4">
      <t>ヘンカン</t>
    </rPh>
    <phoneticPr fontId="2"/>
  </si>
  <si>
    <t>PF</t>
    <phoneticPr fontId="2"/>
  </si>
  <si>
    <t>PFUD</t>
    <phoneticPr fontId="2"/>
  </si>
  <si>
    <t>#MA.IF_DATA_NO</t>
    <phoneticPr fontId="2"/>
  </si>
  <si>
    <t>#MA.SDRV_STS_TYP</t>
    <phoneticPr fontId="2"/>
  </si>
  <si>
    <t>DBC:PF.PFT_SDRV_IF</t>
    <phoneticPr fontId="2"/>
  </si>
  <si>
    <t>DBC:PF.PFT_IF_FILE</t>
    <phoneticPr fontId="2"/>
  </si>
  <si>
    <t>DBC:PF.PFT_IF_FILE</t>
    <phoneticPr fontId="2"/>
  </si>
  <si>
    <t>ifFile</t>
    <phoneticPr fontId="2"/>
  </si>
  <si>
    <t>#MA.VAR_STR</t>
    <phoneticPr fontId="2"/>
  </si>
  <si>
    <t>$share$</t>
    <phoneticPr fontId="2"/>
  </si>
  <si>
    <t>if_proc_typ</t>
  </si>
  <si>
    <t>#MA.IF_PROC_TYP</t>
  </si>
  <si>
    <t>ext_sys_cd</t>
    <phoneticPr fontId="2"/>
  </si>
  <si>
    <t>#MA.EXT_SYS_CD</t>
  </si>
  <si>
    <t>RI</t>
    <phoneticPr fontId="2"/>
  </si>
  <si>
    <t>SdrvDtl</t>
  </si>
  <si>
    <t>sdrvIf.if_proc_typ#</t>
  </si>
  <si>
    <t>sdrvIf.data_no#</t>
  </si>
  <si>
    <t>sdrvIf.ext_sys_cd#</t>
  </si>
  <si>
    <t>sdrvIf.sdrv_sts_typ#</t>
  </si>
  <si>
    <t>sdrvIf.attr_char1</t>
  </si>
  <si>
    <t>sdrvIf.attr_char2</t>
  </si>
  <si>
    <t>sdrvIf.attr_char3</t>
  </si>
  <si>
    <t>sdrvIf.attr_char4</t>
  </si>
  <si>
    <t>sdrvIf.attr_char5</t>
  </si>
  <si>
    <t>sdrvIf.attr_char6</t>
  </si>
  <si>
    <t>sdrvIf.attr_char7</t>
  </si>
  <si>
    <t>sdrvIf.attr_char8</t>
  </si>
  <si>
    <t>sdrvIf.attr_char9</t>
  </si>
  <si>
    <t>sdrvIf.attr_char10</t>
  </si>
  <si>
    <t>sdrvIf.attr_num1</t>
  </si>
  <si>
    <t>sdrvIf.attr_num2</t>
  </si>
  <si>
    <t>sdrvIf.attr_num3</t>
  </si>
  <si>
    <t>sdrvIf.attr_num4</t>
  </si>
  <si>
    <t>sdrvIf.attr_num5</t>
  </si>
  <si>
    <t>sdrvIf.attr_dt1</t>
  </si>
  <si>
    <t>sdrvIf.attr_dt2</t>
  </si>
  <si>
    <t>sdrvIf.attr_dt3</t>
  </si>
  <si>
    <t>sdrvIf.attr_dt4</t>
  </si>
  <si>
    <t>sdrvIf.attr_dt5</t>
  </si>
  <si>
    <t>sdrv_sts_typ</t>
    <phoneticPr fontId="2"/>
  </si>
  <si>
    <t>ifFile</t>
  </si>
  <si>
    <t>ifFile.file_id#</t>
  </si>
  <si>
    <t>ifFile.file_path#</t>
  </si>
  <si>
    <t>ifFile.file_nm#</t>
  </si>
  <si>
    <t>PFUDL_SendRecvIf</t>
    <phoneticPr fontId="2"/>
  </si>
  <si>
    <t>送受信ＩＦ</t>
    <rPh sb="0" eb="3">
      <t>ソウジュシン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</si>
  <si>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</si>
  <si>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</si>
  <si>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</si>
  <si>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</si>
  <si>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000000</t>
    <phoneticPr fontId="2"/>
  </si>
  <si>
    <t>batch_flg</t>
  </si>
  <si>
    <t>#MA.FLG</t>
  </si>
  <si>
    <t xml:space="preserve">Ope.Body : </t>
    <phoneticPr fontId="2"/>
  </si>
  <si>
    <t>ＩＦ処理区分</t>
    <phoneticPr fontId="2"/>
  </si>
  <si>
    <t>外部システムＣＤ</t>
    <phoneticPr fontId="2"/>
  </si>
  <si>
    <t>送受信状況区分</t>
    <phoneticPr fontId="4"/>
  </si>
  <si>
    <t>ImplOpe.ID:</t>
    <phoneticPr fontId="2"/>
  </si>
  <si>
    <t>super/share</t>
    <phoneticPr fontId="2"/>
  </si>
  <si>
    <t>受信ＩＦ</t>
    <phoneticPr fontId="2"/>
  </si>
  <si>
    <t>データＮＯ</t>
    <phoneticPr fontId="2"/>
  </si>
  <si>
    <t>送受信状況区分</t>
    <phoneticPr fontId="2"/>
  </si>
  <si>
    <t>業務情報１</t>
    <phoneticPr fontId="2"/>
  </si>
  <si>
    <t>業務情報２</t>
    <phoneticPr fontId="2"/>
  </si>
  <si>
    <t>業務情報３</t>
    <phoneticPr fontId="2"/>
  </si>
  <si>
    <t>業務情報４</t>
    <phoneticPr fontId="2"/>
  </si>
  <si>
    <t>業務情報５</t>
    <phoneticPr fontId="2"/>
  </si>
  <si>
    <t>業務情報６</t>
    <phoneticPr fontId="2"/>
  </si>
  <si>
    <t>業務情報７</t>
    <phoneticPr fontId="2"/>
  </si>
  <si>
    <t>業務情報８</t>
    <phoneticPr fontId="2"/>
  </si>
  <si>
    <t>業務情報９</t>
    <phoneticPr fontId="2"/>
  </si>
  <si>
    <t>業務情報１０</t>
    <phoneticPr fontId="2"/>
  </si>
  <si>
    <t>業務情報１１</t>
    <phoneticPr fontId="2"/>
  </si>
  <si>
    <t>業務情報１２</t>
    <phoneticPr fontId="2"/>
  </si>
  <si>
    <t>業務情報１３</t>
    <phoneticPr fontId="2"/>
  </si>
  <si>
    <t>業務情報１４</t>
    <phoneticPr fontId="2"/>
  </si>
  <si>
    <t>業務情報１５</t>
    <phoneticPr fontId="2"/>
  </si>
  <si>
    <t>業務情報１６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</si>
  <si>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</si>
  <si>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</si>
  <si>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</si>
  <si>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</si>
  <si>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ＩＦファイル</t>
    <phoneticPr fontId="2"/>
  </si>
  <si>
    <t>ファイルＩＤ</t>
    <phoneticPr fontId="4"/>
  </si>
  <si>
    <t>ファイルパス</t>
    <phoneticPr fontId="4"/>
  </si>
  <si>
    <t>ファイル名</t>
    <phoneticPr fontId="4"/>
  </si>
  <si>
    <t>ステータスファイル接尾辞</t>
    <phoneticPr fontId="4"/>
  </si>
  <si>
    <t>バッチ起動</t>
    <phoneticPr fontId="2"/>
  </si>
  <si>
    <t>Conv02</t>
    <phoneticPr fontId="2"/>
  </si>
  <si>
    <t>sdrvIf</t>
    <phoneticPr fontId="2"/>
  </si>
  <si>
    <t>sts_fsuffix</t>
    <phoneticPr fontId="2"/>
  </si>
  <si>
    <t>Conv03</t>
    <phoneticPr fontId="2"/>
  </si>
  <si>
    <t>not_coopr_flg</t>
    <phoneticPr fontId="2"/>
  </si>
  <si>
    <t>SdrvDtl</t>
    <phoneticPr fontId="2"/>
  </si>
  <si>
    <t>if_ins_flg</t>
    <phoneticPr fontId="2"/>
  </si>
  <si>
    <t>#MA.FLG</t>
    <phoneticPr fontId="2"/>
  </si>
  <si>
    <t>PF.PFUDL5000</t>
    <phoneticPr fontId="2"/>
  </si>
  <si>
    <t>PFUDL5020</t>
    <phoneticPr fontId="2"/>
  </si>
  <si>
    <t>PF.PFUDL5020.Conv02.SdrvDtl</t>
    <phoneticPr fontId="2"/>
  </si>
  <si>
    <t>会社間取引対象外</t>
    <phoneticPr fontId="2"/>
  </si>
  <si>
    <t>ＩＦデータ登録済</t>
    <phoneticPr fontId="2"/>
  </si>
  <si>
    <t>会社間取引対象外</t>
    <phoneticPr fontId="4"/>
  </si>
  <si>
    <t>ＩＦデータ登録済</t>
    <phoneticPr fontId="4"/>
  </si>
  <si>
    <t>co_cd</t>
    <phoneticPr fontId="2"/>
  </si>
  <si>
    <t>#MA.CO_CD</t>
    <phoneticPr fontId="2"/>
  </si>
  <si>
    <t>〃</t>
    <phoneticPr fontId="2"/>
  </si>
  <si>
    <t>〃</t>
    <phoneticPr fontId="2"/>
  </si>
  <si>
    <t>co_cd</t>
    <phoneticPr fontId="2"/>
  </si>
  <si>
    <t>#MA.CO_CD</t>
    <phoneticPr fontId="2"/>
  </si>
  <si>
    <t>SdrvDtlブロックに以下の項目を追加
・co_cd</t>
    <phoneticPr fontId="2"/>
  </si>
  <si>
    <t>ConvDtlブロックに以下の項目を追加
・co_cd</t>
    <phoneticPr fontId="2"/>
  </si>
  <si>
    <t>Conv01シート</t>
    <phoneticPr fontId="2"/>
  </si>
  <si>
    <t>Conv02シート</t>
    <phoneticPr fontId="2"/>
  </si>
  <si>
    <t>PF7032#004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</si>
  <si>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</si>
  <si>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</si>
  <si>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</si>
  <si>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</si>
  <si>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</si>
  <si>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</si>
  <si>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</si>
  <si>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</si>
  <si>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</si>
  <si>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</si>
  <si>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</si>
  <si>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</si>
  <si>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</si>
  <si>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</si>
  <si>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</si>
  <si>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Data No.</t>
  </si>
  <si>
    <t>External system cd.</t>
  </si>
  <si>
    <t>Exporting and importing status type</t>
  </si>
  <si>
    <t>項目名
Field Name</t>
    <phoneticPr fontId="2"/>
  </si>
  <si>
    <t>型
Type</t>
    <phoneticPr fontId="2"/>
  </si>
  <si>
    <t>Import IF</t>
  </si>
  <si>
    <t>Business info. 1</t>
  </si>
  <si>
    <t>Business info. 2</t>
  </si>
  <si>
    <t>Business info. 3</t>
  </si>
  <si>
    <t>Business info. 4</t>
  </si>
  <si>
    <t>Business info. 5</t>
  </si>
  <si>
    <t>Business info. 6</t>
  </si>
  <si>
    <t>Business info. 7</t>
  </si>
  <si>
    <t>Business info. 8</t>
  </si>
  <si>
    <t>Business info. 9</t>
  </si>
  <si>
    <t>Business info. 10</t>
  </si>
  <si>
    <t>Business info. 11</t>
  </si>
  <si>
    <t>Business info. 12</t>
  </si>
  <si>
    <t>Business info. 13</t>
  </si>
  <si>
    <t>Business info. 14</t>
  </si>
  <si>
    <t>Business info. 15</t>
  </si>
  <si>
    <t>Business info. 16</t>
  </si>
  <si>
    <t>Business info. 17</t>
  </si>
  <si>
    <t>Business info. 18</t>
  </si>
  <si>
    <t>Business info. 19</t>
  </si>
  <si>
    <t>Business info. 20</t>
  </si>
  <si>
    <t>IF file</t>
  </si>
  <si>
    <t>File ID</t>
  </si>
  <si>
    <t>File path</t>
  </si>
  <si>
    <t>File name</t>
  </si>
  <si>
    <t>Status file suffix</t>
  </si>
  <si>
    <t>Batch activation</t>
  </si>
  <si>
    <t>Not for intercompany transactions</t>
  </si>
  <si>
    <t>IF data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</si>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</sst>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7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/>
    <xf numFmtId="0" fontId="31" fillId="0" borderId="0"/>
  </cellStyleXfs>
  <cellXfs count="147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protection locked="0"/>
    </xf>
    <xf numFmtId="0" fontId="40" fillId="27" borderId="26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6" xfId="0" applyFont="1" applyBorder="1" applyAlignment="1"/>
    <xf numFmtId="0" fontId="40" fillId="0" borderId="2" xfId="0" applyFont="1" applyBorder="1" applyAlignment="1"/>
    <xf numFmtId="0" fontId="40" fillId="0" borderId="26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28" borderId="24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6" xfId="0" applyFont="1" applyBorder="1" applyAlignment="1">
      <alignment vertical="top"/>
    </xf>
    <xf numFmtId="0" fontId="40" fillId="0" borderId="24" xfId="0" applyFont="1" applyBorder="1" applyAlignment="1">
      <alignment vertical="top"/>
    </xf>
    <xf numFmtId="0" fontId="40" fillId="27" borderId="25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22" xfId="0" applyFont="1" applyBorder="1">
      <alignment vertical="top" wrapText="1"/>
    </xf>
    <xf numFmtId="0" fontId="40" fillId="0" borderId="23" xfId="0" applyFont="1" applyBorder="1">
      <alignment vertical="top" wrapText="1"/>
    </xf>
    <xf numFmtId="0" fontId="40" fillId="0" borderId="0" xfId="0" applyFont="1" applyAlignment="1" applyProtection="1">
      <alignment horizontal="left" vertical="top"/>
      <protection locked="0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8" borderId="26" xfId="0" applyFont="1" applyFill="1" applyBorder="1" applyAlignment="1" applyProtection="1">
      <protection locked="0"/>
    </xf>
    <xf numFmtId="0" fontId="40" fillId="27" borderId="18" xfId="0" applyFont="1" applyFill="1" applyBorder="1" applyAlignment="1">
      <alignment vertical="top"/>
    </xf>
    <xf numFmtId="0" fontId="40" fillId="27" borderId="25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30" borderId="20" xfId="0" applyFont="1" applyFill="1" applyBorder="1" applyAlignment="1">
      <alignment vertical="top"/>
    </xf>
    <xf numFmtId="0" fontId="40" fillId="27" borderId="28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30" borderId="0" xfId="0" applyFont="1" applyFill="1">
      <alignment vertical="top" wrapText="1"/>
    </xf>
    <xf numFmtId="0" fontId="40" fillId="27" borderId="20" xfId="0" quotePrefix="1" applyFont="1" applyFill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0" borderId="0" xfId="0" applyFont="1" applyAlignment="1"/>
    <xf numFmtId="0" fontId="40" fillId="27" borderId="27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7" xfId="0" applyFont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9" borderId="26" xfId="0" applyFont="1" applyFill="1" applyBorder="1" applyAlignment="1">
      <alignment vertical="top"/>
    </xf>
    <xf numFmtId="0" fontId="40" fillId="29" borderId="24" xfId="0" applyFont="1" applyFill="1" applyBorder="1" applyAlignment="1">
      <alignment vertical="top"/>
    </xf>
    <xf numFmtId="0" fontId="44" fillId="31" borderId="20" xfId="0" applyFont="1" applyFill="1" applyBorder="1" applyAlignment="1">
      <alignment vertical="top"/>
    </xf>
    <xf numFmtId="0" fontId="44" fillId="31" borderId="20" xfId="0" applyFont="1" applyFill="1" applyBorder="1">
      <alignment vertical="top" wrapText="1"/>
    </xf>
    <xf numFmtId="0" fontId="44" fillId="31" borderId="26" xfId="0" applyFont="1" applyFill="1" applyBorder="1" applyAlignment="1" applyProtection="1">
      <alignment vertical="top"/>
      <protection locked="0"/>
    </xf>
    <xf numFmtId="0" fontId="44" fillId="31" borderId="24" xfId="0" applyFont="1" applyFill="1" applyBorder="1" applyAlignment="1" applyProtection="1">
      <alignment vertical="top"/>
      <protection locked="0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6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6" xfId="0" applyFont="1" applyBorder="1" applyProtection="1">
      <alignment vertical="top" wrapText="1"/>
      <protection locked="0"/>
    </xf>
    <xf numFmtId="0" fontId="40" fillId="0" borderId="26" xfId="0" applyFont="1" applyBorder="1">
      <alignment vertical="top" wrapText="1"/>
    </xf>
    <xf numFmtId="0" fontId="40" fillId="0" borderId="24" xfId="0" applyFont="1" applyBorder="1">
      <alignment vertical="top" wrapText="1"/>
    </xf>
    <xf numFmtId="0" fontId="40" fillId="29" borderId="20" xfId="0" applyFont="1" applyFill="1" applyBorder="1">
      <alignment vertical="top" wrapText="1"/>
    </xf>
    <xf numFmtId="0" fontId="40" fillId="28" borderId="26" xfId="0" applyFont="1" applyFill="1" applyBorder="1" applyAlignment="1" applyProtection="1">
      <protection locked="0"/>
    </xf>
    <xf numFmtId="0" fontId="40" fillId="28" borderId="24" xfId="0" applyFont="1" applyFill="1" applyBorder="1" applyAlignment="1"/>
    <xf numFmtId="0" fontId="44" fillId="31" borderId="26" xfId="0" applyFont="1" applyFill="1" applyBorder="1" applyAlignment="1" applyProtection="1">
      <protection locked="0"/>
    </xf>
    <xf numFmtId="0" fontId="44" fillId="31" borderId="24" xfId="0" applyFont="1" applyFill="1" applyBorder="1" applyAlignment="1"/>
    <xf numFmtId="0" fontId="41" fillId="28" borderId="32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33" xfId="177" applyFont="1" applyBorder="1" applyAlignment="1">
      <alignment vertical="center"/>
    </xf>
    <xf numFmtId="0" fontId="43" fillId="28" borderId="34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5" xfId="177" applyFont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5" xfId="179" applyFont="1" applyFill="1" applyBorder="1" applyAlignment="1">
      <alignment horizontal="center" vertical="center"/>
    </xf>
    <xf numFmtId="0" fontId="43" fillId="28" borderId="34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6" xfId="177" applyFont="1" applyBorder="1" applyAlignment="1">
      <alignment horizontal="center" vertical="center"/>
    </xf>
    <xf numFmtId="176" fontId="42" fillId="0" borderId="37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0" fontId="42" fillId="0" borderId="38" xfId="179" applyFont="1" applyBorder="1" applyAlignment="1">
      <alignment horizontal="left" vertical="center" wrapText="1"/>
    </xf>
    <xf numFmtId="0" fontId="42" fillId="0" borderId="30" xfId="177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0" xfId="177" applyFont="1" applyBorder="1" applyAlignment="1">
      <alignment vertical="center" wrapText="1"/>
    </xf>
    <xf numFmtId="0" fontId="42" fillId="0" borderId="31" xfId="177" applyFont="1" applyBorder="1" applyAlignment="1">
      <alignment vertical="center" wrapText="1"/>
    </xf>
    <xf numFmtId="0" fontId="42" fillId="0" borderId="26" xfId="179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176" fontId="42" fillId="0" borderId="29" xfId="179" applyNumberFormat="1" applyFont="1" applyBorder="1" applyAlignment="1">
      <alignment horizontal="center" vertical="center"/>
    </xf>
    <xf numFmtId="176" fontId="42" fillId="0" borderId="30" xfId="177" applyNumberFormat="1" applyFont="1" applyBorder="1" applyAlignment="1">
      <alignment horizontal="center" vertical="center"/>
    </xf>
    <xf numFmtId="176" fontId="42" fillId="0" borderId="31" xfId="177" applyNumberFormat="1" applyFont="1" applyBorder="1" applyAlignment="1">
      <alignment horizontal="center" vertical="center"/>
    </xf>
    <xf numFmtId="0" fontId="42" fillId="0" borderId="38" xfId="179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176" fontId="42" fillId="0" borderId="40" xfId="179" applyNumberFormat="1" applyFont="1" applyBorder="1" applyAlignment="1">
      <alignment horizontal="center" vertical="center"/>
    </xf>
    <xf numFmtId="176" fontId="42" fillId="0" borderId="41" xfId="177" applyNumberFormat="1" applyFont="1" applyBorder="1" applyAlignment="1">
      <alignment horizontal="center" vertical="center"/>
    </xf>
    <xf numFmtId="176" fontId="42" fillId="0" borderId="42" xfId="177" applyNumberFormat="1" applyFont="1" applyBorder="1" applyAlignment="1">
      <alignment horizontal="center" vertical="center"/>
    </xf>
    <xf numFmtId="0" fontId="42" fillId="0" borderId="26" xfId="179" applyFont="1" applyBorder="1" applyAlignment="1">
      <alignment vertical="center" wrapText="1"/>
    </xf>
    <xf numFmtId="0" fontId="42" fillId="0" borderId="43" xfId="177" applyFont="1" applyBorder="1" applyAlignment="1">
      <alignment vertical="center" wrapText="1"/>
    </xf>
    <xf numFmtId="0" fontId="42" fillId="0" borderId="26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6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43" xfId="177" applyFont="1" applyBorder="1" applyAlignment="1">
      <alignment vertical="center"/>
    </xf>
    <xf numFmtId="0" fontId="42" fillId="0" borderId="44" xfId="179" applyFont="1" applyBorder="1" applyAlignment="1">
      <alignment horizontal="left" vertical="center" wrapText="1"/>
    </xf>
    <xf numFmtId="0" fontId="42" fillId="0" borderId="41" xfId="177" applyFont="1" applyBorder="1" applyAlignment="1">
      <alignment horizontal="left" vertical="center" wrapText="1"/>
    </xf>
    <xf numFmtId="0" fontId="42" fillId="0" borderId="42" xfId="177" applyFont="1" applyBorder="1" applyAlignment="1">
      <alignment horizontal="left" vertical="center" wrapText="1"/>
    </xf>
    <xf numFmtId="0" fontId="42" fillId="0" borderId="41" xfId="177" applyFont="1" applyBorder="1" applyAlignment="1">
      <alignment vertical="center" wrapText="1"/>
    </xf>
    <xf numFmtId="0" fontId="42" fillId="0" borderId="42" xfId="177" applyFont="1" applyBorder="1" applyAlignment="1">
      <alignment vertical="center" wrapText="1"/>
    </xf>
    <xf numFmtId="0" fontId="42" fillId="0" borderId="44" xfId="179" applyFont="1" applyBorder="1" applyAlignment="1">
      <alignment vertical="center" wrapText="1"/>
    </xf>
    <xf numFmtId="0" fontId="42" fillId="0" borderId="45" xfId="177" applyFont="1" applyBorder="1" applyAlignment="1">
      <alignment vertical="center" wrapText="1"/>
    </xf>
    <xf numFmtId="0" fontId="43" fillId="28" borderId="46" xfId="179" applyFont="1" applyFill="1" applyBorder="1" applyAlignment="1">
      <alignment horizontal="center" vertical="center"/>
    </xf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2 2 2" xfId="186" xr:uid="{00000000-0005-0000-0000-0000AD000000}"/>
    <cellStyle name="標準 3" xfId="172" xr:uid="{00000000-0005-0000-0000-0000AE000000}"/>
    <cellStyle name="標準 4" xfId="173" xr:uid="{00000000-0005-0000-0000-0000AF000000}"/>
    <cellStyle name="標準 5" xfId="174" xr:uid="{00000000-0005-0000-0000-0000B0000000}"/>
    <cellStyle name="標準 6" xfId="175" xr:uid="{00000000-0005-0000-0000-0000B1000000}"/>
    <cellStyle name="標準 7" xfId="176" xr:uid="{00000000-0005-0000-0000-0000B2000000}"/>
    <cellStyle name="標準_02_変更来歴例" xfId="177" xr:uid="{00000000-0005-0000-0000-0000B3000000}"/>
    <cellStyle name="標準_A00200 オーダー状況" xfId="178" xr:uid="{00000000-0005-0000-0000-0000B4000000}"/>
    <cellStyle name="標準_変更来歴_1" xfId="179" xr:uid="{00000000-0005-0000-0000-0000B5000000}"/>
    <cellStyle name="未定義" xfId="180" xr:uid="{00000000-0005-0000-0000-0000B6000000}"/>
    <cellStyle name="良い" xfId="181" builtinId="26" customBuiltin="1"/>
    <cellStyle name="良い 2" xfId="182" xr:uid="{00000000-0005-0000-0000-0000B8000000}"/>
    <cellStyle name="良い 3" xfId="183" xr:uid="{00000000-0005-0000-0000-0000B9000000}"/>
    <cellStyle name="良い 4" xfId="184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96</v>
      </c>
      <c r="B2" s="7" t="s">
        <v>97</v>
      </c>
      <c r="C2" s="8" t="s">
        <v>49</v>
      </c>
      <c r="D2" s="7" t="s">
        <v>2</v>
      </c>
      <c r="E2" s="9" t="s">
        <v>147</v>
      </c>
      <c r="F2" s="7" t="s">
        <v>14</v>
      </c>
      <c r="G2" s="9" t="s">
        <v>5</v>
      </c>
      <c r="H2" s="10"/>
      <c r="I2" s="10"/>
    </row>
    <row r="3" spans="1:12">
      <c r="A3" s="11"/>
      <c r="B3" s="7" t="s">
        <v>98</v>
      </c>
      <c r="C3" s="8" t="s">
        <v>50</v>
      </c>
      <c r="D3" s="7" t="s">
        <v>3</v>
      </c>
      <c r="E3" s="9" t="s">
        <v>94</v>
      </c>
      <c r="F3" s="7" t="s">
        <v>15</v>
      </c>
      <c r="G3" s="9"/>
      <c r="H3" s="5"/>
      <c r="I3" s="5"/>
    </row>
    <row r="4" spans="1:12">
      <c r="A4" s="4"/>
      <c r="B4" s="7"/>
      <c r="C4" s="7"/>
      <c r="D4" s="7" t="s">
        <v>4</v>
      </c>
      <c r="E4" s="12" t="s">
        <v>95</v>
      </c>
      <c r="F4" s="7" t="s">
        <v>6</v>
      </c>
      <c r="G4" s="9" t="s">
        <v>146</v>
      </c>
      <c r="I4" s="5"/>
    </row>
    <row r="5" spans="1:12">
      <c r="A5" s="6" t="s">
        <v>7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26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7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4" t="s">
        <v>16</v>
      </c>
      <c r="B1" s="64" t="s">
        <v>16</v>
      </c>
      <c r="C1" s="64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5" t="s">
        <v>16</v>
      </c>
      <c r="B2" s="66"/>
      <c r="C2" s="66"/>
      <c r="D2" s="84" t="s">
        <v>164</v>
      </c>
      <c r="E2" s="7" t="s">
        <v>97</v>
      </c>
      <c r="F2" s="67" t="str">
        <f>IF(LogicCommon!C2="","",LogicCommon!C2)</f>
        <v>PF</v>
      </c>
      <c r="G2" s="7" t="s">
        <v>2</v>
      </c>
      <c r="H2" s="67" t="str">
        <f>IF(LogicCommon!E2="","",LogicCommon!E2)</f>
        <v>PFUDL5020</v>
      </c>
      <c r="I2" s="7" t="s">
        <v>18</v>
      </c>
      <c r="J2" s="9" t="s">
        <v>19</v>
      </c>
      <c r="K2" s="7" t="s">
        <v>14</v>
      </c>
      <c r="L2" s="67" t="str">
        <f>IF(LogicCommon!G2="","",LogicCommon!G2)</f>
        <v>MC</v>
      </c>
      <c r="M2" s="5" t="s">
        <v>103</v>
      </c>
      <c r="N2" s="25"/>
      <c r="O2" s="7"/>
      <c r="P2" s="7"/>
      <c r="Q2" s="4"/>
      <c r="R2" s="24"/>
      <c r="S2" s="24"/>
      <c r="T2" s="24"/>
    </row>
    <row r="3" spans="1:20" s="11" customFormat="1">
      <c r="A3" s="68" t="s">
        <v>16</v>
      </c>
      <c r="B3" s="69"/>
      <c r="C3" s="69"/>
      <c r="D3" s="70" t="str">
        <f>IF(LogicCommon!A3="","",LogicCommon!A3)</f>
        <v/>
      </c>
      <c r="E3" s="7" t="s">
        <v>98</v>
      </c>
      <c r="F3" s="67" t="str">
        <f>IF(LogicCommon!C3="","",LogicCommon!C3)</f>
        <v>PFUD</v>
      </c>
      <c r="G3" s="7" t="s">
        <v>3</v>
      </c>
      <c r="H3" s="67" t="str">
        <f>IF(LogicCommon!E3="","",LogicCommon!E3)</f>
        <v>PFUDL_SendRecvIf</v>
      </c>
      <c r="I3" s="7" t="s">
        <v>20</v>
      </c>
      <c r="J3" s="9" t="s">
        <v>19</v>
      </c>
      <c r="K3" s="7" t="s">
        <v>15</v>
      </c>
      <c r="L3" s="67" t="str">
        <f>IF(LogicCommon!G3="","",LogicCommon!G3)</f>
        <v/>
      </c>
      <c r="M3" s="50"/>
      <c r="N3" s="7"/>
      <c r="O3" s="7" t="s">
        <v>21</v>
      </c>
      <c r="P3" s="9" t="s">
        <v>22</v>
      </c>
      <c r="Q3" s="4"/>
      <c r="R3" s="24"/>
      <c r="S3" s="24"/>
      <c r="T3" s="24"/>
    </row>
    <row r="4" spans="1:20" s="11" customFormat="1">
      <c r="A4" s="68" t="s">
        <v>16</v>
      </c>
      <c r="B4" s="69"/>
      <c r="C4" s="69"/>
      <c r="D4" s="4"/>
      <c r="E4" s="7" t="s">
        <v>99</v>
      </c>
      <c r="F4" s="71" t="s">
        <v>100</v>
      </c>
      <c r="G4" s="7" t="s">
        <v>4</v>
      </c>
      <c r="H4" s="67" t="str">
        <f>IF(LogicCommon!E4="","",LogicCommon!E4)</f>
        <v>送受信ＩＦ</v>
      </c>
      <c r="I4" s="7" t="s">
        <v>23</v>
      </c>
      <c r="J4" s="9" t="s">
        <v>47</v>
      </c>
      <c r="K4" s="7" t="s">
        <v>6</v>
      </c>
      <c r="L4" s="67" t="str">
        <f>IF(LogicCommon!G4="","",LogicCommon!G4)</f>
        <v>PF.PFUDL5000</v>
      </c>
      <c r="M4" s="72" t="s">
        <v>107</v>
      </c>
      <c r="N4" s="25"/>
      <c r="O4" s="73"/>
      <c r="P4" s="4"/>
      <c r="Q4" s="4"/>
      <c r="R4" s="24"/>
      <c r="S4" s="24"/>
      <c r="T4" s="24"/>
    </row>
    <row r="5" spans="1:20" s="11" customFormat="1">
      <c r="A5" s="74" t="s">
        <v>16</v>
      </c>
      <c r="B5" s="64"/>
      <c r="C5" s="64"/>
      <c r="D5" s="22"/>
      <c r="E5" s="7" t="s">
        <v>24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8" t="s">
        <v>16</v>
      </c>
      <c r="B6" s="69"/>
      <c r="C6" s="69"/>
      <c r="D6" s="4" t="s">
        <v>7</v>
      </c>
      <c r="E6" s="13"/>
      <c r="F6" s="13"/>
      <c r="G6" s="13"/>
      <c r="H6" s="13"/>
      <c r="I6" s="13"/>
      <c r="J6" s="13"/>
      <c r="K6" s="13"/>
      <c r="L6" s="76" t="s">
        <v>25</v>
      </c>
      <c r="M6" s="16"/>
      <c r="N6" s="16" t="s">
        <v>25</v>
      </c>
      <c r="O6" s="16"/>
      <c r="P6" s="16" t="s">
        <v>25</v>
      </c>
      <c r="Q6" s="16"/>
      <c r="R6" s="23"/>
      <c r="S6" s="23"/>
      <c r="T6" s="23"/>
    </row>
    <row r="7" spans="1:20" s="11" customFormat="1">
      <c r="A7" s="26" t="s">
        <v>26</v>
      </c>
      <c r="B7" s="26"/>
      <c r="C7" s="26"/>
      <c r="D7" s="27"/>
      <c r="E7" s="27"/>
      <c r="F7" s="28"/>
      <c r="G7" s="27"/>
      <c r="H7" s="27"/>
      <c r="I7" s="27" t="s">
        <v>27</v>
      </c>
      <c r="J7" s="27"/>
      <c r="K7" s="29" t="s">
        <v>28</v>
      </c>
      <c r="L7" s="30"/>
      <c r="M7" s="29" t="s">
        <v>28</v>
      </c>
      <c r="N7" s="30"/>
      <c r="O7" s="29" t="s">
        <v>28</v>
      </c>
      <c r="P7" s="30"/>
      <c r="Q7" s="23"/>
      <c r="R7" s="23"/>
      <c r="S7" s="23"/>
      <c r="T7" s="23"/>
    </row>
    <row r="8" spans="1:20" s="11" customFormat="1" ht="60" customHeight="1">
      <c r="A8" s="48" t="s">
        <v>26</v>
      </c>
      <c r="B8" s="87"/>
      <c r="C8" s="88"/>
      <c r="D8" s="85" t="s">
        <v>165</v>
      </c>
      <c r="E8" s="85" t="s">
        <v>166</v>
      </c>
      <c r="F8" s="76"/>
      <c r="G8" s="85" t="s">
        <v>108</v>
      </c>
      <c r="H8" s="85" t="s">
        <v>167</v>
      </c>
      <c r="I8" s="76"/>
      <c r="J8" s="3"/>
      <c r="K8" s="29" t="s">
        <v>29</v>
      </c>
      <c r="L8" s="30"/>
      <c r="M8" s="29" t="s">
        <v>29</v>
      </c>
      <c r="N8" s="30"/>
      <c r="O8" s="29" t="s">
        <v>29</v>
      </c>
      <c r="P8" s="30"/>
      <c r="Q8" s="89"/>
      <c r="R8" s="90"/>
      <c r="S8" s="91" t="s">
        <v>168</v>
      </c>
      <c r="T8" s="46"/>
    </row>
    <row r="9" spans="1:20" s="11" customFormat="1" ht="60" customHeight="1">
      <c r="A9" s="9" t="s">
        <v>26</v>
      </c>
      <c r="B9" s="32"/>
      <c r="C9" s="33"/>
      <c r="D9" s="85" t="s">
        <v>169</v>
      </c>
      <c r="E9" s="92" t="s">
        <v>170</v>
      </c>
      <c r="F9" s="85" t="s">
        <v>171</v>
      </c>
      <c r="G9" s="85" t="s">
        <v>172</v>
      </c>
      <c r="H9" s="85" t="s">
        <v>173</v>
      </c>
      <c r="I9" s="93" t="s">
        <v>174</v>
      </c>
      <c r="J9" s="85" t="s">
        <v>175</v>
      </c>
      <c r="K9" s="29"/>
      <c r="L9" s="29"/>
      <c r="M9" s="29"/>
      <c r="N9" s="29"/>
      <c r="O9" s="29"/>
      <c r="P9" s="29"/>
      <c r="Q9" s="91" t="s">
        <v>176</v>
      </c>
      <c r="R9" s="46"/>
      <c r="S9" s="91" t="s">
        <v>177</v>
      </c>
      <c r="T9" s="46"/>
    </row>
    <row r="10" spans="1:20" s="11" customFormat="1" ht="52">
      <c r="A10" s="34" t="s">
        <v>30</v>
      </c>
      <c r="B10" s="35"/>
      <c r="C10" s="35"/>
      <c r="D10" s="36"/>
      <c r="E10" s="37"/>
      <c r="F10" s="38"/>
      <c r="G10" s="39"/>
      <c r="H10" s="39"/>
      <c r="I10" s="37"/>
      <c r="J10" s="37"/>
      <c r="K10" s="86" t="s">
        <v>174</v>
      </c>
      <c r="L10" s="86" t="s">
        <v>175</v>
      </c>
      <c r="M10" s="86" t="s">
        <v>174</v>
      </c>
      <c r="N10" s="86" t="s">
        <v>175</v>
      </c>
      <c r="O10" s="86" t="s">
        <v>174</v>
      </c>
      <c r="P10" s="86" t="s">
        <v>175</v>
      </c>
      <c r="Q10" s="37"/>
      <c r="R10" s="37"/>
      <c r="S10" s="39"/>
      <c r="T10" s="31"/>
    </row>
    <row r="11" spans="1:20" s="11" customFormat="1">
      <c r="A11" s="9">
        <v>10</v>
      </c>
      <c r="B11" s="32" t="s">
        <v>0</v>
      </c>
      <c r="C11" s="33"/>
      <c r="D11" s="25" t="s">
        <v>31</v>
      </c>
      <c r="E11" s="40" t="s">
        <v>32</v>
      </c>
      <c r="F11" s="41"/>
      <c r="G11" s="25"/>
      <c r="H11" s="42"/>
      <c r="I11" s="43"/>
      <c r="J11" s="44"/>
      <c r="K11" s="30"/>
      <c r="L11" s="30"/>
      <c r="M11" s="30"/>
      <c r="N11" s="30"/>
      <c r="O11" s="30"/>
      <c r="P11" s="30"/>
      <c r="Q11" s="45"/>
      <c r="R11" s="46"/>
      <c r="S11" s="63"/>
      <c r="T11" s="47"/>
    </row>
    <row r="12" spans="1:20" s="11" customFormat="1">
      <c r="A12" s="9">
        <v>10</v>
      </c>
      <c r="B12" s="9"/>
      <c r="C12" s="9"/>
      <c r="D12" s="9" t="s">
        <v>59</v>
      </c>
      <c r="E12" s="48" t="s">
        <v>60</v>
      </c>
      <c r="F12" s="48"/>
      <c r="G12" s="49" t="s">
        <v>178</v>
      </c>
      <c r="H12" s="49" t="s">
        <v>104</v>
      </c>
      <c r="I12" s="9" t="s">
        <v>33</v>
      </c>
      <c r="J12" s="9" t="s">
        <v>33</v>
      </c>
      <c r="K12" s="9"/>
      <c r="L12" s="9"/>
      <c r="M12" s="9"/>
      <c r="N12" s="9"/>
      <c r="O12" s="9"/>
      <c r="P12" s="9"/>
      <c r="Q12" s="45"/>
      <c r="R12" s="46"/>
      <c r="S12" s="95"/>
      <c r="T12" s="96"/>
    </row>
    <row r="13" spans="1:20" s="11" customFormat="1">
      <c r="A13" s="9">
        <v>10</v>
      </c>
      <c r="B13" s="9"/>
      <c r="C13" s="9"/>
      <c r="D13" s="9" t="s">
        <v>34</v>
      </c>
      <c r="E13" s="48" t="s">
        <v>51</v>
      </c>
      <c r="F13" s="48"/>
      <c r="G13" s="49" t="s">
        <v>179</v>
      </c>
      <c r="H13" s="49" t="s">
        <v>35</v>
      </c>
      <c r="I13" s="9" t="s">
        <v>33</v>
      </c>
      <c r="J13" s="9" t="s">
        <v>33</v>
      </c>
      <c r="K13" s="9"/>
      <c r="L13" s="9"/>
      <c r="M13" s="9"/>
      <c r="N13" s="9"/>
      <c r="O13" s="9"/>
      <c r="P13" s="9"/>
      <c r="Q13" s="45"/>
      <c r="R13" s="46"/>
      <c r="S13" s="95"/>
      <c r="T13" s="96"/>
    </row>
    <row r="14" spans="1:20" s="11" customFormat="1">
      <c r="A14" s="9">
        <v>10</v>
      </c>
      <c r="B14" s="9"/>
      <c r="C14" s="9"/>
      <c r="D14" s="9" t="s">
        <v>61</v>
      </c>
      <c r="E14" s="48" t="s">
        <v>62</v>
      </c>
      <c r="F14" s="48"/>
      <c r="G14" s="49" t="s">
        <v>180</v>
      </c>
      <c r="H14" s="49" t="s">
        <v>105</v>
      </c>
      <c r="I14" s="9" t="s">
        <v>33</v>
      </c>
      <c r="J14" s="9" t="s">
        <v>33</v>
      </c>
      <c r="K14" s="9"/>
      <c r="L14" s="9"/>
      <c r="M14" s="9"/>
      <c r="N14" s="9"/>
      <c r="O14" s="9"/>
      <c r="P14" s="9"/>
      <c r="Q14" s="50"/>
      <c r="R14" s="51"/>
      <c r="S14" s="95"/>
      <c r="T14" s="96"/>
    </row>
    <row r="15" spans="1:20" s="11" customFormat="1" ht="26">
      <c r="A15" s="9">
        <v>10</v>
      </c>
      <c r="B15" s="9"/>
      <c r="C15" s="9"/>
      <c r="D15" s="9" t="s">
        <v>89</v>
      </c>
      <c r="E15" s="48" t="s">
        <v>52</v>
      </c>
      <c r="F15" s="48"/>
      <c r="G15" s="49" t="s">
        <v>181</v>
      </c>
      <c r="H15" s="49" t="s">
        <v>106</v>
      </c>
      <c r="I15" s="9"/>
      <c r="J15" s="9" t="s">
        <v>33</v>
      </c>
      <c r="K15" s="9"/>
      <c r="L15" s="9"/>
      <c r="M15" s="9"/>
      <c r="N15" s="9"/>
      <c r="O15" s="9"/>
      <c r="P15" s="9"/>
      <c r="Q15" s="45"/>
      <c r="R15" s="46"/>
      <c r="S15" s="95"/>
      <c r="T15" s="96"/>
    </row>
    <row r="16" spans="1:20" s="11" customFormat="1">
      <c r="A16" s="80">
        <v>10</v>
      </c>
      <c r="B16" s="80"/>
      <c r="C16" s="80"/>
      <c r="D16" s="80" t="s">
        <v>153</v>
      </c>
      <c r="E16" s="81" t="s">
        <v>154</v>
      </c>
      <c r="F16" s="81"/>
      <c r="G16" s="81"/>
      <c r="H16" s="81"/>
      <c r="I16" s="80"/>
      <c r="J16" s="80"/>
      <c r="K16" s="80"/>
      <c r="L16" s="80"/>
      <c r="M16" s="80"/>
      <c r="N16" s="80"/>
      <c r="O16" s="80"/>
      <c r="P16" s="80"/>
      <c r="Q16" s="82"/>
      <c r="R16" s="83"/>
      <c r="S16" s="97"/>
      <c r="T16" s="98"/>
    </row>
    <row r="17" spans="1:20" s="11" customFormat="1">
      <c r="A17" s="52"/>
      <c r="B17" s="26"/>
      <c r="C17" s="26"/>
      <c r="D17" s="53" t="s">
        <v>1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54"/>
    </row>
    <row r="18" spans="1:20" s="11" customFormat="1">
      <c r="A18" s="68"/>
      <c r="T18" s="55"/>
    </row>
    <row r="19" spans="1:20" s="11" customFormat="1">
      <c r="A19" s="68"/>
      <c r="T19" s="55"/>
    </row>
    <row r="20" spans="1:20" s="11" customFormat="1">
      <c r="A20" s="68"/>
      <c r="T20" s="55"/>
    </row>
    <row r="21" spans="1:20" s="11" customFormat="1">
      <c r="A21" s="68"/>
      <c r="T21" s="55"/>
    </row>
    <row r="22" spans="1:20" s="11" customFormat="1">
      <c r="A22" s="68"/>
      <c r="T22" s="55"/>
    </row>
    <row r="23" spans="1:20" s="11" customFormat="1">
      <c r="A23" s="68"/>
      <c r="T23" s="55"/>
    </row>
    <row r="24" spans="1:20" s="11" customFormat="1">
      <c r="A24" s="68"/>
      <c r="T24" s="55"/>
    </row>
    <row r="25" spans="1:20" s="11" customFormat="1">
      <c r="A25" s="68"/>
      <c r="T25" s="55"/>
    </row>
    <row r="26" spans="1:20" s="11" customFormat="1">
      <c r="A26" s="74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56"/>
    </row>
  </sheetData>
  <sheetProtection formatCells="0" formatColumns="0" formatRows="0" insertColumns="0" insertRows="0" insertHyperlinks="0" deleteColumns="0" deleteRows="0"/>
  <mergeCells count="5">
    <mergeCell ref="S13:T13"/>
    <mergeCell ref="S12:T12"/>
    <mergeCell ref="S15:T15"/>
    <mergeCell ref="S14:T14"/>
    <mergeCell ref="S16:T1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5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9.36328125" style="24" customWidth="1"/>
    <col min="5" max="5" width="25.81640625" style="24" customWidth="1"/>
    <col min="6" max="6" width="20.453125" style="57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4" t="s">
        <v>16</v>
      </c>
      <c r="B1" s="64" t="s">
        <v>16</v>
      </c>
      <c r="C1" s="64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5" t="s">
        <v>16</v>
      </c>
      <c r="B2" s="66"/>
      <c r="C2" s="66"/>
      <c r="D2" s="84" t="s">
        <v>164</v>
      </c>
      <c r="E2" s="7" t="s">
        <v>97</v>
      </c>
      <c r="F2" s="67" t="str">
        <f>IF(LogicCommon!C2="","",LogicCommon!C2)</f>
        <v>PF</v>
      </c>
      <c r="G2" s="7" t="s">
        <v>2</v>
      </c>
      <c r="H2" s="67" t="str">
        <f>IF(LogicCommon!E2="","",LogicCommon!E2)</f>
        <v>PFUDL5020</v>
      </c>
      <c r="I2" s="7" t="s">
        <v>18</v>
      </c>
      <c r="J2" s="9" t="s">
        <v>138</v>
      </c>
      <c r="K2" s="7" t="s">
        <v>14</v>
      </c>
      <c r="L2" s="67" t="str">
        <f>IF(LogicCommon!G2="","",LogicCommon!G2)</f>
        <v>MC</v>
      </c>
      <c r="M2" s="5" t="s">
        <v>103</v>
      </c>
      <c r="N2" s="25"/>
      <c r="O2" s="7"/>
      <c r="P2" s="7"/>
      <c r="Q2" s="4"/>
      <c r="R2" s="24"/>
      <c r="S2" s="24"/>
      <c r="T2" s="24"/>
    </row>
    <row r="3" spans="1:20" s="11" customFormat="1">
      <c r="A3" s="68" t="s">
        <v>16</v>
      </c>
      <c r="B3" s="69"/>
      <c r="C3" s="69"/>
      <c r="D3" s="70" t="str">
        <f>IF(LogicCommon!A3="","",LogicCommon!A3)</f>
        <v/>
      </c>
      <c r="E3" s="7" t="s">
        <v>98</v>
      </c>
      <c r="F3" s="67" t="str">
        <f>IF(LogicCommon!C3="","",LogicCommon!C3)</f>
        <v>PFUD</v>
      </c>
      <c r="G3" s="7" t="s">
        <v>3</v>
      </c>
      <c r="H3" s="67" t="str">
        <f>IF(LogicCommon!E3="","",LogicCommon!E3)</f>
        <v>PFUDL_SendRecvIf</v>
      </c>
      <c r="I3" s="7" t="s">
        <v>20</v>
      </c>
      <c r="J3" s="9" t="s">
        <v>138</v>
      </c>
      <c r="K3" s="7" t="s">
        <v>15</v>
      </c>
      <c r="L3" s="67" t="str">
        <f>IF(LogicCommon!G3="","",LogicCommon!G3)</f>
        <v/>
      </c>
      <c r="M3" s="50"/>
      <c r="N3" s="7"/>
      <c r="O3" s="7" t="s">
        <v>21</v>
      </c>
      <c r="P3" s="9" t="s">
        <v>22</v>
      </c>
      <c r="Q3" s="4"/>
      <c r="R3" s="24"/>
      <c r="S3" s="24"/>
      <c r="T3" s="24"/>
    </row>
    <row r="4" spans="1:20" s="11" customFormat="1">
      <c r="A4" s="68" t="s">
        <v>16</v>
      </c>
      <c r="B4" s="69"/>
      <c r="C4" s="69"/>
      <c r="D4" s="4"/>
      <c r="E4" s="7" t="s">
        <v>99</v>
      </c>
      <c r="F4" s="71" t="s">
        <v>100</v>
      </c>
      <c r="G4" s="7" t="s">
        <v>4</v>
      </c>
      <c r="H4" s="67" t="str">
        <f>IF(LogicCommon!E4="","",LogicCommon!E4)</f>
        <v>送受信ＩＦ</v>
      </c>
      <c r="I4" s="7" t="s">
        <v>23</v>
      </c>
      <c r="J4" s="9" t="s">
        <v>48</v>
      </c>
      <c r="K4" s="7" t="s">
        <v>6</v>
      </c>
      <c r="L4" s="67" t="str">
        <f>IF(LogicCommon!G4="","",LogicCommon!G4)</f>
        <v>PF.PFUDL5000</v>
      </c>
      <c r="M4" s="72" t="s">
        <v>107</v>
      </c>
      <c r="N4" s="25"/>
      <c r="O4" s="73"/>
      <c r="P4" s="4"/>
      <c r="Q4" s="4"/>
      <c r="R4" s="24"/>
      <c r="S4" s="24"/>
      <c r="T4" s="24"/>
    </row>
    <row r="5" spans="1:20" s="11" customFormat="1">
      <c r="A5" s="74" t="s">
        <v>16</v>
      </c>
      <c r="B5" s="64"/>
      <c r="C5" s="64"/>
      <c r="D5" s="22"/>
      <c r="E5" s="7" t="s">
        <v>24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8" t="s">
        <v>16</v>
      </c>
      <c r="B6" s="69"/>
      <c r="C6" s="69"/>
      <c r="D6" s="4" t="s">
        <v>7</v>
      </c>
      <c r="E6" s="13"/>
      <c r="F6" s="13"/>
      <c r="G6" s="13"/>
      <c r="H6" s="13"/>
      <c r="I6" s="13"/>
      <c r="J6" s="13"/>
      <c r="K6" s="13"/>
      <c r="L6" s="76" t="s">
        <v>25</v>
      </c>
      <c r="M6" s="16"/>
      <c r="N6" s="16" t="s">
        <v>25</v>
      </c>
      <c r="O6" s="16"/>
      <c r="P6" s="16" t="s">
        <v>25</v>
      </c>
      <c r="Q6" s="16"/>
      <c r="R6" s="23"/>
      <c r="S6" s="23"/>
      <c r="T6" s="23"/>
    </row>
    <row r="7" spans="1:20" s="11" customFormat="1">
      <c r="A7" s="26" t="s">
        <v>36</v>
      </c>
      <c r="B7" s="26"/>
      <c r="C7" s="26"/>
      <c r="D7" s="27"/>
      <c r="E7" s="27"/>
      <c r="F7" s="28"/>
      <c r="G7" s="27"/>
      <c r="H7" s="27"/>
      <c r="I7" s="27" t="s">
        <v>37</v>
      </c>
      <c r="J7" s="27"/>
      <c r="K7" s="29" t="s">
        <v>38</v>
      </c>
      <c r="L7" s="30"/>
      <c r="M7" s="29" t="s">
        <v>38</v>
      </c>
      <c r="N7" s="30"/>
      <c r="O7" s="29" t="s">
        <v>38</v>
      </c>
      <c r="P7" s="30"/>
      <c r="Q7" s="23"/>
      <c r="R7" s="23"/>
      <c r="S7" s="23"/>
      <c r="T7" s="23"/>
    </row>
    <row r="8" spans="1:20" s="11" customFormat="1" ht="60" customHeight="1">
      <c r="A8" s="48" t="s">
        <v>26</v>
      </c>
      <c r="B8" s="87"/>
      <c r="C8" s="88"/>
      <c r="D8" s="85" t="s">
        <v>165</v>
      </c>
      <c r="E8" s="85" t="s">
        <v>166</v>
      </c>
      <c r="F8" s="76"/>
      <c r="G8" s="85" t="s">
        <v>108</v>
      </c>
      <c r="H8" s="85" t="s">
        <v>167</v>
      </c>
      <c r="I8" s="76"/>
      <c r="J8" s="3"/>
      <c r="K8" s="29" t="s">
        <v>29</v>
      </c>
      <c r="L8" s="30"/>
      <c r="M8" s="29" t="s">
        <v>29</v>
      </c>
      <c r="N8" s="30"/>
      <c r="O8" s="29" t="s">
        <v>29</v>
      </c>
      <c r="P8" s="30"/>
      <c r="Q8" s="89"/>
      <c r="R8" s="90"/>
      <c r="S8" s="91" t="s">
        <v>168</v>
      </c>
      <c r="T8" s="46"/>
    </row>
    <row r="9" spans="1:20" s="11" customFormat="1" ht="60" customHeight="1">
      <c r="A9" s="9" t="s">
        <v>26</v>
      </c>
      <c r="B9" s="32"/>
      <c r="C9" s="33"/>
      <c r="D9" s="85" t="s">
        <v>182</v>
      </c>
      <c r="E9" s="92" t="s">
        <v>183</v>
      </c>
      <c r="F9" s="85" t="s">
        <v>171</v>
      </c>
      <c r="G9" s="85" t="s">
        <v>172</v>
      </c>
      <c r="H9" s="85" t="s">
        <v>173</v>
      </c>
      <c r="I9" s="93" t="s">
        <v>174</v>
      </c>
      <c r="J9" s="85" t="s">
        <v>175</v>
      </c>
      <c r="K9" s="29"/>
      <c r="L9" s="29"/>
      <c r="M9" s="29"/>
      <c r="N9" s="29"/>
      <c r="O9" s="29"/>
      <c r="P9" s="29"/>
      <c r="Q9" s="91" t="s">
        <v>176</v>
      </c>
      <c r="R9" s="46"/>
      <c r="S9" s="91" t="s">
        <v>177</v>
      </c>
      <c r="T9" s="46"/>
    </row>
    <row r="10" spans="1:20" s="11" customFormat="1" ht="52">
      <c r="A10" s="34" t="s">
        <v>30</v>
      </c>
      <c r="B10" s="35"/>
      <c r="C10" s="35"/>
      <c r="D10" s="36"/>
      <c r="E10" s="37"/>
      <c r="F10" s="38"/>
      <c r="G10" s="39"/>
      <c r="H10" s="39"/>
      <c r="I10" s="37"/>
      <c r="J10" s="37"/>
      <c r="K10" s="86" t="s">
        <v>174</v>
      </c>
      <c r="L10" s="86" t="s">
        <v>175</v>
      </c>
      <c r="M10" s="86" t="s">
        <v>174</v>
      </c>
      <c r="N10" s="86" t="s">
        <v>175</v>
      </c>
      <c r="O10" s="86" t="s">
        <v>174</v>
      </c>
      <c r="P10" s="86" t="s">
        <v>175</v>
      </c>
      <c r="Q10" s="37"/>
      <c r="R10" s="37"/>
      <c r="S10" s="39"/>
      <c r="T10" s="31"/>
    </row>
    <row r="11" spans="1:20" s="11" customFormat="1">
      <c r="A11" s="9">
        <v>10</v>
      </c>
      <c r="B11" s="32" t="s">
        <v>0</v>
      </c>
      <c r="C11" s="33"/>
      <c r="D11" s="25" t="s">
        <v>143</v>
      </c>
      <c r="E11" s="40" t="s">
        <v>17</v>
      </c>
      <c r="F11" s="41"/>
      <c r="G11" s="25"/>
      <c r="H11" s="42"/>
      <c r="I11" s="43"/>
      <c r="J11" s="44"/>
      <c r="K11" s="30"/>
      <c r="L11" s="30"/>
      <c r="M11" s="30"/>
      <c r="N11" s="30"/>
      <c r="O11" s="30"/>
      <c r="P11" s="30"/>
      <c r="Q11" s="45"/>
      <c r="R11" s="46"/>
      <c r="S11" s="63"/>
      <c r="T11" s="47"/>
    </row>
    <row r="12" spans="1:20" s="11" customFormat="1">
      <c r="A12" s="77">
        <v>10</v>
      </c>
      <c r="B12" s="77"/>
      <c r="C12" s="77"/>
      <c r="D12" s="77" t="s">
        <v>139</v>
      </c>
      <c r="E12" s="77" t="s">
        <v>39</v>
      </c>
      <c r="F12" s="77" t="s">
        <v>53</v>
      </c>
      <c r="G12" s="94" t="s">
        <v>184</v>
      </c>
      <c r="H12" s="77" t="s">
        <v>109</v>
      </c>
      <c r="I12" s="77"/>
      <c r="J12" s="77"/>
      <c r="K12" s="77"/>
      <c r="L12" s="77"/>
      <c r="M12" s="77"/>
      <c r="N12" s="77"/>
      <c r="O12" s="77"/>
      <c r="P12" s="77"/>
      <c r="Q12" s="78"/>
      <c r="R12" s="79"/>
      <c r="S12" s="77"/>
      <c r="T12" s="77"/>
    </row>
    <row r="13" spans="1:20" s="11" customFormat="1">
      <c r="A13" s="77">
        <v>10</v>
      </c>
      <c r="B13" s="9"/>
      <c r="C13" s="9"/>
      <c r="D13" s="9" t="s">
        <v>65</v>
      </c>
      <c r="E13" s="48" t="s">
        <v>40</v>
      </c>
      <c r="F13" s="48"/>
      <c r="G13" s="49" t="s">
        <v>178</v>
      </c>
      <c r="H13" s="49" t="s">
        <v>104</v>
      </c>
      <c r="I13" s="9" t="s">
        <v>33</v>
      </c>
      <c r="J13" s="9" t="s">
        <v>33</v>
      </c>
      <c r="K13" s="9"/>
      <c r="L13" s="9"/>
      <c r="M13" s="9"/>
      <c r="N13" s="9"/>
      <c r="O13" s="9"/>
      <c r="P13" s="9"/>
      <c r="Q13" s="45"/>
      <c r="R13" s="46"/>
      <c r="S13" s="95"/>
      <c r="T13" s="96"/>
    </row>
    <row r="14" spans="1:20" s="11" customFormat="1">
      <c r="A14" s="77">
        <v>10</v>
      </c>
      <c r="B14" s="9"/>
      <c r="C14" s="9"/>
      <c r="D14" s="9" t="s">
        <v>66</v>
      </c>
      <c r="E14" s="48" t="s">
        <v>40</v>
      </c>
      <c r="F14" s="48"/>
      <c r="G14" s="49" t="s">
        <v>179</v>
      </c>
      <c r="H14" s="49" t="s">
        <v>110</v>
      </c>
      <c r="I14" s="9" t="s">
        <v>33</v>
      </c>
      <c r="J14" s="9" t="s">
        <v>33</v>
      </c>
      <c r="K14" s="9"/>
      <c r="L14" s="9"/>
      <c r="M14" s="9"/>
      <c r="N14" s="9"/>
      <c r="O14" s="9"/>
      <c r="P14" s="9"/>
      <c r="Q14" s="45"/>
      <c r="R14" s="46"/>
      <c r="S14" s="95"/>
      <c r="T14" s="96"/>
    </row>
    <row r="15" spans="1:20" s="11" customFormat="1">
      <c r="A15" s="77">
        <v>10</v>
      </c>
      <c r="B15" s="9"/>
      <c r="C15" s="9"/>
      <c r="D15" s="9" t="s">
        <v>67</v>
      </c>
      <c r="E15" s="48" t="s">
        <v>40</v>
      </c>
      <c r="F15" s="48"/>
      <c r="G15" s="49" t="s">
        <v>180</v>
      </c>
      <c r="H15" s="49" t="s">
        <v>105</v>
      </c>
      <c r="I15" s="9" t="s">
        <v>33</v>
      </c>
      <c r="J15" s="9" t="s">
        <v>33</v>
      </c>
      <c r="K15" s="9"/>
      <c r="L15" s="9"/>
      <c r="M15" s="9"/>
      <c r="N15" s="9"/>
      <c r="O15" s="9"/>
      <c r="P15" s="9"/>
      <c r="Q15" s="45"/>
      <c r="R15" s="46"/>
      <c r="S15" s="95"/>
      <c r="T15" s="96"/>
    </row>
    <row r="16" spans="1:20" s="11" customFormat="1" ht="26">
      <c r="A16" s="77">
        <v>10</v>
      </c>
      <c r="B16" s="9"/>
      <c r="C16" s="9"/>
      <c r="D16" s="9" t="s">
        <v>68</v>
      </c>
      <c r="E16" s="48" t="s">
        <v>40</v>
      </c>
      <c r="F16" s="48"/>
      <c r="G16" s="49" t="s">
        <v>181</v>
      </c>
      <c r="H16" s="49" t="s">
        <v>111</v>
      </c>
      <c r="I16" s="9"/>
      <c r="J16" s="9" t="s">
        <v>33</v>
      </c>
      <c r="K16" s="9"/>
      <c r="L16" s="9"/>
      <c r="M16" s="9"/>
      <c r="N16" s="9"/>
      <c r="O16" s="9"/>
      <c r="P16" s="9"/>
      <c r="Q16" s="45"/>
      <c r="R16" s="46"/>
      <c r="S16" s="95"/>
      <c r="T16" s="96"/>
    </row>
    <row r="17" spans="1:20" s="11" customFormat="1">
      <c r="A17" s="77">
        <v>10</v>
      </c>
      <c r="B17" s="9"/>
      <c r="C17" s="9"/>
      <c r="D17" s="9" t="s">
        <v>69</v>
      </c>
      <c r="E17" s="48" t="s">
        <v>40</v>
      </c>
      <c r="F17" s="48"/>
      <c r="G17" s="49" t="s">
        <v>185</v>
      </c>
      <c r="H17" s="49" t="s">
        <v>112</v>
      </c>
      <c r="I17" s="9"/>
      <c r="J17" s="9"/>
      <c r="K17" s="9"/>
      <c r="L17" s="9"/>
      <c r="M17" s="9"/>
      <c r="N17" s="9"/>
      <c r="O17" s="9"/>
      <c r="P17" s="9"/>
      <c r="Q17" s="45"/>
      <c r="R17" s="46"/>
      <c r="S17" s="95"/>
      <c r="T17" s="96"/>
    </row>
    <row r="18" spans="1:20" s="11" customFormat="1">
      <c r="A18" s="77">
        <v>10</v>
      </c>
      <c r="B18" s="9"/>
      <c r="C18" s="9"/>
      <c r="D18" s="9" t="s">
        <v>70</v>
      </c>
      <c r="E18" s="48" t="s">
        <v>40</v>
      </c>
      <c r="F18" s="48"/>
      <c r="G18" s="49" t="s">
        <v>186</v>
      </c>
      <c r="H18" s="49" t="s">
        <v>113</v>
      </c>
      <c r="I18" s="9"/>
      <c r="J18" s="9"/>
      <c r="K18" s="9"/>
      <c r="L18" s="9"/>
      <c r="M18" s="9"/>
      <c r="N18" s="9"/>
      <c r="O18" s="9"/>
      <c r="P18" s="9"/>
      <c r="Q18" s="45"/>
      <c r="R18" s="46"/>
      <c r="S18" s="95"/>
      <c r="T18" s="96"/>
    </row>
    <row r="19" spans="1:20" s="11" customFormat="1">
      <c r="A19" s="77">
        <v>10</v>
      </c>
      <c r="B19" s="9"/>
      <c r="C19" s="9"/>
      <c r="D19" s="9" t="s">
        <v>71</v>
      </c>
      <c r="E19" s="48" t="s">
        <v>40</v>
      </c>
      <c r="F19" s="48"/>
      <c r="G19" s="49" t="s">
        <v>187</v>
      </c>
      <c r="H19" s="49" t="s">
        <v>114</v>
      </c>
      <c r="I19" s="9"/>
      <c r="J19" s="9"/>
      <c r="K19" s="9"/>
      <c r="L19" s="9"/>
      <c r="M19" s="9"/>
      <c r="N19" s="9"/>
      <c r="O19" s="9"/>
      <c r="P19" s="9"/>
      <c r="Q19" s="45"/>
      <c r="R19" s="46"/>
      <c r="S19" s="95"/>
      <c r="T19" s="96"/>
    </row>
    <row r="20" spans="1:20" s="11" customFormat="1">
      <c r="A20" s="77">
        <v>10</v>
      </c>
      <c r="B20" s="9"/>
      <c r="C20" s="9"/>
      <c r="D20" s="9" t="s">
        <v>72</v>
      </c>
      <c r="E20" s="48" t="s">
        <v>40</v>
      </c>
      <c r="F20" s="48"/>
      <c r="G20" s="49" t="s">
        <v>188</v>
      </c>
      <c r="H20" s="49" t="s">
        <v>115</v>
      </c>
      <c r="I20" s="9"/>
      <c r="J20" s="9"/>
      <c r="K20" s="9"/>
      <c r="L20" s="9"/>
      <c r="M20" s="9"/>
      <c r="N20" s="9"/>
      <c r="O20" s="9"/>
      <c r="P20" s="9"/>
      <c r="Q20" s="45"/>
      <c r="R20" s="46"/>
      <c r="S20" s="95"/>
      <c r="T20" s="96"/>
    </row>
    <row r="21" spans="1:20" s="11" customFormat="1">
      <c r="A21" s="77">
        <v>10</v>
      </c>
      <c r="B21" s="9"/>
      <c r="C21" s="9"/>
      <c r="D21" s="9" t="s">
        <v>73</v>
      </c>
      <c r="E21" s="48" t="s">
        <v>40</v>
      </c>
      <c r="F21" s="48"/>
      <c r="G21" s="49" t="s">
        <v>189</v>
      </c>
      <c r="H21" s="49" t="s">
        <v>116</v>
      </c>
      <c r="I21" s="9"/>
      <c r="J21" s="9"/>
      <c r="K21" s="9"/>
      <c r="L21" s="9"/>
      <c r="M21" s="9"/>
      <c r="N21" s="9"/>
      <c r="O21" s="9"/>
      <c r="P21" s="9"/>
      <c r="Q21" s="45"/>
      <c r="R21" s="46"/>
      <c r="S21" s="95"/>
      <c r="T21" s="96"/>
    </row>
    <row r="22" spans="1:20" s="11" customFormat="1">
      <c r="A22" s="77">
        <v>10</v>
      </c>
      <c r="B22" s="9"/>
      <c r="C22" s="9"/>
      <c r="D22" s="9" t="s">
        <v>74</v>
      </c>
      <c r="E22" s="48" t="s">
        <v>40</v>
      </c>
      <c r="F22" s="48"/>
      <c r="G22" s="49" t="s">
        <v>190</v>
      </c>
      <c r="H22" s="49" t="s">
        <v>117</v>
      </c>
      <c r="I22" s="9"/>
      <c r="J22" s="9"/>
      <c r="K22" s="9"/>
      <c r="L22" s="9"/>
      <c r="M22" s="9"/>
      <c r="N22" s="9"/>
      <c r="O22" s="9"/>
      <c r="P22" s="9"/>
      <c r="Q22" s="45"/>
      <c r="R22" s="46"/>
      <c r="S22" s="95"/>
      <c r="T22" s="96"/>
    </row>
    <row r="23" spans="1:20" s="11" customFormat="1">
      <c r="A23" s="77">
        <v>10</v>
      </c>
      <c r="B23" s="9"/>
      <c r="C23" s="9"/>
      <c r="D23" s="9" t="s">
        <v>75</v>
      </c>
      <c r="E23" s="48" t="s">
        <v>40</v>
      </c>
      <c r="F23" s="48"/>
      <c r="G23" s="49" t="s">
        <v>191</v>
      </c>
      <c r="H23" s="49" t="s">
        <v>118</v>
      </c>
      <c r="I23" s="9"/>
      <c r="J23" s="9"/>
      <c r="K23" s="9"/>
      <c r="L23" s="9"/>
      <c r="M23" s="9"/>
      <c r="N23" s="9"/>
      <c r="O23" s="9"/>
      <c r="P23" s="9"/>
      <c r="Q23" s="45"/>
      <c r="R23" s="46"/>
      <c r="S23" s="95"/>
      <c r="T23" s="96"/>
    </row>
    <row r="24" spans="1:20" s="11" customFormat="1">
      <c r="A24" s="77">
        <v>10</v>
      </c>
      <c r="B24" s="9"/>
      <c r="C24" s="9"/>
      <c r="D24" s="9" t="s">
        <v>76</v>
      </c>
      <c r="E24" s="48" t="s">
        <v>40</v>
      </c>
      <c r="F24" s="48"/>
      <c r="G24" s="49" t="s">
        <v>192</v>
      </c>
      <c r="H24" s="49" t="s">
        <v>119</v>
      </c>
      <c r="I24" s="9"/>
      <c r="J24" s="9"/>
      <c r="K24" s="9"/>
      <c r="L24" s="9"/>
      <c r="M24" s="9"/>
      <c r="N24" s="9"/>
      <c r="O24" s="9"/>
      <c r="P24" s="9"/>
      <c r="Q24" s="45"/>
      <c r="R24" s="46"/>
      <c r="S24" s="95"/>
      <c r="T24" s="96"/>
    </row>
    <row r="25" spans="1:20" s="11" customFormat="1">
      <c r="A25" s="77">
        <v>10</v>
      </c>
      <c r="B25" s="9"/>
      <c r="C25" s="9"/>
      <c r="D25" s="9" t="s">
        <v>77</v>
      </c>
      <c r="E25" s="48" t="s">
        <v>40</v>
      </c>
      <c r="F25" s="48"/>
      <c r="G25" s="49" t="s">
        <v>193</v>
      </c>
      <c r="H25" s="49" t="s">
        <v>120</v>
      </c>
      <c r="I25" s="9"/>
      <c r="J25" s="9"/>
      <c r="K25" s="9"/>
      <c r="L25" s="9"/>
      <c r="M25" s="9"/>
      <c r="N25" s="9"/>
      <c r="O25" s="9"/>
      <c r="P25" s="9"/>
      <c r="Q25" s="45"/>
      <c r="R25" s="46"/>
      <c r="S25" s="95"/>
      <c r="T25" s="96"/>
    </row>
    <row r="26" spans="1:20" s="11" customFormat="1">
      <c r="A26" s="77">
        <v>10</v>
      </c>
      <c r="B26" s="9"/>
      <c r="C26" s="9"/>
      <c r="D26" s="9" t="s">
        <v>78</v>
      </c>
      <c r="E26" s="48" t="s">
        <v>40</v>
      </c>
      <c r="F26" s="48"/>
      <c r="G26" s="49" t="s">
        <v>194</v>
      </c>
      <c r="H26" s="49" t="s">
        <v>121</v>
      </c>
      <c r="I26" s="9"/>
      <c r="J26" s="9"/>
      <c r="K26" s="9"/>
      <c r="L26" s="9"/>
      <c r="M26" s="9"/>
      <c r="N26" s="9"/>
      <c r="O26" s="9"/>
      <c r="P26" s="9"/>
      <c r="Q26" s="45"/>
      <c r="R26" s="46"/>
      <c r="S26" s="95"/>
      <c r="T26" s="96"/>
    </row>
    <row r="27" spans="1:20" s="11" customFormat="1">
      <c r="A27" s="77">
        <v>10</v>
      </c>
      <c r="B27" s="9"/>
      <c r="C27" s="9"/>
      <c r="D27" s="9" t="s">
        <v>79</v>
      </c>
      <c r="E27" s="48" t="s">
        <v>40</v>
      </c>
      <c r="F27" s="48"/>
      <c r="G27" s="49" t="s">
        <v>195</v>
      </c>
      <c r="H27" s="49" t="s">
        <v>122</v>
      </c>
      <c r="I27" s="9"/>
      <c r="J27" s="9"/>
      <c r="K27" s="9"/>
      <c r="L27" s="9"/>
      <c r="M27" s="9"/>
      <c r="N27" s="9"/>
      <c r="O27" s="9"/>
      <c r="P27" s="9"/>
      <c r="Q27" s="45"/>
      <c r="R27" s="46"/>
      <c r="S27" s="95"/>
      <c r="T27" s="96"/>
    </row>
    <row r="28" spans="1:20" s="11" customFormat="1">
      <c r="A28" s="77">
        <v>10</v>
      </c>
      <c r="B28" s="9"/>
      <c r="C28" s="9"/>
      <c r="D28" s="9" t="s">
        <v>80</v>
      </c>
      <c r="E28" s="48" t="s">
        <v>40</v>
      </c>
      <c r="F28" s="48"/>
      <c r="G28" s="49" t="s">
        <v>196</v>
      </c>
      <c r="H28" s="49" t="s">
        <v>123</v>
      </c>
      <c r="I28" s="9"/>
      <c r="J28" s="9"/>
      <c r="K28" s="9"/>
      <c r="L28" s="9"/>
      <c r="M28" s="9"/>
      <c r="N28" s="9"/>
      <c r="O28" s="9"/>
      <c r="P28" s="9"/>
      <c r="Q28" s="45"/>
      <c r="R28" s="46"/>
      <c r="S28" s="95"/>
      <c r="T28" s="96"/>
    </row>
    <row r="29" spans="1:20" s="11" customFormat="1">
      <c r="A29" s="77">
        <v>10</v>
      </c>
      <c r="B29" s="9"/>
      <c r="C29" s="9"/>
      <c r="D29" s="9" t="s">
        <v>81</v>
      </c>
      <c r="E29" s="48" t="s">
        <v>40</v>
      </c>
      <c r="F29" s="48"/>
      <c r="G29" s="49" t="s">
        <v>197</v>
      </c>
      <c r="H29" s="49" t="s">
        <v>124</v>
      </c>
      <c r="I29" s="9"/>
      <c r="J29" s="9"/>
      <c r="K29" s="9"/>
      <c r="L29" s="9"/>
      <c r="M29" s="9"/>
      <c r="N29" s="9"/>
      <c r="O29" s="9"/>
      <c r="P29" s="9"/>
      <c r="Q29" s="45"/>
      <c r="R29" s="46"/>
      <c r="S29" s="95"/>
      <c r="T29" s="96"/>
    </row>
    <row r="30" spans="1:20" s="11" customFormat="1">
      <c r="A30" s="77">
        <v>10</v>
      </c>
      <c r="B30" s="9"/>
      <c r="C30" s="9"/>
      <c r="D30" s="9" t="s">
        <v>82</v>
      </c>
      <c r="E30" s="48" t="s">
        <v>40</v>
      </c>
      <c r="F30" s="48"/>
      <c r="G30" s="49" t="s">
        <v>198</v>
      </c>
      <c r="H30" s="49" t="s">
        <v>125</v>
      </c>
      <c r="I30" s="9"/>
      <c r="J30" s="9"/>
      <c r="K30" s="9"/>
      <c r="L30" s="9"/>
      <c r="M30" s="9"/>
      <c r="N30" s="9"/>
      <c r="O30" s="9"/>
      <c r="P30" s="9"/>
      <c r="Q30" s="45"/>
      <c r="R30" s="46"/>
      <c r="S30" s="95"/>
      <c r="T30" s="96"/>
    </row>
    <row r="31" spans="1:20" s="11" customFormat="1">
      <c r="A31" s="77">
        <v>10</v>
      </c>
      <c r="B31" s="9"/>
      <c r="C31" s="9"/>
      <c r="D31" s="9" t="s">
        <v>83</v>
      </c>
      <c r="E31" s="48" t="s">
        <v>40</v>
      </c>
      <c r="F31" s="48"/>
      <c r="G31" s="49" t="s">
        <v>199</v>
      </c>
      <c r="H31" s="49" t="s">
        <v>126</v>
      </c>
      <c r="I31" s="9"/>
      <c r="J31" s="9"/>
      <c r="K31" s="9"/>
      <c r="L31" s="9"/>
      <c r="M31" s="9"/>
      <c r="N31" s="9"/>
      <c r="O31" s="9"/>
      <c r="P31" s="9"/>
      <c r="Q31" s="45"/>
      <c r="R31" s="46"/>
      <c r="S31" s="95"/>
      <c r="T31" s="96"/>
    </row>
    <row r="32" spans="1:20" s="11" customFormat="1">
      <c r="A32" s="77">
        <v>10</v>
      </c>
      <c r="B32" s="9"/>
      <c r="C32" s="9"/>
      <c r="D32" s="9" t="s">
        <v>84</v>
      </c>
      <c r="E32" s="48" t="s">
        <v>40</v>
      </c>
      <c r="F32" s="48"/>
      <c r="G32" s="49" t="s">
        <v>200</v>
      </c>
      <c r="H32" s="49" t="s">
        <v>127</v>
      </c>
      <c r="I32" s="9"/>
      <c r="J32" s="9"/>
      <c r="K32" s="9"/>
      <c r="L32" s="9"/>
      <c r="M32" s="9"/>
      <c r="N32" s="9"/>
      <c r="O32" s="9"/>
      <c r="P32" s="9"/>
      <c r="Q32" s="45"/>
      <c r="R32" s="46"/>
      <c r="S32" s="95"/>
      <c r="T32" s="96"/>
    </row>
    <row r="33" spans="1:20" s="11" customFormat="1">
      <c r="A33" s="77">
        <v>10</v>
      </c>
      <c r="B33" s="9"/>
      <c r="C33" s="9"/>
      <c r="D33" s="9" t="s">
        <v>85</v>
      </c>
      <c r="E33" s="48" t="s">
        <v>40</v>
      </c>
      <c r="F33" s="48"/>
      <c r="G33" s="49" t="s">
        <v>201</v>
      </c>
      <c r="H33" s="49" t="s">
        <v>128</v>
      </c>
      <c r="I33" s="9"/>
      <c r="J33" s="9"/>
      <c r="K33" s="9"/>
      <c r="L33" s="9"/>
      <c r="M33" s="9"/>
      <c r="N33" s="9"/>
      <c r="O33" s="9"/>
      <c r="P33" s="9"/>
      <c r="Q33" s="45"/>
      <c r="R33" s="46"/>
      <c r="S33" s="95"/>
      <c r="T33" s="96"/>
    </row>
    <row r="34" spans="1:20" s="11" customFormat="1">
      <c r="A34" s="77">
        <v>10</v>
      </c>
      <c r="B34" s="9"/>
      <c r="C34" s="9"/>
      <c r="D34" s="9" t="s">
        <v>86</v>
      </c>
      <c r="E34" s="48" t="s">
        <v>40</v>
      </c>
      <c r="F34" s="48"/>
      <c r="G34" s="49" t="s">
        <v>202</v>
      </c>
      <c r="H34" s="49" t="s">
        <v>129</v>
      </c>
      <c r="I34" s="9"/>
      <c r="J34" s="9"/>
      <c r="K34" s="9"/>
      <c r="L34" s="9"/>
      <c r="M34" s="9"/>
      <c r="N34" s="9"/>
      <c r="O34" s="9"/>
      <c r="P34" s="9"/>
      <c r="Q34" s="45"/>
      <c r="R34" s="46"/>
      <c r="S34" s="95"/>
      <c r="T34" s="96"/>
    </row>
    <row r="35" spans="1:20" s="11" customFormat="1">
      <c r="A35" s="77">
        <v>10</v>
      </c>
      <c r="B35" s="9"/>
      <c r="C35" s="9"/>
      <c r="D35" s="9" t="s">
        <v>87</v>
      </c>
      <c r="E35" s="48" t="s">
        <v>40</v>
      </c>
      <c r="F35" s="48"/>
      <c r="G35" s="49" t="s">
        <v>203</v>
      </c>
      <c r="H35" s="49" t="s">
        <v>130</v>
      </c>
      <c r="I35" s="9"/>
      <c r="J35" s="9"/>
      <c r="K35" s="9"/>
      <c r="L35" s="9"/>
      <c r="M35" s="9"/>
      <c r="N35" s="9"/>
      <c r="O35" s="9"/>
      <c r="P35" s="9"/>
      <c r="Q35" s="45"/>
      <c r="R35" s="46"/>
      <c r="S35" s="95"/>
      <c r="T35" s="96"/>
    </row>
    <row r="36" spans="1:20" s="11" customFormat="1">
      <c r="A36" s="77">
        <v>10</v>
      </c>
      <c r="B36" s="9"/>
      <c r="C36" s="9"/>
      <c r="D36" s="9" t="s">
        <v>88</v>
      </c>
      <c r="E36" s="48" t="s">
        <v>40</v>
      </c>
      <c r="F36" s="48"/>
      <c r="G36" s="49" t="s">
        <v>204</v>
      </c>
      <c r="H36" s="49" t="s">
        <v>131</v>
      </c>
      <c r="I36" s="9"/>
      <c r="J36" s="9"/>
      <c r="K36" s="9"/>
      <c r="L36" s="9"/>
      <c r="M36" s="9"/>
      <c r="N36" s="9"/>
      <c r="O36" s="9"/>
      <c r="P36" s="9"/>
      <c r="Q36" s="45"/>
      <c r="R36" s="46"/>
      <c r="S36" s="95"/>
      <c r="T36" s="96"/>
    </row>
    <row r="37" spans="1:20" s="11" customFormat="1">
      <c r="A37" s="77">
        <v>10</v>
      </c>
      <c r="B37" s="77"/>
      <c r="C37" s="77"/>
      <c r="D37" s="77" t="s">
        <v>90</v>
      </c>
      <c r="E37" s="77" t="s">
        <v>39</v>
      </c>
      <c r="F37" s="77" t="s">
        <v>54</v>
      </c>
      <c r="G37" s="94" t="s">
        <v>205</v>
      </c>
      <c r="H37" s="77" t="s">
        <v>132</v>
      </c>
      <c r="I37" s="77"/>
      <c r="J37" s="77"/>
      <c r="K37" s="77"/>
      <c r="L37" s="77"/>
      <c r="M37" s="77"/>
      <c r="N37" s="77"/>
      <c r="O37" s="77"/>
      <c r="P37" s="77"/>
      <c r="Q37" s="78"/>
      <c r="R37" s="79"/>
      <c r="S37" s="77"/>
      <c r="T37" s="77"/>
    </row>
    <row r="38" spans="1:20" s="11" customFormat="1">
      <c r="A38" s="77">
        <v>10</v>
      </c>
      <c r="B38" s="9"/>
      <c r="C38" s="9"/>
      <c r="D38" s="9" t="s">
        <v>91</v>
      </c>
      <c r="E38" s="48" t="s">
        <v>40</v>
      </c>
      <c r="F38" s="48"/>
      <c r="G38" s="49" t="s">
        <v>206</v>
      </c>
      <c r="H38" s="49" t="s">
        <v>133</v>
      </c>
      <c r="I38" s="9"/>
      <c r="J38" s="9"/>
      <c r="K38" s="9"/>
      <c r="L38" s="9"/>
      <c r="M38" s="9"/>
      <c r="N38" s="9"/>
      <c r="O38" s="9"/>
      <c r="P38" s="9"/>
      <c r="Q38" s="45"/>
      <c r="R38" s="46"/>
      <c r="S38" s="95"/>
      <c r="T38" s="96"/>
    </row>
    <row r="39" spans="1:20" s="11" customFormat="1">
      <c r="A39" s="77">
        <v>10</v>
      </c>
      <c r="B39" s="9"/>
      <c r="C39" s="9"/>
      <c r="D39" s="9" t="s">
        <v>92</v>
      </c>
      <c r="E39" s="48" t="s">
        <v>40</v>
      </c>
      <c r="F39" s="48"/>
      <c r="G39" s="49" t="s">
        <v>207</v>
      </c>
      <c r="H39" s="49" t="s">
        <v>134</v>
      </c>
      <c r="I39" s="9" t="s">
        <v>33</v>
      </c>
      <c r="J39" s="9"/>
      <c r="K39" s="9"/>
      <c r="L39" s="9"/>
      <c r="M39" s="9"/>
      <c r="N39" s="9"/>
      <c r="O39" s="9"/>
      <c r="P39" s="9"/>
      <c r="Q39" s="45"/>
      <c r="R39" s="46"/>
      <c r="S39" s="95"/>
      <c r="T39" s="96"/>
    </row>
    <row r="40" spans="1:20" s="11" customFormat="1">
      <c r="A40" s="77">
        <v>10</v>
      </c>
      <c r="B40" s="9"/>
      <c r="C40" s="9"/>
      <c r="D40" s="9" t="s">
        <v>93</v>
      </c>
      <c r="E40" s="48" t="s">
        <v>40</v>
      </c>
      <c r="F40" s="48"/>
      <c r="G40" s="49" t="s">
        <v>208</v>
      </c>
      <c r="H40" s="49" t="s">
        <v>135</v>
      </c>
      <c r="I40" s="9" t="s">
        <v>33</v>
      </c>
      <c r="J40" s="9"/>
      <c r="K40" s="9"/>
      <c r="L40" s="9"/>
      <c r="M40" s="9"/>
      <c r="N40" s="9"/>
      <c r="O40" s="9"/>
      <c r="P40" s="9"/>
      <c r="Q40" s="45"/>
      <c r="R40" s="46"/>
      <c r="S40" s="95"/>
      <c r="T40" s="96"/>
    </row>
    <row r="41" spans="1:20" s="11" customFormat="1">
      <c r="A41" s="9">
        <v>10</v>
      </c>
      <c r="B41" s="9"/>
      <c r="C41" s="9"/>
      <c r="D41" s="9" t="s">
        <v>140</v>
      </c>
      <c r="E41" s="48" t="s">
        <v>57</v>
      </c>
      <c r="F41" s="48"/>
      <c r="G41" s="49" t="s">
        <v>209</v>
      </c>
      <c r="H41" s="49" t="s">
        <v>136</v>
      </c>
      <c r="I41" s="9" t="s">
        <v>33</v>
      </c>
      <c r="J41" s="9"/>
      <c r="K41" s="9"/>
      <c r="L41" s="9"/>
      <c r="M41" s="9"/>
      <c r="N41" s="9"/>
      <c r="O41" s="9"/>
      <c r="P41" s="9"/>
      <c r="Q41" s="45"/>
      <c r="R41" s="46"/>
      <c r="S41" s="95"/>
      <c r="T41" s="96"/>
    </row>
    <row r="42" spans="1:20" s="11" customFormat="1">
      <c r="A42" s="9">
        <v>10</v>
      </c>
      <c r="B42" s="9"/>
      <c r="C42" s="9"/>
      <c r="D42" s="9" t="s">
        <v>101</v>
      </c>
      <c r="E42" s="48" t="s">
        <v>102</v>
      </c>
      <c r="F42" s="48"/>
      <c r="G42" s="49" t="s">
        <v>210</v>
      </c>
      <c r="H42" s="49" t="s">
        <v>137</v>
      </c>
      <c r="I42" s="9"/>
      <c r="J42" s="9"/>
      <c r="K42" s="9"/>
      <c r="L42" s="9"/>
      <c r="M42" s="9"/>
      <c r="N42" s="9"/>
      <c r="O42" s="9"/>
      <c r="P42" s="9"/>
      <c r="Q42" s="45"/>
      <c r="R42" s="46"/>
      <c r="S42" s="95"/>
      <c r="T42" s="96"/>
    </row>
    <row r="43" spans="1:20" s="11" customFormat="1" ht="26">
      <c r="A43" s="9">
        <v>10</v>
      </c>
      <c r="B43" s="9"/>
      <c r="C43" s="9"/>
      <c r="D43" s="9" t="s">
        <v>142</v>
      </c>
      <c r="E43" s="48" t="s">
        <v>102</v>
      </c>
      <c r="F43" s="48"/>
      <c r="G43" s="49" t="s">
        <v>211</v>
      </c>
      <c r="H43" s="49" t="s">
        <v>149</v>
      </c>
      <c r="I43" s="9" t="s">
        <v>33</v>
      </c>
      <c r="J43" s="9"/>
      <c r="K43" s="9"/>
      <c r="L43" s="9"/>
      <c r="M43" s="9"/>
      <c r="N43" s="9"/>
      <c r="O43" s="9"/>
      <c r="P43" s="9"/>
      <c r="Q43" s="45"/>
      <c r="R43" s="46"/>
      <c r="S43" s="95"/>
      <c r="T43" s="96"/>
    </row>
    <row r="44" spans="1:20" s="11" customFormat="1">
      <c r="A44" s="9">
        <v>10</v>
      </c>
      <c r="B44" s="9"/>
      <c r="C44" s="9"/>
      <c r="D44" s="9" t="s">
        <v>144</v>
      </c>
      <c r="E44" s="48" t="s">
        <v>102</v>
      </c>
      <c r="F44" s="48"/>
      <c r="G44" s="49" t="s">
        <v>212</v>
      </c>
      <c r="H44" s="49" t="s">
        <v>150</v>
      </c>
      <c r="I44" s="9"/>
      <c r="J44" s="9" t="s">
        <v>33</v>
      </c>
      <c r="K44" s="9"/>
      <c r="L44" s="9"/>
      <c r="M44" s="9"/>
      <c r="N44" s="9"/>
      <c r="O44" s="9"/>
      <c r="P44" s="9"/>
      <c r="Q44" s="45"/>
      <c r="R44" s="46"/>
      <c r="S44" s="95"/>
      <c r="T44" s="96"/>
    </row>
    <row r="45" spans="1:20" s="11" customFormat="1">
      <c r="A45" s="80">
        <v>10</v>
      </c>
      <c r="B45" s="80"/>
      <c r="C45" s="80"/>
      <c r="D45" s="80" t="s">
        <v>157</v>
      </c>
      <c r="E45" s="81" t="s">
        <v>158</v>
      </c>
      <c r="F45" s="81"/>
      <c r="G45" s="81"/>
      <c r="H45" s="81"/>
      <c r="I45" s="80"/>
      <c r="J45" s="80"/>
      <c r="K45" s="80"/>
      <c r="L45" s="80"/>
      <c r="M45" s="80"/>
      <c r="N45" s="80"/>
      <c r="O45" s="80"/>
      <c r="P45" s="80"/>
      <c r="Q45" s="82"/>
      <c r="R45" s="83"/>
      <c r="S45" s="97"/>
      <c r="T45" s="98"/>
    </row>
    <row r="46" spans="1:20" s="11" customFormat="1">
      <c r="A46" s="52"/>
      <c r="B46" s="26"/>
      <c r="C46" s="26"/>
      <c r="D46" s="53" t="s">
        <v>1</v>
      </c>
      <c r="E46" s="27"/>
      <c r="F46" s="28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54"/>
    </row>
    <row r="47" spans="1:20" s="11" customFormat="1">
      <c r="A47" s="68"/>
      <c r="T47" s="55"/>
    </row>
    <row r="48" spans="1:20" s="11" customFormat="1">
      <c r="A48" s="68"/>
      <c r="T48" s="55"/>
    </row>
    <row r="49" spans="1:20" s="11" customFormat="1">
      <c r="A49" s="68"/>
      <c r="T49" s="55"/>
    </row>
    <row r="50" spans="1:20" s="11" customFormat="1">
      <c r="A50" s="68"/>
      <c r="T50" s="55"/>
    </row>
    <row r="51" spans="1:20" s="11" customFormat="1">
      <c r="A51" s="68"/>
      <c r="T51" s="55"/>
    </row>
    <row r="52" spans="1:20" s="11" customFormat="1">
      <c r="A52" s="68"/>
      <c r="T52" s="55"/>
    </row>
    <row r="53" spans="1:20" s="11" customFormat="1">
      <c r="A53" s="68"/>
      <c r="T53" s="55"/>
    </row>
    <row r="54" spans="1:20" s="11" customFormat="1">
      <c r="A54" s="74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56"/>
    </row>
  </sheetData>
  <sheetProtection formatCells="0" formatColumns="0" formatRows="0" insertColumns="0" insertRows="0" insertHyperlinks="0" deleteColumns="0" deleteRows="0"/>
  <mergeCells count="32">
    <mergeCell ref="S23:T23"/>
    <mergeCell ref="S24:T24"/>
    <mergeCell ref="S25:T25"/>
    <mergeCell ref="S18:T18"/>
    <mergeCell ref="S19:T19"/>
    <mergeCell ref="S20:T20"/>
    <mergeCell ref="S21:T21"/>
    <mergeCell ref="S22:T22"/>
    <mergeCell ref="S17:T17"/>
    <mergeCell ref="S15:T15"/>
    <mergeCell ref="S13:T13"/>
    <mergeCell ref="S14:T14"/>
    <mergeCell ref="S16:T16"/>
    <mergeCell ref="S26:T26"/>
    <mergeCell ref="S27:T27"/>
    <mergeCell ref="S28:T28"/>
    <mergeCell ref="S39:T39"/>
    <mergeCell ref="S40:T40"/>
    <mergeCell ref="S29:T29"/>
    <mergeCell ref="S45:T45"/>
    <mergeCell ref="S44:T44"/>
    <mergeCell ref="S41:T41"/>
    <mergeCell ref="S38:T38"/>
    <mergeCell ref="S30:T30"/>
    <mergeCell ref="S31:T31"/>
    <mergeCell ref="S32:T32"/>
    <mergeCell ref="S33:T33"/>
    <mergeCell ref="S34:T34"/>
    <mergeCell ref="S35:T35"/>
    <mergeCell ref="S36:T36"/>
    <mergeCell ref="S42:T42"/>
    <mergeCell ref="S43:T4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T53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7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4" t="s">
        <v>16</v>
      </c>
      <c r="B1" s="64" t="s">
        <v>16</v>
      </c>
      <c r="C1" s="64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5" t="s">
        <v>16</v>
      </c>
      <c r="B2" s="66"/>
      <c r="C2" s="66"/>
      <c r="D2" s="84" t="s">
        <v>164</v>
      </c>
      <c r="E2" s="7" t="s">
        <v>97</v>
      </c>
      <c r="F2" s="67" t="str">
        <f>IF(LogicCommon!C2="","",LogicCommon!C2)</f>
        <v>PF</v>
      </c>
      <c r="G2" s="7" t="s">
        <v>2</v>
      </c>
      <c r="H2" s="67" t="str">
        <f>IF(LogicCommon!E2="","",LogicCommon!E2)</f>
        <v>PFUDL5020</v>
      </c>
      <c r="I2" s="7" t="s">
        <v>18</v>
      </c>
      <c r="J2" s="9" t="s">
        <v>141</v>
      </c>
      <c r="K2" s="7" t="s">
        <v>14</v>
      </c>
      <c r="L2" s="67" t="str">
        <f>IF(LogicCommon!G2="","",LogicCommon!G2)</f>
        <v>MC</v>
      </c>
      <c r="M2" s="5" t="s">
        <v>103</v>
      </c>
      <c r="N2" s="25"/>
      <c r="O2" s="7"/>
      <c r="P2" s="7"/>
      <c r="Q2" s="4"/>
      <c r="R2" s="24"/>
      <c r="S2" s="24"/>
      <c r="T2" s="24"/>
    </row>
    <row r="3" spans="1:20" s="11" customFormat="1">
      <c r="A3" s="68" t="s">
        <v>16</v>
      </c>
      <c r="B3" s="69"/>
      <c r="C3" s="69"/>
      <c r="D3" s="70" t="str">
        <f>IF(LogicCommon!A3="","",LogicCommon!A3)</f>
        <v/>
      </c>
      <c r="E3" s="7" t="s">
        <v>98</v>
      </c>
      <c r="F3" s="67" t="str">
        <f>IF(LogicCommon!C3="","",LogicCommon!C3)</f>
        <v>PFUD</v>
      </c>
      <c r="G3" s="7" t="s">
        <v>3</v>
      </c>
      <c r="H3" s="67" t="str">
        <f>IF(LogicCommon!E3="","",LogicCommon!E3)</f>
        <v>PFUDL_SendRecvIf</v>
      </c>
      <c r="I3" s="7" t="s">
        <v>20</v>
      </c>
      <c r="J3" s="9" t="s">
        <v>141</v>
      </c>
      <c r="K3" s="7" t="s">
        <v>15</v>
      </c>
      <c r="L3" s="67" t="str">
        <f>IF(LogicCommon!G3="","",LogicCommon!G3)</f>
        <v/>
      </c>
      <c r="M3" s="50"/>
      <c r="N3" s="7"/>
      <c r="O3" s="7" t="s">
        <v>21</v>
      </c>
      <c r="P3" s="9" t="s">
        <v>22</v>
      </c>
      <c r="Q3" s="4"/>
      <c r="R3" s="24"/>
      <c r="S3" s="24"/>
      <c r="T3" s="24"/>
    </row>
    <row r="4" spans="1:20" s="11" customFormat="1">
      <c r="A4" s="68" t="s">
        <v>16</v>
      </c>
      <c r="B4" s="69"/>
      <c r="C4" s="69"/>
      <c r="D4" s="4"/>
      <c r="E4" s="7" t="s">
        <v>99</v>
      </c>
      <c r="F4" s="71" t="s">
        <v>100</v>
      </c>
      <c r="G4" s="7" t="s">
        <v>4</v>
      </c>
      <c r="H4" s="67" t="str">
        <f>IF(LogicCommon!E4="","",LogicCommon!E4)</f>
        <v>送受信ＩＦ</v>
      </c>
      <c r="I4" s="7" t="s">
        <v>23</v>
      </c>
      <c r="J4" s="9" t="s">
        <v>48</v>
      </c>
      <c r="K4" s="7" t="s">
        <v>6</v>
      </c>
      <c r="L4" s="67" t="str">
        <f>IF(LogicCommon!G4="","",LogicCommon!G4)</f>
        <v>PF.PFUDL5000</v>
      </c>
      <c r="M4" s="72" t="s">
        <v>107</v>
      </c>
      <c r="N4" s="25"/>
      <c r="O4" s="73"/>
      <c r="P4" s="4"/>
      <c r="Q4" s="4"/>
      <c r="R4" s="24"/>
      <c r="S4" s="24"/>
      <c r="T4" s="24"/>
    </row>
    <row r="5" spans="1:20" s="11" customFormat="1">
      <c r="A5" s="74" t="s">
        <v>16</v>
      </c>
      <c r="B5" s="64"/>
      <c r="C5" s="64"/>
      <c r="D5" s="22"/>
      <c r="E5" s="7" t="s">
        <v>24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8" t="s">
        <v>16</v>
      </c>
      <c r="B6" s="69"/>
      <c r="C6" s="69"/>
      <c r="D6" s="4" t="s">
        <v>7</v>
      </c>
      <c r="E6" s="13"/>
      <c r="F6" s="13"/>
      <c r="G6" s="13"/>
      <c r="H6" s="13"/>
      <c r="I6" s="13"/>
      <c r="J6" s="13"/>
      <c r="K6" s="13"/>
      <c r="L6" s="76" t="s">
        <v>25</v>
      </c>
      <c r="M6" s="16"/>
      <c r="N6" s="16" t="s">
        <v>25</v>
      </c>
      <c r="O6" s="16"/>
      <c r="P6" s="16" t="s">
        <v>25</v>
      </c>
      <c r="Q6" s="16"/>
      <c r="R6" s="23"/>
      <c r="S6" s="23"/>
      <c r="T6" s="23"/>
    </row>
    <row r="7" spans="1:20" s="11" customFormat="1">
      <c r="A7" s="26" t="s">
        <v>42</v>
      </c>
      <c r="B7" s="26"/>
      <c r="C7" s="26"/>
      <c r="D7" s="27"/>
      <c r="E7" s="27"/>
      <c r="F7" s="28"/>
      <c r="G7" s="27"/>
      <c r="H7" s="27"/>
      <c r="I7" s="27" t="s">
        <v>43</v>
      </c>
      <c r="J7" s="27"/>
      <c r="K7" s="29" t="s">
        <v>44</v>
      </c>
      <c r="L7" s="30"/>
      <c r="M7" s="29" t="s">
        <v>44</v>
      </c>
      <c r="N7" s="30"/>
      <c r="O7" s="29" t="s">
        <v>44</v>
      </c>
      <c r="P7" s="30"/>
      <c r="Q7" s="23"/>
      <c r="R7" s="23"/>
      <c r="S7" s="23"/>
      <c r="T7" s="23"/>
    </row>
    <row r="8" spans="1:20" s="11" customFormat="1" ht="60" customHeight="1">
      <c r="A8" s="48" t="s">
        <v>26</v>
      </c>
      <c r="B8" s="87"/>
      <c r="C8" s="88"/>
      <c r="D8" s="85" t="s">
        <v>165</v>
      </c>
      <c r="E8" s="85" t="s">
        <v>166</v>
      </c>
      <c r="F8" s="76"/>
      <c r="G8" s="85" t="s">
        <v>108</v>
      </c>
      <c r="H8" s="85" t="s">
        <v>167</v>
      </c>
      <c r="I8" s="76"/>
      <c r="J8" s="3"/>
      <c r="K8" s="29" t="s">
        <v>29</v>
      </c>
      <c r="L8" s="30"/>
      <c r="M8" s="29" t="s">
        <v>29</v>
      </c>
      <c r="N8" s="30"/>
      <c r="O8" s="29" t="s">
        <v>29</v>
      </c>
      <c r="P8" s="30"/>
      <c r="Q8" s="89"/>
      <c r="R8" s="90"/>
      <c r="S8" s="91" t="s">
        <v>168</v>
      </c>
      <c r="T8" s="46"/>
    </row>
    <row r="9" spans="1:20" s="11" customFormat="1" ht="60" customHeight="1">
      <c r="A9" s="9" t="s">
        <v>26</v>
      </c>
      <c r="B9" s="32"/>
      <c r="C9" s="33"/>
      <c r="D9" s="85" t="s">
        <v>182</v>
      </c>
      <c r="E9" s="92" t="s">
        <v>183</v>
      </c>
      <c r="F9" s="85" t="s">
        <v>171</v>
      </c>
      <c r="G9" s="85" t="s">
        <v>172</v>
      </c>
      <c r="H9" s="85" t="s">
        <v>173</v>
      </c>
      <c r="I9" s="93" t="s">
        <v>174</v>
      </c>
      <c r="J9" s="85" t="s">
        <v>175</v>
      </c>
      <c r="K9" s="29"/>
      <c r="L9" s="29"/>
      <c r="M9" s="29"/>
      <c r="N9" s="29"/>
      <c r="O9" s="29"/>
      <c r="P9" s="29"/>
      <c r="Q9" s="91" t="s">
        <v>176</v>
      </c>
      <c r="R9" s="46"/>
      <c r="S9" s="91" t="s">
        <v>177</v>
      </c>
      <c r="T9" s="46"/>
    </row>
    <row r="10" spans="1:20" s="11" customFormat="1" ht="52">
      <c r="A10" s="34" t="s">
        <v>30</v>
      </c>
      <c r="B10" s="35"/>
      <c r="C10" s="35"/>
      <c r="D10" s="36"/>
      <c r="E10" s="37"/>
      <c r="F10" s="38"/>
      <c r="G10" s="39"/>
      <c r="H10" s="39"/>
      <c r="I10" s="37"/>
      <c r="J10" s="37"/>
      <c r="K10" s="86" t="s">
        <v>174</v>
      </c>
      <c r="L10" s="86" t="s">
        <v>175</v>
      </c>
      <c r="M10" s="86" t="s">
        <v>174</v>
      </c>
      <c r="N10" s="86" t="s">
        <v>175</v>
      </c>
      <c r="O10" s="86" t="s">
        <v>174</v>
      </c>
      <c r="P10" s="86" t="s">
        <v>175</v>
      </c>
      <c r="Q10" s="37"/>
      <c r="R10" s="37"/>
      <c r="S10" s="39"/>
      <c r="T10" s="31"/>
    </row>
    <row r="11" spans="1:20" s="11" customFormat="1">
      <c r="A11" s="9">
        <v>10</v>
      </c>
      <c r="B11" s="32" t="s">
        <v>0</v>
      </c>
      <c r="C11" s="33"/>
      <c r="D11" s="25" t="s">
        <v>64</v>
      </c>
      <c r="E11" s="40" t="s">
        <v>32</v>
      </c>
      <c r="F11" s="41"/>
      <c r="G11" s="25" t="s">
        <v>58</v>
      </c>
      <c r="H11" s="42" t="s">
        <v>148</v>
      </c>
      <c r="I11" s="43"/>
      <c r="J11" s="44"/>
      <c r="K11" s="30"/>
      <c r="L11" s="30"/>
      <c r="M11" s="30"/>
      <c r="N11" s="30"/>
      <c r="O11" s="30"/>
      <c r="P11" s="30"/>
      <c r="Q11" s="45"/>
      <c r="R11" s="46"/>
      <c r="S11" s="63"/>
      <c r="T11" s="47"/>
    </row>
    <row r="12" spans="1:20" s="11" customFormat="1">
      <c r="A12" s="77">
        <v>10</v>
      </c>
      <c r="B12" s="77"/>
      <c r="C12" s="77"/>
      <c r="D12" s="77" t="s">
        <v>139</v>
      </c>
      <c r="E12" s="77" t="s">
        <v>39</v>
      </c>
      <c r="F12" s="77" t="s">
        <v>53</v>
      </c>
      <c r="G12" s="94" t="s">
        <v>184</v>
      </c>
      <c r="H12" s="77" t="s">
        <v>109</v>
      </c>
      <c r="I12" s="77"/>
      <c r="J12" s="77"/>
      <c r="K12" s="77"/>
      <c r="L12" s="77"/>
      <c r="M12" s="77"/>
      <c r="N12" s="77"/>
      <c r="O12" s="77"/>
      <c r="P12" s="77"/>
      <c r="Q12" s="78"/>
      <c r="R12" s="79"/>
      <c r="S12" s="77"/>
      <c r="T12" s="77"/>
    </row>
    <row r="13" spans="1:20" s="11" customFormat="1">
      <c r="A13" s="77">
        <v>10</v>
      </c>
      <c r="B13" s="9"/>
      <c r="C13" s="9"/>
      <c r="D13" s="9" t="s">
        <v>65</v>
      </c>
      <c r="E13" s="48" t="s">
        <v>45</v>
      </c>
      <c r="F13" s="48"/>
      <c r="G13" s="49" t="s">
        <v>178</v>
      </c>
      <c r="H13" s="49" t="s">
        <v>104</v>
      </c>
      <c r="I13" s="9" t="s">
        <v>33</v>
      </c>
      <c r="J13" s="9" t="s">
        <v>33</v>
      </c>
      <c r="K13" s="9"/>
      <c r="L13" s="9"/>
      <c r="M13" s="9"/>
      <c r="N13" s="9"/>
      <c r="O13" s="9"/>
      <c r="P13" s="9"/>
      <c r="Q13" s="45"/>
      <c r="R13" s="46"/>
      <c r="S13" s="95"/>
      <c r="T13" s="96"/>
    </row>
    <row r="14" spans="1:20" s="11" customFormat="1">
      <c r="A14" s="77">
        <v>10</v>
      </c>
      <c r="B14" s="9"/>
      <c r="C14" s="9"/>
      <c r="D14" s="9" t="s">
        <v>66</v>
      </c>
      <c r="E14" s="48" t="s">
        <v>45</v>
      </c>
      <c r="F14" s="48"/>
      <c r="G14" s="49" t="s">
        <v>179</v>
      </c>
      <c r="H14" s="49" t="s">
        <v>110</v>
      </c>
      <c r="I14" s="9" t="s">
        <v>33</v>
      </c>
      <c r="J14" s="9" t="s">
        <v>33</v>
      </c>
      <c r="K14" s="9"/>
      <c r="L14" s="9"/>
      <c r="M14" s="9"/>
      <c r="N14" s="9"/>
      <c r="O14" s="9"/>
      <c r="P14" s="9"/>
      <c r="Q14" s="45"/>
      <c r="R14" s="46"/>
      <c r="S14" s="95"/>
      <c r="T14" s="96"/>
    </row>
    <row r="15" spans="1:20" s="11" customFormat="1">
      <c r="A15" s="77">
        <v>10</v>
      </c>
      <c r="B15" s="9"/>
      <c r="C15" s="9"/>
      <c r="D15" s="9" t="s">
        <v>67</v>
      </c>
      <c r="E15" s="48" t="s">
        <v>63</v>
      </c>
      <c r="F15" s="48"/>
      <c r="G15" s="49" t="s">
        <v>180</v>
      </c>
      <c r="H15" s="49" t="s">
        <v>105</v>
      </c>
      <c r="I15" s="9" t="s">
        <v>33</v>
      </c>
      <c r="J15" s="9" t="s">
        <v>33</v>
      </c>
      <c r="K15" s="9"/>
      <c r="L15" s="9"/>
      <c r="M15" s="9"/>
      <c r="N15" s="9"/>
      <c r="O15" s="9"/>
      <c r="P15" s="9"/>
      <c r="Q15" s="45"/>
      <c r="R15" s="46"/>
      <c r="S15" s="95"/>
      <c r="T15" s="96"/>
    </row>
    <row r="16" spans="1:20" s="11" customFormat="1" ht="26">
      <c r="A16" s="77">
        <v>10</v>
      </c>
      <c r="B16" s="9"/>
      <c r="C16" s="9"/>
      <c r="D16" s="9" t="s">
        <v>68</v>
      </c>
      <c r="E16" s="48" t="s">
        <v>41</v>
      </c>
      <c r="F16" s="48"/>
      <c r="G16" s="49" t="s">
        <v>181</v>
      </c>
      <c r="H16" s="49" t="s">
        <v>111</v>
      </c>
      <c r="I16" s="9"/>
      <c r="J16" s="9" t="s">
        <v>33</v>
      </c>
      <c r="K16" s="9"/>
      <c r="L16" s="9"/>
      <c r="M16" s="9"/>
      <c r="N16" s="9"/>
      <c r="O16" s="9"/>
      <c r="P16" s="9"/>
      <c r="Q16" s="45"/>
      <c r="R16" s="46"/>
      <c r="S16" s="95"/>
      <c r="T16" s="96"/>
    </row>
    <row r="17" spans="1:20" s="11" customFormat="1">
      <c r="A17" s="77">
        <v>10</v>
      </c>
      <c r="B17" s="9"/>
      <c r="C17" s="9"/>
      <c r="D17" s="9" t="s">
        <v>69</v>
      </c>
      <c r="E17" s="48" t="s">
        <v>45</v>
      </c>
      <c r="F17" s="48"/>
      <c r="G17" s="49" t="s">
        <v>185</v>
      </c>
      <c r="H17" s="49" t="s">
        <v>112</v>
      </c>
      <c r="I17" s="9"/>
      <c r="J17" s="9" t="s">
        <v>33</v>
      </c>
      <c r="K17" s="9"/>
      <c r="L17" s="9"/>
      <c r="M17" s="9"/>
      <c r="N17" s="9"/>
      <c r="O17" s="9"/>
      <c r="P17" s="9"/>
      <c r="Q17" s="45"/>
      <c r="R17" s="46"/>
      <c r="S17" s="95"/>
      <c r="T17" s="96"/>
    </row>
    <row r="18" spans="1:20" s="11" customFormat="1">
      <c r="A18" s="77">
        <v>10</v>
      </c>
      <c r="B18" s="9"/>
      <c r="C18" s="9"/>
      <c r="D18" s="9" t="s">
        <v>70</v>
      </c>
      <c r="E18" s="48" t="s">
        <v>41</v>
      </c>
      <c r="F18" s="48"/>
      <c r="G18" s="49" t="s">
        <v>186</v>
      </c>
      <c r="H18" s="49" t="s">
        <v>113</v>
      </c>
      <c r="I18" s="9"/>
      <c r="J18" s="9" t="s">
        <v>33</v>
      </c>
      <c r="K18" s="9"/>
      <c r="L18" s="9"/>
      <c r="M18" s="9"/>
      <c r="N18" s="9"/>
      <c r="O18" s="9"/>
      <c r="P18" s="9"/>
      <c r="Q18" s="45"/>
      <c r="R18" s="46"/>
      <c r="S18" s="95"/>
      <c r="T18" s="96"/>
    </row>
    <row r="19" spans="1:20" s="11" customFormat="1">
      <c r="A19" s="77">
        <v>10</v>
      </c>
      <c r="B19" s="9"/>
      <c r="C19" s="9"/>
      <c r="D19" s="9" t="s">
        <v>71</v>
      </c>
      <c r="E19" s="48" t="s">
        <v>41</v>
      </c>
      <c r="F19" s="48"/>
      <c r="G19" s="49" t="s">
        <v>187</v>
      </c>
      <c r="H19" s="49" t="s">
        <v>114</v>
      </c>
      <c r="I19" s="9"/>
      <c r="J19" s="9" t="s">
        <v>33</v>
      </c>
      <c r="K19" s="9"/>
      <c r="L19" s="9"/>
      <c r="M19" s="9"/>
      <c r="N19" s="9"/>
      <c r="O19" s="9"/>
      <c r="P19" s="9"/>
      <c r="Q19" s="45"/>
      <c r="R19" s="46"/>
      <c r="S19" s="95"/>
      <c r="T19" s="96"/>
    </row>
    <row r="20" spans="1:20" s="11" customFormat="1">
      <c r="A20" s="77">
        <v>10</v>
      </c>
      <c r="B20" s="9"/>
      <c r="C20" s="9"/>
      <c r="D20" s="9" t="s">
        <v>72</v>
      </c>
      <c r="E20" s="48" t="s">
        <v>41</v>
      </c>
      <c r="F20" s="48"/>
      <c r="G20" s="49" t="s">
        <v>188</v>
      </c>
      <c r="H20" s="49" t="s">
        <v>115</v>
      </c>
      <c r="I20" s="9"/>
      <c r="J20" s="9" t="s">
        <v>33</v>
      </c>
      <c r="K20" s="9"/>
      <c r="L20" s="9"/>
      <c r="M20" s="9"/>
      <c r="N20" s="9"/>
      <c r="O20" s="9"/>
      <c r="P20" s="9"/>
      <c r="Q20" s="45"/>
      <c r="R20" s="46"/>
      <c r="S20" s="95"/>
      <c r="T20" s="96"/>
    </row>
    <row r="21" spans="1:20" s="11" customFormat="1">
      <c r="A21" s="77">
        <v>10</v>
      </c>
      <c r="B21" s="9"/>
      <c r="C21" s="9"/>
      <c r="D21" s="9" t="s">
        <v>73</v>
      </c>
      <c r="E21" s="48" t="s">
        <v>41</v>
      </c>
      <c r="F21" s="48"/>
      <c r="G21" s="49" t="s">
        <v>189</v>
      </c>
      <c r="H21" s="49" t="s">
        <v>116</v>
      </c>
      <c r="I21" s="9"/>
      <c r="J21" s="9" t="s">
        <v>33</v>
      </c>
      <c r="K21" s="9"/>
      <c r="L21" s="9"/>
      <c r="M21" s="9"/>
      <c r="N21" s="9"/>
      <c r="O21" s="9"/>
      <c r="P21" s="9"/>
      <c r="Q21" s="45"/>
      <c r="R21" s="46"/>
      <c r="S21" s="95"/>
      <c r="T21" s="96"/>
    </row>
    <row r="22" spans="1:20" s="11" customFormat="1">
      <c r="A22" s="77">
        <v>10</v>
      </c>
      <c r="B22" s="9"/>
      <c r="C22" s="9"/>
      <c r="D22" s="9" t="s">
        <v>74</v>
      </c>
      <c r="E22" s="48" t="s">
        <v>41</v>
      </c>
      <c r="F22" s="48"/>
      <c r="G22" s="49" t="s">
        <v>190</v>
      </c>
      <c r="H22" s="49" t="s">
        <v>117</v>
      </c>
      <c r="I22" s="9"/>
      <c r="J22" s="9" t="s">
        <v>33</v>
      </c>
      <c r="K22" s="9"/>
      <c r="L22" s="9"/>
      <c r="M22" s="9"/>
      <c r="N22" s="9"/>
      <c r="O22" s="9"/>
      <c r="P22" s="9"/>
      <c r="Q22" s="45"/>
      <c r="R22" s="46"/>
      <c r="S22" s="95"/>
      <c r="T22" s="96"/>
    </row>
    <row r="23" spans="1:20" s="11" customFormat="1">
      <c r="A23" s="77">
        <v>10</v>
      </c>
      <c r="B23" s="9"/>
      <c r="C23" s="9"/>
      <c r="D23" s="9" t="s">
        <v>75</v>
      </c>
      <c r="E23" s="48" t="s">
        <v>41</v>
      </c>
      <c r="F23" s="48"/>
      <c r="G23" s="49" t="s">
        <v>191</v>
      </c>
      <c r="H23" s="49" t="s">
        <v>118</v>
      </c>
      <c r="I23" s="9"/>
      <c r="J23" s="9" t="s">
        <v>33</v>
      </c>
      <c r="K23" s="9"/>
      <c r="L23" s="9"/>
      <c r="M23" s="9"/>
      <c r="N23" s="9"/>
      <c r="O23" s="9"/>
      <c r="P23" s="9"/>
      <c r="Q23" s="45"/>
      <c r="R23" s="46"/>
      <c r="S23" s="95"/>
      <c r="T23" s="96"/>
    </row>
    <row r="24" spans="1:20" s="11" customFormat="1">
      <c r="A24" s="77">
        <v>10</v>
      </c>
      <c r="B24" s="9"/>
      <c r="C24" s="9"/>
      <c r="D24" s="9" t="s">
        <v>76</v>
      </c>
      <c r="E24" s="48" t="s">
        <v>41</v>
      </c>
      <c r="F24" s="48"/>
      <c r="G24" s="49" t="s">
        <v>192</v>
      </c>
      <c r="H24" s="49" t="s">
        <v>119</v>
      </c>
      <c r="I24" s="9"/>
      <c r="J24" s="9" t="s">
        <v>33</v>
      </c>
      <c r="K24" s="9"/>
      <c r="L24" s="9"/>
      <c r="M24" s="9"/>
      <c r="N24" s="9"/>
      <c r="O24" s="9"/>
      <c r="P24" s="9"/>
      <c r="Q24" s="45"/>
      <c r="R24" s="46"/>
      <c r="S24" s="95"/>
      <c r="T24" s="96"/>
    </row>
    <row r="25" spans="1:20" s="11" customFormat="1">
      <c r="A25" s="77">
        <v>10</v>
      </c>
      <c r="B25" s="9"/>
      <c r="C25" s="9"/>
      <c r="D25" s="9" t="s">
        <v>77</v>
      </c>
      <c r="E25" s="48" t="s">
        <v>41</v>
      </c>
      <c r="F25" s="48"/>
      <c r="G25" s="49" t="s">
        <v>193</v>
      </c>
      <c r="H25" s="49" t="s">
        <v>120</v>
      </c>
      <c r="I25" s="9"/>
      <c r="J25" s="9" t="s">
        <v>33</v>
      </c>
      <c r="K25" s="9"/>
      <c r="L25" s="9"/>
      <c r="M25" s="9"/>
      <c r="N25" s="9"/>
      <c r="O25" s="9"/>
      <c r="P25" s="9"/>
      <c r="Q25" s="45"/>
      <c r="R25" s="46"/>
      <c r="S25" s="95"/>
      <c r="T25" s="96"/>
    </row>
    <row r="26" spans="1:20" s="11" customFormat="1">
      <c r="A26" s="77">
        <v>10</v>
      </c>
      <c r="B26" s="9"/>
      <c r="C26" s="9"/>
      <c r="D26" s="9" t="s">
        <v>78</v>
      </c>
      <c r="E26" s="48" t="s">
        <v>41</v>
      </c>
      <c r="F26" s="48"/>
      <c r="G26" s="49" t="s">
        <v>194</v>
      </c>
      <c r="H26" s="49" t="s">
        <v>121</v>
      </c>
      <c r="I26" s="9"/>
      <c r="J26" s="9" t="s">
        <v>33</v>
      </c>
      <c r="K26" s="9"/>
      <c r="L26" s="9"/>
      <c r="M26" s="9"/>
      <c r="N26" s="9"/>
      <c r="O26" s="9"/>
      <c r="P26" s="9"/>
      <c r="Q26" s="45"/>
      <c r="R26" s="46"/>
      <c r="S26" s="95"/>
      <c r="T26" s="96"/>
    </row>
    <row r="27" spans="1:20" s="11" customFormat="1">
      <c r="A27" s="77">
        <v>10</v>
      </c>
      <c r="B27" s="9"/>
      <c r="C27" s="9"/>
      <c r="D27" s="9" t="s">
        <v>79</v>
      </c>
      <c r="E27" s="48" t="s">
        <v>41</v>
      </c>
      <c r="F27" s="48"/>
      <c r="G27" s="49" t="s">
        <v>195</v>
      </c>
      <c r="H27" s="49" t="s">
        <v>122</v>
      </c>
      <c r="I27" s="9"/>
      <c r="J27" s="9" t="s">
        <v>33</v>
      </c>
      <c r="K27" s="9"/>
      <c r="L27" s="9"/>
      <c r="M27" s="9"/>
      <c r="N27" s="9"/>
      <c r="O27" s="9"/>
      <c r="P27" s="9"/>
      <c r="Q27" s="45"/>
      <c r="R27" s="46"/>
      <c r="S27" s="95"/>
      <c r="T27" s="96"/>
    </row>
    <row r="28" spans="1:20" s="11" customFormat="1">
      <c r="A28" s="77">
        <v>10</v>
      </c>
      <c r="B28" s="9"/>
      <c r="C28" s="9"/>
      <c r="D28" s="9" t="s">
        <v>80</v>
      </c>
      <c r="E28" s="48" t="s">
        <v>41</v>
      </c>
      <c r="F28" s="48"/>
      <c r="G28" s="49" t="s">
        <v>196</v>
      </c>
      <c r="H28" s="49" t="s">
        <v>123</v>
      </c>
      <c r="I28" s="9"/>
      <c r="J28" s="9" t="s">
        <v>33</v>
      </c>
      <c r="K28" s="9"/>
      <c r="L28" s="9"/>
      <c r="M28" s="9"/>
      <c r="N28" s="9"/>
      <c r="O28" s="9"/>
      <c r="P28" s="9"/>
      <c r="Q28" s="45"/>
      <c r="R28" s="46"/>
      <c r="S28" s="95"/>
      <c r="T28" s="96"/>
    </row>
    <row r="29" spans="1:20" s="11" customFormat="1">
      <c r="A29" s="77">
        <v>10</v>
      </c>
      <c r="B29" s="9"/>
      <c r="C29" s="9"/>
      <c r="D29" s="9" t="s">
        <v>81</v>
      </c>
      <c r="E29" s="48" t="s">
        <v>41</v>
      </c>
      <c r="F29" s="48"/>
      <c r="G29" s="49" t="s">
        <v>197</v>
      </c>
      <c r="H29" s="49" t="s">
        <v>124</v>
      </c>
      <c r="I29" s="9"/>
      <c r="J29" s="9" t="s">
        <v>33</v>
      </c>
      <c r="K29" s="9"/>
      <c r="L29" s="9"/>
      <c r="M29" s="9"/>
      <c r="N29" s="9"/>
      <c r="O29" s="9"/>
      <c r="P29" s="9"/>
      <c r="Q29" s="45"/>
      <c r="R29" s="46"/>
      <c r="S29" s="95"/>
      <c r="T29" s="96"/>
    </row>
    <row r="30" spans="1:20" s="11" customFormat="1">
      <c r="A30" s="77">
        <v>10</v>
      </c>
      <c r="B30" s="9"/>
      <c r="C30" s="9"/>
      <c r="D30" s="9" t="s">
        <v>82</v>
      </c>
      <c r="E30" s="48" t="s">
        <v>41</v>
      </c>
      <c r="F30" s="48"/>
      <c r="G30" s="49" t="s">
        <v>198</v>
      </c>
      <c r="H30" s="49" t="s">
        <v>125</v>
      </c>
      <c r="I30" s="9"/>
      <c r="J30" s="9" t="s">
        <v>33</v>
      </c>
      <c r="K30" s="9"/>
      <c r="L30" s="9"/>
      <c r="M30" s="9"/>
      <c r="N30" s="9"/>
      <c r="O30" s="9"/>
      <c r="P30" s="9"/>
      <c r="Q30" s="45"/>
      <c r="R30" s="46"/>
      <c r="S30" s="95"/>
      <c r="T30" s="96"/>
    </row>
    <row r="31" spans="1:20" s="11" customFormat="1">
      <c r="A31" s="77">
        <v>10</v>
      </c>
      <c r="B31" s="9"/>
      <c r="C31" s="9"/>
      <c r="D31" s="9" t="s">
        <v>83</v>
      </c>
      <c r="E31" s="48" t="s">
        <v>41</v>
      </c>
      <c r="F31" s="48"/>
      <c r="G31" s="49" t="s">
        <v>199</v>
      </c>
      <c r="H31" s="49" t="s">
        <v>126</v>
      </c>
      <c r="I31" s="9"/>
      <c r="J31" s="9" t="s">
        <v>33</v>
      </c>
      <c r="K31" s="9"/>
      <c r="L31" s="9"/>
      <c r="M31" s="9"/>
      <c r="N31" s="9"/>
      <c r="O31" s="9"/>
      <c r="P31" s="9"/>
      <c r="Q31" s="45"/>
      <c r="R31" s="46"/>
      <c r="S31" s="95"/>
      <c r="T31" s="96"/>
    </row>
    <row r="32" spans="1:20" s="11" customFormat="1">
      <c r="A32" s="77">
        <v>10</v>
      </c>
      <c r="B32" s="9"/>
      <c r="C32" s="9"/>
      <c r="D32" s="9" t="s">
        <v>84</v>
      </c>
      <c r="E32" s="48" t="s">
        <v>41</v>
      </c>
      <c r="F32" s="48"/>
      <c r="G32" s="49" t="s">
        <v>200</v>
      </c>
      <c r="H32" s="49" t="s">
        <v>127</v>
      </c>
      <c r="I32" s="9"/>
      <c r="J32" s="9" t="s">
        <v>33</v>
      </c>
      <c r="K32" s="9"/>
      <c r="L32" s="9"/>
      <c r="M32" s="9"/>
      <c r="N32" s="9"/>
      <c r="O32" s="9"/>
      <c r="P32" s="9"/>
      <c r="Q32" s="45"/>
      <c r="R32" s="46"/>
      <c r="S32" s="95"/>
      <c r="T32" s="96"/>
    </row>
    <row r="33" spans="1:20" s="11" customFormat="1">
      <c r="A33" s="77">
        <v>10</v>
      </c>
      <c r="B33" s="9"/>
      <c r="C33" s="9"/>
      <c r="D33" s="9" t="s">
        <v>85</v>
      </c>
      <c r="E33" s="48" t="s">
        <v>41</v>
      </c>
      <c r="F33" s="48"/>
      <c r="G33" s="49" t="s">
        <v>201</v>
      </c>
      <c r="H33" s="49" t="s">
        <v>128</v>
      </c>
      <c r="I33" s="9"/>
      <c r="J33" s="9" t="s">
        <v>33</v>
      </c>
      <c r="K33" s="9"/>
      <c r="L33" s="9"/>
      <c r="M33" s="9"/>
      <c r="N33" s="9"/>
      <c r="O33" s="9"/>
      <c r="P33" s="9"/>
      <c r="Q33" s="45"/>
      <c r="R33" s="46"/>
      <c r="S33" s="95"/>
      <c r="T33" s="96"/>
    </row>
    <row r="34" spans="1:20" s="11" customFormat="1">
      <c r="A34" s="77">
        <v>10</v>
      </c>
      <c r="B34" s="9"/>
      <c r="C34" s="9"/>
      <c r="D34" s="9" t="s">
        <v>86</v>
      </c>
      <c r="E34" s="48" t="s">
        <v>41</v>
      </c>
      <c r="F34" s="48"/>
      <c r="G34" s="49" t="s">
        <v>202</v>
      </c>
      <c r="H34" s="49" t="s">
        <v>129</v>
      </c>
      <c r="I34" s="9"/>
      <c r="J34" s="9" t="s">
        <v>33</v>
      </c>
      <c r="K34" s="9"/>
      <c r="L34" s="9"/>
      <c r="M34" s="9"/>
      <c r="N34" s="9"/>
      <c r="O34" s="9"/>
      <c r="P34" s="9"/>
      <c r="Q34" s="45"/>
      <c r="R34" s="46"/>
      <c r="S34" s="95"/>
      <c r="T34" s="96"/>
    </row>
    <row r="35" spans="1:20" s="11" customFormat="1">
      <c r="A35" s="77">
        <v>10</v>
      </c>
      <c r="B35" s="9"/>
      <c r="C35" s="9"/>
      <c r="D35" s="9" t="s">
        <v>87</v>
      </c>
      <c r="E35" s="48" t="s">
        <v>41</v>
      </c>
      <c r="F35" s="48"/>
      <c r="G35" s="49" t="s">
        <v>203</v>
      </c>
      <c r="H35" s="49" t="s">
        <v>130</v>
      </c>
      <c r="I35" s="9"/>
      <c r="J35" s="9" t="s">
        <v>33</v>
      </c>
      <c r="K35" s="9"/>
      <c r="L35" s="9"/>
      <c r="M35" s="9"/>
      <c r="N35" s="9"/>
      <c r="O35" s="9"/>
      <c r="P35" s="9"/>
      <c r="Q35" s="45"/>
      <c r="R35" s="46"/>
      <c r="S35" s="95"/>
      <c r="T35" s="96"/>
    </row>
    <row r="36" spans="1:20" s="11" customFormat="1">
      <c r="A36" s="77">
        <v>10</v>
      </c>
      <c r="B36" s="9"/>
      <c r="C36" s="9"/>
      <c r="D36" s="9" t="s">
        <v>88</v>
      </c>
      <c r="E36" s="48" t="s">
        <v>41</v>
      </c>
      <c r="F36" s="48"/>
      <c r="G36" s="49" t="s">
        <v>204</v>
      </c>
      <c r="H36" s="49" t="s">
        <v>131</v>
      </c>
      <c r="I36" s="9"/>
      <c r="J36" s="9" t="s">
        <v>33</v>
      </c>
      <c r="K36" s="9"/>
      <c r="L36" s="9"/>
      <c r="M36" s="9"/>
      <c r="N36" s="9"/>
      <c r="O36" s="9"/>
      <c r="P36" s="9"/>
      <c r="Q36" s="45"/>
      <c r="R36" s="46"/>
      <c r="S36" s="95"/>
      <c r="T36" s="96"/>
    </row>
    <row r="37" spans="1:20" s="11" customFormat="1">
      <c r="A37" s="77">
        <v>10</v>
      </c>
      <c r="B37" s="77"/>
      <c r="C37" s="77"/>
      <c r="D37" s="77" t="s">
        <v>56</v>
      </c>
      <c r="E37" s="77" t="s">
        <v>46</v>
      </c>
      <c r="F37" s="77" t="s">
        <v>55</v>
      </c>
      <c r="G37" s="94" t="s">
        <v>205</v>
      </c>
      <c r="H37" s="77" t="s">
        <v>132</v>
      </c>
      <c r="I37" s="77"/>
      <c r="J37" s="77"/>
      <c r="K37" s="77"/>
      <c r="L37" s="77"/>
      <c r="M37" s="77"/>
      <c r="N37" s="77"/>
      <c r="O37" s="77"/>
      <c r="P37" s="77"/>
      <c r="Q37" s="78"/>
      <c r="R37" s="79"/>
      <c r="S37" s="77"/>
      <c r="T37" s="77"/>
    </row>
    <row r="38" spans="1:20" s="11" customFormat="1">
      <c r="A38" s="77">
        <v>10</v>
      </c>
      <c r="B38" s="9"/>
      <c r="C38" s="9"/>
      <c r="D38" s="9" t="s">
        <v>91</v>
      </c>
      <c r="E38" s="48" t="s">
        <v>40</v>
      </c>
      <c r="F38" s="48"/>
      <c r="G38" s="49" t="s">
        <v>206</v>
      </c>
      <c r="H38" s="49" t="s">
        <v>133</v>
      </c>
      <c r="I38" s="9"/>
      <c r="J38" s="9"/>
      <c r="K38" s="9"/>
      <c r="L38" s="9"/>
      <c r="M38" s="9"/>
      <c r="N38" s="9"/>
      <c r="O38" s="9"/>
      <c r="P38" s="9"/>
      <c r="Q38" s="45"/>
      <c r="R38" s="46"/>
      <c r="S38" s="95"/>
      <c r="T38" s="96"/>
    </row>
    <row r="39" spans="1:20" s="11" customFormat="1">
      <c r="A39" s="77">
        <v>10</v>
      </c>
      <c r="B39" s="9"/>
      <c r="C39" s="9"/>
      <c r="D39" s="9" t="s">
        <v>92</v>
      </c>
      <c r="E39" s="48" t="s">
        <v>41</v>
      </c>
      <c r="F39" s="48"/>
      <c r="G39" s="49" t="s">
        <v>207</v>
      </c>
      <c r="H39" s="49" t="s">
        <v>134</v>
      </c>
      <c r="I39" s="9" t="s">
        <v>33</v>
      </c>
      <c r="J39" s="9"/>
      <c r="K39" s="9"/>
      <c r="L39" s="9"/>
      <c r="M39" s="9"/>
      <c r="N39" s="9"/>
      <c r="O39" s="9"/>
      <c r="P39" s="9"/>
      <c r="Q39" s="45"/>
      <c r="R39" s="46"/>
      <c r="S39" s="95"/>
      <c r="T39" s="96"/>
    </row>
    <row r="40" spans="1:20" s="11" customFormat="1">
      <c r="A40" s="77">
        <v>10</v>
      </c>
      <c r="B40" s="9"/>
      <c r="C40" s="9"/>
      <c r="D40" s="9" t="s">
        <v>93</v>
      </c>
      <c r="E40" s="48" t="s">
        <v>41</v>
      </c>
      <c r="F40" s="48"/>
      <c r="G40" s="49" t="s">
        <v>208</v>
      </c>
      <c r="H40" s="49" t="s">
        <v>135</v>
      </c>
      <c r="I40" s="9" t="s">
        <v>33</v>
      </c>
      <c r="J40" s="9"/>
      <c r="K40" s="9"/>
      <c r="L40" s="9"/>
      <c r="M40" s="9"/>
      <c r="N40" s="9"/>
      <c r="O40" s="9"/>
      <c r="P40" s="9"/>
      <c r="Q40" s="45"/>
      <c r="R40" s="46"/>
      <c r="S40" s="95"/>
      <c r="T40" s="96"/>
    </row>
    <row r="41" spans="1:20" s="11" customFormat="1">
      <c r="A41" s="9">
        <v>10</v>
      </c>
      <c r="B41" s="9"/>
      <c r="C41" s="9"/>
      <c r="D41" s="9" t="s">
        <v>140</v>
      </c>
      <c r="E41" s="48" t="s">
        <v>57</v>
      </c>
      <c r="F41" s="48"/>
      <c r="G41" s="49" t="s">
        <v>209</v>
      </c>
      <c r="H41" s="49" t="s">
        <v>136</v>
      </c>
      <c r="I41" s="9" t="s">
        <v>33</v>
      </c>
      <c r="J41" s="9"/>
      <c r="K41" s="9"/>
      <c r="L41" s="9"/>
      <c r="M41" s="9"/>
      <c r="N41" s="9"/>
      <c r="O41" s="9"/>
      <c r="P41" s="9"/>
      <c r="Q41" s="45"/>
      <c r="R41" s="46"/>
      <c r="S41" s="95"/>
      <c r="T41" s="96"/>
    </row>
    <row r="42" spans="1:20" s="11" customFormat="1" ht="26">
      <c r="A42" s="9">
        <v>10</v>
      </c>
      <c r="B42" s="9"/>
      <c r="C42" s="9"/>
      <c r="D42" s="9" t="s">
        <v>142</v>
      </c>
      <c r="E42" s="48" t="s">
        <v>145</v>
      </c>
      <c r="F42" s="48"/>
      <c r="G42" s="49" t="s">
        <v>211</v>
      </c>
      <c r="H42" s="49" t="s">
        <v>151</v>
      </c>
      <c r="I42" s="9" t="s">
        <v>33</v>
      </c>
      <c r="J42" s="9"/>
      <c r="K42" s="9"/>
      <c r="L42" s="9"/>
      <c r="M42" s="9"/>
      <c r="N42" s="9"/>
      <c r="O42" s="9"/>
      <c r="P42" s="9"/>
      <c r="Q42" s="45"/>
      <c r="R42" s="46"/>
      <c r="S42" s="95"/>
      <c r="T42" s="96"/>
    </row>
    <row r="43" spans="1:20" s="11" customFormat="1">
      <c r="A43" s="9">
        <v>10</v>
      </c>
      <c r="B43" s="9"/>
      <c r="C43" s="9"/>
      <c r="D43" s="9" t="s">
        <v>144</v>
      </c>
      <c r="E43" s="48" t="s">
        <v>145</v>
      </c>
      <c r="F43" s="48"/>
      <c r="G43" s="49" t="s">
        <v>212</v>
      </c>
      <c r="H43" s="49" t="s">
        <v>152</v>
      </c>
      <c r="I43" s="9"/>
      <c r="J43" s="9" t="s">
        <v>33</v>
      </c>
      <c r="K43" s="9"/>
      <c r="L43" s="9"/>
      <c r="M43" s="9"/>
      <c r="N43" s="9"/>
      <c r="O43" s="9"/>
      <c r="P43" s="9"/>
      <c r="Q43" s="45"/>
      <c r="R43" s="46"/>
      <c r="S43" s="95"/>
      <c r="T43" s="96"/>
    </row>
    <row r="44" spans="1:20" s="11" customFormat="1">
      <c r="A44" s="52"/>
      <c r="B44" s="26"/>
      <c r="C44" s="26"/>
      <c r="D44" s="53" t="s">
        <v>1</v>
      </c>
      <c r="E44" s="27"/>
      <c r="F44" s="28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54"/>
    </row>
    <row r="45" spans="1:20" s="11" customFormat="1">
      <c r="A45" s="68"/>
      <c r="T45" s="55"/>
    </row>
    <row r="46" spans="1:20" s="11" customFormat="1">
      <c r="A46" s="68"/>
      <c r="T46" s="55"/>
    </row>
    <row r="47" spans="1:20" s="11" customFormat="1">
      <c r="A47" s="68"/>
      <c r="T47" s="55"/>
    </row>
    <row r="48" spans="1:20" s="11" customFormat="1">
      <c r="A48" s="68"/>
      <c r="T48" s="55"/>
    </row>
    <row r="49" spans="1:20" s="11" customFormat="1">
      <c r="A49" s="68"/>
      <c r="T49" s="55"/>
    </row>
    <row r="50" spans="1:20" s="11" customFormat="1">
      <c r="A50" s="68"/>
      <c r="T50" s="55"/>
    </row>
    <row r="51" spans="1:20" s="11" customFormat="1">
      <c r="A51" s="68"/>
      <c r="T51" s="55"/>
    </row>
    <row r="52" spans="1:20" s="11" customFormat="1">
      <c r="A52" s="68"/>
      <c r="T52" s="55"/>
    </row>
    <row r="53" spans="1:20" s="11" customFormat="1">
      <c r="A53" s="74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56"/>
    </row>
  </sheetData>
  <sheetProtection formatCells="0" formatColumns="0" formatRows="0" insertColumns="0" insertRows="0" insertHyperlinks="0" deleteColumns="0" deleteRows="0"/>
  <mergeCells count="30">
    <mergeCell ref="S34:T34"/>
    <mergeCell ref="S20:T20"/>
    <mergeCell ref="S41:T41"/>
    <mergeCell ref="S14:T14"/>
    <mergeCell ref="S13:T13"/>
    <mergeCell ref="S17:T17"/>
    <mergeCell ref="S18:T18"/>
    <mergeCell ref="S19:T19"/>
    <mergeCell ref="S15:T15"/>
    <mergeCell ref="S35:T35"/>
    <mergeCell ref="S36:T36"/>
    <mergeCell ref="S39:T39"/>
    <mergeCell ref="S25:T25"/>
    <mergeCell ref="S21:T21"/>
    <mergeCell ref="S43:T43"/>
    <mergeCell ref="S42:T42"/>
    <mergeCell ref="S38:T38"/>
    <mergeCell ref="S30:T30"/>
    <mergeCell ref="S16:T16"/>
    <mergeCell ref="S26:T26"/>
    <mergeCell ref="S27:T27"/>
    <mergeCell ref="S28:T28"/>
    <mergeCell ref="S29:T29"/>
    <mergeCell ref="S31:T31"/>
    <mergeCell ref="S32:T32"/>
    <mergeCell ref="S33:T33"/>
    <mergeCell ref="S22:T22"/>
    <mergeCell ref="S23:T23"/>
    <mergeCell ref="S24:T24"/>
    <mergeCell ref="S40:T4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1" customWidth="1"/>
    <col min="43" max="44" width="2.08984375" style="62" customWidth="1"/>
    <col min="45" max="71" width="2.08984375" style="61" customWidth="1"/>
    <col min="72" max="16384" width="9" style="61"/>
  </cols>
  <sheetData>
    <row r="1" spans="1:57" s="58" customFormat="1" ht="38.25" customHeight="1" thickBot="1">
      <c r="A1" s="99" t="s">
        <v>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58" customFormat="1" ht="12" customHeight="1" thickBo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60"/>
      <c r="AR2" s="60"/>
    </row>
    <row r="3" spans="1:57" ht="15" customHeight="1" thickBot="1">
      <c r="A3" s="146" t="s">
        <v>9</v>
      </c>
      <c r="B3" s="103"/>
      <c r="C3" s="103"/>
      <c r="D3" s="103"/>
      <c r="E3" s="103"/>
      <c r="F3" s="103"/>
      <c r="G3" s="104"/>
      <c r="H3" s="102" t="s">
        <v>10</v>
      </c>
      <c r="I3" s="103"/>
      <c r="J3" s="103"/>
      <c r="K3" s="103"/>
      <c r="L3" s="103"/>
      <c r="M3" s="103"/>
      <c r="N3" s="104"/>
      <c r="O3" s="102" t="s">
        <v>11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12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39"/>
      <c r="I4" s="140"/>
      <c r="J4" s="140"/>
      <c r="K4" s="140"/>
      <c r="L4" s="140"/>
      <c r="M4" s="140"/>
      <c r="N4" s="141"/>
      <c r="O4" s="139" t="s">
        <v>13</v>
      </c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3"/>
      <c r="AQ4" s="144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5"/>
    </row>
    <row r="5" spans="1:57" ht="40.5" customHeight="1">
      <c r="A5" s="110">
        <v>1.1000000000000001</v>
      </c>
      <c r="B5" s="111"/>
      <c r="C5" s="111"/>
      <c r="D5" s="111"/>
      <c r="E5" s="111"/>
      <c r="F5" s="111"/>
      <c r="G5" s="112"/>
      <c r="H5" s="118" t="s">
        <v>163</v>
      </c>
      <c r="I5" s="119"/>
      <c r="J5" s="119"/>
      <c r="K5" s="119"/>
      <c r="L5" s="119"/>
      <c r="M5" s="119"/>
      <c r="N5" s="120"/>
      <c r="O5" s="118" t="s">
        <v>160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31" t="s">
        <v>161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32"/>
    </row>
    <row r="6" spans="1:57" ht="36.75" customHeight="1">
      <c r="A6" s="110" t="s">
        <v>155</v>
      </c>
      <c r="B6" s="111"/>
      <c r="C6" s="111"/>
      <c r="D6" s="111"/>
      <c r="E6" s="111"/>
      <c r="F6" s="111"/>
      <c r="G6" s="112"/>
      <c r="H6" s="118" t="s">
        <v>156</v>
      </c>
      <c r="I6" s="119"/>
      <c r="J6" s="119"/>
      <c r="K6" s="119"/>
      <c r="L6" s="119"/>
      <c r="M6" s="119"/>
      <c r="N6" s="120"/>
      <c r="O6" s="118" t="s">
        <v>159</v>
      </c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31" t="s">
        <v>162</v>
      </c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32"/>
    </row>
    <row r="7" spans="1:57" ht="15" customHeight="1">
      <c r="A7" s="110">
        <v>1.2000000000000002</v>
      </c>
      <c r="B7" s="111"/>
      <c r="C7" s="111"/>
      <c r="D7" s="111"/>
      <c r="E7" s="111"/>
      <c r="F7" s="111"/>
      <c r="G7" s="112"/>
      <c r="H7" s="118"/>
      <c r="I7" s="119"/>
      <c r="J7" s="119"/>
      <c r="K7" s="119"/>
      <c r="L7" s="119"/>
      <c r="M7" s="119"/>
      <c r="N7" s="120"/>
      <c r="O7" s="133" t="s">
        <v>213</v>
      </c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5"/>
      <c r="AQ7" s="136" t="s">
        <v>214</v>
      </c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8"/>
    </row>
    <row r="8" spans="1:57" ht="15" customHeight="1">
      <c r="A8" s="110"/>
      <c r="B8" s="111"/>
      <c r="C8" s="111"/>
      <c r="D8" s="111"/>
      <c r="E8" s="111"/>
      <c r="F8" s="111"/>
      <c r="G8" s="112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3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32"/>
    </row>
    <row r="9" spans="1:57" ht="15" customHeight="1">
      <c r="A9" s="110"/>
      <c r="B9" s="111"/>
      <c r="C9" s="111"/>
      <c r="D9" s="111"/>
      <c r="E9" s="111"/>
      <c r="F9" s="111"/>
      <c r="G9" s="112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3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32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3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32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3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32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3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32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3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32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3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32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3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32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3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32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3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32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3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32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3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32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3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32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3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32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3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32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3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32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3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32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3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32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3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32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3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32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3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32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3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32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3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32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3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32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3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32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3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32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3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32"/>
    </row>
    <row r="35" spans="1:57" ht="15" customHeight="1" thickBot="1">
      <c r="A35" s="123"/>
      <c r="B35" s="124"/>
      <c r="C35" s="124"/>
      <c r="D35" s="124"/>
      <c r="E35" s="124"/>
      <c r="F35" s="124"/>
      <c r="G35" s="125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2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27"/>
    </row>
  </sheetData>
  <mergeCells count="133"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7:N27"/>
    <mergeCell ref="AQ27:BE27"/>
    <mergeCell ref="H28:N28"/>
    <mergeCell ref="O28:AP28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AQ11:BE11"/>
    <mergeCell ref="H12:N12"/>
    <mergeCell ref="O12:AP12"/>
    <mergeCell ref="H17:N17"/>
    <mergeCell ref="O17:AP17"/>
    <mergeCell ref="AQ17:BE17"/>
    <mergeCell ref="H16:N16"/>
    <mergeCell ref="O16:AP16"/>
    <mergeCell ref="AQ16:BE16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32:BE32"/>
    <mergeCell ref="O7:AP7"/>
    <mergeCell ref="AQ7:BE7"/>
    <mergeCell ref="H7:N7"/>
    <mergeCell ref="AQ23:BE23"/>
    <mergeCell ref="H24:N24"/>
    <mergeCell ref="AQ12:BE12"/>
    <mergeCell ref="H11:N11"/>
    <mergeCell ref="O15:AP15"/>
    <mergeCell ref="AQ15:BE15"/>
    <mergeCell ref="H15:N15"/>
    <mergeCell ref="H9:N9"/>
    <mergeCell ref="O9:AP9"/>
    <mergeCell ref="AQ9:BE9"/>
    <mergeCell ref="H8:N8"/>
    <mergeCell ref="O8:AP8"/>
    <mergeCell ref="AQ8:BE8"/>
    <mergeCell ref="H10:N10"/>
    <mergeCell ref="O10:AP10"/>
    <mergeCell ref="AQ10:BE10"/>
    <mergeCell ref="H13:N13"/>
    <mergeCell ref="O13:AP13"/>
    <mergeCell ref="AQ13:BE13"/>
    <mergeCell ref="O11:AP11"/>
    <mergeCell ref="A35:G35"/>
    <mergeCell ref="A11:G11"/>
    <mergeCell ref="A12:G12"/>
    <mergeCell ref="A13:G13"/>
    <mergeCell ref="A14:G14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O14:AP14"/>
    <mergeCell ref="AQ14:BE14"/>
    <mergeCell ref="H35:N35"/>
    <mergeCell ref="O35:AP35"/>
    <mergeCell ref="H34:N34"/>
    <mergeCell ref="O34:AP34"/>
    <mergeCell ref="H22:N22"/>
    <mergeCell ref="O22:AP22"/>
    <mergeCell ref="H30:N30"/>
    <mergeCell ref="O30:AP30"/>
    <mergeCell ref="H31:N3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A17:G17"/>
    <mergeCell ref="A18:G18"/>
    <mergeCell ref="A19:G19"/>
    <mergeCell ref="A20:G20"/>
    <mergeCell ref="A21:G21"/>
    <mergeCell ref="A22:G22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Conv01</vt:lpstr>
      <vt:lpstr>Conv02</vt:lpstr>
      <vt:lpstr>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2018-06-18T02:38:54Z</cp:lastPrinted>
  <dcterms:created xsi:type="dcterms:W3CDTF">2000-04-01T00:00:00Z</dcterms:created>
  <dcterms:modified xsi:type="dcterms:W3CDTF">2026-03-27T06:08:10Z</dcterms:modified>
  <cp:category/>
</cp:coreProperties>
</file>