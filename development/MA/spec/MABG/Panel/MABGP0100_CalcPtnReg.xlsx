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67700461-4FDD-4A22-A115-D92E5963FF1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1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K8" i="1" l="1"/>
  <c r="AG8" i="1"/>
  <c r="AI8" i="1"/>
</calcChain>
</file>

<file path=xl/sharedStrings.xml><?xml version="1.0" encoding="utf-8"?>
<sst xmlns="http://schemas.openxmlformats.org/spreadsheetml/2006/main" count="2412" uniqueCount="715">
  <si>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</si>
  <si>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</si>
  <si>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</si>
  <si>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</si>
  <si>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</si>
  <si>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</si>
  <si>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</si>
  <si>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</si>
  <si>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</si>
  <si>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</si>
  <si>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</si>
  <si>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</si>
  <si>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</si>
  <si>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</si>
  <si>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E</t>
    <phoneticPr fontId="7"/>
  </si>
  <si>
    <t>K</t>
    <phoneticPr fontId="7"/>
  </si>
  <si>
    <t>*</t>
    <phoneticPr fontId="7"/>
  </si>
  <si>
    <t>行追加</t>
    <phoneticPr fontId="7"/>
  </si>
  <si>
    <t>$image.INSERT_RECORD$</t>
    <phoneticPr fontId="7"/>
  </si>
  <si>
    <t>行削除</t>
    <phoneticPr fontId="7"/>
  </si>
  <si>
    <t>$image.DELETE_RECORD$</t>
    <phoneticPr fontId="7"/>
  </si>
  <si>
    <t>行コピー</t>
    <phoneticPr fontId="7"/>
  </si>
  <si>
    <t>$image.COPY_RECORD$</t>
    <phoneticPr fontId="7"/>
  </si>
  <si>
    <t>メモ１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</si>
  <si>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</si>
  <si>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</si>
  <si>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</si>
  <si>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</si>
  <si>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</si>
  <si>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</si>
  <si>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</si>
  <si>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</si>
  <si>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</si>
  <si>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更新ユーザＩＤ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</si>
  <si>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</si>
  <si>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</si>
  <si>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</si>
  <si>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</si>
  <si>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</si>
  <si>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</si>
  <si>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</si>
  <si>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</si>
  <si>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</si>
  <si>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</si>
  <si>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</si>
  <si>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</si>
  <si>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</si>
  <si>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7"/>
  </si>
  <si>
    <t>登録ユーザＩＤ</t>
    <phoneticPr fontId="7"/>
  </si>
  <si>
    <t>論理削除</t>
    <phoneticPr fontId="7"/>
  </si>
  <si>
    <t>del@EastBtn</t>
    <phoneticPr fontId="7"/>
  </si>
  <si>
    <t>*</t>
    <phoneticPr fontId="7"/>
  </si>
  <si>
    <t>EastBtn</t>
    <phoneticPr fontId="7"/>
  </si>
  <si>
    <t>$fit$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</si>
  <si>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</si>
  <si>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</si>
  <si>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</si>
  <si>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</si>
  <si>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</si>
  <si>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</si>
  <si>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</si>
  <si>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</si>
  <si>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</si>
  <si>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upd_func_nm</t>
    <phoneticPr fontId="7"/>
  </si>
  <si>
    <t>更新機能名</t>
    <phoneticPr fontId="7"/>
  </si>
  <si>
    <t>upd_srv_req_no</t>
    <phoneticPr fontId="7"/>
  </si>
  <si>
    <t>RO</t>
    <phoneticPr fontId="7"/>
  </si>
  <si>
    <t>ins_ts</t>
    <phoneticPr fontId="7"/>
  </si>
  <si>
    <t>LAB</t>
    <phoneticPr fontId="7"/>
  </si>
  <si>
    <t>DtlBtn</t>
    <phoneticPr fontId="7"/>
  </si>
  <si>
    <t>Lcl</t>
    <phoneticPr fontId="7"/>
  </si>
  <si>
    <t>ロケール</t>
    <phoneticPr fontId="7"/>
  </si>
  <si>
    <t>LclWrk</t>
    <phoneticPr fontId="7"/>
  </si>
  <si>
    <t>Dtl</t>
    <phoneticPr fontId="7"/>
  </si>
  <si>
    <t>Btn</t>
    <phoneticPr fontId="7"/>
  </si>
  <si>
    <t>LclBtn</t>
    <phoneticPr fontId="7"/>
  </si>
  <si>
    <t>LclAll</t>
    <phoneticPr fontId="7"/>
  </si>
  <si>
    <t>$share$</t>
    <phoneticPr fontId="7"/>
  </si>
  <si>
    <t>LclBtn</t>
    <phoneticPr fontId="7"/>
  </si>
  <si>
    <t>Btn</t>
    <phoneticPr fontId="7"/>
  </si>
  <si>
    <t>F7</t>
    <phoneticPr fontId="7"/>
  </si>
  <si>
    <t>F8</t>
    <phoneticPr fontId="7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</si>
  <si>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</si>
  <si>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</si>
  <si>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</si>
  <si>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</si>
  <si>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</si>
  <si>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</si>
  <si>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</si>
  <si>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</si>
  <si>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</si>
  <si>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</si>
  <si>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</si>
  <si>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</si>
  <si>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</si>
  <si>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</si>
  <si>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</si>
  <si>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7"/>
  </si>
  <si>
    <t>$fixed$</t>
    <phoneticPr fontId="7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</si>
  <si>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</si>
  <si>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</si>
  <si>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</si>
  <si>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</si>
  <si>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</si>
  <si>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</si>
  <si>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</si>
  <si>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F20</t>
    <phoneticPr fontId="7"/>
  </si>
  <si>
    <t>F19</t>
    <phoneticPr fontId="7"/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</si>
  <si>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</si>
  <si>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</si>
  <si>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</si>
  <si>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</si>
  <si>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</si>
  <si>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mcframe.clientMAUD.MAUDP1020.MAUDP_LCLRLSearcher</t>
    <phoneticPr fontId="7"/>
  </si>
  <si>
    <t>mcframe.clientMAUD.MAUDP1020.MAUDP_LCLRLUpdater</t>
    <phoneticPr fontId="7"/>
  </si>
  <si>
    <t>mcframe.clientMAUD.MAUDP1020.MAUDP_LCLRLDeleter</t>
    <phoneticPr fontId="7"/>
  </si>
  <si>
    <t>lcl_cd</t>
    <phoneticPr fontId="7"/>
  </si>
  <si>
    <t>lcl_nm</t>
    <phoneticPr fontId="7"/>
  </si>
  <si>
    <t>ロケールＣＤ</t>
    <phoneticPr fontId="7"/>
  </si>
  <si>
    <t>ロケール名</t>
    <rPh sb="4" eb="5">
      <t>メイ</t>
    </rPh>
    <phoneticPr fontId="7"/>
  </si>
  <si>
    <t>#MA.LCL_CD</t>
    <phoneticPr fontId="7"/>
  </si>
  <si>
    <t>MABGP0100</t>
    <phoneticPr fontId="7"/>
  </si>
  <si>
    <t>計算パタンマスタ登録</t>
    <rPh sb="0" eb="2">
      <t>ケイサン</t>
    </rPh>
    <rPh sb="8" eb="10">
      <t>トウロク</t>
    </rPh>
    <phoneticPr fontId="7"/>
  </si>
  <si>
    <t>計算パタンマスタの検索、更新、削除を行います。</t>
    <rPh sb="0" eb="2">
      <t>ケイサン</t>
    </rPh>
    <rPh sb="15" eb="17">
      <t>サクジョ</t>
    </rPh>
    <phoneticPr fontId="7"/>
  </si>
  <si>
    <t>calc_ptn_cd</t>
  </si>
  <si>
    <t>計算パタンＣＤ</t>
  </si>
  <si>
    <t>計算パタン</t>
  </si>
  <si>
    <t>calc_ptn_nm</t>
  </si>
  <si>
    <t>計算パタン名</t>
  </si>
  <si>
    <t>calc_ptn_nm_lcl</t>
  </si>
  <si>
    <t>標準計算パタン名</t>
  </si>
  <si>
    <t>eval_typ</t>
  </si>
  <si>
    <t>金額評価区分</t>
  </si>
  <si>
    <t>eval_typ_nm</t>
  </si>
  <si>
    <t>金額評価区分名</t>
  </si>
  <si>
    <t>dpt_typ</t>
  </si>
  <si>
    <t>dpt_typ_nm</t>
  </si>
  <si>
    <t>部門計算区分</t>
  </si>
  <si>
    <t>部門計算区分名</t>
  </si>
  <si>
    <t>dpt_loss_eval_typ</t>
  </si>
  <si>
    <t>管理部門評価区分</t>
  </si>
  <si>
    <t>dpt_loss_eval_typ_nm</t>
  </si>
  <si>
    <t>管理部門評価区分名</t>
  </si>
  <si>
    <t>asst_loss_eval_typ</t>
  </si>
  <si>
    <t>資産区分評価区分</t>
  </si>
  <si>
    <t>asst_loss_eval_typ_nm</t>
  </si>
  <si>
    <t>資産区分評価区分名</t>
  </si>
  <si>
    <t>std_rnd_typ</t>
  </si>
  <si>
    <t>標準端数処理区分</t>
  </si>
  <si>
    <t>標準端数処理区分名</t>
  </si>
  <si>
    <t>std_dec_place</t>
  </si>
  <si>
    <t>標準小数部有効桁数</t>
  </si>
  <si>
    <t>ave_rnd_typ</t>
  </si>
  <si>
    <t>単価端数処理区分</t>
  </si>
  <si>
    <t>ave_rnd_typ_nm</t>
  </si>
  <si>
    <t>単価端数処理区分名</t>
  </si>
  <si>
    <t>ave_dec_place</t>
  </si>
  <si>
    <t>単価小数部有効桁数</t>
  </si>
  <si>
    <t>adj_typ</t>
  </si>
  <si>
    <t>端数調整区分</t>
  </si>
  <si>
    <t>adj_typ_nm</t>
  </si>
  <si>
    <t>端数調整区分名</t>
  </si>
  <si>
    <t>wip_typ</t>
  </si>
  <si>
    <t>仕掛区分</t>
  </si>
  <si>
    <t>wip_typ_nm</t>
  </si>
  <si>
    <t>仕掛区分名</t>
  </si>
  <si>
    <t>bd_agg_typ</t>
  </si>
  <si>
    <t>内訳集計区分</t>
  </si>
  <si>
    <t>bd_agg_typ_nm</t>
  </si>
  <si>
    <t>内訳集計区分名</t>
  </si>
  <si>
    <t>mrgn_expns_cd</t>
  </si>
  <si>
    <t>調整費目ＣＤ</t>
  </si>
  <si>
    <t>mrgn_expns_nm</t>
  </si>
  <si>
    <t>調整費目名</t>
  </si>
  <si>
    <t>purc_expns_cd</t>
  </si>
  <si>
    <t>purc_expns_nm</t>
  </si>
  <si>
    <t>out_expns_cd</t>
  </si>
  <si>
    <t>外注費目ＣＤ</t>
  </si>
  <si>
    <t>out_expns_nm</t>
  </si>
  <si>
    <t>外注費目名</t>
  </si>
  <si>
    <t>inpt_expns_cd</t>
  </si>
  <si>
    <t>投入費目ＣＤ</t>
  </si>
  <si>
    <t>inpt_expns_nm</t>
  </si>
  <si>
    <t>投入費目名</t>
  </si>
  <si>
    <t>ss_expns_cd</t>
  </si>
  <si>
    <t>自給費目ＣＤ</t>
  </si>
  <si>
    <t>ss_expns_nm</t>
  </si>
  <si>
    <t>自給費目名</t>
  </si>
  <si>
    <t>prov_expns_cd</t>
  </si>
  <si>
    <t>有償差額費目ＣＤ</t>
  </si>
  <si>
    <t>prov_expns_nm</t>
  </si>
  <si>
    <t>有償差額費目名</t>
  </si>
  <si>
    <t>exp_alloc_typ</t>
  </si>
  <si>
    <t>展開割付区分</t>
  </si>
  <si>
    <t>exp_alloc_typ_nm</t>
  </si>
  <si>
    <t>展開割付区分名</t>
  </si>
  <si>
    <t>選択</t>
  </si>
  <si>
    <t>lcl_cd</t>
  </si>
  <si>
    <t>ロケールＣＤ</t>
  </si>
  <si>
    <t>ロケール</t>
  </si>
  <si>
    <t>lcl_nm</t>
  </si>
  <si>
    <t>調整費目</t>
  </si>
  <si>
    <t>外注費目</t>
  </si>
  <si>
    <t>投入費目</t>
  </si>
  <si>
    <t>自給費目</t>
  </si>
  <si>
    <t>有償差額費目</t>
  </si>
  <si>
    <t>calc_ptn_nm</t>
    <phoneticPr fontId="7"/>
  </si>
  <si>
    <t>F3</t>
    <phoneticPr fontId="7"/>
  </si>
  <si>
    <t>open_MABGP0110</t>
    <phoneticPr fontId="7"/>
  </si>
  <si>
    <t>計算グループパタンマスタ登録</t>
    <phoneticPr fontId="7"/>
  </si>
  <si>
    <t>計算グループパタン</t>
    <phoneticPr fontId="7"/>
  </si>
  <si>
    <t>FLG_GRP</t>
  </si>
  <si>
    <t>LIST_OUT_BASE</t>
    <phoneticPr fontId="7"/>
  </si>
  <si>
    <t>MA.MAUAP0010.LossEvalTyp</t>
    <phoneticPr fontId="7"/>
  </si>
  <si>
    <t>loss_eval_typ_nm</t>
    <phoneticPr fontId="7"/>
  </si>
  <si>
    <t>std_rnd_typ_nm</t>
    <phoneticPr fontId="7"/>
  </si>
  <si>
    <t>MA.MAUAP0010.Expns</t>
    <phoneticPr fontId="7"/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</si>
  <si>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</si>
  <si>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</si>
  <si>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</si>
  <si>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</si>
  <si>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expns_nm</t>
    <phoneticPr fontId="7"/>
  </si>
  <si>
    <t>REF</t>
    <phoneticPr fontId="7"/>
  </si>
  <si>
    <t>I</t>
    <phoneticPr fontId="7"/>
  </si>
  <si>
    <t>Top</t>
    <phoneticPr fontId="7"/>
  </si>
  <si>
    <t>fold</t>
    <phoneticPr fontId="7"/>
  </si>
  <si>
    <t>Fold</t>
    <phoneticPr fontId="7"/>
  </si>
  <si>
    <t>ctrl</t>
    <phoneticPr fontId="7"/>
  </si>
  <si>
    <t>Ctrl</t>
    <phoneticPr fontId="7"/>
  </si>
  <si>
    <t>cnd</t>
    <phoneticPr fontId="7"/>
  </si>
  <si>
    <t>Cnd</t>
    <phoneticPr fontId="7"/>
  </si>
  <si>
    <t>Ctrl</t>
  </si>
  <si>
    <t>ctrl</t>
  </si>
  <si>
    <t>論理削除</t>
  </si>
  <si>
    <t>論理削除.オフ</t>
  </si>
  <si>
    <t>オフ</t>
  </si>
  <si>
    <t>論理削除.オン</t>
  </si>
  <si>
    <t>オン</t>
  </si>
  <si>
    <t>CBCB+</t>
    <phoneticPr fontId="7"/>
  </si>
  <si>
    <t>UPD,登録・訂正する,0;DEL,削除する（管理者）,1;REF,参照する,3</t>
  </si>
  <si>
    <t>ロットＮＯ計算区分</t>
  </si>
  <si>
    <t>ロットＮＯ計算区分名</t>
  </si>
  <si>
    <t>lot_typ</t>
    <phoneticPr fontId="7"/>
  </si>
  <si>
    <t>lot_typ_nm</t>
    <phoneticPr fontId="7"/>
  </si>
  <si>
    <t>サブロットＮＯ計算区分</t>
  </si>
  <si>
    <t>サブロットＮＯ計算区分名</t>
  </si>
  <si>
    <t>sublot_typ</t>
    <phoneticPr fontId="7"/>
  </si>
  <si>
    <t>sublot_typ_nm</t>
    <phoneticPr fontId="7"/>
  </si>
  <si>
    <t>手配ＮＯ１計算区分</t>
  </si>
  <si>
    <t>手配ＮＯ１計算区分名</t>
  </si>
  <si>
    <t>手配ＮＯ２計算区分</t>
  </si>
  <si>
    <t>手配ＮＯ２計算区分名</t>
  </si>
  <si>
    <t>手配ＮＯ３計算区分</t>
  </si>
  <si>
    <t>手配ＮＯ３計算区分名</t>
  </si>
  <si>
    <t>手配ＮＯ４計算区分</t>
  </si>
  <si>
    <t>手配ＮＯ４計算区分名</t>
  </si>
  <si>
    <t>ロットＮＯ実績区分</t>
  </si>
  <si>
    <t>ロットＮＯ実績区分名</t>
  </si>
  <si>
    <t>サブロットＮＯ実績区分</t>
  </si>
  <si>
    <t>サブロットＮＯ実績区分名</t>
  </si>
  <si>
    <t>手配ＮＯ１実績区分</t>
  </si>
  <si>
    <t>手配ＮＯ１実績区分名</t>
  </si>
  <si>
    <t>手配ＮＯ２実績区分</t>
  </si>
  <si>
    <t>手配ＮＯ２実績区分名</t>
  </si>
  <si>
    <t>手配ＮＯ３実績区分</t>
  </si>
  <si>
    <t>手配ＮＯ３実績区分名</t>
  </si>
  <si>
    <t>手配ＮＯ４実績区分</t>
  </si>
  <si>
    <t>手配ＮＯ４実績区分名</t>
  </si>
  <si>
    <t>ロットＮＯ展開区分</t>
  </si>
  <si>
    <t>ロットＮＯ展開区分名</t>
  </si>
  <si>
    <t>サブロットＮＯ展開区分</t>
  </si>
  <si>
    <t>サブロットＮＯ展開区分名</t>
  </si>
  <si>
    <t>手配ＮＯ１展開区分</t>
  </si>
  <si>
    <t>手配ＮＯ１展開区分名</t>
  </si>
  <si>
    <t>手配ＮＯ２展開区分</t>
  </si>
  <si>
    <t>手配ＮＯ２展開区分名</t>
  </si>
  <si>
    <t>手配ＮＯ３展開区分</t>
  </si>
  <si>
    <t>手配ＮＯ３展開区分名</t>
  </si>
  <si>
    <t>手配ＮＯ４展開区分</t>
  </si>
  <si>
    <t>手配ＮＯ４展開区分名</t>
  </si>
  <si>
    <t>sno1_typ</t>
    <phoneticPr fontId="7"/>
  </si>
  <si>
    <t>sno1_typ_nm</t>
    <phoneticPr fontId="7"/>
  </si>
  <si>
    <t>sno2_typ</t>
  </si>
  <si>
    <t>sno2_typ_nm</t>
  </si>
  <si>
    <t>sno3_typ</t>
  </si>
  <si>
    <t>sno3_typ_nm</t>
  </si>
  <si>
    <t>sno4_typ</t>
  </si>
  <si>
    <t>sno4_typ_nm</t>
  </si>
  <si>
    <t>lot_act_typ</t>
    <phoneticPr fontId="7"/>
  </si>
  <si>
    <t>lot_act_typ_nm</t>
    <phoneticPr fontId="7"/>
  </si>
  <si>
    <t>sublot_act_typ</t>
    <phoneticPr fontId="7"/>
  </si>
  <si>
    <t>sublot_act_typ_nm</t>
    <phoneticPr fontId="7"/>
  </si>
  <si>
    <t>sno1_act_typ</t>
    <phoneticPr fontId="7"/>
  </si>
  <si>
    <t>sno1_act_typ_nm</t>
    <phoneticPr fontId="7"/>
  </si>
  <si>
    <t>sno2_act_typ</t>
  </si>
  <si>
    <t>sno2_act_typ_nm</t>
  </si>
  <si>
    <t>sno3_act_typ</t>
  </si>
  <si>
    <t>sno3_act_typ_nm</t>
  </si>
  <si>
    <t>sno4_act_typ</t>
  </si>
  <si>
    <t>sno4_act_typ_nm</t>
  </si>
  <si>
    <t>lot_exp_typ</t>
    <phoneticPr fontId="7"/>
  </si>
  <si>
    <t>lot_exp_typ_nm</t>
    <phoneticPr fontId="7"/>
  </si>
  <si>
    <t>sublot_exp_typ</t>
    <phoneticPr fontId="7"/>
  </si>
  <si>
    <t>sublot_exp_typ_nm</t>
    <phoneticPr fontId="7"/>
  </si>
  <si>
    <t>sno1_exp_typ</t>
    <phoneticPr fontId="7"/>
  </si>
  <si>
    <t>sno1_exp_typ_nm</t>
    <phoneticPr fontId="7"/>
  </si>
  <si>
    <t>sno2_exp_typ</t>
  </si>
  <si>
    <t>sno2_exp_typ_nm</t>
  </si>
  <si>
    <t>sno3_exp_typ</t>
  </si>
  <si>
    <t>sno3_exp_typ_nm</t>
  </si>
  <si>
    <t>sno4_exp_typ</t>
  </si>
  <si>
    <t>sno4_exp_typ_nm</t>
  </si>
  <si>
    <t xml:space="preserve">ロットＮＯ評価区分 </t>
  </si>
  <si>
    <t>ロットＮＯ評価区分 名</t>
  </si>
  <si>
    <t>サブロットＮＯ評価区分</t>
  </si>
  <si>
    <t>サブロットＮＯ評価区分名</t>
  </si>
  <si>
    <t>手配ＮＯ１評価区分</t>
  </si>
  <si>
    <t>手配ＮＯ１評価区分名</t>
  </si>
  <si>
    <t>手配ＮＯ２評価区分</t>
  </si>
  <si>
    <t>手配ＮＯ２評価区分名</t>
  </si>
  <si>
    <t>手配ＮＯ３評価区分</t>
  </si>
  <si>
    <t>手配ＮＯ３評価区分名</t>
  </si>
  <si>
    <t>手配ＮＯ４評価区分</t>
  </si>
  <si>
    <t>手配ＮＯ４評価区分名</t>
  </si>
  <si>
    <t>lot_loss_eval_typ</t>
    <phoneticPr fontId="7"/>
  </si>
  <si>
    <t>lot_loss_eval_typ_nm</t>
    <phoneticPr fontId="7"/>
  </si>
  <si>
    <t>sublot_loss_eval_typ</t>
    <phoneticPr fontId="7"/>
  </si>
  <si>
    <t>sublot_loss_eval_typ_nm</t>
    <phoneticPr fontId="7"/>
  </si>
  <si>
    <t>sno1_loss_eval_typ</t>
    <phoneticPr fontId="7"/>
  </si>
  <si>
    <t>sno1_loss_eval_typ_nm</t>
    <phoneticPr fontId="7"/>
  </si>
  <si>
    <t>sno2_loss_eval_typ</t>
  </si>
  <si>
    <t>sno2_loss_eval_typ_nm</t>
  </si>
  <si>
    <t>sno3_loss_eval_typ</t>
  </si>
  <si>
    <t>sno3_loss_eval_typ_nm</t>
  </si>
  <si>
    <t>sno4_loss_eval_typ</t>
  </si>
  <si>
    <t>sno4_loss_eval_typ_nm</t>
  </si>
  <si>
    <t>製造購買区分</t>
  </si>
  <si>
    <t>製造購買区分名</t>
  </si>
  <si>
    <t>購買費目ＣＤ</t>
  </si>
  <si>
    <t>購買費目名</t>
  </si>
  <si>
    <t>購買費目</t>
  </si>
  <si>
    <t>LIST_IN</t>
    <phoneticPr fontId="7"/>
  </si>
  <si>
    <t>LIST_IN_BASE</t>
    <phoneticPr fontId="7"/>
  </si>
  <si>
    <t>mfg_purc_typ</t>
  </si>
  <si>
    <t>mfg_purc_typ_nm</t>
  </si>
  <si>
    <t>DISP_CTL</t>
  </si>
  <si>
    <t>Mst</t>
    <phoneticPr fontId="7"/>
  </si>
  <si>
    <t>管理</t>
    <rPh sb="0" eb="2">
      <t>カンリ</t>
    </rPh>
    <phoneticPr fontId="7"/>
  </si>
  <si>
    <t>@</t>
    <phoneticPr fontId="7"/>
  </si>
  <si>
    <t>ScreenClass :</t>
    <phoneticPr fontId="7"/>
  </si>
  <si>
    <t>Gene.Type :</t>
    <phoneticPr fontId="7"/>
  </si>
  <si>
    <t>ModuleID :</t>
    <phoneticPr fontId="7"/>
  </si>
  <si>
    <t>ScreenID :</t>
    <phoneticPr fontId="7"/>
  </si>
  <si>
    <t>ACType :</t>
    <phoneticPr fontId="7"/>
  </si>
  <si>
    <t>o</t>
    <phoneticPr fontId="7"/>
  </si>
  <si>
    <t>#MA.MST_SET_TYP_NM</t>
    <phoneticPr fontId="7"/>
  </si>
  <si>
    <t>LP</t>
    <phoneticPr fontId="7"/>
  </si>
  <si>
    <t>Srch01_Cnd</t>
    <phoneticPr fontId="7"/>
  </si>
  <si>
    <t>C2A</t>
    <phoneticPr fontId="7"/>
  </si>
  <si>
    <t>#MA.CALC_PTN_NM</t>
    <phoneticPr fontId="7"/>
  </si>
  <si>
    <t>del_flg</t>
    <phoneticPr fontId="7"/>
  </si>
  <si>
    <t>#MA.MFG_PURC_TYP</t>
    <phoneticPr fontId="7"/>
  </si>
  <si>
    <t>R</t>
    <phoneticPr fontId="7"/>
  </si>
  <si>
    <t>#MA.MFG_PURC_TYP_NM</t>
    <phoneticPr fontId="7"/>
  </si>
  <si>
    <t>#MA.EVAL_TYP</t>
    <phoneticPr fontId="7"/>
  </si>
  <si>
    <t>#MA.EVAL_TYP_NM</t>
    <phoneticPr fontId="7"/>
  </si>
  <si>
    <t>F</t>
    <phoneticPr fontId="7"/>
  </si>
  <si>
    <t>SNO3</t>
    <phoneticPr fontId="7"/>
  </si>
  <si>
    <t>SNO4</t>
    <phoneticPr fontId="7"/>
  </si>
  <si>
    <t>#MA.ACT_SET_TYP</t>
    <phoneticPr fontId="7"/>
  </si>
  <si>
    <t>#MA.ACT_SET_TYP_NM</t>
    <phoneticPr fontId="7"/>
  </si>
  <si>
    <t>#MA.EXP_SET_TYP</t>
    <phoneticPr fontId="7"/>
  </si>
  <si>
    <t>MA.MAUAP0010.ExpSetTyp</t>
    <phoneticPr fontId="7"/>
  </si>
  <si>
    <t>#MA.EXP_SET_TYP_NM</t>
    <phoneticPr fontId="7"/>
  </si>
  <si>
    <t>SNO1</t>
    <phoneticPr fontId="7"/>
  </si>
  <si>
    <t>#MA.LOSS_EVAL_TYP</t>
    <phoneticPr fontId="7"/>
  </si>
  <si>
    <t>#MA.LOSS_EVAL_TYP_NM</t>
    <phoneticPr fontId="7"/>
  </si>
  <si>
    <t>#MA.RND_TYP</t>
    <phoneticPr fontId="7"/>
  </si>
  <si>
    <t>MA.MAUAP0010.RndTyp</t>
    <phoneticPr fontId="7"/>
  </si>
  <si>
    <t>#MA.RND_TYP_NM</t>
    <phoneticPr fontId="7"/>
  </si>
  <si>
    <t>#MA.DEC_PLACE</t>
    <phoneticPr fontId="7"/>
  </si>
  <si>
    <t>MA.MAUAP0010.AdjTyp</t>
    <phoneticPr fontId="7"/>
  </si>
  <si>
    <t>#MA.BD_AGG_TYP_NM</t>
    <phoneticPr fontId="7"/>
  </si>
  <si>
    <t>#MA.EXPNS_CD</t>
    <phoneticPr fontId="7"/>
  </si>
  <si>
    <t>MAC_EXPNS_TYP.PROD</t>
    <phoneticPr fontId="7"/>
  </si>
  <si>
    <t>expns_typ</t>
    <phoneticPr fontId="7"/>
  </si>
  <si>
    <t>#MA.EXPNS_NM</t>
    <phoneticPr fontId="7"/>
  </si>
  <si>
    <t>#MA.EXP_ALLOC_TYP</t>
    <phoneticPr fontId="7"/>
  </si>
  <si>
    <t>MA.MAUAP0010.ExpAllocTyp</t>
    <phoneticPr fontId="7"/>
  </si>
  <si>
    <t>#MA.FCM_USR_NM</t>
    <phoneticPr fontId="7"/>
  </si>
  <si>
    <t>#MA.SRV_REQ_NO</t>
    <phoneticPr fontId="7"/>
  </si>
  <si>
    <t>F14</t>
    <phoneticPr fontId="7"/>
  </si>
  <si>
    <t>COPY_RECORD</t>
    <phoneticPr fontId="7"/>
  </si>
  <si>
    <t>MA.MAUAP0010.LocaleEntry</t>
    <phoneticPr fontId="7"/>
  </si>
  <si>
    <t>upd</t>
    <phoneticPr fontId="7"/>
  </si>
  <si>
    <t>MC</t>
    <phoneticPr fontId="7"/>
  </si>
  <si>
    <t>MABGP_CalcPtnReg</t>
    <phoneticPr fontId="7"/>
  </si>
  <si>
    <t>ALL</t>
    <phoneticPr fontId="7"/>
  </si>
  <si>
    <t>Logic.Ope.ID</t>
    <phoneticPr fontId="7"/>
  </si>
  <si>
    <t>000000</t>
    <phoneticPr fontId="7"/>
  </si>
  <si>
    <t>mst_set_typ_nm</t>
    <phoneticPr fontId="7"/>
  </si>
  <si>
    <t>Cnd</t>
    <phoneticPr fontId="7"/>
  </si>
  <si>
    <t>Dtl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</si>
  <si>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</si>
  <si>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</si>
  <si>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</si>
  <si>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</si>
  <si>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</si>
  <si>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SubModuleID :</t>
    <phoneticPr fontId="7"/>
  </si>
  <si>
    <t>MCLayoutKey :</t>
    <phoneticPr fontId="7"/>
  </si>
  <si>
    <t>Key</t>
    <phoneticPr fontId="7"/>
  </si>
  <si>
    <t>In</t>
    <phoneticPr fontId="7"/>
  </si>
  <si>
    <t>P</t>
    <phoneticPr fontId="7"/>
  </si>
  <si>
    <t>Pj.ID :</t>
    <phoneticPr fontId="7"/>
  </si>
  <si>
    <t xml:space="preserve">Size(w,h) : </t>
    <phoneticPr fontId="7"/>
  </si>
  <si>
    <t>SuperClassPj.ID :</t>
    <phoneticPr fontId="7"/>
  </si>
  <si>
    <t>ScreenName :</t>
    <phoneticPr fontId="7"/>
  </si>
  <si>
    <t>SuperScreenID :</t>
    <phoneticPr fontId="7"/>
  </si>
  <si>
    <t>MA.MAUDP1020</t>
    <phoneticPr fontId="7"/>
  </si>
  <si>
    <t>ScreenType :</t>
    <phoneticPr fontId="7"/>
  </si>
  <si>
    <t>概要：</t>
    <phoneticPr fontId="7"/>
  </si>
  <si>
    <t>K</t>
    <phoneticPr fontId="36"/>
  </si>
  <si>
    <t>M</t>
    <phoneticPr fontId="7"/>
  </si>
  <si>
    <t>UPD*</t>
    <phoneticPr fontId="7"/>
  </si>
  <si>
    <t>FIX</t>
    <phoneticPr fontId="7"/>
  </si>
  <si>
    <t>DEL</t>
    <phoneticPr fontId="7"/>
  </si>
  <si>
    <t>Version</t>
    <phoneticPr fontId="7"/>
  </si>
  <si>
    <t>N</t>
    <phoneticPr fontId="7"/>
  </si>
  <si>
    <t>S</t>
    <phoneticPr fontId="7"/>
  </si>
  <si>
    <t>NW</t>
    <phoneticPr fontId="7"/>
  </si>
  <si>
    <t>NE</t>
    <phoneticPr fontId="7"/>
  </si>
  <si>
    <t>CT+</t>
    <phoneticPr fontId="7"/>
  </si>
  <si>
    <t>ExpandAndContract=true</t>
    <phoneticPr fontId="36"/>
  </si>
  <si>
    <t>C</t>
    <phoneticPr fontId="7"/>
  </si>
  <si>
    <t>#MA.CALC_PTN_CD</t>
    <phoneticPr fontId="7"/>
  </si>
  <si>
    <t>MA.MAUAP0010.CalcPtn</t>
    <phoneticPr fontId="7"/>
  </si>
  <si>
    <t>FA</t>
    <phoneticPr fontId="7"/>
  </si>
  <si>
    <t>calc_ptn_nm_lcl</t>
    <phoneticPr fontId="7"/>
  </si>
  <si>
    <t>#MA.MST_MEMO1</t>
    <phoneticPr fontId="7"/>
  </si>
  <si>
    <t>#MA.MST_MEMO2</t>
    <phoneticPr fontId="7"/>
  </si>
  <si>
    <t>#MA.MST_MEMO3</t>
    <phoneticPr fontId="7"/>
  </si>
  <si>
    <t>#MA.FLG</t>
    <phoneticPr fontId="7"/>
  </si>
  <si>
    <t>NV</t>
    <phoneticPr fontId="7"/>
  </si>
  <si>
    <t>SC</t>
    <phoneticPr fontId="7"/>
  </si>
  <si>
    <t>FX.FXBAP0130</t>
    <phoneticPr fontId="7"/>
  </si>
  <si>
    <t>CBCT+</t>
    <phoneticPr fontId="7"/>
  </si>
  <si>
    <t>L</t>
    <phoneticPr fontId="7"/>
  </si>
  <si>
    <t>TBL</t>
    <phoneticPr fontId="7"/>
  </si>
  <si>
    <t>CBC</t>
    <phoneticPr fontId="7"/>
  </si>
  <si>
    <t>,230</t>
    <phoneticPr fontId="7"/>
  </si>
  <si>
    <t>Srch01_Rslt1</t>
    <phoneticPr fontId="7"/>
  </si>
  <si>
    <t>Upd01_Dtl1</t>
    <phoneticPr fontId="7"/>
  </si>
  <si>
    <t>Del01_Dtl1</t>
    <phoneticPr fontId="7"/>
  </si>
  <si>
    <t>MA.MAUAP0010.MfgPurcTyp</t>
    <phoneticPr fontId="7"/>
  </si>
  <si>
    <t>mfg_purc_typ_nm</t>
    <phoneticPr fontId="7"/>
  </si>
  <si>
    <t>MA.MAUAP0010.EvalTyp</t>
    <phoneticPr fontId="7"/>
  </si>
  <si>
    <t>eval_typ_nm</t>
    <phoneticPr fontId="7"/>
  </si>
  <si>
    <t>#MA.UNIT_CALC_TYP</t>
    <phoneticPr fontId="7"/>
  </si>
  <si>
    <t>MA.MAUAP0010.UnitCalcTyp</t>
    <phoneticPr fontId="7"/>
  </si>
  <si>
    <t>dpt_typ_nm</t>
    <phoneticPr fontId="7"/>
  </si>
  <si>
    <t>unit_calc_typ_nm</t>
    <phoneticPr fontId="7"/>
  </si>
  <si>
    <t>#MA.UNIT_CALC_TYP_NM</t>
    <phoneticPr fontId="7"/>
  </si>
  <si>
    <t>sno2_typ_nm</t>
    <phoneticPr fontId="7"/>
  </si>
  <si>
    <t>SNO2</t>
    <phoneticPr fontId="7"/>
  </si>
  <si>
    <t>sno3_typ_nm</t>
    <phoneticPr fontId="7"/>
  </si>
  <si>
    <t>sno4_typ_nm</t>
    <phoneticPr fontId="7"/>
  </si>
  <si>
    <t>MA.MAUAP0010.ActSetTyp</t>
    <phoneticPr fontId="7"/>
  </si>
  <si>
    <t>act_set_typ_nm</t>
    <phoneticPr fontId="7"/>
  </si>
  <si>
    <t>sno2_act_typ_nm</t>
    <phoneticPr fontId="7"/>
  </si>
  <si>
    <t>sno3_act_typ_nm</t>
    <phoneticPr fontId="7"/>
  </si>
  <si>
    <t>sno4_act_typ_nm</t>
    <phoneticPr fontId="7"/>
  </si>
  <si>
    <t>exp_set_typ_nm</t>
    <phoneticPr fontId="7"/>
  </si>
  <si>
    <t>sno2_exp_typ_nm</t>
    <phoneticPr fontId="7"/>
  </si>
  <si>
    <t>sno3_exp_typ_nm</t>
    <phoneticPr fontId="7"/>
  </si>
  <si>
    <t>sno4_exp_typ_nm</t>
    <phoneticPr fontId="7"/>
  </si>
  <si>
    <t>dpt_loss_eval_typ_nm</t>
    <phoneticPr fontId="7"/>
  </si>
  <si>
    <t>sno2_loss_eval_typ_nm</t>
    <phoneticPr fontId="7"/>
  </si>
  <si>
    <t>sno3_loss_eval_typ_nm</t>
    <phoneticPr fontId="7"/>
  </si>
  <si>
    <t>sno4_loss_eval_typ_nm</t>
    <phoneticPr fontId="7"/>
  </si>
  <si>
    <t>asst_loss_eval_typ_nm</t>
    <phoneticPr fontId="7"/>
  </si>
  <si>
    <t>rnd_typ_nm</t>
    <phoneticPr fontId="7"/>
  </si>
  <si>
    <t>ave_rnd_typ_nm</t>
    <phoneticPr fontId="7"/>
  </si>
  <si>
    <t>#MA.ADJ_TYP</t>
    <phoneticPr fontId="7"/>
  </si>
  <si>
    <t>adj_typ_nm</t>
    <phoneticPr fontId="7"/>
  </si>
  <si>
    <t>#MA.ADJ_TYP_NM</t>
    <phoneticPr fontId="7"/>
  </si>
  <si>
    <t>#MA.WIP_TYP</t>
    <phoneticPr fontId="7"/>
  </si>
  <si>
    <t>MA.MAUAP0010.WipTyp</t>
    <phoneticPr fontId="7"/>
  </si>
  <si>
    <t>wip_typ_nm</t>
    <phoneticPr fontId="7"/>
  </si>
  <si>
    <t>#MA.WIP_TYP_NM</t>
    <phoneticPr fontId="7"/>
  </si>
  <si>
    <t>#MA.BD_AGG_TYP</t>
    <phoneticPr fontId="7"/>
  </si>
  <si>
    <t>MA.MAUAP0010.BdAggTyp</t>
    <phoneticPr fontId="7"/>
  </si>
  <si>
    <t>bd_agg_typ_nm</t>
    <phoneticPr fontId="7"/>
  </si>
  <si>
    <t>mrgn_expns_nm</t>
    <phoneticPr fontId="7"/>
  </si>
  <si>
    <t>purc_expns_nm</t>
    <phoneticPr fontId="7"/>
  </si>
  <si>
    <t>out_expns_nm</t>
    <phoneticPr fontId="7"/>
  </si>
  <si>
    <t>inpt_expns_nm</t>
    <phoneticPr fontId="7"/>
  </si>
  <si>
    <t>ss_expns_nm</t>
    <phoneticPr fontId="7"/>
  </si>
  <si>
    <t>prov_expns_nm</t>
    <phoneticPr fontId="7"/>
  </si>
  <si>
    <t>MAC_EXPNS_TYP.SPPL</t>
    <phoneticPr fontId="7"/>
  </si>
  <si>
    <t>exp_alloc_typ_nm</t>
    <phoneticPr fontId="7"/>
  </si>
  <si>
    <t>#MA.EXP_ALLOC_TYP_NM</t>
    <phoneticPr fontId="7"/>
  </si>
  <si>
    <t>#MA.FCM_USR_ID</t>
    <phoneticPr fontId="7"/>
  </si>
  <si>
    <t>#MA.SYS_TS</t>
    <phoneticPr fontId="7"/>
  </si>
  <si>
    <t>#MA.FUNC_ID</t>
    <phoneticPr fontId="7"/>
  </si>
  <si>
    <t>#MA.FUNC_NM</t>
    <phoneticPr fontId="7"/>
  </si>
  <si>
    <t>#MA.UPD_CNT</t>
    <phoneticPr fontId="7"/>
  </si>
  <si>
    <t>no_border</t>
    <phoneticPr fontId="7"/>
  </si>
  <si>
    <t>B</t>
    <phoneticPr fontId="7"/>
  </si>
  <si>
    <t>F13</t>
    <phoneticPr fontId="7"/>
  </si>
  <si>
    <t>D</t>
    <phoneticPr fontId="7"/>
  </si>
  <si>
    <t>INSERT_RECORD</t>
    <phoneticPr fontId="7"/>
  </si>
  <si>
    <t>F5</t>
    <phoneticPr fontId="7"/>
  </si>
  <si>
    <t>DELETE_RECORD</t>
    <phoneticPr fontId="7"/>
  </si>
  <si>
    <t>F6</t>
    <phoneticPr fontId="7"/>
  </si>
  <si>
    <t>F17</t>
    <phoneticPr fontId="7"/>
  </si>
  <si>
    <t>#MA.LCL_NM</t>
    <phoneticPr fontId="7"/>
  </si>
  <si>
    <t>$</t>
    <phoneticPr fontId="7"/>
  </si>
  <si>
    <t>Srch01_Rslt2</t>
    <phoneticPr fontId="7"/>
  </si>
  <si>
    <t>Upd01_Dtl2</t>
    <phoneticPr fontId="7"/>
  </si>
  <si>
    <t>F18</t>
    <phoneticPr fontId="7"/>
  </si>
  <si>
    <t>SW</t>
    <phoneticPr fontId="7"/>
  </si>
  <si>
    <t>open</t>
    <phoneticPr fontId="7"/>
  </si>
  <si>
    <t>AB</t>
    <phoneticPr fontId="7"/>
  </si>
  <si>
    <t>MA.MABGL0100.Upd01</t>
    <phoneticPr fontId="7"/>
  </si>
  <si>
    <t>F9</t>
    <phoneticPr fontId="7"/>
  </si>
  <si>
    <t>del</t>
    <phoneticPr fontId="7"/>
  </si>
  <si>
    <t>MA.MABGL0100.Del01</t>
    <phoneticPr fontId="7"/>
  </si>
  <si>
    <t>F12</t>
    <phoneticPr fontId="7"/>
  </si>
  <si>
    <t>SE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</si>
  <si>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</si>
  <si>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</si>
  <si>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</si>
  <si>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</si>
  <si>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</si>
  <si>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IME</t>
    <phoneticPr fontId="36"/>
  </si>
  <si>
    <t>Method/Target</t>
    <phoneticPr fontId="7"/>
  </si>
  <si>
    <t>Out</t>
    <phoneticPr fontId="7"/>
  </si>
  <si>
    <t>itm_mfg_inst_no_set_typ</t>
    <phoneticPr fontId="7"/>
  </si>
  <si>
    <t>品目製造指図ＮＯ設定区分</t>
    <rPh sb="0" eb="2">
      <t>ヒンモク</t>
    </rPh>
    <rPh sb="2" eb="4">
      <t>セイゾウ</t>
    </rPh>
    <rPh sb="4" eb="6">
      <t>サシズ</t>
    </rPh>
    <rPh sb="8" eb="10">
      <t>セッテイ</t>
    </rPh>
    <rPh sb="10" eb="12">
      <t>クブン</t>
    </rPh>
    <phoneticPr fontId="7"/>
  </si>
  <si>
    <t>#MA.ITM_MFG_INST_NO_SET_TYP</t>
    <phoneticPr fontId="7"/>
  </si>
  <si>
    <t>MA.MAUAP0010.ItmMfgInstNoSetTyp</t>
    <phoneticPr fontId="7"/>
  </si>
  <si>
    <t>itm_mfg_inst_no_set_typ_nm</t>
    <phoneticPr fontId="7"/>
  </si>
  <si>
    <t>品目製造指図ＮＯ設定区分名</t>
    <rPh sb="0" eb="2">
      <t>ヒンモク</t>
    </rPh>
    <rPh sb="2" eb="4">
      <t>セイゾウ</t>
    </rPh>
    <rPh sb="4" eb="6">
      <t>サシズ</t>
    </rPh>
    <rPh sb="8" eb="10">
      <t>セッテイ</t>
    </rPh>
    <rPh sb="10" eb="12">
      <t>クブン</t>
    </rPh>
    <rPh sb="12" eb="13">
      <t>メイ</t>
    </rPh>
    <phoneticPr fontId="7"/>
  </si>
  <si>
    <t>#MA.ITM_MFG_INST_NO_SET_TYP_NM</t>
    <phoneticPr fontId="7"/>
  </si>
  <si>
    <t>mfg_act_no_set_typ</t>
    <phoneticPr fontId="7"/>
  </si>
  <si>
    <t>製造実績ＮＯ設定区分</t>
    <rPh sb="0" eb="2">
      <t>セイゾウ</t>
    </rPh>
    <rPh sb="2" eb="4">
      <t>ジッセキ</t>
    </rPh>
    <rPh sb="6" eb="8">
      <t>セッテイ</t>
    </rPh>
    <rPh sb="8" eb="10">
      <t>クブン</t>
    </rPh>
    <phoneticPr fontId="7"/>
  </si>
  <si>
    <t>#MA.MFG_ACT_NO_SET_TYP</t>
    <phoneticPr fontId="7"/>
  </si>
  <si>
    <t>MA.MAUAP0010.MfgActNoSetTyp</t>
    <phoneticPr fontId="7"/>
  </si>
  <si>
    <t>mfg_act_no_set_typ_nm</t>
    <phoneticPr fontId="7"/>
  </si>
  <si>
    <t>製造実績ＮＯ設定区分名</t>
    <rPh sb="0" eb="2">
      <t>セイゾウ</t>
    </rPh>
    <rPh sb="2" eb="4">
      <t>ジッセキ</t>
    </rPh>
    <rPh sb="6" eb="8">
      <t>セッテイ</t>
    </rPh>
    <rPh sb="8" eb="10">
      <t>クブン</t>
    </rPh>
    <rPh sb="10" eb="11">
      <t>メイ</t>
    </rPh>
    <phoneticPr fontId="7"/>
  </si>
  <si>
    <t>#MA.MFG_ACT_NO_SET_TYP_NM</t>
    <phoneticPr fontId="7"/>
  </si>
  <si>
    <t>oper_act_no_set_typ</t>
    <phoneticPr fontId="7"/>
  </si>
  <si>
    <t>工程実績ＮＯ設定区分</t>
    <rPh sb="0" eb="2">
      <t>コウテイ</t>
    </rPh>
    <rPh sb="2" eb="4">
      <t>ジッセキ</t>
    </rPh>
    <rPh sb="6" eb="8">
      <t>セッテイ</t>
    </rPh>
    <rPh sb="8" eb="10">
      <t>クブン</t>
    </rPh>
    <phoneticPr fontId="7"/>
  </si>
  <si>
    <t>#MA.OPER_ACT_NO_SET_TYP</t>
    <phoneticPr fontId="7"/>
  </si>
  <si>
    <t>MA.MAUAP0010.OperActNoSetTyp</t>
    <phoneticPr fontId="7"/>
  </si>
  <si>
    <t>oper_act_no_set_typ_nm</t>
    <phoneticPr fontId="7"/>
  </si>
  <si>
    <t>oper_act_no_set_typ_nm</t>
    <phoneticPr fontId="7"/>
  </si>
  <si>
    <t>工程実績ＮＯ設定区分名</t>
    <rPh sb="0" eb="2">
      <t>コウテイ</t>
    </rPh>
    <rPh sb="2" eb="4">
      <t>ジッセキ</t>
    </rPh>
    <rPh sb="6" eb="8">
      <t>セッテイ</t>
    </rPh>
    <rPh sb="8" eb="10">
      <t>クブン</t>
    </rPh>
    <rPh sb="10" eb="11">
      <t>メイ</t>
    </rPh>
    <phoneticPr fontId="7"/>
  </si>
  <si>
    <t>#MA.OPER_ACT_NO_SET_TYP_NM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</si>
  <si>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</si>
  <si>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</si>
  <si>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</si>
  <si>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</si>
  <si>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</si>
  <si>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</si>
  <si>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</si>
  <si>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</si>
  <si>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</si>
  <si>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</si>
  <si>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</si>
  <si>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</si>
  <si>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</si>
  <si>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</si>
  <si>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</si>
  <si>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</si>
  <si>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</si>
  <si>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</si>
  <si>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</si>
  <si>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</si>
  <si>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</si>
  <si>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</si>
  <si>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</si>
  <si>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</si>
  <si>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Management</t>
  </si>
  <si>
    <t>Search</t>
  </si>
  <si>
    <t>UPD,Create/Modify,0;DEL,Delete (Administrator),1;REF,View,3</t>
  </si>
  <si>
    <t>Calculation pattern cd.</t>
  </si>
  <si>
    <t>Calculation pattern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</si>
  <si>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</si>
  <si>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</si>
  <si>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</si>
  <si>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</si>
  <si>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</si>
  <si>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</si>
  <si>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</si>
  <si>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calculation pattern name</t>
  </si>
  <si>
    <t>Mfg. purchase type</t>
  </si>
  <si>
    <t>Mfg. purchase type name</t>
  </si>
  <si>
    <t>Amount evaluation type</t>
  </si>
  <si>
    <t>Amount evaluation type name</t>
  </si>
  <si>
    <t>Dept. calculation type</t>
  </si>
  <si>
    <t>Dept. calculation type name</t>
  </si>
  <si>
    <t>Lot No. calculation type</t>
  </si>
  <si>
    <t>Lot No. calculation type name</t>
  </si>
  <si>
    <t>Sublot No. calculation type</t>
  </si>
  <si>
    <t>Sublot No. calculation type name</t>
  </si>
  <si>
    <t>SEIBAN No. 1 calculation type</t>
  </si>
  <si>
    <t>SEIBAN No. 1 calculation type name</t>
  </si>
  <si>
    <t>SEIBAN No. 2 calculation type</t>
  </si>
  <si>
    <t>SEIBAN No. 2 calculation type name</t>
  </si>
  <si>
    <t>SEIBAN No. 3 calculation type</t>
  </si>
  <si>
    <t>SEIBAN No. 3 calculation type name</t>
  </si>
  <si>
    <t>SEIBAN No. 4 calculation type</t>
  </si>
  <si>
    <t>SEIBAN No. 4 calculation type name</t>
  </si>
  <si>
    <t>Lot No. result type</t>
  </si>
  <si>
    <t>Lot No. result type name</t>
  </si>
  <si>
    <t>Sublot No. result type</t>
  </si>
  <si>
    <t>Sublot No. result type name</t>
  </si>
  <si>
    <t>SEIBAN No. 1 result type</t>
  </si>
  <si>
    <t>SEIBAN No. 1 result type name</t>
  </si>
  <si>
    <t>SEIBAN No. 2 result type</t>
  </si>
  <si>
    <t>SEIBAN No. 2 result type name</t>
  </si>
  <si>
    <t>SEIBAN No. 3 result type</t>
  </si>
  <si>
    <t>SEIBAN No. 3 result type name</t>
  </si>
  <si>
    <t>SEIBAN No. 4 result type</t>
  </si>
  <si>
    <t>SEIBAN No. 4 result type name</t>
  </si>
  <si>
    <t>Item mfg. order No. setting type</t>
  </si>
  <si>
    <t>Item mfg. order No. setting type name</t>
  </si>
  <si>
    <t>Mfg. result No. setting type</t>
  </si>
  <si>
    <t>Mfg. result No. setting type name</t>
  </si>
  <si>
    <t>Operation result No. setting type</t>
  </si>
  <si>
    <t>Operation result No. setting type name</t>
  </si>
  <si>
    <t>Lot No. explosion type</t>
  </si>
  <si>
    <t>Lot No. explosion type name</t>
  </si>
  <si>
    <t>Sublot No. explosion type</t>
  </si>
  <si>
    <t>Sublot No. explosion type name</t>
  </si>
  <si>
    <t>SEIBAN No. 1 explosion type</t>
  </si>
  <si>
    <t>SEIBAN No. 1 explosion type name</t>
  </si>
  <si>
    <t>SEIBAN No. 2 explosion type</t>
  </si>
  <si>
    <t>SEIBAN No. 2 explosion type name</t>
  </si>
  <si>
    <t>SEIBAN No. 3 explosion type</t>
  </si>
  <si>
    <t>SEIBAN No. 3 explosion type name</t>
  </si>
  <si>
    <t>SEIBAN No. 4 explosion type</t>
  </si>
  <si>
    <t>SEIBAN No. 4 explosion type name</t>
  </si>
  <si>
    <t>Management dept. evaluation type</t>
  </si>
  <si>
    <t>Management dept. evaluation type name</t>
  </si>
  <si>
    <t>Lot No. evaluation type</t>
  </si>
  <si>
    <t>Lot No. evaluation type name</t>
  </si>
  <si>
    <t>Sublot No. revaluation type</t>
  </si>
  <si>
    <t>Sublot No. evaluation type name</t>
  </si>
  <si>
    <t>SEIBAN No. 1 evaluation type</t>
  </si>
  <si>
    <t>SEIBAN No. 1 evaluation type name</t>
  </si>
  <si>
    <t>SEIBAN No. 2 evaluation type</t>
  </si>
  <si>
    <t>SEIBAN No. 2 evaluation type name</t>
  </si>
  <si>
    <t>SEIBAN No. 3 evaluation type</t>
  </si>
  <si>
    <t>SEIBAN No. 3 evaluation type name</t>
  </si>
  <si>
    <t>SEIBAN No. 4 evaluation type</t>
  </si>
  <si>
    <t>SEIBAN No. 4 evaluation type name</t>
  </si>
  <si>
    <t>Asset type evaluation type</t>
  </si>
  <si>
    <t>Asset type evaluation type name</t>
  </si>
  <si>
    <t>Rounding type (Standard)</t>
  </si>
  <si>
    <t>Rounding type name (Standard)</t>
  </si>
  <si>
    <t>Standard number of decimal places</t>
  </si>
  <si>
    <t>Rounding type (Unit price)</t>
  </si>
  <si>
    <t>Rounding type name (Unit price)</t>
  </si>
  <si>
    <t>Unit price number of decimal places</t>
  </si>
  <si>
    <t>Fraction adjustment type</t>
  </si>
  <si>
    <t>Fraction adjustment type name</t>
  </si>
  <si>
    <t>WIP type</t>
  </si>
  <si>
    <t>WIP type name</t>
  </si>
  <si>
    <t>Breakdown aggregated type</t>
  </si>
  <si>
    <t>Aggregated breakdown type name</t>
  </si>
  <si>
    <t>Adjustment cost element cd.</t>
  </si>
  <si>
    <t>Adjustment cost element name</t>
  </si>
  <si>
    <t>Purchase cost element item cd.</t>
  </si>
  <si>
    <t>Purchase cost element name</t>
  </si>
  <si>
    <t>Subcontract cost element cd.</t>
  </si>
  <si>
    <t>Subcontract cost element name</t>
  </si>
  <si>
    <t>Input cost element cd.</t>
  </si>
  <si>
    <t>Input cost element name</t>
  </si>
  <si>
    <t>Self supply cost element cd.</t>
  </si>
  <si>
    <t>Self supply cost element name</t>
  </si>
  <si>
    <t>Cost element cd. for gain or loss of chargeable item</t>
  </si>
  <si>
    <t>Gain or loss of chargeable supply cost element name</t>
  </si>
  <si>
    <t>Explosion allocation type</t>
  </si>
  <si>
    <t>Explosion allocation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</si>
  <si>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</si>
  <si>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</si>
  <si>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</si>
  <si>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</si>
  <si>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</si>
  <si>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</si>
  <si>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</si>
  <si>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</si>
  <si>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</si>
  <si>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</si>
  <si>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</si>
  <si>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</si>
  <si>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</si>
  <si>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</si>
  <si>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</si>
  <si>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</si>
  <si>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</si>
  <si>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</si>
  <si>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</si>
  <si>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</si>
  <si>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</si>
  <si>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</si>
  <si>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Calculation group pattern master entry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</si>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</sst>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88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top" wrapText="1"/>
    </xf>
    <xf numFmtId="0" fontId="37" fillId="0" borderId="0"/>
    <xf numFmtId="0" fontId="34" fillId="0" borderId="0"/>
    <xf numFmtId="0" fontId="37" fillId="0" borderId="0"/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0" borderId="0"/>
    <xf numFmtId="0" fontId="12" fillId="3" borderId="0" applyNumberFormat="0" applyBorder="0" applyAlignment="0" applyProtection="0">
      <alignment vertical="center"/>
    </xf>
    <xf numFmtId="0" fontId="41" fillId="28" borderId="7" applyNumberFormat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7" fillId="0" borderId="0"/>
    <xf numFmtId="0" fontId="5" fillId="0" borderId="0">
      <alignment vertical="center"/>
    </xf>
    <xf numFmtId="0" fontId="34" fillId="0" borderId="0"/>
    <xf numFmtId="0" fontId="37" fillId="0" borderId="0"/>
    <xf numFmtId="0" fontId="4" fillId="0" borderId="0">
      <alignment vertical="center"/>
    </xf>
    <xf numFmtId="0" fontId="8" fillId="0" borderId="0">
      <alignment vertical="top" wrapText="1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1" fillId="28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7" fillId="29" borderId="0" applyNumberFormat="0" applyBorder="0" applyAlignment="0" applyProtection="0"/>
    <xf numFmtId="10" fontId="47" fillId="30" borderId="15" applyNumberFormat="0" applyBorder="0" applyAlignment="0" applyProtection="0"/>
    <xf numFmtId="178" fontId="48" fillId="0" borderId="0"/>
    <xf numFmtId="10" fontId="22" fillId="0" borderId="0" applyFont="0" applyFill="0" applyBorder="0" applyAlignment="0" applyProtection="0"/>
    <xf numFmtId="0" fontId="8" fillId="0" borderId="0"/>
    <xf numFmtId="0" fontId="8" fillId="0" borderId="0" applyNumberFormat="0"/>
    <xf numFmtId="0" fontId="45" fillId="0" borderId="0" applyBorder="0" applyAlignment="0"/>
    <xf numFmtId="0" fontId="28" fillId="0" borderId="0"/>
    <xf numFmtId="0" fontId="8" fillId="0" borderId="0">
      <alignment vertical="top"/>
    </xf>
    <xf numFmtId="0" fontId="8" fillId="0" borderId="0">
      <alignment vertical="top"/>
    </xf>
    <xf numFmtId="0" fontId="49" fillId="0" borderId="0">
      <alignment vertical="center"/>
    </xf>
    <xf numFmtId="0" fontId="8" fillId="0" borderId="0" applyNumberFormat="0"/>
    <xf numFmtId="0" fontId="45" fillId="0" borderId="0">
      <alignment vertical="center"/>
    </xf>
    <xf numFmtId="0" fontId="8" fillId="0" borderId="0" applyNumberFormat="0"/>
    <xf numFmtId="0" fontId="8" fillId="0" borderId="0">
      <alignment vertical="top"/>
    </xf>
    <xf numFmtId="0" fontId="8" fillId="0" borderId="0">
      <alignment vertical="top"/>
    </xf>
    <xf numFmtId="38" fontId="28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37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49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8" fillId="0" borderId="0">
      <alignment vertical="top" wrapText="1"/>
    </xf>
    <xf numFmtId="0" fontId="6" fillId="0" borderId="0"/>
    <xf numFmtId="0" fontId="34" fillId="0" borderId="0"/>
    <xf numFmtId="0" fontId="49" fillId="0" borderId="0">
      <alignment vertical="center"/>
    </xf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38" fontId="2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0" fillId="0" borderId="0">
      <alignment vertical="center"/>
    </xf>
    <xf numFmtId="0" fontId="37" fillId="0" borderId="0"/>
    <xf numFmtId="0" fontId="37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37" fillId="0" borderId="0"/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7">
    <xf numFmtId="0" fontId="0" fillId="0" borderId="0" xfId="0">
      <alignment vertical="top" wrapText="1"/>
    </xf>
    <xf numFmtId="0" fontId="52" fillId="0" borderId="0" xfId="0" applyFont="1">
      <alignment vertical="top" wrapText="1"/>
    </xf>
    <xf numFmtId="0" fontId="52" fillId="18" borderId="18" xfId="0" applyFont="1" applyFill="1" applyBorder="1" applyAlignment="1">
      <alignment vertical="top"/>
    </xf>
    <xf numFmtId="0" fontId="52" fillId="18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2" fillId="0" borderId="15" xfId="0" applyFont="1" applyBorder="1" applyAlignment="1">
      <alignment vertical="top"/>
    </xf>
    <xf numFmtId="0" fontId="52" fillId="0" borderId="21" xfId="0" applyFont="1" applyBorder="1" applyAlignment="1">
      <alignment vertical="top"/>
    </xf>
    <xf numFmtId="0" fontId="52" fillId="0" borderId="14" xfId="0" applyFont="1" applyBorder="1" applyAlignment="1">
      <alignment vertical="top"/>
    </xf>
    <xf numFmtId="0" fontId="52" fillId="0" borderId="17" xfId="0" applyFont="1" applyBorder="1" applyAlignment="1">
      <alignment vertical="top"/>
    </xf>
    <xf numFmtId="0" fontId="52" fillId="0" borderId="13" xfId="0" applyFont="1" applyBorder="1" applyAlignment="1">
      <alignment vertical="top"/>
    </xf>
    <xf numFmtId="0" fontId="52" fillId="0" borderId="46" xfId="0" applyFont="1" applyBorder="1">
      <alignment vertical="top" wrapText="1"/>
    </xf>
    <xf numFmtId="0" fontId="52" fillId="0" borderId="19" xfId="0" applyFont="1" applyBorder="1">
      <alignment vertical="top" wrapText="1"/>
    </xf>
    <xf numFmtId="0" fontId="52" fillId="0" borderId="19" xfId="0" applyFont="1" applyBorder="1" applyAlignment="1">
      <alignment vertical="top"/>
    </xf>
    <xf numFmtId="0" fontId="55" fillId="0" borderId="0" xfId="138" applyFont="1"/>
    <xf numFmtId="0" fontId="55" fillId="0" borderId="0" xfId="138" applyFont="1" applyAlignment="1">
      <alignment horizontal="center" vertical="center"/>
    </xf>
    <xf numFmtId="0" fontId="55" fillId="0" borderId="0" xfId="138" applyFont="1" applyAlignment="1">
      <alignment horizontal="center"/>
    </xf>
    <xf numFmtId="0" fontId="55" fillId="0" borderId="0" xfId="139" applyFont="1"/>
    <xf numFmtId="0" fontId="55" fillId="0" borderId="0" xfId="139" applyFont="1" applyAlignment="1">
      <alignment horizontal="center"/>
    </xf>
    <xf numFmtId="0" fontId="52" fillId="18" borderId="49" xfId="0" applyFont="1" applyFill="1" applyBorder="1" applyAlignment="1">
      <alignment vertical="top"/>
    </xf>
    <xf numFmtId="0" fontId="52" fillId="18" borderId="50" xfId="0" applyFont="1" applyFill="1" applyBorder="1" applyAlignment="1">
      <alignment vertical="top"/>
    </xf>
    <xf numFmtId="0" fontId="52" fillId="19" borderId="49" xfId="0" applyFont="1" applyFill="1" applyBorder="1" applyAlignment="1">
      <alignment vertical="top"/>
    </xf>
    <xf numFmtId="0" fontId="52" fillId="0" borderId="51" xfId="0" applyFont="1" applyBorder="1" applyAlignment="1">
      <alignment vertical="top"/>
    </xf>
    <xf numFmtId="0" fontId="52" fillId="18" borderId="49" xfId="0" applyFont="1" applyFill="1" applyBorder="1">
      <alignment vertical="top" wrapText="1"/>
    </xf>
    <xf numFmtId="0" fontId="52" fillId="0" borderId="51" xfId="0" applyFont="1" applyBorder="1">
      <alignment vertical="top" wrapText="1"/>
    </xf>
    <xf numFmtId="0" fontId="52" fillId="0" borderId="53" xfId="0" applyFont="1" applyBorder="1" applyAlignment="1">
      <alignment vertical="top"/>
    </xf>
    <xf numFmtId="0" fontId="52" fillId="18" borderId="54" xfId="0" applyFont="1" applyFill="1" applyBorder="1" applyAlignment="1">
      <alignment vertical="top"/>
    </xf>
    <xf numFmtId="0" fontId="52" fillId="18" borderId="55" xfId="0" applyFont="1" applyFill="1" applyBorder="1" applyAlignment="1">
      <alignment vertical="top"/>
    </xf>
    <xf numFmtId="0" fontId="52" fillId="0" borderId="56" xfId="0" applyFont="1" applyBorder="1">
      <alignment vertical="top" wrapText="1"/>
    </xf>
    <xf numFmtId="0" fontId="52" fillId="19" borderId="54" xfId="0" applyFont="1" applyFill="1" applyBorder="1" applyAlignment="1">
      <alignment vertical="top"/>
    </xf>
    <xf numFmtId="0" fontId="52" fillId="0" borderId="56" xfId="0" applyFont="1" applyBorder="1" applyAlignment="1">
      <alignment vertical="top"/>
    </xf>
    <xf numFmtId="0" fontId="52" fillId="0" borderId="57" xfId="0" applyFont="1" applyBorder="1">
      <alignment vertical="top" wrapText="1"/>
    </xf>
    <xf numFmtId="0" fontId="52" fillId="19" borderId="49" xfId="0" applyFont="1" applyFill="1" applyBorder="1">
      <alignment vertical="top" wrapText="1"/>
    </xf>
    <xf numFmtId="0" fontId="52" fillId="18" borderId="51" xfId="0" applyFont="1" applyFill="1" applyBorder="1">
      <alignment vertical="top" wrapText="1"/>
    </xf>
    <xf numFmtId="0" fontId="52" fillId="18" borderId="13" xfId="0" applyFont="1" applyFill="1" applyBorder="1">
      <alignment vertical="top" wrapText="1"/>
    </xf>
    <xf numFmtId="0" fontId="52" fillId="18" borderId="14" xfId="0" applyFont="1" applyFill="1" applyBorder="1">
      <alignment vertical="top" wrapText="1"/>
    </xf>
    <xf numFmtId="0" fontId="52" fillId="0" borderId="47" xfId="0" applyFont="1" applyBorder="1">
      <alignment vertical="top" wrapText="1"/>
    </xf>
    <xf numFmtId="0" fontId="52" fillId="0" borderId="49" xfId="0" applyFont="1" applyBorder="1">
      <alignment vertical="top" wrapText="1"/>
    </xf>
    <xf numFmtId="0" fontId="52" fillId="0" borderId="50" xfId="0" applyFont="1" applyBorder="1">
      <alignment vertical="top" wrapText="1"/>
    </xf>
    <xf numFmtId="3" fontId="52" fillId="18" borderId="49" xfId="0" applyNumberFormat="1" applyFont="1" applyFill="1" applyBorder="1">
      <alignment vertical="top" wrapText="1"/>
    </xf>
    <xf numFmtId="0" fontId="52" fillId="0" borderId="13" xfId="0" applyFont="1" applyBorder="1">
      <alignment vertical="top" wrapText="1"/>
    </xf>
    <xf numFmtId="0" fontId="52" fillId="0" borderId="14" xfId="0" applyFont="1" applyBorder="1">
      <alignment vertical="top" wrapText="1"/>
    </xf>
    <xf numFmtId="0" fontId="52" fillId="18" borderId="18" xfId="0" applyFont="1" applyFill="1" applyBorder="1">
      <alignment vertical="top" wrapText="1"/>
    </xf>
    <xf numFmtId="0" fontId="52" fillId="18" borderId="0" xfId="0" applyFont="1" applyFill="1">
      <alignment vertical="top" wrapText="1"/>
    </xf>
    <xf numFmtId="0" fontId="52" fillId="0" borderId="18" xfId="0" applyFont="1" applyBorder="1">
      <alignment vertical="top" wrapText="1"/>
    </xf>
    <xf numFmtId="0" fontId="52" fillId="18" borderId="20" xfId="0" applyFont="1" applyFill="1" applyBorder="1">
      <alignment vertical="top" wrapText="1"/>
    </xf>
    <xf numFmtId="0" fontId="52" fillId="0" borderId="48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52" xfId="0" applyFont="1" applyBorder="1">
      <alignment vertical="top" wrapText="1"/>
    </xf>
    <xf numFmtId="0" fontId="52" fillId="0" borderId="16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18" borderId="54" xfId="0" applyFont="1" applyFill="1" applyBorder="1">
      <alignment vertical="top" wrapText="1"/>
    </xf>
    <xf numFmtId="0" fontId="52" fillId="0" borderId="17" xfId="0" applyFont="1" applyBorder="1">
      <alignment vertical="top" wrapText="1"/>
    </xf>
    <xf numFmtId="0" fontId="52" fillId="0" borderId="15" xfId="0" applyFont="1" applyBorder="1">
      <alignment vertical="top" wrapText="1"/>
    </xf>
    <xf numFmtId="0" fontId="53" fillId="19" borderId="27" xfId="138" applyFont="1" applyFill="1" applyBorder="1" applyAlignment="1">
      <alignment horizontal="center" vertical="center"/>
    </xf>
    <xf numFmtId="0" fontId="54" fillId="0" borderId="3" xfId="137" applyFont="1" applyBorder="1" applyAlignment="1">
      <alignment vertical="center"/>
    </xf>
    <xf numFmtId="0" fontId="54" fillId="0" borderId="28" xfId="137" applyFont="1" applyBorder="1" applyAlignment="1">
      <alignment vertical="center"/>
    </xf>
    <xf numFmtId="0" fontId="55" fillId="19" borderId="29" xfId="139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30" xfId="137" applyFont="1" applyBorder="1" applyAlignment="1">
      <alignment horizontal="center" vertical="center"/>
    </xf>
    <xf numFmtId="0" fontId="55" fillId="19" borderId="1" xfId="139" applyFont="1" applyFill="1" applyBorder="1" applyAlignment="1">
      <alignment horizontal="center" vertical="center"/>
    </xf>
    <xf numFmtId="0" fontId="55" fillId="19" borderId="30" xfId="139" applyFont="1" applyFill="1" applyBorder="1" applyAlignment="1">
      <alignment horizontal="center" vertical="center"/>
    </xf>
    <xf numFmtId="0" fontId="55" fillId="19" borderId="29" xfId="137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1" xfId="137" applyFont="1" applyBorder="1" applyAlignment="1">
      <alignment horizontal="center" vertical="center"/>
    </xf>
    <xf numFmtId="176" fontId="54" fillId="0" borderId="23" xfId="139" applyNumberFormat="1" applyFont="1" applyBorder="1" applyAlignment="1">
      <alignment horizontal="center" vertical="center"/>
    </xf>
    <xf numFmtId="176" fontId="54" fillId="0" borderId="46" xfId="137" applyNumberFormat="1" applyFont="1" applyBorder="1" applyAlignment="1">
      <alignment horizontal="center" vertical="center"/>
    </xf>
    <xf numFmtId="176" fontId="54" fillId="0" borderId="50" xfId="137" applyNumberFormat="1" applyFont="1" applyBorder="1" applyAlignment="1">
      <alignment horizontal="center" vertical="center"/>
    </xf>
    <xf numFmtId="0" fontId="54" fillId="0" borderId="32" xfId="139" applyFont="1" applyBorder="1" applyAlignment="1">
      <alignment horizontal="left" vertical="center" wrapText="1"/>
    </xf>
    <xf numFmtId="0" fontId="54" fillId="0" borderId="25" xfId="137" applyFont="1" applyBorder="1" applyAlignment="1">
      <alignment horizontal="left" vertical="center" wrapText="1"/>
    </xf>
    <xf numFmtId="0" fontId="54" fillId="0" borderId="26" xfId="137" applyFont="1" applyBorder="1" applyAlignment="1">
      <alignment horizontal="left" vertical="center" wrapText="1"/>
    </xf>
    <xf numFmtId="0" fontId="54" fillId="0" borderId="16" xfId="139" applyFont="1" applyBorder="1" applyAlignment="1">
      <alignment horizontal="left" vertical="center" wrapText="1"/>
    </xf>
    <xf numFmtId="0" fontId="54" fillId="0" borderId="46" xfId="137" applyFont="1" applyBorder="1" applyAlignment="1">
      <alignment horizontal="left" vertical="center" wrapText="1"/>
    </xf>
    <xf numFmtId="0" fontId="54" fillId="0" borderId="50" xfId="137" applyFont="1" applyBorder="1" applyAlignment="1">
      <alignment horizontal="left" vertical="center" wrapText="1"/>
    </xf>
    <xf numFmtId="176" fontId="54" fillId="0" borderId="24" xfId="139" applyNumberFormat="1" applyFont="1" applyBorder="1" applyAlignment="1">
      <alignment horizontal="center" vertical="center"/>
    </xf>
    <xf numFmtId="176" fontId="54" fillId="0" borderId="25" xfId="137" applyNumberFormat="1" applyFont="1" applyBorder="1" applyAlignment="1">
      <alignment horizontal="center" vertical="center"/>
    </xf>
    <xf numFmtId="176" fontId="54" fillId="0" borderId="26" xfId="137" applyNumberFormat="1" applyFont="1" applyBorder="1" applyAlignment="1">
      <alignment horizontal="center" vertical="center"/>
    </xf>
    <xf numFmtId="0" fontId="54" fillId="0" borderId="25" xfId="137" applyFont="1" applyBorder="1" applyAlignment="1">
      <alignment vertical="center" wrapText="1"/>
    </xf>
    <xf numFmtId="0" fontId="54" fillId="0" borderId="26" xfId="137" applyFont="1" applyBorder="1" applyAlignment="1">
      <alignment vertical="center" wrapText="1"/>
    </xf>
    <xf numFmtId="0" fontId="54" fillId="0" borderId="32" xfId="139" applyFont="1" applyBorder="1" applyAlignment="1">
      <alignment vertical="center" wrapText="1"/>
    </xf>
    <xf numFmtId="0" fontId="54" fillId="0" borderId="33" xfId="137" applyFont="1" applyBorder="1" applyAlignment="1">
      <alignment vertical="center" wrapText="1"/>
    </xf>
    <xf numFmtId="0" fontId="54" fillId="0" borderId="46" xfId="137" applyFont="1" applyBorder="1" applyAlignment="1">
      <alignment vertical="center" wrapText="1"/>
    </xf>
    <xf numFmtId="0" fontId="54" fillId="0" borderId="50" xfId="137" applyFont="1" applyBorder="1" applyAlignment="1">
      <alignment vertical="center" wrapText="1"/>
    </xf>
    <xf numFmtId="0" fontId="54" fillId="0" borderId="16" xfId="139" applyFont="1" applyBorder="1" applyAlignment="1">
      <alignment vertical="center" wrapText="1"/>
    </xf>
    <xf numFmtId="0" fontId="54" fillId="0" borderId="34" xfId="137" applyFont="1" applyBorder="1" applyAlignment="1">
      <alignment vertical="center" wrapText="1"/>
    </xf>
    <xf numFmtId="0" fontId="54" fillId="0" borderId="35" xfId="139" applyFont="1" applyBorder="1" applyAlignment="1">
      <alignment horizontal="left" vertical="center" wrapText="1"/>
    </xf>
    <xf numFmtId="0" fontId="54" fillId="0" borderId="36" xfId="137" applyFont="1" applyBorder="1" applyAlignment="1">
      <alignment horizontal="left" vertical="center" wrapText="1"/>
    </xf>
    <xf numFmtId="0" fontId="54" fillId="0" borderId="37" xfId="137" applyFont="1" applyBorder="1" applyAlignment="1">
      <alignment horizontal="left" vertical="center" wrapText="1"/>
    </xf>
    <xf numFmtId="0" fontId="54" fillId="0" borderId="36" xfId="137" applyFont="1" applyBorder="1" applyAlignment="1">
      <alignment vertical="center" wrapText="1"/>
    </xf>
    <xf numFmtId="0" fontId="54" fillId="0" borderId="37" xfId="137" applyFont="1" applyBorder="1" applyAlignment="1">
      <alignment vertical="center" wrapText="1"/>
    </xf>
    <xf numFmtId="0" fontId="54" fillId="0" borderId="35" xfId="139" applyFont="1" applyBorder="1" applyAlignment="1">
      <alignment vertical="center" wrapText="1"/>
    </xf>
    <xf numFmtId="0" fontId="54" fillId="0" borderId="38" xfId="137" applyFont="1" applyBorder="1" applyAlignment="1">
      <alignment vertical="center" wrapText="1"/>
    </xf>
    <xf numFmtId="0" fontId="54" fillId="0" borderId="16" xfId="139" applyFont="1" applyBorder="1" applyAlignment="1">
      <alignment horizontal="center" vertical="center" wrapText="1"/>
    </xf>
    <xf numFmtId="0" fontId="54" fillId="0" borderId="46" xfId="137" applyFont="1" applyBorder="1" applyAlignment="1">
      <alignment horizontal="center" vertical="center" wrapText="1"/>
    </xf>
    <xf numFmtId="0" fontId="54" fillId="0" borderId="50" xfId="137" applyFont="1" applyBorder="1" applyAlignment="1">
      <alignment horizontal="center" vertical="center" wrapText="1"/>
    </xf>
    <xf numFmtId="0" fontId="55" fillId="19" borderId="39" xfId="139" applyFont="1" applyFill="1" applyBorder="1" applyAlignment="1">
      <alignment horizontal="center" vertical="center"/>
    </xf>
    <xf numFmtId="0" fontId="54" fillId="0" borderId="46" xfId="139" applyFont="1" applyBorder="1" applyAlignment="1">
      <alignment horizontal="left" vertical="center" wrapText="1"/>
    </xf>
    <xf numFmtId="0" fontId="54" fillId="0" borderId="50" xfId="139" applyFont="1" applyBorder="1" applyAlignment="1">
      <alignment horizontal="left" vertical="center" wrapText="1"/>
    </xf>
    <xf numFmtId="0" fontId="54" fillId="0" borderId="46" xfId="139" applyFont="1" applyBorder="1" applyAlignment="1">
      <alignment vertical="center" wrapText="1"/>
    </xf>
    <xf numFmtId="0" fontId="54" fillId="0" borderId="34" xfId="139" applyFont="1" applyBorder="1" applyAlignment="1">
      <alignment vertical="center" wrapText="1"/>
    </xf>
    <xf numFmtId="176" fontId="54" fillId="0" borderId="40" xfId="139" applyNumberFormat="1" applyFont="1" applyBorder="1" applyAlignment="1">
      <alignment horizontal="center" vertical="center"/>
    </xf>
    <xf numFmtId="176" fontId="54" fillId="0" borderId="36" xfId="137" applyNumberFormat="1" applyFont="1" applyBorder="1" applyAlignment="1">
      <alignment horizontal="center" vertical="center"/>
    </xf>
    <xf numFmtId="176" fontId="54" fillId="0" borderId="37" xfId="137" applyNumberFormat="1" applyFont="1" applyBorder="1" applyAlignment="1">
      <alignment horizontal="center" vertical="center"/>
    </xf>
    <xf numFmtId="0" fontId="54" fillId="0" borderId="16" xfId="139" applyFont="1" applyBorder="1" applyAlignment="1">
      <alignment horizontal="left" vertical="center"/>
    </xf>
    <xf numFmtId="0" fontId="54" fillId="0" borderId="57" xfId="137" applyFont="1" applyBorder="1" applyAlignment="1">
      <alignment horizontal="left" vertical="center"/>
    </xf>
    <xf numFmtId="0" fontId="54" fillId="0" borderId="55" xfId="137" applyFont="1" applyBorder="1" applyAlignment="1">
      <alignment horizontal="left" vertical="center"/>
    </xf>
    <xf numFmtId="0" fontId="54" fillId="0" borderId="16" xfId="139" applyFont="1" applyBorder="1" applyAlignment="1">
      <alignment vertical="center"/>
    </xf>
    <xf numFmtId="0" fontId="54" fillId="0" borderId="57" xfId="137" applyFont="1" applyBorder="1" applyAlignment="1">
      <alignment vertical="center"/>
    </xf>
    <xf numFmtId="0" fontId="54" fillId="0" borderId="34" xfId="137" applyFont="1" applyBorder="1" applyAlignment="1">
      <alignment vertical="center"/>
    </xf>
    <xf numFmtId="0" fontId="52" fillId="0" borderId="16" xfId="0" applyFont="1" applyBorder="1">
      <alignment vertical="top" wrapText="1"/>
    </xf>
    <xf numFmtId="0" fontId="52" fillId="0" borderId="57" xfId="0" applyFont="1" applyBorder="1">
      <alignment vertical="top" wrapText="1"/>
    </xf>
    <xf numFmtId="0" fontId="52" fillId="0" borderId="55" xfId="0" applyFont="1" applyBorder="1">
      <alignment vertical="top" wrapText="1"/>
    </xf>
    <xf numFmtId="0" fontId="52" fillId="0" borderId="49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50" xfId="0" applyFont="1" applyBorder="1">
      <alignment vertical="top" wrapText="1"/>
    </xf>
    <xf numFmtId="0" fontId="52" fillId="18" borderId="16" xfId="0" applyFont="1" applyFill="1" applyBorder="1">
      <alignment vertical="top" wrapText="1"/>
    </xf>
    <xf numFmtId="0" fontId="52" fillId="18" borderId="50" xfId="0" applyFont="1" applyFill="1" applyBorder="1">
      <alignment vertical="top" wrapText="1"/>
    </xf>
    <xf numFmtId="0" fontId="52" fillId="18" borderId="49" xfId="0" applyFont="1" applyFill="1" applyBorder="1">
      <alignment vertical="top" wrapText="1"/>
    </xf>
  </cellXfs>
  <cellStyles count="58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ハイパーリンク 2" xfId="379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72" xr:uid="{00000000-0005-0000-0000-000097000000}"/>
    <cellStyle name="メモ 6" xfId="218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73" xr:uid="{00000000-0005-0000-0000-00009C000000}"/>
    <cellStyle name="リンク セル 6" xfId="219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8" xr:uid="{00000000-0005-0000-0000-00009F000000}"/>
    <cellStyle name="_x001d__x000c_K_x0014__x000d_&gt;V_x0001_&gt;_x0014_n_x001e__x0007__x0001__x0001_ 2 2" xfId="174" xr:uid="{00000000-0005-0000-0000-0000A0000000}"/>
    <cellStyle name="_x001d__x000c_K_x0014__x000d_&gt;V_x0001_&gt;_x0014_n_x001e__x0007__x0001__x0001_ 2 2 2" xfId="342" xr:uid="{00000000-0005-0000-0000-0000A1000000}"/>
    <cellStyle name="_x001d__x000c_K_x0014__x000d_&gt;V_x0001_&gt;_x0014_n_x001e__x0007__x0001__x0001_ 2 2 3" xfId="350" xr:uid="{00000000-0005-0000-0000-0000A2000000}"/>
    <cellStyle name="_x001d__x000c_K_x0014__x000d_&gt;V_x0001_&gt;_x0014_n_x001e__x0007__x0001__x0001_ 2 2 4" xfId="334" xr:uid="{00000000-0005-0000-0000-0000A3000000}"/>
    <cellStyle name="_x001d__x000c_K_x0014__x000d_&gt;V_x0001_&gt;_x0014_n_x001e__x0007__x0001__x0001_ 2 2 5" xfId="314" xr:uid="{00000000-0005-0000-0000-0000A4000000}"/>
    <cellStyle name="_x001d__x000c_K_x0014__x000d_&gt;V_x0001_&gt;_x0014_n_x001e__x0007__x0001__x0001_ 2 2 6" xfId="307" xr:uid="{00000000-0005-0000-0000-0000A5000000}"/>
    <cellStyle name="_x001d__x000c_K_x0014__x000d_&gt;V_x0001_&gt;_x0014_n_x001e__x0007__x0001__x0001_ 2 3" xfId="188" xr:uid="{00000000-0005-0000-0000-0000A6000000}"/>
    <cellStyle name="_x001d__x000c_K_x0014__x000d_&gt;V_x0001_&gt;_x0014_n_x001e__x0007__x0001__x0001_ 2 3 2" xfId="311" xr:uid="{00000000-0005-0000-0000-0000A7000000}"/>
    <cellStyle name="_x001d__x000c_K_x0014__x000d_&gt;V_x0001_&gt;_x0014_n_x001e__x0007__x0001__x0001_ 2 4" xfId="280" xr:uid="{00000000-0005-0000-0000-0000A8000000}"/>
    <cellStyle name="_x001d__x000c_K_x0014__x000d_&gt;V_x0001_&gt;_x0014_n_x001e__x0007__x0001__x0001_ 3" xfId="147" xr:uid="{00000000-0005-0000-0000-0000A9000000}"/>
    <cellStyle name="_x001d__x000c_K_x0014__x000d_&gt;V_x0001_&gt;_x0014_n_x001e__x0007__x0001__x0001_ 3 2" xfId="187" xr:uid="{00000000-0005-0000-0000-0000AA000000}"/>
    <cellStyle name="_x001d__x000c_K_x0014__x000d_&gt;V_x0001_&gt;_x0014_n_x001e__x0007__x0001__x0001_ 3 2 2" xfId="233" xr:uid="{00000000-0005-0000-0000-0000AB000000}"/>
    <cellStyle name="_x001d__x000c_K_x0014__x000d_&gt;V_x0001_&gt;_x0014_n_x001e__x0007__x0001__x0001_ 3 3" xfId="185" xr:uid="{00000000-0005-0000-0000-0000AC000000}"/>
    <cellStyle name="_x001d__x000c_K_x0014__x000d_&gt;V_x0001_&gt;_x0014_n_x001e__x0007__x0001__x0001_ 3 3 2" xfId="238" xr:uid="{00000000-0005-0000-0000-0000AD000000}"/>
    <cellStyle name="_x001d__x000c_K_x0014__x000d_&gt;V_x0001_&gt;_x0014_n_x001e__x0007__x0001__x0001_ 3 4" xfId="272" xr:uid="{00000000-0005-0000-0000-0000AE000000}"/>
    <cellStyle name="_x001d__x000c_K_x0014__x000d_&gt;V_x0001_&gt;_x0014_n_x001e__x0007__x0001__x0001_ 3 5" xfId="335" xr:uid="{00000000-0005-0000-0000-0000AF000000}"/>
    <cellStyle name="_x001d__x000c_K_x0014__x000d_&gt;V_x0001_&gt;_x0014_n_x001e__x0007__x0001__x0001_ 3 6" xfId="308" xr:uid="{00000000-0005-0000-0000-0000B0000000}"/>
    <cellStyle name="_x001d__x000c_K_x0014__x000d_&gt;V_x0001_&gt;_x0014_n_x001e__x0007__x0001__x0001_ 4" xfId="146" xr:uid="{00000000-0005-0000-0000-0000B1000000}"/>
    <cellStyle name="_x001d__x000c_K_x0014__x000d_&gt;V_x0001_&gt;_x0014_n_x001e__x0007__x0001__x0001_ 5" xfId="306" xr:uid="{00000000-0005-0000-0000-0000B2000000}"/>
    <cellStyle name="悪い 2" xfId="98" xr:uid="{00000000-0005-0000-0000-0000B3000000}"/>
    <cellStyle name="悪い 3" xfId="99" xr:uid="{00000000-0005-0000-0000-0000B4000000}"/>
    <cellStyle name="悪い 4" xfId="100" xr:uid="{00000000-0005-0000-0000-0000B5000000}"/>
    <cellStyle name="悪い 5" xfId="175" xr:uid="{00000000-0005-0000-0000-0000B6000000}"/>
    <cellStyle name="悪い 6" xfId="220" xr:uid="{00000000-0005-0000-0000-0000B7000000}"/>
    <cellStyle name="計算 2" xfId="101" xr:uid="{00000000-0005-0000-0000-0000B8000000}"/>
    <cellStyle name="計算 3" xfId="102" xr:uid="{00000000-0005-0000-0000-0000B9000000}"/>
    <cellStyle name="計算 4" xfId="103" xr:uid="{00000000-0005-0000-0000-0000BA000000}"/>
    <cellStyle name="計算 5" xfId="176" xr:uid="{00000000-0005-0000-0000-0000BB000000}"/>
    <cellStyle name="計算 6" xfId="221" xr:uid="{00000000-0005-0000-0000-0000BC000000}"/>
    <cellStyle name="警告文 2" xfId="104" xr:uid="{00000000-0005-0000-0000-0000BD000000}"/>
    <cellStyle name="警告文 3" xfId="105" xr:uid="{00000000-0005-0000-0000-0000BE000000}"/>
    <cellStyle name="警告文 4" xfId="106" xr:uid="{00000000-0005-0000-0000-0000BF000000}"/>
    <cellStyle name="警告文 5" xfId="222" xr:uid="{00000000-0005-0000-0000-0000C0000000}"/>
    <cellStyle name="桁区切り 2" xfId="266" xr:uid="{00000000-0005-0000-0000-0000C1000000}"/>
    <cellStyle name="桁区切り 3" xfId="316" xr:uid="{00000000-0005-0000-0000-0000C2000000}"/>
    <cellStyle name="見出し 1 2" xfId="107" xr:uid="{00000000-0005-0000-0000-0000C3000000}"/>
    <cellStyle name="見出し 1 3" xfId="108" xr:uid="{00000000-0005-0000-0000-0000C4000000}"/>
    <cellStyle name="見出し 1 4" xfId="109" xr:uid="{00000000-0005-0000-0000-0000C5000000}"/>
    <cellStyle name="見出し 1 5" xfId="177" xr:uid="{00000000-0005-0000-0000-0000C6000000}"/>
    <cellStyle name="見出し 1 6" xfId="223" xr:uid="{00000000-0005-0000-0000-0000C7000000}"/>
    <cellStyle name="見出し 2 2" xfId="110" xr:uid="{00000000-0005-0000-0000-0000C8000000}"/>
    <cellStyle name="見出し 2 3" xfId="111" xr:uid="{00000000-0005-0000-0000-0000C9000000}"/>
    <cellStyle name="見出し 2 4" xfId="112" xr:uid="{00000000-0005-0000-0000-0000CA000000}"/>
    <cellStyle name="見出し 2 5" xfId="178" xr:uid="{00000000-0005-0000-0000-0000CB000000}"/>
    <cellStyle name="見出し 2 6" xfId="224" xr:uid="{00000000-0005-0000-0000-0000CC000000}"/>
    <cellStyle name="見出し 3 2" xfId="113" xr:uid="{00000000-0005-0000-0000-0000CD000000}"/>
    <cellStyle name="見出し 3 3" xfId="114" xr:uid="{00000000-0005-0000-0000-0000CE000000}"/>
    <cellStyle name="見出し 3 4" xfId="115" xr:uid="{00000000-0005-0000-0000-0000CF000000}"/>
    <cellStyle name="見出し 3 5" xfId="179" xr:uid="{00000000-0005-0000-0000-0000D0000000}"/>
    <cellStyle name="見出し 3 6" xfId="225" xr:uid="{00000000-0005-0000-0000-0000D1000000}"/>
    <cellStyle name="見出し 4 2" xfId="116" xr:uid="{00000000-0005-0000-0000-0000D2000000}"/>
    <cellStyle name="見出し 4 3" xfId="117" xr:uid="{00000000-0005-0000-0000-0000D3000000}"/>
    <cellStyle name="見出し 4 4" xfId="118" xr:uid="{00000000-0005-0000-0000-0000D4000000}"/>
    <cellStyle name="見出し 4 5" xfId="180" xr:uid="{00000000-0005-0000-0000-0000D5000000}"/>
    <cellStyle name="見出し 4 6" xfId="226" xr:uid="{00000000-0005-0000-0000-0000D6000000}"/>
    <cellStyle name="作業ﾌﾛｰ" xfId="254" xr:uid="{00000000-0005-0000-0000-0000D7000000}"/>
    <cellStyle name="資料" xfId="255" xr:uid="{00000000-0005-0000-0000-0000D8000000}"/>
    <cellStyle name="資料２" xfId="256" xr:uid="{00000000-0005-0000-0000-0000D9000000}"/>
    <cellStyle name="集計 2" xfId="119" xr:uid="{00000000-0005-0000-0000-0000DA000000}"/>
    <cellStyle name="集計 3" xfId="120" xr:uid="{00000000-0005-0000-0000-0000DB000000}"/>
    <cellStyle name="集計 4" xfId="121" xr:uid="{00000000-0005-0000-0000-0000DC000000}"/>
    <cellStyle name="集計 5" xfId="181" xr:uid="{00000000-0005-0000-0000-0000DD000000}"/>
    <cellStyle name="集計 6" xfId="227" xr:uid="{00000000-0005-0000-0000-0000DE000000}"/>
    <cellStyle name="出力 2" xfId="122" xr:uid="{00000000-0005-0000-0000-0000DF000000}"/>
    <cellStyle name="出力 3" xfId="123" xr:uid="{00000000-0005-0000-0000-0000E0000000}"/>
    <cellStyle name="出力 4" xfId="124" xr:uid="{00000000-0005-0000-0000-0000E1000000}"/>
    <cellStyle name="出力 5" xfId="182" xr:uid="{00000000-0005-0000-0000-0000E2000000}"/>
    <cellStyle name="出力 6" xfId="228" xr:uid="{00000000-0005-0000-0000-0000E3000000}"/>
    <cellStyle name="説明文 2" xfId="125" xr:uid="{00000000-0005-0000-0000-0000E4000000}"/>
    <cellStyle name="説明文 3" xfId="126" xr:uid="{00000000-0005-0000-0000-0000E5000000}"/>
    <cellStyle name="説明文 4" xfId="127" xr:uid="{00000000-0005-0000-0000-0000E6000000}"/>
    <cellStyle name="説明文 5" xfId="229" xr:uid="{00000000-0005-0000-0000-0000E7000000}"/>
    <cellStyle name="入力 2" xfId="128" xr:uid="{00000000-0005-0000-0000-0000E8000000}"/>
    <cellStyle name="入力 3" xfId="129" xr:uid="{00000000-0005-0000-0000-0000E9000000}"/>
    <cellStyle name="入力 4" xfId="130" xr:uid="{00000000-0005-0000-0000-0000EA000000}"/>
    <cellStyle name="入力 5" xfId="183" xr:uid="{00000000-0005-0000-0000-0000EB000000}"/>
    <cellStyle name="入力 6" xfId="230" xr:uid="{00000000-0005-0000-0000-0000EC000000}"/>
    <cellStyle name="標準" xfId="0" builtinId="0"/>
    <cellStyle name="標準 10" xfId="144" xr:uid="{00000000-0005-0000-0000-0000EE000000}"/>
    <cellStyle name="標準 10 2" xfId="235" xr:uid="{00000000-0005-0000-0000-0000EF000000}"/>
    <cellStyle name="標準 10 2 2" xfId="275" xr:uid="{00000000-0005-0000-0000-0000F0000000}"/>
    <cellStyle name="標準 10 2 2 2" xfId="302" xr:uid="{00000000-0005-0000-0000-0000F1000000}"/>
    <cellStyle name="標準 10 2 3" xfId="286" xr:uid="{00000000-0005-0000-0000-0000F2000000}"/>
    <cellStyle name="標準 10 2 4" xfId="349" xr:uid="{00000000-0005-0000-0000-0000F3000000}"/>
    <cellStyle name="標準 10 3" xfId="265" xr:uid="{00000000-0005-0000-0000-0000F4000000}"/>
    <cellStyle name="標準 10 4" xfId="242" xr:uid="{00000000-0005-0000-0000-0000F5000000}"/>
    <cellStyle name="標準 10 4 2" xfId="292" xr:uid="{00000000-0005-0000-0000-0000F6000000}"/>
    <cellStyle name="標準 10 4 3" xfId="333" xr:uid="{00000000-0005-0000-0000-0000F7000000}"/>
    <cellStyle name="標準 10 5" xfId="315" xr:uid="{00000000-0005-0000-0000-0000F8000000}"/>
    <cellStyle name="標準 10 6" xfId="305" xr:uid="{00000000-0005-0000-0000-0000F9000000}"/>
    <cellStyle name="標準 11" xfId="236" xr:uid="{00000000-0005-0000-0000-0000FA000000}"/>
    <cellStyle name="標準 11 2" xfId="276" xr:uid="{00000000-0005-0000-0000-0000FB000000}"/>
    <cellStyle name="標準 11 2 2" xfId="303" xr:uid="{00000000-0005-0000-0000-0000FC000000}"/>
    <cellStyle name="標準 11 2 3" xfId="287" xr:uid="{00000000-0005-0000-0000-0000FD000000}"/>
    <cellStyle name="標準 11 3" xfId="269" xr:uid="{00000000-0005-0000-0000-0000FE000000}"/>
    <cellStyle name="標準 11 4" xfId="243" xr:uid="{00000000-0005-0000-0000-0000FF000000}"/>
    <cellStyle name="標準 11 4 2" xfId="293" xr:uid="{00000000-0005-0000-0000-000000010000}"/>
    <cellStyle name="標準 12" xfId="237" xr:uid="{00000000-0005-0000-0000-000001010000}"/>
    <cellStyle name="標準 12 2" xfId="277" xr:uid="{00000000-0005-0000-0000-000002010000}"/>
    <cellStyle name="標準 12 2 2" xfId="304" xr:uid="{00000000-0005-0000-0000-000003010000}"/>
    <cellStyle name="標準 12 2 3" xfId="288" xr:uid="{00000000-0005-0000-0000-000004010000}"/>
    <cellStyle name="標準 12 3" xfId="267" xr:uid="{00000000-0005-0000-0000-000005010000}"/>
    <cellStyle name="標準 12 4" xfId="244" xr:uid="{00000000-0005-0000-0000-000006010000}"/>
    <cellStyle name="標準 12 4 2" xfId="294" xr:uid="{00000000-0005-0000-0000-000007010000}"/>
    <cellStyle name="標準 13" xfId="234" xr:uid="{00000000-0005-0000-0000-000008010000}"/>
    <cellStyle name="標準 13 2" xfId="274" xr:uid="{00000000-0005-0000-0000-000009010000}"/>
    <cellStyle name="標準 13 2 2" xfId="301" xr:uid="{00000000-0005-0000-0000-00000A010000}"/>
    <cellStyle name="標準 13 2 3" xfId="285" xr:uid="{00000000-0005-0000-0000-00000B010000}"/>
    <cellStyle name="標準 13 3" xfId="268" xr:uid="{00000000-0005-0000-0000-00000C010000}"/>
    <cellStyle name="標準 13 4" xfId="241" xr:uid="{00000000-0005-0000-0000-00000D010000}"/>
    <cellStyle name="標準 13 4 2" xfId="291" xr:uid="{00000000-0005-0000-0000-00000E010000}"/>
    <cellStyle name="標準 14" xfId="189" xr:uid="{00000000-0005-0000-0000-00000F010000}"/>
    <cellStyle name="標準 14 2" xfId="245" xr:uid="{00000000-0005-0000-0000-000010010000}"/>
    <cellStyle name="標準 14 2 2" xfId="295" xr:uid="{00000000-0005-0000-0000-000011010000}"/>
    <cellStyle name="標準 14 3" xfId="259" xr:uid="{00000000-0005-0000-0000-000012010000}"/>
    <cellStyle name="標準 15" xfId="270" xr:uid="{00000000-0005-0000-0000-000013010000}"/>
    <cellStyle name="標準 16" xfId="264" xr:uid="{00000000-0005-0000-0000-000014010000}"/>
    <cellStyle name="標準 17" xfId="271" xr:uid="{00000000-0005-0000-0000-000015010000}"/>
    <cellStyle name="標準 17 2" xfId="298" xr:uid="{00000000-0005-0000-0000-000016010000}"/>
    <cellStyle name="標準 17 3" xfId="278" xr:uid="{00000000-0005-0000-0000-000017010000}"/>
    <cellStyle name="標準 17 4" xfId="332" xr:uid="{00000000-0005-0000-0000-000018010000}"/>
    <cellStyle name="標準 18" xfId="239" xr:uid="{00000000-0005-0000-0000-000019010000}"/>
    <cellStyle name="標準 18 2" xfId="282" xr:uid="{00000000-0005-0000-0000-00001A010000}"/>
    <cellStyle name="標準 18 3" xfId="328" xr:uid="{00000000-0005-0000-0000-00001B010000}"/>
    <cellStyle name="標準 19" xfId="289" xr:uid="{00000000-0005-0000-0000-00001C010000}"/>
    <cellStyle name="標準 19 2" xfId="330" xr:uid="{00000000-0005-0000-0000-00001D010000}"/>
    <cellStyle name="標準 2" xfId="131" xr:uid="{00000000-0005-0000-0000-00001E010000}"/>
    <cellStyle name="標準 2 2" xfId="257" xr:uid="{00000000-0005-0000-0000-00001F010000}"/>
    <cellStyle name="標準 2 3" xfId="321" xr:uid="{00000000-0005-0000-0000-000020010000}"/>
    <cellStyle name="標準 2 3 2" xfId="356" xr:uid="{00000000-0005-0000-0000-000021010000}"/>
    <cellStyle name="標準 2 3 2 2" xfId="399" xr:uid="{00000000-0005-0000-0000-000022010000}"/>
    <cellStyle name="標準 2 3 2 2 2" xfId="440" xr:uid="{00000000-0005-0000-0000-000023010000}"/>
    <cellStyle name="標準 2 3 2 2 2 2" xfId="575" xr:uid="{00000000-0005-0000-0000-000024010000}"/>
    <cellStyle name="標準 2 3 2 2 3" xfId="535" xr:uid="{00000000-0005-0000-0000-000025010000}"/>
    <cellStyle name="標準 2 3 2 3" xfId="419" xr:uid="{00000000-0005-0000-0000-000026010000}"/>
    <cellStyle name="標準 2 3 2 3 2" xfId="555" xr:uid="{00000000-0005-0000-0000-000027010000}"/>
    <cellStyle name="標準 2 3 2 4" xfId="377" xr:uid="{00000000-0005-0000-0000-000028010000}"/>
    <cellStyle name="標準 2 3 2 4 2" xfId="515" xr:uid="{00000000-0005-0000-0000-000029010000}"/>
    <cellStyle name="標準 2 3 2 5" xfId="455" xr:uid="{00000000-0005-0000-0000-00002A010000}"/>
    <cellStyle name="標準 2 3 2 5 2" xfId="586" xr:uid="{00000000-0005-0000-0000-00002B010000}"/>
    <cellStyle name="標準 2 3 2 6" xfId="495" xr:uid="{00000000-0005-0000-0000-00002C010000}"/>
    <cellStyle name="標準 2 3 2 7" xfId="475" xr:uid="{00000000-0005-0000-0000-00002D010000}"/>
    <cellStyle name="標準 2 4" xfId="317" xr:uid="{00000000-0005-0000-0000-00002E010000}"/>
    <cellStyle name="標準 2 4 10" xfId="477" xr:uid="{00000000-0005-0000-0000-00002F010000}"/>
    <cellStyle name="標準 2 4 11" xfId="457" xr:uid="{00000000-0005-0000-0000-000030010000}"/>
    <cellStyle name="標準 2 4 2" xfId="325" xr:uid="{00000000-0005-0000-0000-000031010000}"/>
    <cellStyle name="標準 2 4 2 2" xfId="346" xr:uid="{00000000-0005-0000-0000-000032010000}"/>
    <cellStyle name="標準 2 4 2 2 2" xfId="393" xr:uid="{00000000-0005-0000-0000-000033010000}"/>
    <cellStyle name="標準 2 4 2 2 2 2" xfId="434" xr:uid="{00000000-0005-0000-0000-000034010000}"/>
    <cellStyle name="標準 2 4 2 2 2 2 2" xfId="569" xr:uid="{00000000-0005-0000-0000-000035010000}"/>
    <cellStyle name="標準 2 4 2 2 2 3" xfId="529" xr:uid="{00000000-0005-0000-0000-000036010000}"/>
    <cellStyle name="標準 2 4 2 2 3" xfId="413" xr:uid="{00000000-0005-0000-0000-000037010000}"/>
    <cellStyle name="標準 2 4 2 2 3 2" xfId="549" xr:uid="{00000000-0005-0000-0000-000038010000}"/>
    <cellStyle name="標準 2 4 2 2 4" xfId="371" xr:uid="{00000000-0005-0000-0000-000039010000}"/>
    <cellStyle name="標準 2 4 2 2 4 2" xfId="509" xr:uid="{00000000-0005-0000-0000-00003A010000}"/>
    <cellStyle name="標準 2 4 2 2 5" xfId="489" xr:uid="{00000000-0005-0000-0000-00003B010000}"/>
    <cellStyle name="標準 2 4 2 2 6" xfId="469" xr:uid="{00000000-0005-0000-0000-00003C010000}"/>
    <cellStyle name="標準 2 4 2 3" xfId="384" xr:uid="{00000000-0005-0000-0000-00003D010000}"/>
    <cellStyle name="標準 2 4 2 3 2" xfId="425" xr:uid="{00000000-0005-0000-0000-00003E010000}"/>
    <cellStyle name="標準 2 4 2 3 2 2" xfId="560" xr:uid="{00000000-0005-0000-0000-00003F010000}"/>
    <cellStyle name="標準 2 4 2 3 3" xfId="520" xr:uid="{00000000-0005-0000-0000-000040010000}"/>
    <cellStyle name="標準 2 4 2 4" xfId="404" xr:uid="{00000000-0005-0000-0000-000041010000}"/>
    <cellStyle name="標準 2 4 2 4 2" xfId="540" xr:uid="{00000000-0005-0000-0000-000042010000}"/>
    <cellStyle name="標準 2 4 2 5" xfId="362" xr:uid="{00000000-0005-0000-0000-000043010000}"/>
    <cellStyle name="標準 2 4 2 5 2" xfId="500" xr:uid="{00000000-0005-0000-0000-000044010000}"/>
    <cellStyle name="標準 2 4 2 6" xfId="449" xr:uid="{00000000-0005-0000-0000-000045010000}"/>
    <cellStyle name="標準 2 4 2 6 2" xfId="580" xr:uid="{00000000-0005-0000-0000-000046010000}"/>
    <cellStyle name="標準 2 4 2 7" xfId="480" xr:uid="{00000000-0005-0000-0000-000047010000}"/>
    <cellStyle name="標準 2 4 2 8" xfId="460" xr:uid="{00000000-0005-0000-0000-000048010000}"/>
    <cellStyle name="標準 2 4 3" xfId="353" xr:uid="{00000000-0005-0000-0000-000049010000}"/>
    <cellStyle name="標準 2 4 3 2" xfId="396" xr:uid="{00000000-0005-0000-0000-00004A010000}"/>
    <cellStyle name="標準 2 4 3 2 2" xfId="437" xr:uid="{00000000-0005-0000-0000-00004B010000}"/>
    <cellStyle name="標準 2 4 3 2 2 2" xfId="572" xr:uid="{00000000-0005-0000-0000-00004C010000}"/>
    <cellStyle name="標準 2 4 3 2 3" xfId="532" xr:uid="{00000000-0005-0000-0000-00004D010000}"/>
    <cellStyle name="標準 2 4 3 3" xfId="416" xr:uid="{00000000-0005-0000-0000-00004E010000}"/>
    <cellStyle name="標準 2 4 3 3 2" xfId="552" xr:uid="{00000000-0005-0000-0000-00004F010000}"/>
    <cellStyle name="標準 2 4 3 4" xfId="374" xr:uid="{00000000-0005-0000-0000-000050010000}"/>
    <cellStyle name="標準 2 4 3 4 2" xfId="512" xr:uid="{00000000-0005-0000-0000-000051010000}"/>
    <cellStyle name="標準 2 4 3 5" xfId="452" xr:uid="{00000000-0005-0000-0000-000052010000}"/>
    <cellStyle name="標準 2 4 3 5 2" xfId="583" xr:uid="{00000000-0005-0000-0000-000053010000}"/>
    <cellStyle name="標準 2 4 3 6" xfId="492" xr:uid="{00000000-0005-0000-0000-000054010000}"/>
    <cellStyle name="標準 2 4 3 7" xfId="472" xr:uid="{00000000-0005-0000-0000-000055010000}"/>
    <cellStyle name="標準 2 4 4" xfId="343" xr:uid="{00000000-0005-0000-0000-000056010000}"/>
    <cellStyle name="標準 2 4 4 2" xfId="390" xr:uid="{00000000-0005-0000-0000-000057010000}"/>
    <cellStyle name="標準 2 4 4 2 2" xfId="431" xr:uid="{00000000-0005-0000-0000-000058010000}"/>
    <cellStyle name="標準 2 4 4 2 2 2" xfId="566" xr:uid="{00000000-0005-0000-0000-000059010000}"/>
    <cellStyle name="標準 2 4 4 2 3" xfId="526" xr:uid="{00000000-0005-0000-0000-00005A010000}"/>
    <cellStyle name="標準 2 4 4 3" xfId="410" xr:uid="{00000000-0005-0000-0000-00005B010000}"/>
    <cellStyle name="標準 2 4 4 3 2" xfId="546" xr:uid="{00000000-0005-0000-0000-00005C010000}"/>
    <cellStyle name="標準 2 4 4 4" xfId="368" xr:uid="{00000000-0005-0000-0000-00005D010000}"/>
    <cellStyle name="標準 2 4 4 4 2" xfId="506" xr:uid="{00000000-0005-0000-0000-00005E010000}"/>
    <cellStyle name="標準 2 4 4 5" xfId="486" xr:uid="{00000000-0005-0000-0000-00005F010000}"/>
    <cellStyle name="標準 2 4 4 6" xfId="466" xr:uid="{00000000-0005-0000-0000-000060010000}"/>
    <cellStyle name="標準 2 4 5" xfId="339" xr:uid="{00000000-0005-0000-0000-000061010000}"/>
    <cellStyle name="標準 2 4 5 2" xfId="387" xr:uid="{00000000-0005-0000-0000-000062010000}"/>
    <cellStyle name="標準 2 4 5 2 2" xfId="428" xr:uid="{00000000-0005-0000-0000-000063010000}"/>
    <cellStyle name="標準 2 4 5 2 2 2" xfId="563" xr:uid="{00000000-0005-0000-0000-000064010000}"/>
    <cellStyle name="標準 2 4 5 2 3" xfId="523" xr:uid="{00000000-0005-0000-0000-000065010000}"/>
    <cellStyle name="標準 2 4 5 3" xfId="407" xr:uid="{00000000-0005-0000-0000-000066010000}"/>
    <cellStyle name="標準 2 4 5 3 2" xfId="543" xr:uid="{00000000-0005-0000-0000-000067010000}"/>
    <cellStyle name="標準 2 4 5 4" xfId="365" xr:uid="{00000000-0005-0000-0000-000068010000}"/>
    <cellStyle name="標準 2 4 5 4 2" xfId="503" xr:uid="{00000000-0005-0000-0000-000069010000}"/>
    <cellStyle name="標準 2 4 5 5" xfId="483" xr:uid="{00000000-0005-0000-0000-00006A010000}"/>
    <cellStyle name="標準 2 4 5 6" xfId="463" xr:uid="{00000000-0005-0000-0000-00006B010000}"/>
    <cellStyle name="標準 2 4 6" xfId="381" xr:uid="{00000000-0005-0000-0000-00006C010000}"/>
    <cellStyle name="標準 2 4 6 2" xfId="422" xr:uid="{00000000-0005-0000-0000-00006D010000}"/>
    <cellStyle name="標準 2 4 6 2 2" xfId="557" xr:uid="{00000000-0005-0000-0000-00006E010000}"/>
    <cellStyle name="標準 2 4 6 3" xfId="517" xr:uid="{00000000-0005-0000-0000-00006F010000}"/>
    <cellStyle name="標準 2 4 7" xfId="401" xr:uid="{00000000-0005-0000-0000-000070010000}"/>
    <cellStyle name="標準 2 4 7 2" xfId="537" xr:uid="{00000000-0005-0000-0000-000071010000}"/>
    <cellStyle name="標準 2 4 8" xfId="359" xr:uid="{00000000-0005-0000-0000-000072010000}"/>
    <cellStyle name="標準 2 4 8 2" xfId="497" xr:uid="{00000000-0005-0000-0000-000073010000}"/>
    <cellStyle name="標準 2 4 9" xfId="446" xr:uid="{00000000-0005-0000-0000-000074010000}"/>
    <cellStyle name="標準 2 4 9 2" xfId="577" xr:uid="{00000000-0005-0000-0000-000075010000}"/>
    <cellStyle name="標準 20" xfId="329" xr:uid="{00000000-0005-0000-0000-000076010000}"/>
    <cellStyle name="標準 21" xfId="331" xr:uid="{00000000-0005-0000-0000-000077010000}"/>
    <cellStyle name="標準 22" xfId="380" xr:uid="{00000000-0005-0000-0000-000078010000}"/>
    <cellStyle name="標準 23" xfId="421" xr:uid="{00000000-0005-0000-0000-000079010000}"/>
    <cellStyle name="標準 24" xfId="442" xr:uid="{00000000-0005-0000-0000-00007A010000}"/>
    <cellStyle name="標準 25" xfId="445" xr:uid="{00000000-0005-0000-0000-00007B010000}"/>
    <cellStyle name="標準 26" xfId="443" xr:uid="{00000000-0005-0000-0000-00007C010000}"/>
    <cellStyle name="標準 27" xfId="444" xr:uid="{00000000-0005-0000-0000-00007D010000}"/>
    <cellStyle name="標準 3" xfId="132" xr:uid="{00000000-0005-0000-0000-00007E010000}"/>
    <cellStyle name="標準 3 2" xfId="258" xr:uid="{00000000-0005-0000-0000-00007F010000}"/>
    <cellStyle name="標準 3 3" xfId="322" xr:uid="{00000000-0005-0000-0000-000080010000}"/>
    <cellStyle name="標準 3 3 2" xfId="357" xr:uid="{00000000-0005-0000-0000-000081010000}"/>
    <cellStyle name="標準 3 3 2 2" xfId="400" xr:uid="{00000000-0005-0000-0000-000082010000}"/>
    <cellStyle name="標準 3 3 2 2 2" xfId="441" xr:uid="{00000000-0005-0000-0000-000083010000}"/>
    <cellStyle name="標準 3 3 2 2 2 2" xfId="576" xr:uid="{00000000-0005-0000-0000-000084010000}"/>
    <cellStyle name="標準 3 3 2 2 3" xfId="536" xr:uid="{00000000-0005-0000-0000-000085010000}"/>
    <cellStyle name="標準 3 3 2 3" xfId="420" xr:uid="{00000000-0005-0000-0000-000086010000}"/>
    <cellStyle name="標準 3 3 2 3 2" xfId="556" xr:uid="{00000000-0005-0000-0000-000087010000}"/>
    <cellStyle name="標準 3 3 2 4" xfId="378" xr:uid="{00000000-0005-0000-0000-000088010000}"/>
    <cellStyle name="標準 3 3 2 4 2" xfId="516" xr:uid="{00000000-0005-0000-0000-000089010000}"/>
    <cellStyle name="標準 3 3 2 5" xfId="456" xr:uid="{00000000-0005-0000-0000-00008A010000}"/>
    <cellStyle name="標準 3 3 2 5 2" xfId="587" xr:uid="{00000000-0005-0000-0000-00008B010000}"/>
    <cellStyle name="標準 3 3 2 6" xfId="496" xr:uid="{00000000-0005-0000-0000-00008C010000}"/>
    <cellStyle name="標準 3 3 2 7" xfId="476" xr:uid="{00000000-0005-0000-0000-00008D010000}"/>
    <cellStyle name="標準 3 4" xfId="318" xr:uid="{00000000-0005-0000-0000-00008E010000}"/>
    <cellStyle name="標準 3 4 10" xfId="478" xr:uid="{00000000-0005-0000-0000-00008F010000}"/>
    <cellStyle name="標準 3 4 11" xfId="458" xr:uid="{00000000-0005-0000-0000-000090010000}"/>
    <cellStyle name="標準 3 4 2" xfId="326" xr:uid="{00000000-0005-0000-0000-000091010000}"/>
    <cellStyle name="標準 3 4 2 2" xfId="347" xr:uid="{00000000-0005-0000-0000-000092010000}"/>
    <cellStyle name="標準 3 4 2 2 2" xfId="394" xr:uid="{00000000-0005-0000-0000-000093010000}"/>
    <cellStyle name="標準 3 4 2 2 2 2" xfId="435" xr:uid="{00000000-0005-0000-0000-000094010000}"/>
    <cellStyle name="標準 3 4 2 2 2 2 2" xfId="570" xr:uid="{00000000-0005-0000-0000-000095010000}"/>
    <cellStyle name="標準 3 4 2 2 2 3" xfId="530" xr:uid="{00000000-0005-0000-0000-000096010000}"/>
    <cellStyle name="標準 3 4 2 2 3" xfId="414" xr:uid="{00000000-0005-0000-0000-000097010000}"/>
    <cellStyle name="標準 3 4 2 2 3 2" xfId="550" xr:uid="{00000000-0005-0000-0000-000098010000}"/>
    <cellStyle name="標準 3 4 2 2 4" xfId="372" xr:uid="{00000000-0005-0000-0000-000099010000}"/>
    <cellStyle name="標準 3 4 2 2 4 2" xfId="510" xr:uid="{00000000-0005-0000-0000-00009A010000}"/>
    <cellStyle name="標準 3 4 2 2 5" xfId="490" xr:uid="{00000000-0005-0000-0000-00009B010000}"/>
    <cellStyle name="標準 3 4 2 2 6" xfId="470" xr:uid="{00000000-0005-0000-0000-00009C010000}"/>
    <cellStyle name="標準 3 4 2 3" xfId="385" xr:uid="{00000000-0005-0000-0000-00009D010000}"/>
    <cellStyle name="標準 3 4 2 3 2" xfId="426" xr:uid="{00000000-0005-0000-0000-00009E010000}"/>
    <cellStyle name="標準 3 4 2 3 2 2" xfId="561" xr:uid="{00000000-0005-0000-0000-00009F010000}"/>
    <cellStyle name="標準 3 4 2 3 3" xfId="521" xr:uid="{00000000-0005-0000-0000-0000A0010000}"/>
    <cellStyle name="標準 3 4 2 4" xfId="405" xr:uid="{00000000-0005-0000-0000-0000A1010000}"/>
    <cellStyle name="標準 3 4 2 4 2" xfId="541" xr:uid="{00000000-0005-0000-0000-0000A2010000}"/>
    <cellStyle name="標準 3 4 2 5" xfId="363" xr:uid="{00000000-0005-0000-0000-0000A3010000}"/>
    <cellStyle name="標準 3 4 2 5 2" xfId="501" xr:uid="{00000000-0005-0000-0000-0000A4010000}"/>
    <cellStyle name="標準 3 4 2 6" xfId="450" xr:uid="{00000000-0005-0000-0000-0000A5010000}"/>
    <cellStyle name="標準 3 4 2 6 2" xfId="581" xr:uid="{00000000-0005-0000-0000-0000A6010000}"/>
    <cellStyle name="標準 3 4 2 7" xfId="481" xr:uid="{00000000-0005-0000-0000-0000A7010000}"/>
    <cellStyle name="標準 3 4 2 8" xfId="461" xr:uid="{00000000-0005-0000-0000-0000A8010000}"/>
    <cellStyle name="標準 3 4 3" xfId="354" xr:uid="{00000000-0005-0000-0000-0000A9010000}"/>
    <cellStyle name="標準 3 4 3 2" xfId="397" xr:uid="{00000000-0005-0000-0000-0000AA010000}"/>
    <cellStyle name="標準 3 4 3 2 2" xfId="438" xr:uid="{00000000-0005-0000-0000-0000AB010000}"/>
    <cellStyle name="標準 3 4 3 2 2 2" xfId="573" xr:uid="{00000000-0005-0000-0000-0000AC010000}"/>
    <cellStyle name="標準 3 4 3 2 3" xfId="533" xr:uid="{00000000-0005-0000-0000-0000AD010000}"/>
    <cellStyle name="標準 3 4 3 3" xfId="417" xr:uid="{00000000-0005-0000-0000-0000AE010000}"/>
    <cellStyle name="標準 3 4 3 3 2" xfId="553" xr:uid="{00000000-0005-0000-0000-0000AF010000}"/>
    <cellStyle name="標準 3 4 3 4" xfId="375" xr:uid="{00000000-0005-0000-0000-0000B0010000}"/>
    <cellStyle name="標準 3 4 3 4 2" xfId="513" xr:uid="{00000000-0005-0000-0000-0000B1010000}"/>
    <cellStyle name="標準 3 4 3 5" xfId="453" xr:uid="{00000000-0005-0000-0000-0000B2010000}"/>
    <cellStyle name="標準 3 4 3 5 2" xfId="584" xr:uid="{00000000-0005-0000-0000-0000B3010000}"/>
    <cellStyle name="標準 3 4 3 6" xfId="493" xr:uid="{00000000-0005-0000-0000-0000B4010000}"/>
    <cellStyle name="標準 3 4 3 7" xfId="473" xr:uid="{00000000-0005-0000-0000-0000B5010000}"/>
    <cellStyle name="標準 3 4 4" xfId="344" xr:uid="{00000000-0005-0000-0000-0000B6010000}"/>
    <cellStyle name="標準 3 4 4 2" xfId="391" xr:uid="{00000000-0005-0000-0000-0000B7010000}"/>
    <cellStyle name="標準 3 4 4 2 2" xfId="432" xr:uid="{00000000-0005-0000-0000-0000B8010000}"/>
    <cellStyle name="標準 3 4 4 2 2 2" xfId="567" xr:uid="{00000000-0005-0000-0000-0000B9010000}"/>
    <cellStyle name="標準 3 4 4 2 3" xfId="527" xr:uid="{00000000-0005-0000-0000-0000BA010000}"/>
    <cellStyle name="標準 3 4 4 3" xfId="411" xr:uid="{00000000-0005-0000-0000-0000BB010000}"/>
    <cellStyle name="標準 3 4 4 3 2" xfId="547" xr:uid="{00000000-0005-0000-0000-0000BC010000}"/>
    <cellStyle name="標準 3 4 4 4" xfId="369" xr:uid="{00000000-0005-0000-0000-0000BD010000}"/>
    <cellStyle name="標準 3 4 4 4 2" xfId="507" xr:uid="{00000000-0005-0000-0000-0000BE010000}"/>
    <cellStyle name="標準 3 4 4 5" xfId="487" xr:uid="{00000000-0005-0000-0000-0000BF010000}"/>
    <cellStyle name="標準 3 4 4 6" xfId="467" xr:uid="{00000000-0005-0000-0000-0000C0010000}"/>
    <cellStyle name="標準 3 4 5" xfId="340" xr:uid="{00000000-0005-0000-0000-0000C1010000}"/>
    <cellStyle name="標準 3 4 5 2" xfId="388" xr:uid="{00000000-0005-0000-0000-0000C2010000}"/>
    <cellStyle name="標準 3 4 5 2 2" xfId="429" xr:uid="{00000000-0005-0000-0000-0000C3010000}"/>
    <cellStyle name="標準 3 4 5 2 2 2" xfId="564" xr:uid="{00000000-0005-0000-0000-0000C4010000}"/>
    <cellStyle name="標準 3 4 5 2 3" xfId="524" xr:uid="{00000000-0005-0000-0000-0000C5010000}"/>
    <cellStyle name="標準 3 4 5 3" xfId="408" xr:uid="{00000000-0005-0000-0000-0000C6010000}"/>
    <cellStyle name="標準 3 4 5 3 2" xfId="544" xr:uid="{00000000-0005-0000-0000-0000C7010000}"/>
    <cellStyle name="標準 3 4 5 4" xfId="366" xr:uid="{00000000-0005-0000-0000-0000C8010000}"/>
    <cellStyle name="標準 3 4 5 4 2" xfId="504" xr:uid="{00000000-0005-0000-0000-0000C9010000}"/>
    <cellStyle name="標準 3 4 5 5" xfId="484" xr:uid="{00000000-0005-0000-0000-0000CA010000}"/>
    <cellStyle name="標準 3 4 5 6" xfId="464" xr:uid="{00000000-0005-0000-0000-0000CB010000}"/>
    <cellStyle name="標準 3 4 6" xfId="382" xr:uid="{00000000-0005-0000-0000-0000CC010000}"/>
    <cellStyle name="標準 3 4 6 2" xfId="423" xr:uid="{00000000-0005-0000-0000-0000CD010000}"/>
    <cellStyle name="標準 3 4 6 2 2" xfId="558" xr:uid="{00000000-0005-0000-0000-0000CE010000}"/>
    <cellStyle name="標準 3 4 6 3" xfId="518" xr:uid="{00000000-0005-0000-0000-0000CF010000}"/>
    <cellStyle name="標準 3 4 7" xfId="402" xr:uid="{00000000-0005-0000-0000-0000D0010000}"/>
    <cellStyle name="標準 3 4 7 2" xfId="538" xr:uid="{00000000-0005-0000-0000-0000D1010000}"/>
    <cellStyle name="標準 3 4 8" xfId="360" xr:uid="{00000000-0005-0000-0000-0000D2010000}"/>
    <cellStyle name="標準 3 4 8 2" xfId="498" xr:uid="{00000000-0005-0000-0000-0000D3010000}"/>
    <cellStyle name="標準 3 4 9" xfId="447" xr:uid="{00000000-0005-0000-0000-0000D4010000}"/>
    <cellStyle name="標準 3 4 9 2" xfId="578" xr:uid="{00000000-0005-0000-0000-0000D5010000}"/>
    <cellStyle name="標準 4" xfId="133" xr:uid="{00000000-0005-0000-0000-0000D6010000}"/>
    <cellStyle name="標準 4 2" xfId="323" xr:uid="{00000000-0005-0000-0000-0000D7010000}"/>
    <cellStyle name="標準 4 2 2" xfId="358" xr:uid="{00000000-0005-0000-0000-0000D8010000}"/>
    <cellStyle name="標準 4 3" xfId="319" xr:uid="{00000000-0005-0000-0000-0000D9010000}"/>
    <cellStyle name="標準 5" xfId="134" xr:uid="{00000000-0005-0000-0000-0000DA010000}"/>
    <cellStyle name="標準 5 2" xfId="324" xr:uid="{00000000-0005-0000-0000-0000DB010000}"/>
    <cellStyle name="標準 5 3" xfId="320" xr:uid="{00000000-0005-0000-0000-0000DC010000}"/>
    <cellStyle name="標準 5 3 10" xfId="479" xr:uid="{00000000-0005-0000-0000-0000DD010000}"/>
    <cellStyle name="標準 5 3 11" xfId="459" xr:uid="{00000000-0005-0000-0000-0000DE010000}"/>
    <cellStyle name="標準 5 3 2" xfId="327" xr:uid="{00000000-0005-0000-0000-0000DF010000}"/>
    <cellStyle name="標準 5 3 2 2" xfId="348" xr:uid="{00000000-0005-0000-0000-0000E0010000}"/>
    <cellStyle name="標準 5 3 2 2 2" xfId="395" xr:uid="{00000000-0005-0000-0000-0000E1010000}"/>
    <cellStyle name="標準 5 3 2 2 2 2" xfId="436" xr:uid="{00000000-0005-0000-0000-0000E2010000}"/>
    <cellStyle name="標準 5 3 2 2 2 2 2" xfId="571" xr:uid="{00000000-0005-0000-0000-0000E3010000}"/>
    <cellStyle name="標準 5 3 2 2 2 3" xfId="531" xr:uid="{00000000-0005-0000-0000-0000E4010000}"/>
    <cellStyle name="標準 5 3 2 2 3" xfId="415" xr:uid="{00000000-0005-0000-0000-0000E5010000}"/>
    <cellStyle name="標準 5 3 2 2 3 2" xfId="551" xr:uid="{00000000-0005-0000-0000-0000E6010000}"/>
    <cellStyle name="標準 5 3 2 2 4" xfId="373" xr:uid="{00000000-0005-0000-0000-0000E7010000}"/>
    <cellStyle name="標準 5 3 2 2 4 2" xfId="511" xr:uid="{00000000-0005-0000-0000-0000E8010000}"/>
    <cellStyle name="標準 5 3 2 2 5" xfId="491" xr:uid="{00000000-0005-0000-0000-0000E9010000}"/>
    <cellStyle name="標準 5 3 2 2 6" xfId="471" xr:uid="{00000000-0005-0000-0000-0000EA010000}"/>
    <cellStyle name="標準 5 3 2 3" xfId="386" xr:uid="{00000000-0005-0000-0000-0000EB010000}"/>
    <cellStyle name="標準 5 3 2 3 2" xfId="427" xr:uid="{00000000-0005-0000-0000-0000EC010000}"/>
    <cellStyle name="標準 5 3 2 3 2 2" xfId="562" xr:uid="{00000000-0005-0000-0000-0000ED010000}"/>
    <cellStyle name="標準 5 3 2 3 3" xfId="522" xr:uid="{00000000-0005-0000-0000-0000EE010000}"/>
    <cellStyle name="標準 5 3 2 4" xfId="406" xr:uid="{00000000-0005-0000-0000-0000EF010000}"/>
    <cellStyle name="標準 5 3 2 4 2" xfId="542" xr:uid="{00000000-0005-0000-0000-0000F0010000}"/>
    <cellStyle name="標準 5 3 2 5" xfId="364" xr:uid="{00000000-0005-0000-0000-0000F1010000}"/>
    <cellStyle name="標準 5 3 2 5 2" xfId="502" xr:uid="{00000000-0005-0000-0000-0000F2010000}"/>
    <cellStyle name="標準 5 3 2 6" xfId="451" xr:uid="{00000000-0005-0000-0000-0000F3010000}"/>
    <cellStyle name="標準 5 3 2 6 2" xfId="582" xr:uid="{00000000-0005-0000-0000-0000F4010000}"/>
    <cellStyle name="標準 5 3 2 7" xfId="482" xr:uid="{00000000-0005-0000-0000-0000F5010000}"/>
    <cellStyle name="標準 5 3 2 8" xfId="462" xr:uid="{00000000-0005-0000-0000-0000F6010000}"/>
    <cellStyle name="標準 5 3 3" xfId="355" xr:uid="{00000000-0005-0000-0000-0000F7010000}"/>
    <cellStyle name="標準 5 3 3 2" xfId="398" xr:uid="{00000000-0005-0000-0000-0000F8010000}"/>
    <cellStyle name="標準 5 3 3 2 2" xfId="439" xr:uid="{00000000-0005-0000-0000-0000F9010000}"/>
    <cellStyle name="標準 5 3 3 2 2 2" xfId="574" xr:uid="{00000000-0005-0000-0000-0000FA010000}"/>
    <cellStyle name="標準 5 3 3 2 3" xfId="534" xr:uid="{00000000-0005-0000-0000-0000FB010000}"/>
    <cellStyle name="標準 5 3 3 3" xfId="418" xr:uid="{00000000-0005-0000-0000-0000FC010000}"/>
    <cellStyle name="標準 5 3 3 3 2" xfId="554" xr:uid="{00000000-0005-0000-0000-0000FD010000}"/>
    <cellStyle name="標準 5 3 3 4" xfId="376" xr:uid="{00000000-0005-0000-0000-0000FE010000}"/>
    <cellStyle name="標準 5 3 3 4 2" xfId="514" xr:uid="{00000000-0005-0000-0000-0000FF010000}"/>
    <cellStyle name="標準 5 3 3 5" xfId="454" xr:uid="{00000000-0005-0000-0000-000000020000}"/>
    <cellStyle name="標準 5 3 3 5 2" xfId="585" xr:uid="{00000000-0005-0000-0000-000001020000}"/>
    <cellStyle name="標準 5 3 3 6" xfId="494" xr:uid="{00000000-0005-0000-0000-000002020000}"/>
    <cellStyle name="標準 5 3 3 7" xfId="474" xr:uid="{00000000-0005-0000-0000-000003020000}"/>
    <cellStyle name="標準 5 3 4" xfId="345" xr:uid="{00000000-0005-0000-0000-000004020000}"/>
    <cellStyle name="標準 5 3 4 2" xfId="392" xr:uid="{00000000-0005-0000-0000-000005020000}"/>
    <cellStyle name="標準 5 3 4 2 2" xfId="433" xr:uid="{00000000-0005-0000-0000-000006020000}"/>
    <cellStyle name="標準 5 3 4 2 2 2" xfId="568" xr:uid="{00000000-0005-0000-0000-000007020000}"/>
    <cellStyle name="標準 5 3 4 2 3" xfId="528" xr:uid="{00000000-0005-0000-0000-000008020000}"/>
    <cellStyle name="標準 5 3 4 3" xfId="412" xr:uid="{00000000-0005-0000-0000-000009020000}"/>
    <cellStyle name="標準 5 3 4 3 2" xfId="548" xr:uid="{00000000-0005-0000-0000-00000A020000}"/>
    <cellStyle name="標準 5 3 4 4" xfId="370" xr:uid="{00000000-0005-0000-0000-00000B020000}"/>
    <cellStyle name="標準 5 3 4 4 2" xfId="508" xr:uid="{00000000-0005-0000-0000-00000C020000}"/>
    <cellStyle name="標準 5 3 4 5" xfId="488" xr:uid="{00000000-0005-0000-0000-00000D020000}"/>
    <cellStyle name="標準 5 3 4 6" xfId="468" xr:uid="{00000000-0005-0000-0000-00000E020000}"/>
    <cellStyle name="標準 5 3 5" xfId="341" xr:uid="{00000000-0005-0000-0000-00000F020000}"/>
    <cellStyle name="標準 5 3 5 2" xfId="389" xr:uid="{00000000-0005-0000-0000-000010020000}"/>
    <cellStyle name="標準 5 3 5 2 2" xfId="430" xr:uid="{00000000-0005-0000-0000-000011020000}"/>
    <cellStyle name="標準 5 3 5 2 2 2" xfId="565" xr:uid="{00000000-0005-0000-0000-000012020000}"/>
    <cellStyle name="標準 5 3 5 2 3" xfId="525" xr:uid="{00000000-0005-0000-0000-000013020000}"/>
    <cellStyle name="標準 5 3 5 3" xfId="409" xr:uid="{00000000-0005-0000-0000-000014020000}"/>
    <cellStyle name="標準 5 3 5 3 2" xfId="545" xr:uid="{00000000-0005-0000-0000-000015020000}"/>
    <cellStyle name="標準 5 3 5 4" xfId="367" xr:uid="{00000000-0005-0000-0000-000016020000}"/>
    <cellStyle name="標準 5 3 5 4 2" xfId="505" xr:uid="{00000000-0005-0000-0000-000017020000}"/>
    <cellStyle name="標準 5 3 5 5" xfId="485" xr:uid="{00000000-0005-0000-0000-000018020000}"/>
    <cellStyle name="標準 5 3 5 6" xfId="465" xr:uid="{00000000-0005-0000-0000-000019020000}"/>
    <cellStyle name="標準 5 3 6" xfId="383" xr:uid="{00000000-0005-0000-0000-00001A020000}"/>
    <cellStyle name="標準 5 3 6 2" xfId="424" xr:uid="{00000000-0005-0000-0000-00001B020000}"/>
    <cellStyle name="標準 5 3 6 2 2" xfId="559" xr:uid="{00000000-0005-0000-0000-00001C020000}"/>
    <cellStyle name="標準 5 3 6 3" xfId="519" xr:uid="{00000000-0005-0000-0000-00001D020000}"/>
    <cellStyle name="標準 5 3 7" xfId="403" xr:uid="{00000000-0005-0000-0000-00001E020000}"/>
    <cellStyle name="標準 5 3 7 2" xfId="539" xr:uid="{00000000-0005-0000-0000-00001F020000}"/>
    <cellStyle name="標準 5 3 8" xfId="361" xr:uid="{00000000-0005-0000-0000-000020020000}"/>
    <cellStyle name="標準 5 3 8 2" xfId="499" xr:uid="{00000000-0005-0000-0000-000021020000}"/>
    <cellStyle name="標準 5 3 9" xfId="448" xr:uid="{00000000-0005-0000-0000-000022020000}"/>
    <cellStyle name="標準 5 3 9 2" xfId="579" xr:uid="{00000000-0005-0000-0000-000023020000}"/>
    <cellStyle name="標準 6" xfId="135" xr:uid="{00000000-0005-0000-0000-000024020000}"/>
    <cellStyle name="標準 7" xfId="136" xr:uid="{00000000-0005-0000-0000-000025020000}"/>
    <cellStyle name="標準 8" xfId="145" xr:uid="{00000000-0005-0000-0000-000026020000}"/>
    <cellStyle name="標準 8 2" xfId="232" xr:uid="{00000000-0005-0000-0000-000027020000}"/>
    <cellStyle name="標準 8 2 2" xfId="273" xr:uid="{00000000-0005-0000-0000-000028020000}"/>
    <cellStyle name="標準 8 2 2 2" xfId="300" xr:uid="{00000000-0005-0000-0000-000029020000}"/>
    <cellStyle name="標準 8 2 3" xfId="279" xr:uid="{00000000-0005-0000-0000-00002A020000}"/>
    <cellStyle name="標準 8 2 4" xfId="312" xr:uid="{00000000-0005-0000-0000-00002B020000}"/>
    <cellStyle name="標準 8 3" xfId="260" xr:uid="{00000000-0005-0000-0000-00002C020000}"/>
    <cellStyle name="標準 8 3 2" xfId="297" xr:uid="{00000000-0005-0000-0000-00002D020000}"/>
    <cellStyle name="標準 8 3 3" xfId="284" xr:uid="{00000000-0005-0000-0000-00002E020000}"/>
    <cellStyle name="標準 8 3 4" xfId="351" xr:uid="{00000000-0005-0000-0000-00002F020000}"/>
    <cellStyle name="標準 8 4" xfId="240" xr:uid="{00000000-0005-0000-0000-000030020000}"/>
    <cellStyle name="標準 8 4 2" xfId="290" xr:uid="{00000000-0005-0000-0000-000031020000}"/>
    <cellStyle name="標準 8 4 3" xfId="336" xr:uid="{00000000-0005-0000-0000-000032020000}"/>
    <cellStyle name="標準 8 5" xfId="309" xr:uid="{00000000-0005-0000-0000-000033020000}"/>
    <cellStyle name="標準 9" xfId="186" xr:uid="{00000000-0005-0000-0000-000034020000}"/>
    <cellStyle name="標準 9 2" xfId="190" xr:uid="{00000000-0005-0000-0000-000035020000}"/>
    <cellStyle name="標準 9 2 2" xfId="299" xr:uid="{00000000-0005-0000-0000-000036020000}"/>
    <cellStyle name="標準 9 2 3" xfId="281" xr:uid="{00000000-0005-0000-0000-000037020000}"/>
    <cellStyle name="標準 9 2 4" xfId="338" xr:uid="{00000000-0005-0000-0000-000038020000}"/>
    <cellStyle name="標準 9 3" xfId="246" xr:uid="{00000000-0005-0000-0000-000039020000}"/>
    <cellStyle name="標準 9 3 2" xfId="296" xr:uid="{00000000-0005-0000-0000-00003A020000}"/>
    <cellStyle name="標準 9 3 3" xfId="283" xr:uid="{00000000-0005-0000-0000-00003B020000}"/>
    <cellStyle name="標準 9 3 4" xfId="352" xr:uid="{00000000-0005-0000-0000-00003C020000}"/>
    <cellStyle name="標準 9 4" xfId="337" xr:uid="{00000000-0005-0000-0000-00003D020000}"/>
    <cellStyle name="標準 9 5" xfId="313" xr:uid="{00000000-0005-0000-0000-00003E020000}"/>
    <cellStyle name="標準 9 6" xfId="310" xr:uid="{00000000-0005-0000-0000-00003F020000}"/>
    <cellStyle name="標準_02_変更来歴例" xfId="137" xr:uid="{00000000-0005-0000-0000-000040020000}"/>
    <cellStyle name="標準_A00200 オーダー状況" xfId="138" xr:uid="{00000000-0005-0000-0000-000041020000}"/>
    <cellStyle name="標準_変更来歴_1" xfId="139" xr:uid="{00000000-0005-0000-0000-000042020000}"/>
    <cellStyle name="標準2" xfId="261" xr:uid="{00000000-0005-0000-0000-000043020000}"/>
    <cellStyle name="標準２" xfId="262" xr:uid="{00000000-0005-0000-0000-000044020000}"/>
    <cellStyle name="標準2_DAIICH" xfId="263" xr:uid="{00000000-0005-0000-0000-000045020000}"/>
    <cellStyle name="未定義" xfId="140" xr:uid="{00000000-0005-0000-0000-000046020000}"/>
    <cellStyle name="良い 2" xfId="141" xr:uid="{00000000-0005-0000-0000-000047020000}"/>
    <cellStyle name="良い 3" xfId="142" xr:uid="{00000000-0005-0000-0000-000048020000}"/>
    <cellStyle name="良い 4" xfId="143" xr:uid="{00000000-0005-0000-0000-000049020000}"/>
    <cellStyle name="良い 5" xfId="184" xr:uid="{00000000-0005-0000-0000-00004A020000}"/>
    <cellStyle name="良い 6" xfId="231" xr:uid="{00000000-0005-0000-0000-00004B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26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2.08984375" style="4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8.90625" style="4" bestFit="1" customWidth="1"/>
    <col min="22" max="24" width="18.36328125" style="4" bestFit="1" customWidth="1"/>
    <col min="25" max="25" width="10.453125" style="4" bestFit="1" customWidth="1"/>
    <col min="26" max="26" width="10" style="4" customWidth="1"/>
    <col min="27" max="28" width="9.453125" style="4" bestFit="1" customWidth="1"/>
    <col min="29" max="30" width="9.08984375" style="4" customWidth="1"/>
    <col min="31" max="31" width="10" style="4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32" t="s">
        <v>11</v>
      </c>
      <c r="B1" s="32" t="s">
        <v>11</v>
      </c>
      <c r="C1" s="32"/>
      <c r="D1" s="23" t="s">
        <v>412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41" s="1" customFormat="1" ht="40" customHeight="1">
      <c r="A2" s="33" t="s">
        <v>11</v>
      </c>
      <c r="B2" s="34"/>
      <c r="C2" s="34"/>
      <c r="D2" s="35" t="s">
        <v>559</v>
      </c>
      <c r="E2" s="36" t="s">
        <v>351</v>
      </c>
      <c r="F2" s="22" t="str">
        <f>LEFT(I2,2)</f>
        <v>MA</v>
      </c>
      <c r="G2" s="108" t="s">
        <v>352</v>
      </c>
      <c r="H2" s="113"/>
      <c r="I2" s="114" t="s">
        <v>121</v>
      </c>
      <c r="J2" s="115"/>
      <c r="K2" s="111" t="s">
        <v>413</v>
      </c>
      <c r="L2" s="111"/>
      <c r="M2" s="111"/>
      <c r="N2" s="111"/>
      <c r="O2" s="108"/>
      <c r="P2" s="37"/>
      <c r="Q2" s="22" t="s">
        <v>395</v>
      </c>
      <c r="R2" s="36" t="s">
        <v>414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35"/>
    </row>
    <row r="3" spans="1:41" s="1" customFormat="1" ht="27" customHeight="1">
      <c r="A3" s="41" t="s">
        <v>11</v>
      </c>
      <c r="B3" s="42"/>
      <c r="C3" s="42"/>
      <c r="E3" s="36" t="s">
        <v>408</v>
      </c>
      <c r="F3" s="22" t="str">
        <f>LEFT(I2,4)</f>
        <v>MABG</v>
      </c>
      <c r="G3" s="108" t="s">
        <v>349</v>
      </c>
      <c r="H3" s="113"/>
      <c r="I3" s="114" t="s">
        <v>396</v>
      </c>
      <c r="J3" s="115"/>
      <c r="K3" s="111" t="s">
        <v>415</v>
      </c>
      <c r="L3" s="111"/>
      <c r="M3" s="111"/>
      <c r="N3" s="111"/>
      <c r="O3" s="108"/>
      <c r="P3" s="37"/>
      <c r="Q3" s="22"/>
      <c r="R3" s="36" t="s">
        <v>350</v>
      </c>
      <c r="S3" s="22" t="s">
        <v>397</v>
      </c>
      <c r="T3" s="22"/>
      <c r="AO3" s="11"/>
    </row>
    <row r="4" spans="1:41" s="1" customFormat="1" ht="27" customHeight="1">
      <c r="A4" s="41" t="s">
        <v>11</v>
      </c>
      <c r="B4" s="42"/>
      <c r="C4" s="42"/>
      <c r="D4" s="11"/>
      <c r="E4" s="36" t="s">
        <v>409</v>
      </c>
      <c r="F4" s="22" t="s">
        <v>12</v>
      </c>
      <c r="G4" s="108" t="s">
        <v>416</v>
      </c>
      <c r="H4" s="113"/>
      <c r="I4" s="114" t="s">
        <v>122</v>
      </c>
      <c r="J4" s="115"/>
      <c r="K4" s="111" t="s">
        <v>417</v>
      </c>
      <c r="L4" s="111"/>
      <c r="M4" s="111"/>
      <c r="N4" s="111"/>
      <c r="O4" s="108"/>
      <c r="P4" s="37"/>
      <c r="Q4" s="22" t="s">
        <v>418</v>
      </c>
      <c r="R4" s="36"/>
      <c r="S4" s="36"/>
      <c r="T4" s="43"/>
      <c r="AO4" s="11"/>
    </row>
    <row r="5" spans="1:41" s="1" customFormat="1">
      <c r="A5" s="44" t="s">
        <v>11</v>
      </c>
      <c r="B5" s="32"/>
      <c r="C5" s="32"/>
      <c r="D5" s="45"/>
      <c r="E5" s="36" t="s">
        <v>353</v>
      </c>
      <c r="F5" s="22" t="s">
        <v>1</v>
      </c>
      <c r="G5" s="108" t="s">
        <v>419</v>
      </c>
      <c r="H5" s="113"/>
      <c r="I5" s="116"/>
      <c r="J5" s="116"/>
      <c r="K5" s="10"/>
      <c r="L5" s="10"/>
      <c r="M5" s="10"/>
      <c r="N5" s="10"/>
      <c r="O5" s="10"/>
      <c r="P5" s="10"/>
      <c r="Q5" s="10"/>
      <c r="R5" s="10"/>
      <c r="S5" s="10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45"/>
    </row>
    <row r="6" spans="1:41" s="1" customFormat="1" ht="13.5" customHeight="1">
      <c r="A6" s="41" t="s">
        <v>11</v>
      </c>
      <c r="B6" s="42"/>
      <c r="C6" s="42"/>
      <c r="D6" s="1" t="s">
        <v>420</v>
      </c>
      <c r="E6" s="112" t="s">
        <v>123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46"/>
      <c r="Q6" s="40"/>
      <c r="R6" s="40"/>
      <c r="S6" s="40"/>
      <c r="AC6" s="23"/>
      <c r="AD6" s="23"/>
      <c r="AE6" s="23"/>
      <c r="AF6" s="23"/>
      <c r="AG6" s="23"/>
      <c r="AH6" s="23"/>
      <c r="AI6" s="23"/>
      <c r="AJ6" s="23"/>
      <c r="AL6" s="11"/>
      <c r="AO6" s="47"/>
    </row>
    <row r="7" spans="1:41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2" t="s">
        <v>421</v>
      </c>
      <c r="V7" s="22" t="s">
        <v>421</v>
      </c>
      <c r="W7" s="22" t="s">
        <v>421</v>
      </c>
      <c r="X7" s="22" t="s">
        <v>421</v>
      </c>
      <c r="Y7" s="22" t="s">
        <v>421</v>
      </c>
      <c r="Z7" s="5"/>
      <c r="AA7" s="22" t="s">
        <v>422</v>
      </c>
      <c r="AB7" s="22" t="s">
        <v>422</v>
      </c>
      <c r="AC7" s="22" t="s">
        <v>422</v>
      </c>
      <c r="AD7" s="22" t="s">
        <v>422</v>
      </c>
      <c r="AE7" s="6"/>
      <c r="AF7" s="36" t="s">
        <v>354</v>
      </c>
      <c r="AG7" s="22" t="s">
        <v>113</v>
      </c>
      <c r="AH7" s="36" t="s">
        <v>354</v>
      </c>
      <c r="AI7" s="22" t="s">
        <v>114</v>
      </c>
      <c r="AJ7" s="36" t="s">
        <v>354</v>
      </c>
      <c r="AK7" s="22" t="s">
        <v>115</v>
      </c>
      <c r="AL7" s="36" t="s">
        <v>354</v>
      </c>
      <c r="AM7" s="22"/>
      <c r="AN7" s="4"/>
      <c r="AO7" s="24"/>
    </row>
    <row r="8" spans="1:41" s="1" customFormat="1" ht="60" customHeight="1">
      <c r="A8" s="22" t="s">
        <v>13</v>
      </c>
      <c r="B8" s="22"/>
      <c r="C8" s="22"/>
      <c r="D8" s="36" t="s">
        <v>560</v>
      </c>
      <c r="E8" s="36" t="s">
        <v>529</v>
      </c>
      <c r="F8" s="36" t="s">
        <v>561</v>
      </c>
      <c r="G8" s="10" t="s">
        <v>562</v>
      </c>
      <c r="H8" s="36"/>
      <c r="I8" s="36" t="s">
        <v>563</v>
      </c>
      <c r="J8" s="36" t="s">
        <v>564</v>
      </c>
      <c r="K8" s="36" t="s">
        <v>565</v>
      </c>
      <c r="L8" s="36" t="s">
        <v>566</v>
      </c>
      <c r="M8" s="36" t="s">
        <v>530</v>
      </c>
      <c r="N8" s="36" t="s">
        <v>531</v>
      </c>
      <c r="O8" s="36" t="s">
        <v>532</v>
      </c>
      <c r="P8" s="36" t="s">
        <v>533</v>
      </c>
      <c r="Q8" s="108" t="s">
        <v>567</v>
      </c>
      <c r="R8" s="109"/>
      <c r="S8" s="110"/>
      <c r="T8" s="39" t="s">
        <v>568</v>
      </c>
      <c r="U8" s="22" t="s">
        <v>211</v>
      </c>
      <c r="V8" s="22" t="s">
        <v>212</v>
      </c>
      <c r="W8" s="22" t="s">
        <v>341</v>
      </c>
      <c r="X8" s="22" t="s">
        <v>342</v>
      </c>
      <c r="Y8" s="22" t="s">
        <v>345</v>
      </c>
      <c r="Z8" s="5"/>
      <c r="AA8" s="22" t="s">
        <v>423</v>
      </c>
      <c r="AB8" s="22" t="s">
        <v>424</v>
      </c>
      <c r="AC8" s="22" t="s">
        <v>425</v>
      </c>
      <c r="AD8" s="22" t="s">
        <v>222</v>
      </c>
      <c r="AE8" s="10"/>
      <c r="AF8" s="36" t="s">
        <v>398</v>
      </c>
      <c r="AG8" s="22" t="str">
        <f>F2&amp;"."&amp;F3&amp;"L"&amp;RIGHT(I2,4)&amp;".Srch01"</f>
        <v>MA.MABGL0100.Srch01</v>
      </c>
      <c r="AH8" s="36" t="s">
        <v>398</v>
      </c>
      <c r="AI8" s="22" t="str">
        <f>F2&amp;"."&amp;F3&amp;"L"&amp;RIGHT(I2,4)&amp;".Upd01"</f>
        <v>MA.MABGL0100.Upd01</v>
      </c>
      <c r="AJ8" s="36" t="s">
        <v>398</v>
      </c>
      <c r="AK8" s="22" t="str">
        <f>F2&amp;"."&amp;F3&amp;"L"&amp;RIGHT(I2,4)&amp;".Del01"</f>
        <v>MA.MABGL0100.Del01</v>
      </c>
      <c r="AL8" s="36" t="s">
        <v>398</v>
      </c>
      <c r="AM8" s="22"/>
      <c r="AN8" s="6"/>
      <c r="AO8" s="52" t="s">
        <v>580</v>
      </c>
    </row>
    <row r="9" spans="1:41" s="1" customFormat="1" ht="60" customHeight="1">
      <c r="A9" s="22" t="s">
        <v>13</v>
      </c>
      <c r="B9" s="22"/>
      <c r="C9" s="22"/>
      <c r="D9" s="36" t="s">
        <v>569</v>
      </c>
      <c r="E9" s="10" t="s">
        <v>570</v>
      </c>
      <c r="F9" s="48" t="s">
        <v>571</v>
      </c>
      <c r="G9" s="48" t="s">
        <v>572</v>
      </c>
      <c r="H9" s="48" t="s">
        <v>573</v>
      </c>
      <c r="I9" s="36" t="s">
        <v>574</v>
      </c>
      <c r="J9" s="48" t="s">
        <v>534</v>
      </c>
      <c r="K9" s="48" t="s">
        <v>575</v>
      </c>
      <c r="L9" s="36" t="s">
        <v>576</v>
      </c>
      <c r="M9" s="36" t="s">
        <v>577</v>
      </c>
      <c r="N9" s="36" t="s">
        <v>578</v>
      </c>
      <c r="O9" s="36" t="s">
        <v>410</v>
      </c>
      <c r="P9" s="36" t="s">
        <v>533</v>
      </c>
      <c r="Q9" s="36" t="s">
        <v>535</v>
      </c>
      <c r="R9" s="36" t="s">
        <v>411</v>
      </c>
      <c r="S9" s="36" t="s">
        <v>536</v>
      </c>
      <c r="T9" s="49"/>
      <c r="U9" s="4"/>
      <c r="V9" s="4"/>
      <c r="W9" s="4"/>
      <c r="X9" s="4"/>
      <c r="Y9" s="4"/>
      <c r="Z9" s="4"/>
      <c r="AA9" s="7"/>
      <c r="AB9" s="7"/>
      <c r="AC9" s="4"/>
      <c r="AD9" s="4"/>
      <c r="AE9" s="4"/>
      <c r="AF9" s="36" t="s">
        <v>426</v>
      </c>
      <c r="AG9" s="22" t="s">
        <v>399</v>
      </c>
      <c r="AH9" s="36" t="s">
        <v>426</v>
      </c>
      <c r="AI9" s="22" t="s">
        <v>399</v>
      </c>
      <c r="AJ9" s="36" t="s">
        <v>426</v>
      </c>
      <c r="AK9" s="22" t="s">
        <v>399</v>
      </c>
      <c r="AL9" s="36" t="s">
        <v>426</v>
      </c>
      <c r="AM9" s="22"/>
      <c r="AN9" s="51" t="s">
        <v>579</v>
      </c>
      <c r="AO9" s="52" t="s">
        <v>581</v>
      </c>
    </row>
    <row r="10" spans="1:41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6" t="s">
        <v>711</v>
      </c>
      <c r="AG10" s="36" t="s">
        <v>712</v>
      </c>
      <c r="AH10" s="36" t="s">
        <v>711</v>
      </c>
      <c r="AI10" s="36" t="s">
        <v>712</v>
      </c>
      <c r="AJ10" s="36" t="s">
        <v>711</v>
      </c>
      <c r="AK10" s="36" t="s">
        <v>712</v>
      </c>
      <c r="AL10" s="36" t="s">
        <v>711</v>
      </c>
      <c r="AM10" s="36" t="s">
        <v>712</v>
      </c>
      <c r="AN10" s="9"/>
      <c r="AO10" s="8"/>
    </row>
    <row r="11" spans="1:41" s="1" customFormat="1" ht="26">
      <c r="A11" s="50">
        <v>10</v>
      </c>
      <c r="B11" s="25" t="s">
        <v>0</v>
      </c>
      <c r="C11" s="25"/>
      <c r="D11" s="25" t="s">
        <v>108</v>
      </c>
      <c r="E11" s="26"/>
      <c r="F11" s="25"/>
      <c r="G11" s="25" t="s">
        <v>109</v>
      </c>
      <c r="H11" s="25"/>
      <c r="I11" s="25" t="s">
        <v>362</v>
      </c>
      <c r="J11" s="50" t="s">
        <v>582</v>
      </c>
      <c r="K11" s="25" t="s">
        <v>427</v>
      </c>
      <c r="L11" s="25" t="s">
        <v>428</v>
      </c>
      <c r="M11" s="25" t="s">
        <v>429</v>
      </c>
      <c r="N11" s="25" t="s">
        <v>53</v>
      </c>
      <c r="O11" s="25"/>
      <c r="P11" s="25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50"/>
      <c r="AG11" s="50"/>
      <c r="AH11" s="50"/>
      <c r="AI11" s="50"/>
      <c r="AJ11" s="50"/>
      <c r="AK11" s="50"/>
      <c r="AL11" s="50"/>
      <c r="AM11" s="50"/>
      <c r="AN11" s="30"/>
      <c r="AO11" s="28"/>
    </row>
    <row r="12" spans="1:41" s="1" customFormat="1" ht="52">
      <c r="A12" s="41"/>
      <c r="AF12" s="36" t="s">
        <v>711</v>
      </c>
      <c r="AG12" s="36" t="s">
        <v>712</v>
      </c>
      <c r="AH12" s="36" t="s">
        <v>711</v>
      </c>
      <c r="AI12" s="36" t="s">
        <v>712</v>
      </c>
      <c r="AJ12" s="36" t="s">
        <v>711</v>
      </c>
      <c r="AK12" s="36" t="s">
        <v>712</v>
      </c>
      <c r="AL12" s="36" t="s">
        <v>711</v>
      </c>
      <c r="AM12" s="36" t="s">
        <v>712</v>
      </c>
      <c r="AO12" s="11"/>
    </row>
    <row r="13" spans="1:41" s="1" customFormat="1">
      <c r="A13" s="22">
        <v>20</v>
      </c>
      <c r="B13" s="18" t="s">
        <v>0</v>
      </c>
      <c r="C13" s="18"/>
      <c r="D13" s="18" t="s">
        <v>346</v>
      </c>
      <c r="E13" s="19"/>
      <c r="F13" s="18"/>
      <c r="G13" s="18"/>
      <c r="H13" s="18"/>
      <c r="I13" s="18" t="s">
        <v>362</v>
      </c>
      <c r="J13" s="18"/>
      <c r="K13" s="18" t="s">
        <v>427</v>
      </c>
      <c r="L13" s="18"/>
      <c r="M13" s="18" t="s">
        <v>430</v>
      </c>
      <c r="N13" s="18" t="s">
        <v>53</v>
      </c>
      <c r="O13" s="18"/>
      <c r="P13" s="18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2"/>
      <c r="AG13" s="22"/>
      <c r="AH13" s="22"/>
      <c r="AI13" s="22"/>
      <c r="AJ13" s="22"/>
      <c r="AK13" s="22"/>
      <c r="AL13" s="22"/>
      <c r="AM13" s="22"/>
      <c r="AN13" s="23"/>
      <c r="AO13" s="20"/>
    </row>
    <row r="14" spans="1:41" s="1" customFormat="1" ht="26">
      <c r="A14" s="22">
        <v>20</v>
      </c>
      <c r="B14" s="22"/>
      <c r="C14" s="22"/>
      <c r="D14" s="22" t="s">
        <v>400</v>
      </c>
      <c r="E14" s="31" t="s">
        <v>583</v>
      </c>
      <c r="F14" s="22" t="s">
        <v>347</v>
      </c>
      <c r="G14" s="22" t="s">
        <v>348</v>
      </c>
      <c r="H14" s="22"/>
      <c r="I14" s="22" t="s">
        <v>355</v>
      </c>
      <c r="J14" s="22"/>
      <c r="K14" s="22" t="s">
        <v>366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AA14" s="22" t="s">
        <v>66</v>
      </c>
      <c r="AB14" s="22" t="s">
        <v>66</v>
      </c>
      <c r="AC14" s="22" t="s">
        <v>66</v>
      </c>
      <c r="AD14" s="22" t="s">
        <v>66</v>
      </c>
      <c r="AF14" s="22"/>
      <c r="AG14" s="22"/>
      <c r="AH14" s="22"/>
      <c r="AI14" s="22"/>
      <c r="AJ14" s="22"/>
      <c r="AK14" s="22"/>
      <c r="AL14" s="22"/>
      <c r="AM14" s="22"/>
      <c r="AO14" s="20"/>
    </row>
    <row r="15" spans="1:41" s="1" customFormat="1" ht="52">
      <c r="A15" s="41"/>
      <c r="AF15" s="36" t="s">
        <v>711</v>
      </c>
      <c r="AG15" s="36" t="s">
        <v>712</v>
      </c>
      <c r="AH15" s="36" t="s">
        <v>711</v>
      </c>
      <c r="AI15" s="36" t="s">
        <v>712</v>
      </c>
      <c r="AJ15" s="36" t="s">
        <v>711</v>
      </c>
      <c r="AK15" s="36" t="s">
        <v>712</v>
      </c>
      <c r="AL15" s="36" t="s">
        <v>711</v>
      </c>
      <c r="AM15" s="36" t="s">
        <v>712</v>
      </c>
      <c r="AO15" s="11"/>
    </row>
    <row r="16" spans="1:41" s="1" customFormat="1" ht="26">
      <c r="A16" s="22">
        <v>30</v>
      </c>
      <c r="B16" s="18" t="s">
        <v>0</v>
      </c>
      <c r="C16" s="18"/>
      <c r="D16" s="18" t="s">
        <v>224</v>
      </c>
      <c r="E16" s="19"/>
      <c r="F16" s="18"/>
      <c r="G16" s="18"/>
      <c r="H16" s="18"/>
      <c r="I16" s="18" t="s">
        <v>362</v>
      </c>
      <c r="J16" s="18"/>
      <c r="K16" s="18" t="s">
        <v>427</v>
      </c>
      <c r="L16" s="18"/>
      <c r="M16" s="18" t="s">
        <v>431</v>
      </c>
      <c r="N16" s="18"/>
      <c r="O16" s="22" t="s">
        <v>432</v>
      </c>
      <c r="P16" s="18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2"/>
      <c r="AG16" s="22"/>
      <c r="AH16" s="22"/>
      <c r="AI16" s="22"/>
      <c r="AJ16" s="22"/>
      <c r="AK16" s="22"/>
      <c r="AL16" s="22"/>
      <c r="AM16" s="22"/>
      <c r="AN16" s="23"/>
      <c r="AO16" s="20"/>
    </row>
    <row r="17" spans="1:41" s="1" customFormat="1">
      <c r="A17" s="22">
        <v>30</v>
      </c>
      <c r="B17" s="22"/>
      <c r="C17" s="22"/>
      <c r="D17" s="22" t="s">
        <v>225</v>
      </c>
      <c r="E17" s="31"/>
      <c r="F17" s="22"/>
      <c r="G17" s="22"/>
      <c r="H17" s="22"/>
      <c r="I17" s="22"/>
      <c r="J17" s="22"/>
      <c r="K17" s="22" t="s">
        <v>356</v>
      </c>
      <c r="L17" s="22"/>
      <c r="M17" s="22"/>
      <c r="N17" s="22"/>
      <c r="O17" s="22" t="s">
        <v>226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AA17" s="22"/>
      <c r="AB17" s="22"/>
      <c r="AC17" s="22"/>
      <c r="AD17" s="22"/>
      <c r="AF17" s="22"/>
      <c r="AG17" s="22"/>
      <c r="AH17" s="22"/>
      <c r="AI17" s="22"/>
      <c r="AJ17" s="22"/>
      <c r="AK17" s="22"/>
      <c r="AL17" s="22"/>
      <c r="AM17" s="22"/>
      <c r="AO17" s="20"/>
    </row>
    <row r="18" spans="1:41" s="1" customFormat="1">
      <c r="A18" s="22">
        <v>30</v>
      </c>
      <c r="B18" s="22"/>
      <c r="C18" s="22"/>
      <c r="D18" s="22" t="s">
        <v>227</v>
      </c>
      <c r="E18" s="31"/>
      <c r="F18" s="22"/>
      <c r="G18" s="22"/>
      <c r="H18" s="22"/>
      <c r="I18" s="22"/>
      <c r="J18" s="22"/>
      <c r="K18" s="22" t="s">
        <v>356</v>
      </c>
      <c r="L18" s="22"/>
      <c r="M18" s="22"/>
      <c r="N18" s="22"/>
      <c r="O18" s="22" t="s">
        <v>228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AA18" s="22"/>
      <c r="AB18" s="22"/>
      <c r="AC18" s="22"/>
      <c r="AD18" s="22"/>
      <c r="AF18" s="22"/>
      <c r="AG18" s="22"/>
      <c r="AH18" s="22"/>
      <c r="AI18" s="22"/>
      <c r="AJ18" s="22"/>
      <c r="AK18" s="22"/>
      <c r="AL18" s="22"/>
      <c r="AM18" s="22"/>
      <c r="AO18" s="20"/>
    </row>
    <row r="19" spans="1:41" s="1" customFormat="1" ht="52">
      <c r="A19" s="41"/>
      <c r="AF19" s="36" t="s">
        <v>711</v>
      </c>
      <c r="AG19" s="36" t="s">
        <v>712</v>
      </c>
      <c r="AH19" s="36" t="s">
        <v>711</v>
      </c>
      <c r="AI19" s="36" t="s">
        <v>712</v>
      </c>
      <c r="AJ19" s="36" t="s">
        <v>711</v>
      </c>
      <c r="AK19" s="36" t="s">
        <v>712</v>
      </c>
      <c r="AL19" s="36" t="s">
        <v>711</v>
      </c>
      <c r="AM19" s="36" t="s">
        <v>712</v>
      </c>
      <c r="AO19" s="11"/>
    </row>
    <row r="20" spans="1:41" s="1" customFormat="1">
      <c r="A20" s="22">
        <v>40</v>
      </c>
      <c r="B20" s="18" t="s">
        <v>0</v>
      </c>
      <c r="C20" s="18"/>
      <c r="D20" s="18" t="s">
        <v>226</v>
      </c>
      <c r="E20" s="19"/>
      <c r="F20" s="18"/>
      <c r="G20" s="18"/>
      <c r="H20" s="18"/>
      <c r="I20" s="18" t="s">
        <v>362</v>
      </c>
      <c r="J20" s="18"/>
      <c r="K20" s="18" t="s">
        <v>427</v>
      </c>
      <c r="L20" s="18"/>
      <c r="M20" s="18" t="s">
        <v>433</v>
      </c>
      <c r="N20" s="18"/>
      <c r="O20" s="22"/>
      <c r="P20" s="18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2"/>
      <c r="AG20" s="22"/>
      <c r="AH20" s="22"/>
      <c r="AI20" s="22"/>
      <c r="AJ20" s="22"/>
      <c r="AK20" s="22"/>
      <c r="AL20" s="22"/>
      <c r="AM20" s="22"/>
      <c r="AN20" s="23"/>
      <c r="AO20" s="20"/>
    </row>
    <row r="21" spans="1:41" s="1" customFormat="1">
      <c r="A21" s="22">
        <v>40</v>
      </c>
      <c r="B21" s="22"/>
      <c r="C21" s="22"/>
      <c r="D21" s="22" t="s">
        <v>229</v>
      </c>
      <c r="E21" s="31"/>
      <c r="F21" s="22"/>
      <c r="G21" s="22"/>
      <c r="H21" s="22"/>
      <c r="I21" s="22"/>
      <c r="J21" s="22"/>
      <c r="K21" s="22" t="s">
        <v>356</v>
      </c>
      <c r="L21" s="22"/>
      <c r="M21" s="22"/>
      <c r="N21" s="22"/>
      <c r="O21" s="22" t="s">
        <v>230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AA21" s="22"/>
      <c r="AB21" s="22"/>
      <c r="AC21" s="22"/>
      <c r="AD21" s="22"/>
      <c r="AF21" s="22"/>
      <c r="AG21" s="22"/>
      <c r="AH21" s="22"/>
      <c r="AI21" s="22"/>
      <c r="AJ21" s="22"/>
      <c r="AK21" s="22"/>
      <c r="AL21" s="22"/>
      <c r="AM21" s="22"/>
      <c r="AO21" s="20"/>
    </row>
    <row r="22" spans="1:41" s="1" customFormat="1" ht="52">
      <c r="A22" s="41"/>
      <c r="AF22" s="36" t="s">
        <v>711</v>
      </c>
      <c r="AG22" s="36" t="s">
        <v>712</v>
      </c>
      <c r="AH22" s="36" t="s">
        <v>711</v>
      </c>
      <c r="AI22" s="36" t="s">
        <v>712</v>
      </c>
      <c r="AJ22" s="36" t="s">
        <v>711</v>
      </c>
      <c r="AK22" s="36" t="s">
        <v>712</v>
      </c>
      <c r="AL22" s="36" t="s">
        <v>711</v>
      </c>
      <c r="AM22" s="36" t="s">
        <v>712</v>
      </c>
      <c r="AO22" s="11"/>
    </row>
    <row r="23" spans="1:41" s="1" customFormat="1">
      <c r="A23" s="22">
        <v>50</v>
      </c>
      <c r="B23" s="18" t="s">
        <v>0</v>
      </c>
      <c r="C23" s="18"/>
      <c r="D23" s="18" t="s">
        <v>401</v>
      </c>
      <c r="E23" s="19"/>
      <c r="F23" s="18"/>
      <c r="G23" s="18" t="s">
        <v>2</v>
      </c>
      <c r="H23" s="18"/>
      <c r="I23" s="18" t="s">
        <v>362</v>
      </c>
      <c r="J23" s="22" t="s">
        <v>584</v>
      </c>
      <c r="K23" s="18" t="s">
        <v>427</v>
      </c>
      <c r="L23" s="18" t="s">
        <v>428</v>
      </c>
      <c r="M23" s="18" t="s">
        <v>427</v>
      </c>
      <c r="N23" s="18"/>
      <c r="O23" s="18"/>
      <c r="P23" s="18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2" t="s">
        <v>357</v>
      </c>
      <c r="AG23" s="22"/>
      <c r="AH23" s="22"/>
      <c r="AI23" s="22"/>
      <c r="AJ23" s="22"/>
      <c r="AK23" s="22"/>
      <c r="AL23" s="22"/>
      <c r="AM23" s="22"/>
      <c r="AN23" s="23"/>
      <c r="AO23" s="20"/>
    </row>
    <row r="24" spans="1:41" s="1" customFormat="1" ht="39">
      <c r="A24" s="22">
        <v>50</v>
      </c>
      <c r="B24" s="22"/>
      <c r="C24" s="22"/>
      <c r="D24" s="22" t="s">
        <v>110</v>
      </c>
      <c r="E24" s="31" t="s">
        <v>585</v>
      </c>
      <c r="F24" s="22" t="s">
        <v>239</v>
      </c>
      <c r="G24" s="22" t="s">
        <v>9</v>
      </c>
      <c r="H24" s="22"/>
      <c r="I24" s="22" t="s">
        <v>433</v>
      </c>
      <c r="J24" s="22"/>
      <c r="K24" s="22" t="s">
        <v>362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AA24" s="22" t="s">
        <v>362</v>
      </c>
      <c r="AB24" s="22" t="s">
        <v>362</v>
      </c>
      <c r="AC24" s="22" t="s">
        <v>362</v>
      </c>
      <c r="AD24" s="22" t="s">
        <v>362</v>
      </c>
      <c r="AF24" s="22"/>
      <c r="AG24" s="22"/>
      <c r="AH24" s="22"/>
      <c r="AI24" s="22"/>
      <c r="AJ24" s="22"/>
      <c r="AK24" s="22"/>
      <c r="AL24" s="22"/>
      <c r="AM24" s="22"/>
      <c r="AO24" s="20"/>
    </row>
    <row r="25" spans="1:41" s="1" customFormat="1" ht="26">
      <c r="A25" s="22">
        <v>50</v>
      </c>
      <c r="B25" s="22"/>
      <c r="C25" s="22"/>
      <c r="D25" s="22" t="s">
        <v>124</v>
      </c>
      <c r="E25" s="31" t="s">
        <v>586</v>
      </c>
      <c r="F25" s="22" t="s">
        <v>125</v>
      </c>
      <c r="G25" s="22" t="s">
        <v>126</v>
      </c>
      <c r="H25" s="22"/>
      <c r="I25" s="22" t="s">
        <v>434</v>
      </c>
      <c r="J25" s="22"/>
      <c r="K25" s="22" t="s">
        <v>358</v>
      </c>
      <c r="L25" s="22"/>
      <c r="M25" s="22"/>
      <c r="N25" s="22"/>
      <c r="O25" s="22"/>
      <c r="P25" s="22"/>
      <c r="Q25" s="22" t="s">
        <v>435</v>
      </c>
      <c r="R25" s="22"/>
      <c r="S25" s="22" t="s">
        <v>206</v>
      </c>
      <c r="T25" s="22"/>
      <c r="U25" s="22"/>
      <c r="V25" s="22"/>
      <c r="W25" s="22"/>
      <c r="X25" s="22"/>
      <c r="Y25" s="22"/>
      <c r="AA25" s="22" t="s">
        <v>14</v>
      </c>
      <c r="AB25" s="22" t="s">
        <v>14</v>
      </c>
      <c r="AC25" s="22" t="s">
        <v>14</v>
      </c>
      <c r="AD25" s="22" t="s">
        <v>14</v>
      </c>
      <c r="AF25" s="22" t="s">
        <v>14</v>
      </c>
      <c r="AG25" s="22"/>
      <c r="AH25" s="22"/>
      <c r="AI25" s="22"/>
      <c r="AJ25" s="22"/>
      <c r="AK25" s="22"/>
      <c r="AL25" s="22"/>
      <c r="AM25" s="22"/>
      <c r="AO25" s="20"/>
    </row>
    <row r="26" spans="1:41" s="1" customFormat="1">
      <c r="A26" s="22">
        <v>50</v>
      </c>
      <c r="B26" s="22"/>
      <c r="C26" s="22"/>
      <c r="D26" s="22" t="s">
        <v>127</v>
      </c>
      <c r="E26" s="31" t="s">
        <v>587</v>
      </c>
      <c r="F26" s="22" t="s">
        <v>128</v>
      </c>
      <c r="G26" s="22"/>
      <c r="H26" s="22"/>
      <c r="I26" s="22" t="s">
        <v>359</v>
      </c>
      <c r="J26" s="22"/>
      <c r="K26" s="22" t="s">
        <v>436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AA26" s="22" t="s">
        <v>14</v>
      </c>
      <c r="AB26" s="22" t="s">
        <v>14</v>
      </c>
      <c r="AC26" s="22" t="s">
        <v>14</v>
      </c>
      <c r="AD26" s="22" t="s">
        <v>14</v>
      </c>
      <c r="AF26" s="22" t="s">
        <v>437</v>
      </c>
      <c r="AG26" s="22"/>
      <c r="AH26" s="22"/>
      <c r="AI26" s="22"/>
      <c r="AJ26" s="22"/>
      <c r="AK26" s="22"/>
      <c r="AL26" s="22"/>
      <c r="AM26" s="22"/>
      <c r="AO26" s="20"/>
    </row>
    <row r="27" spans="1:41" s="1" customFormat="1">
      <c r="A27" s="22">
        <v>50</v>
      </c>
      <c r="B27" s="22"/>
      <c r="C27" s="22"/>
      <c r="D27" s="22" t="s">
        <v>47</v>
      </c>
      <c r="E27" s="31" t="s">
        <v>588</v>
      </c>
      <c r="F27" s="22" t="s">
        <v>23</v>
      </c>
      <c r="G27" s="22" t="s">
        <v>9</v>
      </c>
      <c r="H27" s="22"/>
      <c r="I27" s="22" t="s">
        <v>438</v>
      </c>
      <c r="J27" s="22"/>
      <c r="K27" s="22" t="s">
        <v>436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AA27" s="22" t="s">
        <v>14</v>
      </c>
      <c r="AB27" s="22" t="s">
        <v>14</v>
      </c>
      <c r="AC27" s="22" t="s">
        <v>14</v>
      </c>
      <c r="AD27" s="22" t="s">
        <v>14</v>
      </c>
      <c r="AF27" s="22" t="s">
        <v>14</v>
      </c>
      <c r="AG27" s="22"/>
      <c r="AH27" s="22"/>
      <c r="AI27" s="22"/>
      <c r="AJ27" s="22"/>
      <c r="AK27" s="22"/>
      <c r="AL27" s="22"/>
      <c r="AM27" s="22"/>
      <c r="AO27" s="20"/>
    </row>
    <row r="28" spans="1:41" s="1" customFormat="1">
      <c r="A28" s="22">
        <v>50</v>
      </c>
      <c r="B28" s="22"/>
      <c r="C28" s="22"/>
      <c r="D28" s="22" t="s">
        <v>24</v>
      </c>
      <c r="E28" s="31" t="s">
        <v>589</v>
      </c>
      <c r="F28" s="22" t="s">
        <v>26</v>
      </c>
      <c r="G28" s="22" t="s">
        <v>9</v>
      </c>
      <c r="H28" s="22"/>
      <c r="I28" s="22" t="s">
        <v>439</v>
      </c>
      <c r="J28" s="22"/>
      <c r="K28" s="22" t="s">
        <v>436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AA28" s="22" t="s">
        <v>14</v>
      </c>
      <c r="AB28" s="22" t="s">
        <v>14</v>
      </c>
      <c r="AC28" s="22" t="s">
        <v>14</v>
      </c>
      <c r="AD28" s="22" t="s">
        <v>14</v>
      </c>
      <c r="AF28" s="22" t="s">
        <v>14</v>
      </c>
      <c r="AG28" s="22"/>
      <c r="AH28" s="22"/>
      <c r="AI28" s="22"/>
      <c r="AJ28" s="22"/>
      <c r="AK28" s="22"/>
      <c r="AL28" s="22"/>
      <c r="AM28" s="22"/>
      <c r="AO28" s="20"/>
    </row>
    <row r="29" spans="1:41" s="1" customFormat="1">
      <c r="A29" s="22">
        <v>50</v>
      </c>
      <c r="B29" s="22"/>
      <c r="C29" s="22"/>
      <c r="D29" s="22" t="s">
        <v>25</v>
      </c>
      <c r="E29" s="31" t="s">
        <v>590</v>
      </c>
      <c r="F29" s="22" t="s">
        <v>27</v>
      </c>
      <c r="G29" s="22" t="s">
        <v>9</v>
      </c>
      <c r="H29" s="22"/>
      <c r="I29" s="22" t="s">
        <v>440</v>
      </c>
      <c r="J29" s="22"/>
      <c r="K29" s="22" t="s">
        <v>436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AA29" s="22" t="s">
        <v>14</v>
      </c>
      <c r="AB29" s="22" t="s">
        <v>14</v>
      </c>
      <c r="AC29" s="22" t="s">
        <v>14</v>
      </c>
      <c r="AD29" s="22" t="s">
        <v>14</v>
      </c>
      <c r="AF29" s="22" t="s">
        <v>14</v>
      </c>
      <c r="AG29" s="22"/>
      <c r="AH29" s="22"/>
      <c r="AI29" s="22"/>
      <c r="AJ29" s="22"/>
      <c r="AK29" s="22"/>
      <c r="AL29" s="22"/>
      <c r="AM29" s="22"/>
      <c r="AO29" s="20"/>
    </row>
    <row r="30" spans="1:41" s="1" customFormat="1">
      <c r="A30" s="22">
        <v>50</v>
      </c>
      <c r="B30" s="22"/>
      <c r="C30" s="22"/>
      <c r="D30" s="22" t="s">
        <v>99</v>
      </c>
      <c r="E30" s="31" t="s">
        <v>591</v>
      </c>
      <c r="F30" s="22" t="s">
        <v>233</v>
      </c>
      <c r="G30" s="22" t="s">
        <v>1</v>
      </c>
      <c r="H30" s="22"/>
      <c r="I30" s="22"/>
      <c r="J30" s="22"/>
      <c r="K30" s="22" t="s">
        <v>68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AA30" s="22"/>
      <c r="AB30" s="22"/>
      <c r="AC30" s="22"/>
      <c r="AD30" s="22"/>
      <c r="AF30" s="22"/>
      <c r="AG30" s="22"/>
      <c r="AH30" s="22"/>
      <c r="AI30" s="22"/>
      <c r="AJ30" s="22"/>
      <c r="AK30" s="22"/>
      <c r="AL30" s="22"/>
      <c r="AM30" s="22"/>
      <c r="AO30" s="20"/>
    </row>
    <row r="31" spans="1:41" s="1" customFormat="1">
      <c r="A31" s="22">
        <v>50</v>
      </c>
      <c r="B31" s="22"/>
      <c r="C31" s="22"/>
      <c r="D31" s="22" t="s">
        <v>100</v>
      </c>
      <c r="E31" s="31" t="s">
        <v>592</v>
      </c>
      <c r="F31" s="22" t="s">
        <v>234</v>
      </c>
      <c r="G31" s="22" t="s">
        <v>235</v>
      </c>
      <c r="H31" s="22"/>
      <c r="I31" s="22" t="s">
        <v>441</v>
      </c>
      <c r="J31" s="22"/>
      <c r="K31" s="22" t="s">
        <v>15</v>
      </c>
      <c r="L31" s="22"/>
      <c r="M31" s="22"/>
      <c r="N31" s="22"/>
      <c r="O31" s="22"/>
      <c r="P31" s="22"/>
      <c r="Q31" s="22"/>
      <c r="R31" s="22"/>
      <c r="S31" s="22"/>
      <c r="T31" s="22"/>
      <c r="U31" s="22" t="s">
        <v>360</v>
      </c>
      <c r="V31" s="22"/>
      <c r="W31" s="22"/>
      <c r="X31" s="22"/>
      <c r="Y31" s="22"/>
      <c r="AA31" s="22" t="s">
        <v>14</v>
      </c>
      <c r="AB31" s="22" t="s">
        <v>14</v>
      </c>
      <c r="AC31" s="22" t="s">
        <v>14</v>
      </c>
      <c r="AD31" s="22" t="s">
        <v>14</v>
      </c>
      <c r="AF31" s="22" t="s">
        <v>14</v>
      </c>
      <c r="AG31" s="22"/>
      <c r="AH31" s="22"/>
      <c r="AI31" s="22"/>
      <c r="AJ31" s="22"/>
      <c r="AK31" s="22"/>
      <c r="AL31" s="22"/>
      <c r="AM31" s="22"/>
      <c r="AO31" s="20"/>
    </row>
    <row r="32" spans="1:41" s="1" customFormat="1">
      <c r="A32" s="22">
        <v>50</v>
      </c>
      <c r="B32" s="22"/>
      <c r="C32" s="22"/>
      <c r="D32" s="22" t="s">
        <v>101</v>
      </c>
      <c r="E32" s="31" t="s">
        <v>593</v>
      </c>
      <c r="F32" s="22" t="s">
        <v>236</v>
      </c>
      <c r="G32" s="22" t="s">
        <v>237</v>
      </c>
      <c r="H32" s="22"/>
      <c r="I32" s="22" t="s">
        <v>441</v>
      </c>
      <c r="J32" s="22"/>
      <c r="K32" s="22" t="s">
        <v>15</v>
      </c>
      <c r="L32" s="22"/>
      <c r="M32" s="22"/>
      <c r="N32" s="22"/>
      <c r="O32" s="22"/>
      <c r="P32" s="22"/>
      <c r="Q32" s="22"/>
      <c r="R32" s="22"/>
      <c r="S32" s="22"/>
      <c r="T32" s="22"/>
      <c r="U32" s="22" t="s">
        <v>360</v>
      </c>
      <c r="V32" s="22"/>
      <c r="W32" s="22"/>
      <c r="X32" s="22"/>
      <c r="Y32" s="22"/>
      <c r="AA32" s="22" t="s">
        <v>14</v>
      </c>
      <c r="AB32" s="22" t="s">
        <v>14</v>
      </c>
      <c r="AC32" s="22" t="s">
        <v>14</v>
      </c>
      <c r="AD32" s="22" t="s">
        <v>14</v>
      </c>
      <c r="AF32" s="22" t="s">
        <v>14</v>
      </c>
      <c r="AG32" s="22"/>
      <c r="AH32" s="22"/>
      <c r="AI32" s="22"/>
      <c r="AJ32" s="22"/>
      <c r="AK32" s="22"/>
      <c r="AL32" s="22"/>
      <c r="AM32" s="22"/>
      <c r="AO32" s="20"/>
    </row>
    <row r="33" spans="1:41" s="1" customFormat="1">
      <c r="A33" s="41"/>
      <c r="AF33" s="36"/>
      <c r="AG33" s="36"/>
      <c r="AH33" s="36"/>
      <c r="AI33" s="36"/>
      <c r="AJ33" s="36"/>
      <c r="AK33" s="36"/>
      <c r="AL33" s="36"/>
      <c r="AM33" s="36"/>
      <c r="AO33" s="11"/>
    </row>
    <row r="34" spans="1:41" s="1" customFormat="1" ht="26">
      <c r="A34" s="22">
        <v>60</v>
      </c>
      <c r="B34" s="18" t="s">
        <v>0</v>
      </c>
      <c r="C34" s="18"/>
      <c r="D34" s="18" t="s">
        <v>231</v>
      </c>
      <c r="E34" s="19"/>
      <c r="F34" s="18"/>
      <c r="G34" s="18"/>
      <c r="H34" s="18"/>
      <c r="I34" s="18" t="s">
        <v>362</v>
      </c>
      <c r="J34" s="18"/>
      <c r="K34" s="22" t="s">
        <v>427</v>
      </c>
      <c r="L34" s="22" t="s">
        <v>442</v>
      </c>
      <c r="M34" s="22" t="s">
        <v>428</v>
      </c>
      <c r="N34" s="22" t="s">
        <v>53</v>
      </c>
      <c r="O34" s="22"/>
      <c r="P34" s="18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2"/>
      <c r="AG34" s="22"/>
      <c r="AH34" s="22"/>
      <c r="AI34" s="22"/>
      <c r="AJ34" s="22"/>
      <c r="AK34" s="22"/>
      <c r="AL34" s="22"/>
      <c r="AM34" s="22"/>
      <c r="AN34" s="23"/>
      <c r="AO34" s="20"/>
    </row>
    <row r="35" spans="1:41" s="1" customFormat="1" ht="39">
      <c r="A35" s="22">
        <v>60</v>
      </c>
      <c r="B35" s="22"/>
      <c r="C35" s="22"/>
      <c r="D35" s="22" t="s">
        <v>232</v>
      </c>
      <c r="E35" s="31"/>
      <c r="F35" s="22"/>
      <c r="G35" s="22"/>
      <c r="H35" s="22"/>
      <c r="I35" s="22"/>
      <c r="J35" s="22"/>
      <c r="K35" s="22" t="s">
        <v>443</v>
      </c>
      <c r="L35" s="22" t="s">
        <v>444</v>
      </c>
      <c r="M35" s="22" t="s">
        <v>53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AA35" s="22"/>
      <c r="AB35" s="22"/>
      <c r="AC35" s="22"/>
      <c r="AD35" s="22"/>
      <c r="AF35" s="22"/>
      <c r="AG35" s="22"/>
      <c r="AH35" s="22"/>
      <c r="AI35" s="22"/>
      <c r="AJ35" s="22"/>
      <c r="AK35" s="22"/>
      <c r="AL35" s="22"/>
      <c r="AM35" s="22"/>
      <c r="AO35" s="20"/>
    </row>
    <row r="36" spans="1:41" s="1" customFormat="1">
      <c r="A36" s="41"/>
      <c r="AF36" s="36"/>
      <c r="AG36" s="36"/>
      <c r="AH36" s="36"/>
      <c r="AI36" s="36"/>
      <c r="AJ36" s="36"/>
      <c r="AK36" s="36"/>
      <c r="AL36" s="36"/>
      <c r="AM36" s="36"/>
      <c r="AO36" s="11"/>
    </row>
    <row r="37" spans="1:41" s="1" customFormat="1">
      <c r="A37" s="22">
        <v>70</v>
      </c>
      <c r="B37" s="18" t="s">
        <v>11</v>
      </c>
      <c r="C37" s="18"/>
      <c r="D37" s="18" t="s">
        <v>97</v>
      </c>
      <c r="E37" s="19"/>
      <c r="F37" s="18"/>
      <c r="G37" s="18"/>
      <c r="H37" s="18"/>
      <c r="I37" s="18" t="s">
        <v>362</v>
      </c>
      <c r="J37" s="18"/>
      <c r="K37" s="18" t="s">
        <v>427</v>
      </c>
      <c r="L37" s="18"/>
      <c r="M37" s="18" t="s">
        <v>445</v>
      </c>
      <c r="N37" s="18"/>
      <c r="O37" s="18"/>
      <c r="P37" s="18"/>
      <c r="Q37" s="21"/>
      <c r="R37" s="21"/>
      <c r="S37" s="21"/>
      <c r="T37" s="21"/>
      <c r="U37" s="21"/>
      <c r="V37" s="21"/>
      <c r="W37" s="21"/>
      <c r="X37" s="21"/>
      <c r="Y37" s="21"/>
      <c r="Z37" s="23"/>
      <c r="AA37" s="21"/>
      <c r="AB37" s="21"/>
      <c r="AC37" s="21"/>
      <c r="AD37" s="21"/>
      <c r="AE37" s="23"/>
      <c r="AF37" s="22"/>
      <c r="AG37" s="22"/>
      <c r="AH37" s="22"/>
      <c r="AI37" s="22"/>
      <c r="AJ37" s="22"/>
      <c r="AK37" s="22"/>
      <c r="AL37" s="22"/>
      <c r="AM37" s="22"/>
      <c r="AN37" s="23"/>
      <c r="AO37" s="20"/>
    </row>
    <row r="38" spans="1:41" s="1" customFormat="1">
      <c r="A38" s="22">
        <v>70</v>
      </c>
      <c r="B38" s="22"/>
      <c r="C38" s="22"/>
      <c r="D38" s="22" t="s">
        <v>73</v>
      </c>
      <c r="E38" s="31"/>
      <c r="F38" s="22"/>
      <c r="G38" s="22"/>
      <c r="H38" s="22"/>
      <c r="I38" s="22"/>
      <c r="J38" s="22"/>
      <c r="K38" s="22" t="s">
        <v>356</v>
      </c>
      <c r="L38" s="22"/>
      <c r="M38" s="22"/>
      <c r="N38" s="22"/>
      <c r="O38" s="22" t="s">
        <v>73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AA38" s="22"/>
      <c r="AB38" s="22"/>
      <c r="AC38" s="22"/>
      <c r="AD38" s="22"/>
      <c r="AF38" s="22"/>
      <c r="AG38" s="22"/>
      <c r="AH38" s="22"/>
      <c r="AI38" s="22"/>
      <c r="AJ38" s="22"/>
      <c r="AK38" s="22"/>
      <c r="AL38" s="22"/>
      <c r="AM38" s="22"/>
      <c r="AO38" s="20"/>
    </row>
    <row r="39" spans="1:41" s="1" customFormat="1">
      <c r="A39" s="22">
        <v>70</v>
      </c>
      <c r="B39" s="22"/>
      <c r="C39" s="22"/>
      <c r="D39" s="22" t="s">
        <v>74</v>
      </c>
      <c r="E39" s="31"/>
      <c r="F39" s="22"/>
      <c r="G39" s="22"/>
      <c r="H39" s="22"/>
      <c r="I39" s="22"/>
      <c r="J39" s="22"/>
      <c r="K39" s="22" t="s">
        <v>356</v>
      </c>
      <c r="L39" s="22"/>
      <c r="M39" s="22"/>
      <c r="N39" s="22"/>
      <c r="O39" s="22" t="s">
        <v>69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AA39" s="22"/>
      <c r="AB39" s="22"/>
      <c r="AC39" s="22"/>
      <c r="AD39" s="22"/>
      <c r="AF39" s="22"/>
      <c r="AG39" s="22"/>
      <c r="AH39" s="22"/>
      <c r="AI39" s="22"/>
      <c r="AJ39" s="22"/>
      <c r="AK39" s="22"/>
      <c r="AL39" s="22"/>
      <c r="AM39" s="22"/>
      <c r="AO39" s="20"/>
    </row>
    <row r="40" spans="1:41" s="1" customFormat="1" ht="52">
      <c r="A40" s="41"/>
      <c r="AF40" s="36" t="s">
        <v>711</v>
      </c>
      <c r="AG40" s="36" t="s">
        <v>712</v>
      </c>
      <c r="AH40" s="36" t="s">
        <v>711</v>
      </c>
      <c r="AI40" s="36" t="s">
        <v>712</v>
      </c>
      <c r="AJ40" s="36" t="s">
        <v>711</v>
      </c>
      <c r="AK40" s="36" t="s">
        <v>712</v>
      </c>
      <c r="AL40" s="36" t="s">
        <v>711</v>
      </c>
      <c r="AM40" s="36" t="s">
        <v>712</v>
      </c>
      <c r="AO40" s="11"/>
    </row>
    <row r="41" spans="1:41" s="1" customFormat="1">
      <c r="A41" s="22">
        <v>80</v>
      </c>
      <c r="B41" s="18" t="s">
        <v>0</v>
      </c>
      <c r="C41" s="18"/>
      <c r="D41" s="18" t="s">
        <v>402</v>
      </c>
      <c r="E41" s="19"/>
      <c r="F41" s="18"/>
      <c r="G41" s="18"/>
      <c r="H41" s="18"/>
      <c r="I41" s="18" t="s">
        <v>446</v>
      </c>
      <c r="J41" s="18"/>
      <c r="K41" s="18" t="s">
        <v>447</v>
      </c>
      <c r="L41" s="18"/>
      <c r="M41" s="18" t="s">
        <v>448</v>
      </c>
      <c r="N41" s="18" t="s">
        <v>449</v>
      </c>
      <c r="O41" s="18"/>
      <c r="P41" s="18"/>
      <c r="Q41" s="21"/>
      <c r="R41" s="21"/>
      <c r="S41" s="21"/>
      <c r="T41" s="21"/>
      <c r="U41" s="21"/>
      <c r="V41" s="21"/>
      <c r="W41" s="21"/>
      <c r="X41" s="21"/>
      <c r="Y41" s="21"/>
      <c r="Z41" s="23"/>
      <c r="AA41" s="21"/>
      <c r="AB41" s="21"/>
      <c r="AC41" s="21"/>
      <c r="AD41" s="21"/>
      <c r="AE41" s="23"/>
      <c r="AF41" s="22"/>
      <c r="AG41" s="22" t="s">
        <v>450</v>
      </c>
      <c r="AH41" s="22" t="s">
        <v>451</v>
      </c>
      <c r="AI41" s="22"/>
      <c r="AJ41" s="22" t="s">
        <v>452</v>
      </c>
      <c r="AK41" s="22"/>
      <c r="AL41" s="22"/>
      <c r="AM41" s="22"/>
      <c r="AN41" s="23"/>
      <c r="AO41" s="20"/>
    </row>
    <row r="42" spans="1:41" s="1" customFormat="1">
      <c r="A42" s="22">
        <v>80</v>
      </c>
      <c r="B42" s="22"/>
      <c r="C42" s="22"/>
      <c r="D42" s="22" t="s">
        <v>28</v>
      </c>
      <c r="E42" s="31" t="s">
        <v>594</v>
      </c>
      <c r="F42" s="22" t="s">
        <v>29</v>
      </c>
      <c r="G42" s="22" t="s">
        <v>9</v>
      </c>
      <c r="H42" s="22"/>
      <c r="I42" s="22" t="s">
        <v>441</v>
      </c>
      <c r="J42" s="22"/>
      <c r="K42" s="22" t="s">
        <v>15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AA42" s="22" t="s">
        <v>362</v>
      </c>
      <c r="AB42" s="22" t="s">
        <v>66</v>
      </c>
      <c r="AC42" s="22" t="s">
        <v>362</v>
      </c>
      <c r="AD42" s="22" t="s">
        <v>223</v>
      </c>
      <c r="AF42" s="22"/>
      <c r="AG42" s="22"/>
      <c r="AH42" s="22"/>
      <c r="AI42" s="22"/>
      <c r="AJ42" s="22"/>
      <c r="AK42" s="22"/>
      <c r="AL42" s="22"/>
      <c r="AM42" s="22"/>
      <c r="AO42" s="20"/>
    </row>
    <row r="43" spans="1:41" s="1" customFormat="1">
      <c r="A43" s="22">
        <v>80</v>
      </c>
      <c r="B43" s="22"/>
      <c r="C43" s="22"/>
      <c r="D43" s="22" t="s">
        <v>102</v>
      </c>
      <c r="E43" s="31" t="s">
        <v>591</v>
      </c>
      <c r="F43" s="22" t="s">
        <v>49</v>
      </c>
      <c r="G43" s="22" t="s">
        <v>9</v>
      </c>
      <c r="H43" s="22"/>
      <c r="I43" s="22" t="s">
        <v>441</v>
      </c>
      <c r="J43" s="22"/>
      <c r="K43" s="22" t="s">
        <v>15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AA43" s="22" t="s">
        <v>362</v>
      </c>
      <c r="AB43" s="22" t="s">
        <v>66</v>
      </c>
      <c r="AC43" s="22" t="s">
        <v>66</v>
      </c>
      <c r="AD43" s="22" t="s">
        <v>66</v>
      </c>
      <c r="AF43" s="22"/>
      <c r="AG43" s="22" t="s">
        <v>14</v>
      </c>
      <c r="AH43" s="22" t="s">
        <v>14</v>
      </c>
      <c r="AI43" s="22"/>
      <c r="AJ43" s="22"/>
      <c r="AK43" s="22"/>
      <c r="AL43" s="22"/>
      <c r="AM43" s="22"/>
      <c r="AO43" s="20"/>
    </row>
    <row r="44" spans="1:41" s="1" customFormat="1">
      <c r="A44" s="22">
        <v>80</v>
      </c>
      <c r="B44" s="22"/>
      <c r="C44" s="22"/>
      <c r="D44" s="22" t="s">
        <v>98</v>
      </c>
      <c r="E44" s="3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AA44" s="22"/>
      <c r="AB44" s="22"/>
      <c r="AC44" s="22"/>
      <c r="AD44" s="22"/>
      <c r="AF44" s="22"/>
      <c r="AG44" s="22"/>
      <c r="AH44" s="22"/>
      <c r="AI44" s="22"/>
      <c r="AJ44" s="22"/>
      <c r="AK44" s="22"/>
      <c r="AL44" s="22"/>
      <c r="AM44" s="22"/>
      <c r="AO44" s="20"/>
    </row>
    <row r="45" spans="1:41" s="1" customFormat="1">
      <c r="A45" s="22">
        <v>80</v>
      </c>
      <c r="B45" s="22"/>
      <c r="C45" s="22"/>
      <c r="D45" s="22" t="s">
        <v>124</v>
      </c>
      <c r="E45" s="31" t="s">
        <v>586</v>
      </c>
      <c r="F45" s="22" t="s">
        <v>125</v>
      </c>
      <c r="G45" s="22" t="s">
        <v>126</v>
      </c>
      <c r="H45" s="22"/>
      <c r="I45" s="22" t="s">
        <v>434</v>
      </c>
      <c r="J45" s="22"/>
      <c r="K45" s="22" t="s">
        <v>366</v>
      </c>
      <c r="L45" s="22"/>
      <c r="M45" s="22"/>
      <c r="N45" s="22"/>
      <c r="O45" s="22" t="s">
        <v>410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AA45" s="22" t="s">
        <v>362</v>
      </c>
      <c r="AB45" s="22" t="s">
        <v>66</v>
      </c>
      <c r="AC45" s="22" t="s">
        <v>66</v>
      </c>
      <c r="AD45" s="22" t="s">
        <v>66</v>
      </c>
      <c r="AF45" s="22"/>
      <c r="AG45" s="22" t="s">
        <v>14</v>
      </c>
      <c r="AH45" s="22" t="s">
        <v>14</v>
      </c>
      <c r="AI45" s="22"/>
      <c r="AJ45" s="22" t="s">
        <v>14</v>
      </c>
      <c r="AK45" s="22"/>
      <c r="AL45" s="22"/>
      <c r="AM45" s="22"/>
      <c r="AO45" s="20"/>
    </row>
    <row r="46" spans="1:41" s="1" customFormat="1">
      <c r="A46" s="22">
        <v>80</v>
      </c>
      <c r="B46" s="22"/>
      <c r="C46" s="22"/>
      <c r="D46" s="22" t="s">
        <v>129</v>
      </c>
      <c r="E46" s="31" t="s">
        <v>587</v>
      </c>
      <c r="F46" s="22" t="s">
        <v>128</v>
      </c>
      <c r="G46" s="22" t="s">
        <v>1</v>
      </c>
      <c r="H46" s="22"/>
      <c r="I46" s="22" t="s">
        <v>359</v>
      </c>
      <c r="J46" s="22"/>
      <c r="K46" s="22" t="s">
        <v>366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AA46" s="22" t="s">
        <v>66</v>
      </c>
      <c r="AB46" s="22" t="s">
        <v>66</v>
      </c>
      <c r="AC46" s="22" t="s">
        <v>66</v>
      </c>
      <c r="AD46" s="22" t="s">
        <v>66</v>
      </c>
      <c r="AF46" s="22"/>
      <c r="AG46" s="22" t="s">
        <v>14</v>
      </c>
      <c r="AH46" s="22"/>
      <c r="AI46" s="22"/>
      <c r="AJ46" s="22"/>
      <c r="AK46" s="22"/>
      <c r="AL46" s="22"/>
      <c r="AM46" s="22"/>
      <c r="AO46" s="20"/>
    </row>
    <row r="47" spans="1:41" s="1" customFormat="1" ht="26">
      <c r="A47" s="22">
        <v>80</v>
      </c>
      <c r="B47" s="22"/>
      <c r="C47" s="22"/>
      <c r="D47" s="22" t="s">
        <v>127</v>
      </c>
      <c r="E47" s="31" t="s">
        <v>595</v>
      </c>
      <c r="F47" s="22" t="s">
        <v>130</v>
      </c>
      <c r="G47" s="22" t="s">
        <v>1</v>
      </c>
      <c r="H47" s="22"/>
      <c r="I47" s="22" t="s">
        <v>359</v>
      </c>
      <c r="J47" s="22"/>
      <c r="K47" s="22" t="s">
        <v>366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AA47" s="22" t="s">
        <v>362</v>
      </c>
      <c r="AB47" s="22" t="s">
        <v>66</v>
      </c>
      <c r="AC47" s="22" t="s">
        <v>66</v>
      </c>
      <c r="AD47" s="22" t="s">
        <v>66</v>
      </c>
      <c r="AF47" s="22"/>
      <c r="AG47" s="22" t="s">
        <v>14</v>
      </c>
      <c r="AH47" s="22" t="s">
        <v>14</v>
      </c>
      <c r="AI47" s="22"/>
      <c r="AJ47" s="22"/>
      <c r="AK47" s="22"/>
      <c r="AL47" s="22"/>
      <c r="AM47" s="22"/>
      <c r="AO47" s="20"/>
    </row>
    <row r="48" spans="1:41" s="1" customFormat="1" ht="26">
      <c r="A48" s="22">
        <v>80</v>
      </c>
      <c r="B48" s="22"/>
      <c r="C48" s="22"/>
      <c r="D48" s="22" t="s">
        <v>343</v>
      </c>
      <c r="E48" s="31" t="s">
        <v>596</v>
      </c>
      <c r="F48" s="22" t="s">
        <v>336</v>
      </c>
      <c r="G48" s="22" t="s">
        <v>1</v>
      </c>
      <c r="H48" s="22"/>
      <c r="I48" s="22" t="s">
        <v>361</v>
      </c>
      <c r="J48" s="22"/>
      <c r="K48" s="22" t="s">
        <v>433</v>
      </c>
      <c r="L48" s="22"/>
      <c r="M48" s="22"/>
      <c r="N48" s="22"/>
      <c r="O48" s="22"/>
      <c r="P48" s="22"/>
      <c r="Q48" s="22" t="s">
        <v>453</v>
      </c>
      <c r="R48" s="22"/>
      <c r="S48" s="22" t="s">
        <v>454</v>
      </c>
      <c r="T48" s="22"/>
      <c r="U48" s="22"/>
      <c r="V48" s="22"/>
      <c r="W48" s="22"/>
      <c r="X48" s="22"/>
      <c r="Y48" s="22"/>
      <c r="AA48" s="22" t="s">
        <v>362</v>
      </c>
      <c r="AB48" s="22" t="s">
        <v>66</v>
      </c>
      <c r="AC48" s="22" t="s">
        <v>66</v>
      </c>
      <c r="AD48" s="22" t="s">
        <v>66</v>
      </c>
      <c r="AF48" s="22"/>
      <c r="AG48" s="22" t="s">
        <v>14</v>
      </c>
      <c r="AH48" s="22" t="s">
        <v>14</v>
      </c>
      <c r="AI48" s="22"/>
      <c r="AJ48" s="22"/>
      <c r="AK48" s="22"/>
      <c r="AL48" s="22"/>
      <c r="AM48" s="22"/>
      <c r="AO48" s="20"/>
    </row>
    <row r="49" spans="1:41" s="1" customFormat="1" ht="26">
      <c r="A49" s="22">
        <v>80</v>
      </c>
      <c r="B49" s="22"/>
      <c r="C49" s="22"/>
      <c r="D49" s="22" t="s">
        <v>344</v>
      </c>
      <c r="E49" s="31" t="s">
        <v>597</v>
      </c>
      <c r="F49" s="22" t="s">
        <v>337</v>
      </c>
      <c r="G49" s="22" t="s">
        <v>1</v>
      </c>
      <c r="H49" s="22"/>
      <c r="I49" s="22" t="s">
        <v>363</v>
      </c>
      <c r="J49" s="22"/>
      <c r="K49" s="22" t="s">
        <v>366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AA49" s="22" t="s">
        <v>66</v>
      </c>
      <c r="AB49" s="22" t="s">
        <v>66</v>
      </c>
      <c r="AC49" s="22" t="s">
        <v>66</v>
      </c>
      <c r="AD49" s="22" t="s">
        <v>66</v>
      </c>
      <c r="AF49" s="22"/>
      <c r="AG49" s="22" t="s">
        <v>14</v>
      </c>
      <c r="AH49" s="22"/>
      <c r="AI49" s="22"/>
      <c r="AJ49" s="22"/>
      <c r="AK49" s="22"/>
      <c r="AL49" s="22"/>
      <c r="AM49" s="22"/>
      <c r="AO49" s="20"/>
    </row>
    <row r="50" spans="1:41" s="1" customFormat="1" ht="26">
      <c r="A50" s="22">
        <v>80</v>
      </c>
      <c r="B50" s="22"/>
      <c r="C50" s="22"/>
      <c r="D50" s="22" t="s">
        <v>131</v>
      </c>
      <c r="E50" s="31" t="s">
        <v>598</v>
      </c>
      <c r="F50" s="22" t="s">
        <v>132</v>
      </c>
      <c r="G50" s="22" t="s">
        <v>1</v>
      </c>
      <c r="H50" s="22"/>
      <c r="I50" s="22" t="s">
        <v>364</v>
      </c>
      <c r="J50" s="22"/>
      <c r="K50" s="22" t="s">
        <v>433</v>
      </c>
      <c r="L50" s="22"/>
      <c r="M50" s="22"/>
      <c r="N50" s="22"/>
      <c r="O50" s="22"/>
      <c r="P50" s="22"/>
      <c r="Q50" s="22" t="s">
        <v>455</v>
      </c>
      <c r="R50" s="22"/>
      <c r="S50" s="22" t="s">
        <v>456</v>
      </c>
      <c r="T50" s="22"/>
      <c r="U50" s="22"/>
      <c r="V50" s="22"/>
      <c r="W50" s="22"/>
      <c r="X50" s="22"/>
      <c r="Y50" s="22"/>
      <c r="AA50" s="22" t="s">
        <v>14</v>
      </c>
      <c r="AB50" s="22" t="s">
        <v>66</v>
      </c>
      <c r="AC50" s="22" t="s">
        <v>66</v>
      </c>
      <c r="AD50" s="22" t="s">
        <v>66</v>
      </c>
      <c r="AF50" s="22"/>
      <c r="AG50" s="22" t="s">
        <v>14</v>
      </c>
      <c r="AH50" s="22" t="s">
        <v>14</v>
      </c>
      <c r="AI50" s="22"/>
      <c r="AJ50" s="22"/>
      <c r="AK50" s="22"/>
      <c r="AL50" s="22"/>
      <c r="AM50" s="22"/>
      <c r="AO50" s="20"/>
    </row>
    <row r="51" spans="1:41" s="1" customFormat="1">
      <c r="A51" s="22">
        <v>80</v>
      </c>
      <c r="B51" s="22"/>
      <c r="C51" s="22"/>
      <c r="D51" s="22" t="s">
        <v>133</v>
      </c>
      <c r="E51" s="31" t="s">
        <v>599</v>
      </c>
      <c r="F51" s="22" t="s">
        <v>134</v>
      </c>
      <c r="G51" s="22" t="s">
        <v>1</v>
      </c>
      <c r="H51" s="22"/>
      <c r="I51" s="22" t="s">
        <v>365</v>
      </c>
      <c r="J51" s="22"/>
      <c r="K51" s="22" t="s">
        <v>366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AA51" s="22" t="s">
        <v>66</v>
      </c>
      <c r="AB51" s="22" t="s">
        <v>66</v>
      </c>
      <c r="AC51" s="22" t="s">
        <v>66</v>
      </c>
      <c r="AD51" s="22" t="s">
        <v>66</v>
      </c>
      <c r="AF51" s="22"/>
      <c r="AG51" s="22" t="s">
        <v>14</v>
      </c>
      <c r="AH51" s="22"/>
      <c r="AI51" s="22"/>
      <c r="AJ51" s="22"/>
      <c r="AK51" s="22"/>
      <c r="AL51" s="22"/>
      <c r="AM51" s="22"/>
      <c r="AO51" s="20"/>
    </row>
    <row r="52" spans="1:41" s="1" customFormat="1" ht="26">
      <c r="A52" s="22">
        <v>80</v>
      </c>
      <c r="B52" s="22"/>
      <c r="C52" s="22"/>
      <c r="D52" s="22" t="s">
        <v>135</v>
      </c>
      <c r="E52" s="31" t="s">
        <v>600</v>
      </c>
      <c r="F52" s="22" t="s">
        <v>137</v>
      </c>
      <c r="G52" s="22" t="s">
        <v>1</v>
      </c>
      <c r="H52" s="22"/>
      <c r="I52" s="22" t="s">
        <v>457</v>
      </c>
      <c r="J52" s="22"/>
      <c r="K52" s="22" t="s">
        <v>433</v>
      </c>
      <c r="L52" s="22"/>
      <c r="M52" s="22"/>
      <c r="N52" s="22"/>
      <c r="O52" s="22"/>
      <c r="P52" s="22"/>
      <c r="Q52" s="22" t="s">
        <v>458</v>
      </c>
      <c r="R52" s="22"/>
      <c r="S52" s="22" t="s">
        <v>459</v>
      </c>
      <c r="T52" s="22"/>
      <c r="U52" s="22"/>
      <c r="V52" s="22" t="s">
        <v>460</v>
      </c>
      <c r="W52" s="22"/>
      <c r="X52" s="22"/>
      <c r="Y52" s="22"/>
      <c r="AA52" s="22" t="s">
        <v>14</v>
      </c>
      <c r="AB52" s="22" t="s">
        <v>66</v>
      </c>
      <c r="AC52" s="22" t="s">
        <v>66</v>
      </c>
      <c r="AD52" s="22" t="s">
        <v>66</v>
      </c>
      <c r="AF52" s="22"/>
      <c r="AG52" s="22" t="s">
        <v>14</v>
      </c>
      <c r="AH52" s="22" t="s">
        <v>14</v>
      </c>
      <c r="AI52" s="22"/>
      <c r="AJ52" s="22"/>
      <c r="AK52" s="22"/>
      <c r="AL52" s="22"/>
      <c r="AM52" s="22"/>
      <c r="AO52" s="20"/>
    </row>
    <row r="53" spans="1:41" s="1" customFormat="1" ht="26">
      <c r="A53" s="22">
        <v>80</v>
      </c>
      <c r="B53" s="22"/>
      <c r="C53" s="22"/>
      <c r="D53" s="22" t="s">
        <v>136</v>
      </c>
      <c r="E53" s="31" t="s">
        <v>601</v>
      </c>
      <c r="F53" s="22" t="s">
        <v>138</v>
      </c>
      <c r="G53" s="22" t="s">
        <v>1</v>
      </c>
      <c r="H53" s="22"/>
      <c r="I53" s="22" t="s">
        <v>461</v>
      </c>
      <c r="J53" s="22"/>
      <c r="K53" s="22" t="s">
        <v>366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AA53" s="22" t="s">
        <v>66</v>
      </c>
      <c r="AB53" s="22" t="s">
        <v>66</v>
      </c>
      <c r="AC53" s="22" t="s">
        <v>66</v>
      </c>
      <c r="AD53" s="22" t="s">
        <v>66</v>
      </c>
      <c r="AF53" s="22"/>
      <c r="AG53" s="22" t="s">
        <v>14</v>
      </c>
      <c r="AH53" s="22"/>
      <c r="AI53" s="22"/>
      <c r="AJ53" s="22"/>
      <c r="AK53" s="22"/>
      <c r="AL53" s="22"/>
      <c r="AM53" s="22"/>
      <c r="AO53" s="20"/>
    </row>
    <row r="54" spans="1:41" s="1" customFormat="1" ht="26">
      <c r="A54" s="22">
        <v>80</v>
      </c>
      <c r="B54" s="22"/>
      <c r="C54" s="22"/>
      <c r="D54" s="22" t="s">
        <v>242</v>
      </c>
      <c r="E54" s="31" t="s">
        <v>602</v>
      </c>
      <c r="F54" s="22" t="s">
        <v>240</v>
      </c>
      <c r="G54" s="22" t="s">
        <v>1</v>
      </c>
      <c r="H54" s="22"/>
      <c r="I54" s="22" t="s">
        <v>457</v>
      </c>
      <c r="J54" s="22"/>
      <c r="K54" s="22" t="s">
        <v>433</v>
      </c>
      <c r="L54" s="22"/>
      <c r="M54" s="22"/>
      <c r="N54" s="22"/>
      <c r="O54" s="22"/>
      <c r="P54" s="22"/>
      <c r="Q54" s="22" t="s">
        <v>458</v>
      </c>
      <c r="R54" s="22"/>
      <c r="S54" s="22" t="s">
        <v>243</v>
      </c>
      <c r="T54" s="22"/>
      <c r="U54" s="22"/>
      <c r="V54" s="22" t="s">
        <v>460</v>
      </c>
      <c r="W54" s="22"/>
      <c r="X54" s="22"/>
      <c r="Y54" s="22"/>
      <c r="AA54" s="22" t="s">
        <v>14</v>
      </c>
      <c r="AB54" s="22" t="s">
        <v>66</v>
      </c>
      <c r="AC54" s="22" t="s">
        <v>66</v>
      </c>
      <c r="AD54" s="22" t="s">
        <v>66</v>
      </c>
      <c r="AF54" s="22"/>
      <c r="AG54" s="22" t="s">
        <v>14</v>
      </c>
      <c r="AH54" s="22" t="s">
        <v>14</v>
      </c>
      <c r="AI54" s="22"/>
      <c r="AJ54" s="22"/>
      <c r="AK54" s="22"/>
      <c r="AL54" s="22"/>
      <c r="AM54" s="22"/>
      <c r="AO54" s="20"/>
    </row>
    <row r="55" spans="1:41" s="1" customFormat="1" ht="26">
      <c r="A55" s="22">
        <v>80</v>
      </c>
      <c r="B55" s="22"/>
      <c r="C55" s="22"/>
      <c r="D55" s="22" t="s">
        <v>243</v>
      </c>
      <c r="E55" s="31" t="s">
        <v>603</v>
      </c>
      <c r="F55" s="22" t="s">
        <v>241</v>
      </c>
      <c r="G55" s="22" t="s">
        <v>1</v>
      </c>
      <c r="H55" s="22"/>
      <c r="I55" s="22" t="s">
        <v>461</v>
      </c>
      <c r="J55" s="22"/>
      <c r="K55" s="22" t="s">
        <v>366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AA55" s="22" t="s">
        <v>66</v>
      </c>
      <c r="AB55" s="22" t="s">
        <v>66</v>
      </c>
      <c r="AC55" s="22" t="s">
        <v>66</v>
      </c>
      <c r="AD55" s="22" t="s">
        <v>66</v>
      </c>
      <c r="AF55" s="22"/>
      <c r="AG55" s="22" t="s">
        <v>14</v>
      </c>
      <c r="AH55" s="22"/>
      <c r="AI55" s="22"/>
      <c r="AJ55" s="22"/>
      <c r="AK55" s="22"/>
      <c r="AL55" s="22"/>
      <c r="AM55" s="22"/>
      <c r="AO55" s="20"/>
    </row>
    <row r="56" spans="1:41" s="1" customFormat="1" ht="26">
      <c r="A56" s="22">
        <v>80</v>
      </c>
      <c r="B56" s="22"/>
      <c r="C56" s="22"/>
      <c r="D56" s="22" t="s">
        <v>246</v>
      </c>
      <c r="E56" s="31" t="s">
        <v>604</v>
      </c>
      <c r="F56" s="22" t="s">
        <v>244</v>
      </c>
      <c r="G56" s="22" t="s">
        <v>1</v>
      </c>
      <c r="H56" s="22"/>
      <c r="I56" s="22" t="s">
        <v>457</v>
      </c>
      <c r="J56" s="22"/>
      <c r="K56" s="22" t="s">
        <v>433</v>
      </c>
      <c r="L56" s="22"/>
      <c r="M56" s="22"/>
      <c r="N56" s="22"/>
      <c r="O56" s="22"/>
      <c r="P56" s="22"/>
      <c r="Q56" s="22" t="s">
        <v>458</v>
      </c>
      <c r="R56" s="22"/>
      <c r="S56" s="22" t="s">
        <v>247</v>
      </c>
      <c r="T56" s="22"/>
      <c r="U56" s="22"/>
      <c r="V56" s="22" t="s">
        <v>460</v>
      </c>
      <c r="W56" s="22"/>
      <c r="X56" s="22"/>
      <c r="Y56" s="22"/>
      <c r="AA56" s="22" t="s">
        <v>14</v>
      </c>
      <c r="AB56" s="22" t="s">
        <v>66</v>
      </c>
      <c r="AC56" s="22" t="s">
        <v>66</v>
      </c>
      <c r="AD56" s="22" t="s">
        <v>66</v>
      </c>
      <c r="AF56" s="22"/>
      <c r="AG56" s="22" t="s">
        <v>14</v>
      </c>
      <c r="AH56" s="22" t="s">
        <v>14</v>
      </c>
      <c r="AI56" s="22"/>
      <c r="AJ56" s="22"/>
      <c r="AK56" s="22"/>
      <c r="AL56" s="22"/>
      <c r="AM56" s="22"/>
      <c r="AO56" s="20"/>
    </row>
    <row r="57" spans="1:41" s="1" customFormat="1" ht="26">
      <c r="A57" s="22">
        <v>80</v>
      </c>
      <c r="B57" s="22"/>
      <c r="C57" s="22"/>
      <c r="D57" s="22" t="s">
        <v>247</v>
      </c>
      <c r="E57" s="31" t="s">
        <v>605</v>
      </c>
      <c r="F57" s="22" t="s">
        <v>245</v>
      </c>
      <c r="G57" s="22" t="s">
        <v>1</v>
      </c>
      <c r="H57" s="22"/>
      <c r="I57" s="22" t="s">
        <v>461</v>
      </c>
      <c r="J57" s="22"/>
      <c r="K57" s="22" t="s">
        <v>366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AA57" s="22" t="s">
        <v>66</v>
      </c>
      <c r="AB57" s="22" t="s">
        <v>66</v>
      </c>
      <c r="AC57" s="22" t="s">
        <v>66</v>
      </c>
      <c r="AD57" s="22" t="s">
        <v>66</v>
      </c>
      <c r="AF57" s="22"/>
      <c r="AG57" s="22" t="s">
        <v>14</v>
      </c>
      <c r="AH57" s="22"/>
      <c r="AI57" s="22"/>
      <c r="AJ57" s="22"/>
      <c r="AK57" s="22"/>
      <c r="AL57" s="22"/>
      <c r="AM57" s="22"/>
      <c r="AO57" s="20"/>
    </row>
    <row r="58" spans="1:41" s="1" customFormat="1" ht="26">
      <c r="A58" s="22">
        <v>80</v>
      </c>
      <c r="B58" s="22"/>
      <c r="C58" s="22"/>
      <c r="D58" s="22" t="s">
        <v>280</v>
      </c>
      <c r="E58" s="31" t="s">
        <v>606</v>
      </c>
      <c r="F58" s="22" t="s">
        <v>248</v>
      </c>
      <c r="G58" s="22" t="s">
        <v>1</v>
      </c>
      <c r="H58" s="22"/>
      <c r="I58" s="22" t="s">
        <v>457</v>
      </c>
      <c r="J58" s="22"/>
      <c r="K58" s="22" t="s">
        <v>433</v>
      </c>
      <c r="L58" s="22"/>
      <c r="M58" s="22"/>
      <c r="N58" s="22"/>
      <c r="O58" s="22"/>
      <c r="P58" s="22"/>
      <c r="Q58" s="22" t="s">
        <v>458</v>
      </c>
      <c r="R58" s="22"/>
      <c r="S58" s="22" t="s">
        <v>281</v>
      </c>
      <c r="T58" s="22"/>
      <c r="U58" s="22"/>
      <c r="V58" s="22" t="s">
        <v>460</v>
      </c>
      <c r="W58" s="22"/>
      <c r="X58" s="22"/>
      <c r="Y58" s="22" t="s">
        <v>374</v>
      </c>
      <c r="AA58" s="22" t="s">
        <v>14</v>
      </c>
      <c r="AB58" s="22" t="s">
        <v>66</v>
      </c>
      <c r="AC58" s="22" t="s">
        <v>66</v>
      </c>
      <c r="AD58" s="22" t="s">
        <v>66</v>
      </c>
      <c r="AF58" s="22"/>
      <c r="AG58" s="22" t="s">
        <v>14</v>
      </c>
      <c r="AH58" s="22" t="s">
        <v>14</v>
      </c>
      <c r="AI58" s="22"/>
      <c r="AJ58" s="22"/>
      <c r="AK58" s="22"/>
      <c r="AL58" s="22"/>
      <c r="AM58" s="22"/>
      <c r="AO58" s="20"/>
    </row>
    <row r="59" spans="1:41" s="1" customFormat="1" ht="26">
      <c r="A59" s="22">
        <v>80</v>
      </c>
      <c r="B59" s="22"/>
      <c r="C59" s="22"/>
      <c r="D59" s="22" t="s">
        <v>281</v>
      </c>
      <c r="E59" s="31" t="s">
        <v>607</v>
      </c>
      <c r="F59" s="22" t="s">
        <v>249</v>
      </c>
      <c r="G59" s="22" t="s">
        <v>1</v>
      </c>
      <c r="H59" s="22"/>
      <c r="I59" s="22" t="s">
        <v>461</v>
      </c>
      <c r="J59" s="22"/>
      <c r="K59" s="22" t="s">
        <v>366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 t="s">
        <v>374</v>
      </c>
      <c r="AA59" s="22" t="s">
        <v>66</v>
      </c>
      <c r="AB59" s="22" t="s">
        <v>66</v>
      </c>
      <c r="AC59" s="22" t="s">
        <v>66</v>
      </c>
      <c r="AD59" s="22" t="s">
        <v>66</v>
      </c>
      <c r="AF59" s="22"/>
      <c r="AG59" s="22" t="s">
        <v>14</v>
      </c>
      <c r="AH59" s="22"/>
      <c r="AI59" s="22"/>
      <c r="AJ59" s="22"/>
      <c r="AK59" s="22"/>
      <c r="AL59" s="22"/>
      <c r="AM59" s="22"/>
      <c r="AO59" s="20"/>
    </row>
    <row r="60" spans="1:41" s="1" customFormat="1" ht="26">
      <c r="A60" s="22">
        <v>80</v>
      </c>
      <c r="B60" s="22"/>
      <c r="C60" s="22"/>
      <c r="D60" s="22" t="s">
        <v>282</v>
      </c>
      <c r="E60" s="31" t="s">
        <v>608</v>
      </c>
      <c r="F60" s="22" t="s">
        <v>250</v>
      </c>
      <c r="G60" s="22" t="s">
        <v>1</v>
      </c>
      <c r="H60" s="22"/>
      <c r="I60" s="22" t="s">
        <v>457</v>
      </c>
      <c r="J60" s="22"/>
      <c r="K60" s="22" t="s">
        <v>433</v>
      </c>
      <c r="L60" s="22"/>
      <c r="M60" s="22"/>
      <c r="N60" s="22"/>
      <c r="O60" s="22"/>
      <c r="P60" s="22"/>
      <c r="Q60" s="22" t="s">
        <v>458</v>
      </c>
      <c r="R60" s="22"/>
      <c r="S60" s="22" t="s">
        <v>462</v>
      </c>
      <c r="T60" s="22"/>
      <c r="U60" s="22"/>
      <c r="V60" s="22" t="s">
        <v>460</v>
      </c>
      <c r="W60" s="22"/>
      <c r="X60" s="22"/>
      <c r="Y60" s="22" t="s">
        <v>463</v>
      </c>
      <c r="AA60" s="22" t="s">
        <v>14</v>
      </c>
      <c r="AB60" s="22" t="s">
        <v>66</v>
      </c>
      <c r="AC60" s="22" t="s">
        <v>66</v>
      </c>
      <c r="AD60" s="22" t="s">
        <v>66</v>
      </c>
      <c r="AF60" s="22"/>
      <c r="AG60" s="22" t="s">
        <v>14</v>
      </c>
      <c r="AH60" s="22" t="s">
        <v>14</v>
      </c>
      <c r="AI60" s="22"/>
      <c r="AJ60" s="22"/>
      <c r="AK60" s="22"/>
      <c r="AL60" s="22"/>
      <c r="AM60" s="22"/>
      <c r="AO60" s="20"/>
    </row>
    <row r="61" spans="1:41" s="1" customFormat="1" ht="26">
      <c r="A61" s="22">
        <v>80</v>
      </c>
      <c r="B61" s="22"/>
      <c r="C61" s="22"/>
      <c r="D61" s="22" t="s">
        <v>283</v>
      </c>
      <c r="E61" s="31" t="s">
        <v>609</v>
      </c>
      <c r="F61" s="22" t="s">
        <v>251</v>
      </c>
      <c r="G61" s="22" t="s">
        <v>1</v>
      </c>
      <c r="H61" s="22"/>
      <c r="I61" s="22" t="s">
        <v>461</v>
      </c>
      <c r="J61" s="22"/>
      <c r="K61" s="22" t="s">
        <v>366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 t="s">
        <v>463</v>
      </c>
      <c r="AA61" s="22" t="s">
        <v>66</v>
      </c>
      <c r="AB61" s="22" t="s">
        <v>66</v>
      </c>
      <c r="AC61" s="22" t="s">
        <v>66</v>
      </c>
      <c r="AD61" s="22" t="s">
        <v>66</v>
      </c>
      <c r="AF61" s="22"/>
      <c r="AG61" s="22" t="s">
        <v>14</v>
      </c>
      <c r="AH61" s="22"/>
      <c r="AI61" s="22"/>
      <c r="AJ61" s="22"/>
      <c r="AK61" s="22"/>
      <c r="AL61" s="22"/>
      <c r="AM61" s="22"/>
      <c r="AO61" s="20"/>
    </row>
    <row r="62" spans="1:41" s="1" customFormat="1" ht="26">
      <c r="A62" s="22">
        <v>80</v>
      </c>
      <c r="B62" s="22"/>
      <c r="C62" s="22"/>
      <c r="D62" s="22" t="s">
        <v>284</v>
      </c>
      <c r="E62" s="31" t="s">
        <v>610</v>
      </c>
      <c r="F62" s="22" t="s">
        <v>252</v>
      </c>
      <c r="G62" s="22" t="s">
        <v>1</v>
      </c>
      <c r="H62" s="22"/>
      <c r="I62" s="22" t="s">
        <v>457</v>
      </c>
      <c r="J62" s="22"/>
      <c r="K62" s="22" t="s">
        <v>433</v>
      </c>
      <c r="L62" s="22"/>
      <c r="M62" s="22"/>
      <c r="N62" s="22"/>
      <c r="O62" s="22"/>
      <c r="P62" s="22"/>
      <c r="Q62" s="22" t="s">
        <v>458</v>
      </c>
      <c r="R62" s="22"/>
      <c r="S62" s="22" t="s">
        <v>464</v>
      </c>
      <c r="T62" s="22"/>
      <c r="U62" s="22"/>
      <c r="V62" s="22" t="s">
        <v>460</v>
      </c>
      <c r="W62" s="22"/>
      <c r="X62" s="22"/>
      <c r="Y62" s="22" t="s">
        <v>367</v>
      </c>
      <c r="AA62" s="22" t="s">
        <v>14</v>
      </c>
      <c r="AB62" s="22" t="s">
        <v>66</v>
      </c>
      <c r="AC62" s="22" t="s">
        <v>66</v>
      </c>
      <c r="AD62" s="22" t="s">
        <v>66</v>
      </c>
      <c r="AF62" s="22"/>
      <c r="AG62" s="22" t="s">
        <v>14</v>
      </c>
      <c r="AH62" s="22" t="s">
        <v>14</v>
      </c>
      <c r="AI62" s="22"/>
      <c r="AJ62" s="22"/>
      <c r="AK62" s="22"/>
      <c r="AL62" s="22"/>
      <c r="AM62" s="22"/>
      <c r="AO62" s="20"/>
    </row>
    <row r="63" spans="1:41" s="1" customFormat="1" ht="26">
      <c r="A63" s="22">
        <v>80</v>
      </c>
      <c r="B63" s="22"/>
      <c r="C63" s="22"/>
      <c r="D63" s="22" t="s">
        <v>285</v>
      </c>
      <c r="E63" s="31" t="s">
        <v>611</v>
      </c>
      <c r="F63" s="22" t="s">
        <v>253</v>
      </c>
      <c r="G63" s="22" t="s">
        <v>1</v>
      </c>
      <c r="H63" s="22"/>
      <c r="I63" s="22" t="s">
        <v>461</v>
      </c>
      <c r="J63" s="22"/>
      <c r="K63" s="22" t="s">
        <v>366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 t="s">
        <v>367</v>
      </c>
      <c r="AA63" s="22" t="s">
        <v>66</v>
      </c>
      <c r="AB63" s="22" t="s">
        <v>66</v>
      </c>
      <c r="AC63" s="22" t="s">
        <v>66</v>
      </c>
      <c r="AD63" s="22" t="s">
        <v>66</v>
      </c>
      <c r="AF63" s="22"/>
      <c r="AG63" s="22" t="s">
        <v>14</v>
      </c>
      <c r="AH63" s="22"/>
      <c r="AI63" s="22"/>
      <c r="AJ63" s="22"/>
      <c r="AK63" s="22"/>
      <c r="AL63" s="22"/>
      <c r="AM63" s="22"/>
      <c r="AO63" s="20"/>
    </row>
    <row r="64" spans="1:41" s="1" customFormat="1" ht="26">
      <c r="A64" s="22">
        <v>80</v>
      </c>
      <c r="B64" s="22"/>
      <c r="C64" s="22"/>
      <c r="D64" s="22" t="s">
        <v>286</v>
      </c>
      <c r="E64" s="31" t="s">
        <v>612</v>
      </c>
      <c r="F64" s="22" t="s">
        <v>254</v>
      </c>
      <c r="G64" s="22" t="s">
        <v>1</v>
      </c>
      <c r="H64" s="22"/>
      <c r="I64" s="22" t="s">
        <v>457</v>
      </c>
      <c r="J64" s="22"/>
      <c r="K64" s="22" t="s">
        <v>433</v>
      </c>
      <c r="L64" s="22"/>
      <c r="M64" s="22"/>
      <c r="N64" s="22"/>
      <c r="O64" s="22"/>
      <c r="P64" s="22"/>
      <c r="Q64" s="22" t="s">
        <v>458</v>
      </c>
      <c r="R64" s="22"/>
      <c r="S64" s="22" t="s">
        <v>465</v>
      </c>
      <c r="T64" s="22"/>
      <c r="U64" s="22"/>
      <c r="V64" s="22" t="s">
        <v>460</v>
      </c>
      <c r="W64" s="22"/>
      <c r="X64" s="22"/>
      <c r="Y64" s="22" t="s">
        <v>368</v>
      </c>
      <c r="AA64" s="22" t="s">
        <v>14</v>
      </c>
      <c r="AB64" s="22" t="s">
        <v>66</v>
      </c>
      <c r="AC64" s="22" t="s">
        <v>66</v>
      </c>
      <c r="AD64" s="22" t="s">
        <v>66</v>
      </c>
      <c r="AF64" s="22"/>
      <c r="AG64" s="22" t="s">
        <v>14</v>
      </c>
      <c r="AH64" s="22" t="s">
        <v>14</v>
      </c>
      <c r="AI64" s="22"/>
      <c r="AJ64" s="22"/>
      <c r="AK64" s="22"/>
      <c r="AL64" s="22"/>
      <c r="AM64" s="22"/>
      <c r="AO64" s="20"/>
    </row>
    <row r="65" spans="1:41" s="1" customFormat="1" ht="26">
      <c r="A65" s="22">
        <v>80</v>
      </c>
      <c r="B65" s="22"/>
      <c r="C65" s="22"/>
      <c r="D65" s="22" t="s">
        <v>287</v>
      </c>
      <c r="E65" s="31" t="s">
        <v>613</v>
      </c>
      <c r="F65" s="22" t="s">
        <v>255</v>
      </c>
      <c r="G65" s="22" t="s">
        <v>1</v>
      </c>
      <c r="H65" s="22"/>
      <c r="I65" s="22" t="s">
        <v>461</v>
      </c>
      <c r="J65" s="22"/>
      <c r="K65" s="22" t="s">
        <v>366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 t="s">
        <v>368</v>
      </c>
      <c r="AA65" s="22" t="s">
        <v>66</v>
      </c>
      <c r="AB65" s="22" t="s">
        <v>66</v>
      </c>
      <c r="AC65" s="22" t="s">
        <v>66</v>
      </c>
      <c r="AD65" s="22" t="s">
        <v>66</v>
      </c>
      <c r="AF65" s="22"/>
      <c r="AG65" s="22" t="s">
        <v>14</v>
      </c>
      <c r="AH65" s="22"/>
      <c r="AI65" s="22"/>
      <c r="AJ65" s="22"/>
      <c r="AK65" s="22"/>
      <c r="AL65" s="22"/>
      <c r="AM65" s="22"/>
      <c r="AO65" s="20"/>
    </row>
    <row r="66" spans="1:41" s="1" customFormat="1" ht="26">
      <c r="A66" s="22">
        <v>80</v>
      </c>
      <c r="B66" s="22"/>
      <c r="C66" s="22"/>
      <c r="D66" s="22" t="s">
        <v>288</v>
      </c>
      <c r="E66" s="31" t="s">
        <v>614</v>
      </c>
      <c r="F66" s="22" t="s">
        <v>256</v>
      </c>
      <c r="G66" s="22" t="s">
        <v>1</v>
      </c>
      <c r="H66" s="22"/>
      <c r="I66" s="22" t="s">
        <v>369</v>
      </c>
      <c r="J66" s="22"/>
      <c r="K66" s="22" t="s">
        <v>433</v>
      </c>
      <c r="L66" s="22"/>
      <c r="M66" s="22"/>
      <c r="N66" s="22"/>
      <c r="O66" s="22"/>
      <c r="P66" s="22"/>
      <c r="Q66" s="22" t="s">
        <v>466</v>
      </c>
      <c r="R66" s="22"/>
      <c r="S66" s="22" t="s">
        <v>289</v>
      </c>
      <c r="T66" s="22"/>
      <c r="U66" s="22"/>
      <c r="V66" s="22" t="s">
        <v>467</v>
      </c>
      <c r="W66" s="22"/>
      <c r="X66" s="22"/>
      <c r="Y66" s="22"/>
      <c r="AA66" s="22" t="s">
        <v>14</v>
      </c>
      <c r="AB66" s="22" t="s">
        <v>66</v>
      </c>
      <c r="AC66" s="22" t="s">
        <v>66</v>
      </c>
      <c r="AD66" s="22" t="s">
        <v>66</v>
      </c>
      <c r="AF66" s="22"/>
      <c r="AG66" s="22" t="s">
        <v>14</v>
      </c>
      <c r="AH66" s="22" t="s">
        <v>14</v>
      </c>
      <c r="AI66" s="22"/>
      <c r="AJ66" s="22"/>
      <c r="AK66" s="22"/>
      <c r="AL66" s="22"/>
      <c r="AM66" s="22"/>
      <c r="AO66" s="20"/>
    </row>
    <row r="67" spans="1:41" s="1" customFormat="1" ht="26">
      <c r="A67" s="22">
        <v>80</v>
      </c>
      <c r="B67" s="22"/>
      <c r="C67" s="22"/>
      <c r="D67" s="22" t="s">
        <v>289</v>
      </c>
      <c r="E67" s="31" t="s">
        <v>615</v>
      </c>
      <c r="F67" s="22" t="s">
        <v>257</v>
      </c>
      <c r="G67" s="22" t="s">
        <v>1</v>
      </c>
      <c r="H67" s="22"/>
      <c r="I67" s="22" t="s">
        <v>370</v>
      </c>
      <c r="J67" s="22"/>
      <c r="K67" s="22" t="s">
        <v>366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AA67" s="22" t="s">
        <v>66</v>
      </c>
      <c r="AB67" s="22" t="s">
        <v>66</v>
      </c>
      <c r="AC67" s="22" t="s">
        <v>66</v>
      </c>
      <c r="AD67" s="22" t="s">
        <v>66</v>
      </c>
      <c r="AF67" s="22"/>
      <c r="AG67" s="22" t="s">
        <v>14</v>
      </c>
      <c r="AH67" s="22"/>
      <c r="AI67" s="22"/>
      <c r="AJ67" s="22"/>
      <c r="AK67" s="22"/>
      <c r="AL67" s="22"/>
      <c r="AM67" s="22"/>
      <c r="AO67" s="20"/>
    </row>
    <row r="68" spans="1:41" s="1" customFormat="1" ht="39">
      <c r="A68" s="22">
        <v>80</v>
      </c>
      <c r="B68" s="22"/>
      <c r="C68" s="22"/>
      <c r="D68" s="22" t="s">
        <v>290</v>
      </c>
      <c r="E68" s="31" t="s">
        <v>616</v>
      </c>
      <c r="F68" s="22" t="s">
        <v>258</v>
      </c>
      <c r="G68" s="22" t="s">
        <v>1</v>
      </c>
      <c r="H68" s="22"/>
      <c r="I68" s="22" t="s">
        <v>369</v>
      </c>
      <c r="J68" s="22"/>
      <c r="K68" s="22" t="s">
        <v>433</v>
      </c>
      <c r="L68" s="22"/>
      <c r="M68" s="22"/>
      <c r="N68" s="22"/>
      <c r="O68" s="22"/>
      <c r="P68" s="22"/>
      <c r="Q68" s="22" t="s">
        <v>466</v>
      </c>
      <c r="R68" s="22"/>
      <c r="S68" s="22" t="s">
        <v>291</v>
      </c>
      <c r="T68" s="22"/>
      <c r="U68" s="22"/>
      <c r="V68" s="22" t="s">
        <v>467</v>
      </c>
      <c r="W68" s="22"/>
      <c r="X68" s="22"/>
      <c r="Y68" s="22"/>
      <c r="AA68" s="22" t="s">
        <v>14</v>
      </c>
      <c r="AB68" s="22" t="s">
        <v>66</v>
      </c>
      <c r="AC68" s="22" t="s">
        <v>66</v>
      </c>
      <c r="AD68" s="22" t="s">
        <v>66</v>
      </c>
      <c r="AF68" s="22"/>
      <c r="AG68" s="22" t="s">
        <v>14</v>
      </c>
      <c r="AH68" s="22" t="s">
        <v>14</v>
      </c>
      <c r="AI68" s="22"/>
      <c r="AJ68" s="22"/>
      <c r="AK68" s="22"/>
      <c r="AL68" s="22"/>
      <c r="AM68" s="22"/>
      <c r="AO68" s="20"/>
    </row>
    <row r="69" spans="1:41" s="1" customFormat="1" ht="26">
      <c r="A69" s="22">
        <v>80</v>
      </c>
      <c r="B69" s="22"/>
      <c r="C69" s="22"/>
      <c r="D69" s="22" t="s">
        <v>291</v>
      </c>
      <c r="E69" s="31" t="s">
        <v>617</v>
      </c>
      <c r="F69" s="22" t="s">
        <v>259</v>
      </c>
      <c r="G69" s="22" t="s">
        <v>1</v>
      </c>
      <c r="H69" s="22"/>
      <c r="I69" s="22" t="s">
        <v>370</v>
      </c>
      <c r="J69" s="22"/>
      <c r="K69" s="22" t="s">
        <v>366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AA69" s="22" t="s">
        <v>66</v>
      </c>
      <c r="AB69" s="22" t="s">
        <v>66</v>
      </c>
      <c r="AC69" s="22" t="s">
        <v>66</v>
      </c>
      <c r="AD69" s="22" t="s">
        <v>66</v>
      </c>
      <c r="AF69" s="22"/>
      <c r="AG69" s="22" t="s">
        <v>14</v>
      </c>
      <c r="AH69" s="22"/>
      <c r="AI69" s="22"/>
      <c r="AJ69" s="22"/>
      <c r="AK69" s="22"/>
      <c r="AL69" s="22"/>
      <c r="AM69" s="22"/>
      <c r="AO69" s="20"/>
    </row>
    <row r="70" spans="1:41" s="1" customFormat="1" ht="26">
      <c r="A70" s="22">
        <v>80</v>
      </c>
      <c r="B70" s="22"/>
      <c r="C70" s="22"/>
      <c r="D70" s="22" t="s">
        <v>292</v>
      </c>
      <c r="E70" s="31" t="s">
        <v>618</v>
      </c>
      <c r="F70" s="22" t="s">
        <v>260</v>
      </c>
      <c r="G70" s="22" t="s">
        <v>1</v>
      </c>
      <c r="H70" s="22"/>
      <c r="I70" s="22" t="s">
        <v>369</v>
      </c>
      <c r="J70" s="22"/>
      <c r="K70" s="22" t="s">
        <v>433</v>
      </c>
      <c r="L70" s="22"/>
      <c r="M70" s="22"/>
      <c r="N70" s="22"/>
      <c r="O70" s="22"/>
      <c r="P70" s="22"/>
      <c r="Q70" s="22" t="s">
        <v>466</v>
      </c>
      <c r="R70" s="22"/>
      <c r="S70" s="22" t="s">
        <v>293</v>
      </c>
      <c r="T70" s="22"/>
      <c r="U70" s="22"/>
      <c r="V70" s="22" t="s">
        <v>467</v>
      </c>
      <c r="W70" s="22"/>
      <c r="X70" s="22"/>
      <c r="Y70" s="22" t="s">
        <v>374</v>
      </c>
      <c r="AA70" s="22" t="s">
        <v>14</v>
      </c>
      <c r="AB70" s="22" t="s">
        <v>66</v>
      </c>
      <c r="AC70" s="22" t="s">
        <v>66</v>
      </c>
      <c r="AD70" s="22" t="s">
        <v>66</v>
      </c>
      <c r="AF70" s="22"/>
      <c r="AG70" s="22" t="s">
        <v>14</v>
      </c>
      <c r="AH70" s="22" t="s">
        <v>14</v>
      </c>
      <c r="AI70" s="22"/>
      <c r="AJ70" s="22"/>
      <c r="AK70" s="22"/>
      <c r="AL70" s="22"/>
      <c r="AM70" s="22"/>
      <c r="AO70" s="20"/>
    </row>
    <row r="71" spans="1:41" s="1" customFormat="1" ht="26">
      <c r="A71" s="22">
        <v>80</v>
      </c>
      <c r="B71" s="22"/>
      <c r="C71" s="22"/>
      <c r="D71" s="22" t="s">
        <v>293</v>
      </c>
      <c r="E71" s="31" t="s">
        <v>619</v>
      </c>
      <c r="F71" s="22" t="s">
        <v>261</v>
      </c>
      <c r="G71" s="22" t="s">
        <v>1</v>
      </c>
      <c r="H71" s="22"/>
      <c r="I71" s="22" t="s">
        <v>370</v>
      </c>
      <c r="J71" s="22"/>
      <c r="K71" s="22" t="s">
        <v>366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 t="s">
        <v>374</v>
      </c>
      <c r="AA71" s="22" t="s">
        <v>66</v>
      </c>
      <c r="AB71" s="22" t="s">
        <v>66</v>
      </c>
      <c r="AC71" s="22" t="s">
        <v>66</v>
      </c>
      <c r="AD71" s="22" t="s">
        <v>66</v>
      </c>
      <c r="AF71" s="22"/>
      <c r="AG71" s="22" t="s">
        <v>14</v>
      </c>
      <c r="AH71" s="22"/>
      <c r="AI71" s="22"/>
      <c r="AJ71" s="22"/>
      <c r="AK71" s="22"/>
      <c r="AL71" s="22"/>
      <c r="AM71" s="22"/>
      <c r="AO71" s="20"/>
    </row>
    <row r="72" spans="1:41" s="1" customFormat="1" ht="26">
      <c r="A72" s="22">
        <v>80</v>
      </c>
      <c r="B72" s="22"/>
      <c r="C72" s="22"/>
      <c r="D72" s="22" t="s">
        <v>294</v>
      </c>
      <c r="E72" s="31" t="s">
        <v>620</v>
      </c>
      <c r="F72" s="22" t="s">
        <v>262</v>
      </c>
      <c r="G72" s="22" t="s">
        <v>1</v>
      </c>
      <c r="H72" s="22"/>
      <c r="I72" s="22" t="s">
        <v>369</v>
      </c>
      <c r="J72" s="22"/>
      <c r="K72" s="22" t="s">
        <v>433</v>
      </c>
      <c r="L72" s="22"/>
      <c r="M72" s="22"/>
      <c r="N72" s="22"/>
      <c r="O72" s="22"/>
      <c r="P72" s="22"/>
      <c r="Q72" s="22" t="s">
        <v>466</v>
      </c>
      <c r="R72" s="22"/>
      <c r="S72" s="22" t="s">
        <v>468</v>
      </c>
      <c r="T72" s="22"/>
      <c r="U72" s="22"/>
      <c r="V72" s="22" t="s">
        <v>467</v>
      </c>
      <c r="W72" s="22"/>
      <c r="X72" s="22"/>
      <c r="Y72" s="22" t="s">
        <v>463</v>
      </c>
      <c r="AA72" s="22" t="s">
        <v>14</v>
      </c>
      <c r="AB72" s="22" t="s">
        <v>66</v>
      </c>
      <c r="AC72" s="22" t="s">
        <v>66</v>
      </c>
      <c r="AD72" s="22" t="s">
        <v>66</v>
      </c>
      <c r="AF72" s="22"/>
      <c r="AG72" s="22" t="s">
        <v>14</v>
      </c>
      <c r="AH72" s="22" t="s">
        <v>14</v>
      </c>
      <c r="AI72" s="22"/>
      <c r="AJ72" s="22"/>
      <c r="AK72" s="22"/>
      <c r="AL72" s="22"/>
      <c r="AM72" s="22"/>
      <c r="AO72" s="20"/>
    </row>
    <row r="73" spans="1:41" s="1" customFormat="1" ht="26">
      <c r="A73" s="22">
        <v>80</v>
      </c>
      <c r="B73" s="22"/>
      <c r="C73" s="22"/>
      <c r="D73" s="22" t="s">
        <v>295</v>
      </c>
      <c r="E73" s="31" t="s">
        <v>621</v>
      </c>
      <c r="F73" s="22" t="s">
        <v>263</v>
      </c>
      <c r="G73" s="22" t="s">
        <v>1</v>
      </c>
      <c r="H73" s="22"/>
      <c r="I73" s="22" t="s">
        <v>370</v>
      </c>
      <c r="J73" s="22"/>
      <c r="K73" s="22" t="s">
        <v>366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 t="s">
        <v>463</v>
      </c>
      <c r="AA73" s="22" t="s">
        <v>66</v>
      </c>
      <c r="AB73" s="22" t="s">
        <v>66</v>
      </c>
      <c r="AC73" s="22" t="s">
        <v>66</v>
      </c>
      <c r="AD73" s="22" t="s">
        <v>66</v>
      </c>
      <c r="AF73" s="22"/>
      <c r="AG73" s="22" t="s">
        <v>14</v>
      </c>
      <c r="AH73" s="22"/>
      <c r="AI73" s="22"/>
      <c r="AJ73" s="22"/>
      <c r="AK73" s="22"/>
      <c r="AL73" s="22"/>
      <c r="AM73" s="22"/>
      <c r="AO73" s="20"/>
    </row>
    <row r="74" spans="1:41" s="1" customFormat="1" ht="26">
      <c r="A74" s="22">
        <v>80</v>
      </c>
      <c r="B74" s="22"/>
      <c r="C74" s="22"/>
      <c r="D74" s="22" t="s">
        <v>296</v>
      </c>
      <c r="E74" s="31" t="s">
        <v>622</v>
      </c>
      <c r="F74" s="22" t="s">
        <v>264</v>
      </c>
      <c r="G74" s="22" t="s">
        <v>1</v>
      </c>
      <c r="H74" s="22"/>
      <c r="I74" s="22" t="s">
        <v>369</v>
      </c>
      <c r="J74" s="22"/>
      <c r="K74" s="22" t="s">
        <v>433</v>
      </c>
      <c r="L74" s="22"/>
      <c r="M74" s="22"/>
      <c r="N74" s="22"/>
      <c r="O74" s="22"/>
      <c r="P74" s="22"/>
      <c r="Q74" s="22" t="s">
        <v>466</v>
      </c>
      <c r="R74" s="22"/>
      <c r="S74" s="22" t="s">
        <v>469</v>
      </c>
      <c r="T74" s="22"/>
      <c r="U74" s="22"/>
      <c r="V74" s="22" t="s">
        <v>467</v>
      </c>
      <c r="W74" s="22"/>
      <c r="X74" s="22"/>
      <c r="Y74" s="22" t="s">
        <v>367</v>
      </c>
      <c r="AA74" s="22" t="s">
        <v>14</v>
      </c>
      <c r="AB74" s="22" t="s">
        <v>66</v>
      </c>
      <c r="AC74" s="22" t="s">
        <v>66</v>
      </c>
      <c r="AD74" s="22" t="s">
        <v>66</v>
      </c>
      <c r="AF74" s="22"/>
      <c r="AG74" s="22" t="s">
        <v>14</v>
      </c>
      <c r="AH74" s="22" t="s">
        <v>14</v>
      </c>
      <c r="AI74" s="22"/>
      <c r="AJ74" s="22"/>
      <c r="AK74" s="22"/>
      <c r="AL74" s="22"/>
      <c r="AM74" s="22"/>
      <c r="AO74" s="20"/>
    </row>
    <row r="75" spans="1:41" s="1" customFormat="1" ht="26">
      <c r="A75" s="22">
        <v>80</v>
      </c>
      <c r="B75" s="22"/>
      <c r="C75" s="22"/>
      <c r="D75" s="22" t="s">
        <v>297</v>
      </c>
      <c r="E75" s="31" t="s">
        <v>623</v>
      </c>
      <c r="F75" s="22" t="s">
        <v>265</v>
      </c>
      <c r="G75" s="22" t="s">
        <v>1</v>
      </c>
      <c r="H75" s="22"/>
      <c r="I75" s="22" t="s">
        <v>370</v>
      </c>
      <c r="J75" s="22"/>
      <c r="K75" s="22" t="s">
        <v>366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 t="s">
        <v>367</v>
      </c>
      <c r="AA75" s="22" t="s">
        <v>66</v>
      </c>
      <c r="AB75" s="22" t="s">
        <v>66</v>
      </c>
      <c r="AC75" s="22" t="s">
        <v>66</v>
      </c>
      <c r="AD75" s="22" t="s">
        <v>66</v>
      </c>
      <c r="AF75" s="22"/>
      <c r="AG75" s="22" t="s">
        <v>14</v>
      </c>
      <c r="AH75" s="22"/>
      <c r="AI75" s="22"/>
      <c r="AJ75" s="22"/>
      <c r="AK75" s="22"/>
      <c r="AL75" s="22"/>
      <c r="AM75" s="22"/>
      <c r="AO75" s="20"/>
    </row>
    <row r="76" spans="1:41" s="1" customFormat="1" ht="26">
      <c r="A76" s="22">
        <v>80</v>
      </c>
      <c r="B76" s="22"/>
      <c r="C76" s="22"/>
      <c r="D76" s="22" t="s">
        <v>298</v>
      </c>
      <c r="E76" s="31" t="s">
        <v>624</v>
      </c>
      <c r="F76" s="22" t="s">
        <v>266</v>
      </c>
      <c r="G76" s="22" t="s">
        <v>1</v>
      </c>
      <c r="H76" s="22"/>
      <c r="I76" s="22" t="s">
        <v>369</v>
      </c>
      <c r="J76" s="22"/>
      <c r="K76" s="22" t="s">
        <v>433</v>
      </c>
      <c r="L76" s="22"/>
      <c r="M76" s="22"/>
      <c r="N76" s="22"/>
      <c r="O76" s="22"/>
      <c r="P76" s="22"/>
      <c r="Q76" s="22" t="s">
        <v>466</v>
      </c>
      <c r="R76" s="22"/>
      <c r="S76" s="22" t="s">
        <v>470</v>
      </c>
      <c r="T76" s="22"/>
      <c r="U76" s="22"/>
      <c r="V76" s="22" t="s">
        <v>467</v>
      </c>
      <c r="W76" s="22"/>
      <c r="X76" s="22"/>
      <c r="Y76" s="22" t="s">
        <v>368</v>
      </c>
      <c r="AA76" s="22" t="s">
        <v>14</v>
      </c>
      <c r="AB76" s="22" t="s">
        <v>66</v>
      </c>
      <c r="AC76" s="22" t="s">
        <v>66</v>
      </c>
      <c r="AD76" s="22" t="s">
        <v>66</v>
      </c>
      <c r="AF76" s="22"/>
      <c r="AG76" s="22" t="s">
        <v>14</v>
      </c>
      <c r="AH76" s="22" t="s">
        <v>14</v>
      </c>
      <c r="AI76" s="22"/>
      <c r="AJ76" s="22"/>
      <c r="AK76" s="22"/>
      <c r="AL76" s="22"/>
      <c r="AM76" s="22"/>
      <c r="AO76" s="20"/>
    </row>
    <row r="77" spans="1:41" s="1" customFormat="1" ht="26">
      <c r="A77" s="22">
        <v>80</v>
      </c>
      <c r="B77" s="22"/>
      <c r="C77" s="22"/>
      <c r="D77" s="22" t="s">
        <v>299</v>
      </c>
      <c r="E77" s="31" t="s">
        <v>625</v>
      </c>
      <c r="F77" s="22" t="s">
        <v>267</v>
      </c>
      <c r="G77" s="22" t="s">
        <v>1</v>
      </c>
      <c r="H77" s="22"/>
      <c r="I77" s="22" t="s">
        <v>370</v>
      </c>
      <c r="J77" s="22"/>
      <c r="K77" s="22" t="s">
        <v>366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 t="s">
        <v>368</v>
      </c>
      <c r="AA77" s="22" t="s">
        <v>66</v>
      </c>
      <c r="AB77" s="22" t="s">
        <v>66</v>
      </c>
      <c r="AC77" s="22" t="s">
        <v>66</v>
      </c>
      <c r="AD77" s="22" t="s">
        <v>66</v>
      </c>
      <c r="AF77" s="22"/>
      <c r="AG77" s="22" t="s">
        <v>14</v>
      </c>
      <c r="AH77" s="22"/>
      <c r="AI77" s="22"/>
      <c r="AJ77" s="22"/>
      <c r="AK77" s="22"/>
      <c r="AL77" s="22"/>
      <c r="AM77" s="22"/>
      <c r="AO77" s="20"/>
    </row>
    <row r="78" spans="1:41" s="1" customFormat="1" ht="52">
      <c r="A78" s="22">
        <v>80</v>
      </c>
      <c r="B78" s="22"/>
      <c r="C78" s="22"/>
      <c r="D78" s="22" t="s">
        <v>537</v>
      </c>
      <c r="E78" s="31" t="s">
        <v>626</v>
      </c>
      <c r="F78" s="22" t="s">
        <v>538</v>
      </c>
      <c r="G78" s="22" t="s">
        <v>1</v>
      </c>
      <c r="H78" s="22"/>
      <c r="I78" s="22" t="s">
        <v>539</v>
      </c>
      <c r="J78" s="22"/>
      <c r="K78" s="22" t="s">
        <v>433</v>
      </c>
      <c r="L78" s="22"/>
      <c r="M78" s="22"/>
      <c r="N78" s="22"/>
      <c r="O78" s="22"/>
      <c r="P78" s="22"/>
      <c r="Q78" s="22" t="s">
        <v>540</v>
      </c>
      <c r="R78" s="22"/>
      <c r="S78" s="22" t="s">
        <v>541</v>
      </c>
      <c r="T78" s="22"/>
      <c r="U78" s="22"/>
      <c r="V78" s="22"/>
      <c r="W78" s="22"/>
      <c r="X78" s="22"/>
      <c r="Y78" s="22"/>
      <c r="AA78" s="22" t="s">
        <v>14</v>
      </c>
      <c r="AB78" s="22" t="s">
        <v>66</v>
      </c>
      <c r="AC78" s="22" t="s">
        <v>66</v>
      </c>
      <c r="AD78" s="22" t="s">
        <v>66</v>
      </c>
      <c r="AF78" s="22"/>
      <c r="AG78" s="22" t="s">
        <v>14</v>
      </c>
      <c r="AH78" s="22" t="s">
        <v>14</v>
      </c>
      <c r="AI78" s="22"/>
      <c r="AJ78" s="22"/>
      <c r="AK78" s="22"/>
      <c r="AL78" s="22"/>
      <c r="AM78" s="22"/>
      <c r="AO78" s="20"/>
    </row>
    <row r="79" spans="1:41" s="1" customFormat="1" ht="26">
      <c r="A79" s="22">
        <v>80</v>
      </c>
      <c r="B79" s="22"/>
      <c r="C79" s="22"/>
      <c r="D79" s="22" t="s">
        <v>541</v>
      </c>
      <c r="E79" s="31" t="s">
        <v>627</v>
      </c>
      <c r="F79" s="22" t="s">
        <v>542</v>
      </c>
      <c r="G79" s="22" t="s">
        <v>1</v>
      </c>
      <c r="H79" s="22"/>
      <c r="I79" s="22" t="s">
        <v>543</v>
      </c>
      <c r="J79" s="22"/>
      <c r="K79" s="22" t="s">
        <v>366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AA79" s="22" t="s">
        <v>66</v>
      </c>
      <c r="AB79" s="22" t="s">
        <v>66</v>
      </c>
      <c r="AC79" s="22" t="s">
        <v>66</v>
      </c>
      <c r="AD79" s="22" t="s">
        <v>66</v>
      </c>
      <c r="AF79" s="22"/>
      <c r="AG79" s="22" t="s">
        <v>14</v>
      </c>
      <c r="AH79" s="22"/>
      <c r="AI79" s="22"/>
      <c r="AJ79" s="22"/>
      <c r="AK79" s="22"/>
      <c r="AL79" s="22"/>
      <c r="AM79" s="22"/>
      <c r="AO79" s="20"/>
    </row>
    <row r="80" spans="1:41" s="1" customFormat="1" ht="39">
      <c r="A80" s="22">
        <v>80</v>
      </c>
      <c r="B80" s="22"/>
      <c r="C80" s="22"/>
      <c r="D80" s="22" t="s">
        <v>544</v>
      </c>
      <c r="E80" s="31" t="s">
        <v>628</v>
      </c>
      <c r="F80" s="22" t="s">
        <v>545</v>
      </c>
      <c r="G80" s="22" t="s">
        <v>1</v>
      </c>
      <c r="H80" s="22"/>
      <c r="I80" s="22" t="s">
        <v>546</v>
      </c>
      <c r="J80" s="22"/>
      <c r="K80" s="22" t="s">
        <v>433</v>
      </c>
      <c r="L80" s="22"/>
      <c r="M80" s="22"/>
      <c r="N80" s="22"/>
      <c r="O80" s="22"/>
      <c r="P80" s="22"/>
      <c r="Q80" s="22" t="s">
        <v>547</v>
      </c>
      <c r="R80" s="22"/>
      <c r="S80" s="22" t="s">
        <v>548</v>
      </c>
      <c r="T80" s="22"/>
      <c r="U80" s="22"/>
      <c r="V80" s="22"/>
      <c r="W80" s="22"/>
      <c r="X80" s="22"/>
      <c r="Y80" s="22"/>
      <c r="AA80" s="22" t="s">
        <v>14</v>
      </c>
      <c r="AB80" s="22" t="s">
        <v>66</v>
      </c>
      <c r="AC80" s="22" t="s">
        <v>66</v>
      </c>
      <c r="AD80" s="22" t="s">
        <v>66</v>
      </c>
      <c r="AF80" s="22"/>
      <c r="AG80" s="22" t="s">
        <v>14</v>
      </c>
      <c r="AH80" s="22" t="s">
        <v>14</v>
      </c>
      <c r="AI80" s="22"/>
      <c r="AJ80" s="22"/>
      <c r="AK80" s="22"/>
      <c r="AL80" s="22"/>
      <c r="AM80" s="22"/>
      <c r="AO80" s="20"/>
    </row>
    <row r="81" spans="1:41" s="1" customFormat="1" ht="26">
      <c r="A81" s="22">
        <v>80</v>
      </c>
      <c r="B81" s="22"/>
      <c r="C81" s="22"/>
      <c r="D81" s="22" t="s">
        <v>548</v>
      </c>
      <c r="E81" s="31" t="s">
        <v>629</v>
      </c>
      <c r="F81" s="22" t="s">
        <v>549</v>
      </c>
      <c r="G81" s="22" t="s">
        <v>1</v>
      </c>
      <c r="H81" s="22"/>
      <c r="I81" s="22" t="s">
        <v>550</v>
      </c>
      <c r="J81" s="22"/>
      <c r="K81" s="22" t="s">
        <v>366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AA81" s="22" t="s">
        <v>66</v>
      </c>
      <c r="AB81" s="22" t="s">
        <v>66</v>
      </c>
      <c r="AC81" s="22" t="s">
        <v>66</v>
      </c>
      <c r="AD81" s="22" t="s">
        <v>66</v>
      </c>
      <c r="AF81" s="22"/>
      <c r="AG81" s="22" t="s">
        <v>14</v>
      </c>
      <c r="AH81" s="22"/>
      <c r="AI81" s="22"/>
      <c r="AJ81" s="22"/>
      <c r="AK81" s="22"/>
      <c r="AL81" s="22"/>
      <c r="AM81" s="22"/>
      <c r="AO81" s="20"/>
    </row>
    <row r="82" spans="1:41" s="1" customFormat="1" ht="39">
      <c r="A82" s="22">
        <v>80</v>
      </c>
      <c r="B82" s="22"/>
      <c r="C82" s="22"/>
      <c r="D82" s="22" t="s">
        <v>551</v>
      </c>
      <c r="E82" s="31" t="s">
        <v>630</v>
      </c>
      <c r="F82" s="22" t="s">
        <v>552</v>
      </c>
      <c r="G82" s="22" t="s">
        <v>1</v>
      </c>
      <c r="H82" s="22"/>
      <c r="I82" s="22" t="s">
        <v>553</v>
      </c>
      <c r="J82" s="22"/>
      <c r="K82" s="22" t="s">
        <v>433</v>
      </c>
      <c r="L82" s="22"/>
      <c r="M82" s="22"/>
      <c r="N82" s="22"/>
      <c r="O82" s="22"/>
      <c r="P82" s="22"/>
      <c r="Q82" s="22" t="s">
        <v>554</v>
      </c>
      <c r="R82" s="22"/>
      <c r="S82" s="22" t="s">
        <v>555</v>
      </c>
      <c r="T82" s="22"/>
      <c r="U82" s="22"/>
      <c r="V82" s="22"/>
      <c r="W82" s="22"/>
      <c r="X82" s="22"/>
      <c r="Y82" s="22"/>
      <c r="AA82" s="22" t="s">
        <v>14</v>
      </c>
      <c r="AB82" s="22" t="s">
        <v>66</v>
      </c>
      <c r="AC82" s="22" t="s">
        <v>66</v>
      </c>
      <c r="AD82" s="22" t="s">
        <v>66</v>
      </c>
      <c r="AF82" s="22"/>
      <c r="AG82" s="22" t="s">
        <v>14</v>
      </c>
      <c r="AH82" s="22" t="s">
        <v>14</v>
      </c>
      <c r="AI82" s="22"/>
      <c r="AJ82" s="22"/>
      <c r="AK82" s="22"/>
      <c r="AL82" s="22"/>
      <c r="AM82" s="22"/>
      <c r="AO82" s="20"/>
    </row>
    <row r="83" spans="1:41" s="1" customFormat="1" ht="26">
      <c r="A83" s="22">
        <v>80</v>
      </c>
      <c r="B83" s="22"/>
      <c r="C83" s="22"/>
      <c r="D83" s="22" t="s">
        <v>556</v>
      </c>
      <c r="E83" s="31" t="s">
        <v>631</v>
      </c>
      <c r="F83" s="22" t="s">
        <v>557</v>
      </c>
      <c r="G83" s="22" t="s">
        <v>1</v>
      </c>
      <c r="H83" s="22"/>
      <c r="I83" s="22" t="s">
        <v>558</v>
      </c>
      <c r="J83" s="22"/>
      <c r="K83" s="22" t="s">
        <v>366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AA83" s="22" t="s">
        <v>66</v>
      </c>
      <c r="AB83" s="22" t="s">
        <v>66</v>
      </c>
      <c r="AC83" s="22" t="s">
        <v>66</v>
      </c>
      <c r="AD83" s="22" t="s">
        <v>66</v>
      </c>
      <c r="AF83" s="22"/>
      <c r="AG83" s="22" t="s">
        <v>14</v>
      </c>
      <c r="AH83" s="22"/>
      <c r="AI83" s="22"/>
      <c r="AJ83" s="22"/>
      <c r="AK83" s="22"/>
      <c r="AL83" s="22"/>
      <c r="AM83" s="22"/>
      <c r="AO83" s="20"/>
    </row>
    <row r="84" spans="1:41" s="1" customFormat="1" ht="26">
      <c r="A84" s="22">
        <v>80</v>
      </c>
      <c r="B84" s="22"/>
      <c r="C84" s="22"/>
      <c r="D84" s="22" t="s">
        <v>300</v>
      </c>
      <c r="E84" s="31" t="s">
        <v>632</v>
      </c>
      <c r="F84" s="22" t="s">
        <v>268</v>
      </c>
      <c r="G84" s="22" t="s">
        <v>1</v>
      </c>
      <c r="H84" s="22"/>
      <c r="I84" s="22" t="s">
        <v>371</v>
      </c>
      <c r="J84" s="22"/>
      <c r="K84" s="22" t="s">
        <v>433</v>
      </c>
      <c r="L84" s="22"/>
      <c r="M84" s="22"/>
      <c r="N84" s="22"/>
      <c r="O84" s="22"/>
      <c r="P84" s="22"/>
      <c r="Q84" s="22" t="s">
        <v>372</v>
      </c>
      <c r="R84" s="22"/>
      <c r="S84" s="22" t="s">
        <v>301</v>
      </c>
      <c r="T84" s="22"/>
      <c r="U84" s="22"/>
      <c r="V84" s="22" t="s">
        <v>471</v>
      </c>
      <c r="W84" s="22"/>
      <c r="X84" s="22"/>
      <c r="Y84" s="22"/>
      <c r="AA84" s="22" t="s">
        <v>14</v>
      </c>
      <c r="AB84" s="22" t="s">
        <v>66</v>
      </c>
      <c r="AC84" s="22" t="s">
        <v>66</v>
      </c>
      <c r="AD84" s="22" t="s">
        <v>66</v>
      </c>
      <c r="AF84" s="22"/>
      <c r="AG84" s="22" t="s">
        <v>14</v>
      </c>
      <c r="AH84" s="22" t="s">
        <v>14</v>
      </c>
      <c r="AI84" s="22"/>
      <c r="AJ84" s="22"/>
      <c r="AK84" s="22"/>
      <c r="AL84" s="22"/>
      <c r="AM84" s="22"/>
      <c r="AO84" s="20"/>
    </row>
    <row r="85" spans="1:41" s="1" customFormat="1" ht="26">
      <c r="A85" s="22">
        <v>80</v>
      </c>
      <c r="B85" s="22"/>
      <c r="C85" s="22"/>
      <c r="D85" s="22" t="s">
        <v>301</v>
      </c>
      <c r="E85" s="31" t="s">
        <v>633</v>
      </c>
      <c r="F85" s="22" t="s">
        <v>269</v>
      </c>
      <c r="G85" s="22" t="s">
        <v>1</v>
      </c>
      <c r="H85" s="22"/>
      <c r="I85" s="22" t="s">
        <v>373</v>
      </c>
      <c r="J85" s="22"/>
      <c r="K85" s="22" t="s">
        <v>366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AA85" s="22" t="s">
        <v>66</v>
      </c>
      <c r="AB85" s="22" t="s">
        <v>66</v>
      </c>
      <c r="AC85" s="22" t="s">
        <v>66</v>
      </c>
      <c r="AD85" s="22" t="s">
        <v>66</v>
      </c>
      <c r="AF85" s="22"/>
      <c r="AG85" s="22" t="s">
        <v>14</v>
      </c>
      <c r="AH85" s="22"/>
      <c r="AI85" s="22"/>
      <c r="AJ85" s="22"/>
      <c r="AK85" s="22"/>
      <c r="AL85" s="22"/>
      <c r="AM85" s="22"/>
      <c r="AO85" s="20"/>
    </row>
    <row r="86" spans="1:41" s="1" customFormat="1" ht="39">
      <c r="A86" s="22">
        <v>80</v>
      </c>
      <c r="B86" s="22"/>
      <c r="C86" s="22"/>
      <c r="D86" s="22" t="s">
        <v>302</v>
      </c>
      <c r="E86" s="31" t="s">
        <v>634</v>
      </c>
      <c r="F86" s="22" t="s">
        <v>270</v>
      </c>
      <c r="G86" s="22" t="s">
        <v>1</v>
      </c>
      <c r="H86" s="22"/>
      <c r="I86" s="22" t="s">
        <v>371</v>
      </c>
      <c r="J86" s="22"/>
      <c r="K86" s="22" t="s">
        <v>433</v>
      </c>
      <c r="L86" s="22"/>
      <c r="M86" s="22"/>
      <c r="N86" s="22"/>
      <c r="O86" s="22"/>
      <c r="P86" s="22"/>
      <c r="Q86" s="22" t="s">
        <v>372</v>
      </c>
      <c r="R86" s="22"/>
      <c r="S86" s="22" t="s">
        <v>303</v>
      </c>
      <c r="T86" s="22"/>
      <c r="U86" s="22"/>
      <c r="V86" s="22" t="s">
        <v>471</v>
      </c>
      <c r="W86" s="22"/>
      <c r="X86" s="22"/>
      <c r="Y86" s="22"/>
      <c r="AA86" s="22" t="s">
        <v>14</v>
      </c>
      <c r="AB86" s="22" t="s">
        <v>66</v>
      </c>
      <c r="AC86" s="22" t="s">
        <v>66</v>
      </c>
      <c r="AD86" s="22" t="s">
        <v>66</v>
      </c>
      <c r="AF86" s="22"/>
      <c r="AG86" s="22" t="s">
        <v>14</v>
      </c>
      <c r="AH86" s="22" t="s">
        <v>14</v>
      </c>
      <c r="AI86" s="22"/>
      <c r="AJ86" s="22"/>
      <c r="AK86" s="22"/>
      <c r="AL86" s="22"/>
      <c r="AM86" s="22"/>
      <c r="AO86" s="20"/>
    </row>
    <row r="87" spans="1:41" s="1" customFormat="1" ht="26">
      <c r="A87" s="22">
        <v>80</v>
      </c>
      <c r="B87" s="22"/>
      <c r="C87" s="22"/>
      <c r="D87" s="22" t="s">
        <v>303</v>
      </c>
      <c r="E87" s="31" t="s">
        <v>635</v>
      </c>
      <c r="F87" s="22" t="s">
        <v>271</v>
      </c>
      <c r="G87" s="22" t="s">
        <v>1</v>
      </c>
      <c r="H87" s="22"/>
      <c r="I87" s="22" t="s">
        <v>373</v>
      </c>
      <c r="J87" s="22"/>
      <c r="K87" s="22" t="s">
        <v>366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AA87" s="22" t="s">
        <v>66</v>
      </c>
      <c r="AB87" s="22" t="s">
        <v>66</v>
      </c>
      <c r="AC87" s="22" t="s">
        <v>66</v>
      </c>
      <c r="AD87" s="22" t="s">
        <v>66</v>
      </c>
      <c r="AF87" s="22"/>
      <c r="AG87" s="22" t="s">
        <v>14</v>
      </c>
      <c r="AH87" s="22"/>
      <c r="AI87" s="22"/>
      <c r="AJ87" s="22"/>
      <c r="AK87" s="22"/>
      <c r="AL87" s="22"/>
      <c r="AM87" s="22"/>
      <c r="AO87" s="20"/>
    </row>
    <row r="88" spans="1:41" s="1" customFormat="1" ht="26">
      <c r="A88" s="22">
        <v>80</v>
      </c>
      <c r="B88" s="22"/>
      <c r="C88" s="22"/>
      <c r="D88" s="22" t="s">
        <v>304</v>
      </c>
      <c r="E88" s="31" t="s">
        <v>636</v>
      </c>
      <c r="F88" s="22" t="s">
        <v>272</v>
      </c>
      <c r="G88" s="22" t="s">
        <v>1</v>
      </c>
      <c r="H88" s="22"/>
      <c r="I88" s="22" t="s">
        <v>371</v>
      </c>
      <c r="J88" s="22"/>
      <c r="K88" s="22" t="s">
        <v>433</v>
      </c>
      <c r="L88" s="22"/>
      <c r="M88" s="22"/>
      <c r="N88" s="22"/>
      <c r="O88" s="22"/>
      <c r="P88" s="22"/>
      <c r="Q88" s="22" t="s">
        <v>372</v>
      </c>
      <c r="R88" s="22"/>
      <c r="S88" s="22" t="s">
        <v>305</v>
      </c>
      <c r="T88" s="22"/>
      <c r="U88" s="22"/>
      <c r="V88" s="22" t="s">
        <v>471</v>
      </c>
      <c r="W88" s="22"/>
      <c r="X88" s="22"/>
      <c r="Y88" s="22" t="s">
        <v>374</v>
      </c>
      <c r="AA88" s="22" t="s">
        <v>14</v>
      </c>
      <c r="AB88" s="22" t="s">
        <v>66</v>
      </c>
      <c r="AC88" s="22" t="s">
        <v>66</v>
      </c>
      <c r="AD88" s="22" t="s">
        <v>66</v>
      </c>
      <c r="AF88" s="22"/>
      <c r="AG88" s="22" t="s">
        <v>14</v>
      </c>
      <c r="AH88" s="22" t="s">
        <v>14</v>
      </c>
      <c r="AI88" s="22"/>
      <c r="AJ88" s="22"/>
      <c r="AK88" s="22"/>
      <c r="AL88" s="22"/>
      <c r="AM88" s="22"/>
      <c r="AO88" s="20"/>
    </row>
    <row r="89" spans="1:41" s="1" customFormat="1" ht="26">
      <c r="A89" s="22">
        <v>80</v>
      </c>
      <c r="B89" s="22"/>
      <c r="C89" s="22"/>
      <c r="D89" s="22" t="s">
        <v>305</v>
      </c>
      <c r="E89" s="31" t="s">
        <v>637</v>
      </c>
      <c r="F89" s="22" t="s">
        <v>273</v>
      </c>
      <c r="G89" s="22" t="s">
        <v>1</v>
      </c>
      <c r="H89" s="22"/>
      <c r="I89" s="22" t="s">
        <v>373</v>
      </c>
      <c r="J89" s="22"/>
      <c r="K89" s="22" t="s">
        <v>366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 t="s">
        <v>374</v>
      </c>
      <c r="AA89" s="22" t="s">
        <v>66</v>
      </c>
      <c r="AB89" s="22" t="s">
        <v>66</v>
      </c>
      <c r="AC89" s="22" t="s">
        <v>66</v>
      </c>
      <c r="AD89" s="22" t="s">
        <v>66</v>
      </c>
      <c r="AF89" s="22"/>
      <c r="AG89" s="22" t="s">
        <v>14</v>
      </c>
      <c r="AH89" s="22"/>
      <c r="AI89" s="22"/>
      <c r="AJ89" s="22"/>
      <c r="AK89" s="22"/>
      <c r="AL89" s="22"/>
      <c r="AM89" s="22"/>
      <c r="AO89" s="20"/>
    </row>
    <row r="90" spans="1:41" s="1" customFormat="1" ht="26">
      <c r="A90" s="22">
        <v>80</v>
      </c>
      <c r="B90" s="22"/>
      <c r="C90" s="22"/>
      <c r="D90" s="22" t="s">
        <v>306</v>
      </c>
      <c r="E90" s="31" t="s">
        <v>638</v>
      </c>
      <c r="F90" s="22" t="s">
        <v>274</v>
      </c>
      <c r="G90" s="22" t="s">
        <v>1</v>
      </c>
      <c r="H90" s="22"/>
      <c r="I90" s="22" t="s">
        <v>371</v>
      </c>
      <c r="J90" s="22"/>
      <c r="K90" s="22" t="s">
        <v>433</v>
      </c>
      <c r="L90" s="22"/>
      <c r="M90" s="22"/>
      <c r="N90" s="22"/>
      <c r="O90" s="22"/>
      <c r="P90" s="22"/>
      <c r="Q90" s="22" t="s">
        <v>372</v>
      </c>
      <c r="R90" s="22"/>
      <c r="S90" s="22" t="s">
        <v>472</v>
      </c>
      <c r="T90" s="22"/>
      <c r="U90" s="22"/>
      <c r="V90" s="22" t="s">
        <v>471</v>
      </c>
      <c r="W90" s="22"/>
      <c r="X90" s="22"/>
      <c r="Y90" s="22" t="s">
        <v>463</v>
      </c>
      <c r="AA90" s="22" t="s">
        <v>14</v>
      </c>
      <c r="AB90" s="22" t="s">
        <v>66</v>
      </c>
      <c r="AC90" s="22" t="s">
        <v>66</v>
      </c>
      <c r="AD90" s="22" t="s">
        <v>66</v>
      </c>
      <c r="AF90" s="22"/>
      <c r="AG90" s="22" t="s">
        <v>14</v>
      </c>
      <c r="AH90" s="22" t="s">
        <v>14</v>
      </c>
      <c r="AI90" s="22"/>
      <c r="AJ90" s="22"/>
      <c r="AK90" s="22"/>
      <c r="AL90" s="22"/>
      <c r="AM90" s="22"/>
      <c r="AO90" s="20"/>
    </row>
    <row r="91" spans="1:41" s="1" customFormat="1" ht="26">
      <c r="A91" s="22">
        <v>80</v>
      </c>
      <c r="B91" s="22"/>
      <c r="C91" s="22"/>
      <c r="D91" s="22" t="s">
        <v>307</v>
      </c>
      <c r="E91" s="31" t="s">
        <v>639</v>
      </c>
      <c r="F91" s="22" t="s">
        <v>275</v>
      </c>
      <c r="G91" s="22" t="s">
        <v>1</v>
      </c>
      <c r="H91" s="22"/>
      <c r="I91" s="22" t="s">
        <v>373</v>
      </c>
      <c r="J91" s="22"/>
      <c r="K91" s="22" t="s">
        <v>366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 t="s">
        <v>463</v>
      </c>
      <c r="AA91" s="22" t="s">
        <v>66</v>
      </c>
      <c r="AB91" s="22" t="s">
        <v>66</v>
      </c>
      <c r="AC91" s="22" t="s">
        <v>66</v>
      </c>
      <c r="AD91" s="22" t="s">
        <v>66</v>
      </c>
      <c r="AF91" s="22"/>
      <c r="AG91" s="22" t="s">
        <v>14</v>
      </c>
      <c r="AH91" s="22"/>
      <c r="AI91" s="22"/>
      <c r="AJ91" s="22"/>
      <c r="AK91" s="22"/>
      <c r="AL91" s="22"/>
      <c r="AM91" s="22"/>
      <c r="AO91" s="20"/>
    </row>
    <row r="92" spans="1:41" s="1" customFormat="1" ht="26">
      <c r="A92" s="22">
        <v>80</v>
      </c>
      <c r="B92" s="22"/>
      <c r="C92" s="22"/>
      <c r="D92" s="22" t="s">
        <v>308</v>
      </c>
      <c r="E92" s="31" t="s">
        <v>640</v>
      </c>
      <c r="F92" s="22" t="s">
        <v>276</v>
      </c>
      <c r="G92" s="22" t="s">
        <v>1</v>
      </c>
      <c r="H92" s="22"/>
      <c r="I92" s="22" t="s">
        <v>371</v>
      </c>
      <c r="J92" s="22"/>
      <c r="K92" s="22" t="s">
        <v>433</v>
      </c>
      <c r="L92" s="22"/>
      <c r="M92" s="22"/>
      <c r="N92" s="22"/>
      <c r="O92" s="22"/>
      <c r="P92" s="22"/>
      <c r="Q92" s="22" t="s">
        <v>372</v>
      </c>
      <c r="R92" s="22"/>
      <c r="S92" s="22" t="s">
        <v>473</v>
      </c>
      <c r="T92" s="22"/>
      <c r="U92" s="22"/>
      <c r="V92" s="22" t="s">
        <v>471</v>
      </c>
      <c r="W92" s="22"/>
      <c r="X92" s="22"/>
      <c r="Y92" s="22" t="s">
        <v>367</v>
      </c>
      <c r="AA92" s="22" t="s">
        <v>14</v>
      </c>
      <c r="AB92" s="22" t="s">
        <v>66</v>
      </c>
      <c r="AC92" s="22" t="s">
        <v>66</v>
      </c>
      <c r="AD92" s="22" t="s">
        <v>66</v>
      </c>
      <c r="AF92" s="22"/>
      <c r="AG92" s="22" t="s">
        <v>14</v>
      </c>
      <c r="AH92" s="22" t="s">
        <v>14</v>
      </c>
      <c r="AI92" s="22"/>
      <c r="AJ92" s="22"/>
      <c r="AK92" s="22"/>
      <c r="AL92" s="22"/>
      <c r="AM92" s="22"/>
      <c r="AO92" s="20"/>
    </row>
    <row r="93" spans="1:41" s="1" customFormat="1" ht="26">
      <c r="A93" s="22">
        <v>80</v>
      </c>
      <c r="B93" s="22"/>
      <c r="C93" s="22"/>
      <c r="D93" s="22" t="s">
        <v>309</v>
      </c>
      <c r="E93" s="31" t="s">
        <v>641</v>
      </c>
      <c r="F93" s="22" t="s">
        <v>277</v>
      </c>
      <c r="G93" s="22" t="s">
        <v>1</v>
      </c>
      <c r="H93" s="22"/>
      <c r="I93" s="22" t="s">
        <v>373</v>
      </c>
      <c r="J93" s="22"/>
      <c r="K93" s="22" t="s">
        <v>366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 t="s">
        <v>367</v>
      </c>
      <c r="AA93" s="22" t="s">
        <v>66</v>
      </c>
      <c r="AB93" s="22" t="s">
        <v>66</v>
      </c>
      <c r="AC93" s="22" t="s">
        <v>66</v>
      </c>
      <c r="AD93" s="22" t="s">
        <v>66</v>
      </c>
      <c r="AF93" s="22"/>
      <c r="AG93" s="22" t="s">
        <v>14</v>
      </c>
      <c r="AH93" s="22"/>
      <c r="AI93" s="22"/>
      <c r="AJ93" s="22"/>
      <c r="AK93" s="22"/>
      <c r="AL93" s="22"/>
      <c r="AM93" s="22"/>
      <c r="AO93" s="20"/>
    </row>
    <row r="94" spans="1:41" s="1" customFormat="1" ht="26">
      <c r="A94" s="22">
        <v>80</v>
      </c>
      <c r="B94" s="22"/>
      <c r="C94" s="22"/>
      <c r="D94" s="22" t="s">
        <v>310</v>
      </c>
      <c r="E94" s="31" t="s">
        <v>642</v>
      </c>
      <c r="F94" s="22" t="s">
        <v>278</v>
      </c>
      <c r="G94" s="22" t="s">
        <v>1</v>
      </c>
      <c r="H94" s="22"/>
      <c r="I94" s="22" t="s">
        <v>371</v>
      </c>
      <c r="J94" s="22"/>
      <c r="K94" s="22" t="s">
        <v>433</v>
      </c>
      <c r="L94" s="22"/>
      <c r="M94" s="22"/>
      <c r="N94" s="22"/>
      <c r="O94" s="22"/>
      <c r="P94" s="22"/>
      <c r="Q94" s="22" t="s">
        <v>372</v>
      </c>
      <c r="R94" s="22"/>
      <c r="S94" s="22" t="s">
        <v>474</v>
      </c>
      <c r="T94" s="22"/>
      <c r="U94" s="22"/>
      <c r="V94" s="22" t="s">
        <v>471</v>
      </c>
      <c r="W94" s="22"/>
      <c r="X94" s="22"/>
      <c r="Y94" s="22" t="s">
        <v>368</v>
      </c>
      <c r="AA94" s="22" t="s">
        <v>14</v>
      </c>
      <c r="AB94" s="22" t="s">
        <v>66</v>
      </c>
      <c r="AC94" s="22" t="s">
        <v>66</v>
      </c>
      <c r="AD94" s="22" t="s">
        <v>66</v>
      </c>
      <c r="AF94" s="22"/>
      <c r="AG94" s="22" t="s">
        <v>14</v>
      </c>
      <c r="AH94" s="22" t="s">
        <v>14</v>
      </c>
      <c r="AI94" s="22"/>
      <c r="AJ94" s="22"/>
      <c r="AK94" s="22"/>
      <c r="AL94" s="22"/>
      <c r="AM94" s="22"/>
      <c r="AO94" s="20"/>
    </row>
    <row r="95" spans="1:41" s="1" customFormat="1" ht="26">
      <c r="A95" s="22">
        <v>80</v>
      </c>
      <c r="B95" s="22"/>
      <c r="C95" s="22"/>
      <c r="D95" s="22" t="s">
        <v>311</v>
      </c>
      <c r="E95" s="31" t="s">
        <v>643</v>
      </c>
      <c r="F95" s="22" t="s">
        <v>279</v>
      </c>
      <c r="G95" s="22" t="s">
        <v>1</v>
      </c>
      <c r="H95" s="22"/>
      <c r="I95" s="22" t="s">
        <v>373</v>
      </c>
      <c r="J95" s="22"/>
      <c r="K95" s="22" t="s">
        <v>366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 t="s">
        <v>368</v>
      </c>
      <c r="AA95" s="22" t="s">
        <v>66</v>
      </c>
      <c r="AB95" s="22" t="s">
        <v>66</v>
      </c>
      <c r="AC95" s="22" t="s">
        <v>66</v>
      </c>
      <c r="AD95" s="22" t="s">
        <v>66</v>
      </c>
      <c r="AF95" s="22"/>
      <c r="AG95" s="22" t="s">
        <v>14</v>
      </c>
      <c r="AH95" s="22"/>
      <c r="AI95" s="22"/>
      <c r="AJ95" s="22"/>
      <c r="AK95" s="22"/>
      <c r="AL95" s="22"/>
      <c r="AM95" s="22"/>
      <c r="AO95" s="20"/>
    </row>
    <row r="96" spans="1:41" s="1" customFormat="1" ht="39">
      <c r="A96" s="22">
        <v>80</v>
      </c>
      <c r="B96" s="22"/>
      <c r="C96" s="22"/>
      <c r="D96" s="22" t="s">
        <v>139</v>
      </c>
      <c r="E96" s="31" t="s">
        <v>644</v>
      </c>
      <c r="F96" s="22" t="s">
        <v>140</v>
      </c>
      <c r="G96" s="22" t="s">
        <v>1</v>
      </c>
      <c r="H96" s="22"/>
      <c r="I96" s="22" t="s">
        <v>375</v>
      </c>
      <c r="J96" s="22"/>
      <c r="K96" s="22" t="s">
        <v>433</v>
      </c>
      <c r="L96" s="22"/>
      <c r="M96" s="22"/>
      <c r="N96" s="22"/>
      <c r="O96" s="22"/>
      <c r="P96" s="22"/>
      <c r="Q96" s="22" t="s">
        <v>213</v>
      </c>
      <c r="R96" s="22"/>
      <c r="S96" s="22" t="s">
        <v>475</v>
      </c>
      <c r="T96" s="22"/>
      <c r="U96" s="22"/>
      <c r="V96" s="22" t="s">
        <v>214</v>
      </c>
      <c r="W96" s="22"/>
      <c r="X96" s="22"/>
      <c r="Y96" s="22"/>
      <c r="AA96" s="22" t="s">
        <v>14</v>
      </c>
      <c r="AB96" s="22" t="s">
        <v>66</v>
      </c>
      <c r="AC96" s="22" t="s">
        <v>66</v>
      </c>
      <c r="AD96" s="22" t="s">
        <v>66</v>
      </c>
      <c r="AF96" s="22"/>
      <c r="AG96" s="22" t="s">
        <v>14</v>
      </c>
      <c r="AH96" s="22" t="s">
        <v>14</v>
      </c>
      <c r="AI96" s="22"/>
      <c r="AJ96" s="22"/>
      <c r="AK96" s="22"/>
      <c r="AL96" s="22"/>
      <c r="AM96" s="22"/>
      <c r="AO96" s="20"/>
    </row>
    <row r="97" spans="1:41" s="1" customFormat="1" ht="26">
      <c r="A97" s="22">
        <v>80</v>
      </c>
      <c r="B97" s="22"/>
      <c r="C97" s="22"/>
      <c r="D97" s="22" t="s">
        <v>141</v>
      </c>
      <c r="E97" s="31" t="s">
        <v>645</v>
      </c>
      <c r="F97" s="22" t="s">
        <v>142</v>
      </c>
      <c r="G97" s="22" t="s">
        <v>1</v>
      </c>
      <c r="H97" s="22"/>
      <c r="I97" s="22" t="s">
        <v>376</v>
      </c>
      <c r="J97" s="22"/>
      <c r="K97" s="22" t="s">
        <v>366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AA97" s="22" t="s">
        <v>66</v>
      </c>
      <c r="AB97" s="22" t="s">
        <v>66</v>
      </c>
      <c r="AC97" s="22" t="s">
        <v>66</v>
      </c>
      <c r="AD97" s="22" t="s">
        <v>66</v>
      </c>
      <c r="AF97" s="22"/>
      <c r="AG97" s="22" t="s">
        <v>14</v>
      </c>
      <c r="AH97" s="22"/>
      <c r="AI97" s="22"/>
      <c r="AJ97" s="22"/>
      <c r="AK97" s="22"/>
      <c r="AL97" s="22"/>
      <c r="AM97" s="22"/>
      <c r="AO97" s="20"/>
    </row>
    <row r="98" spans="1:41" s="1" customFormat="1" ht="39">
      <c r="A98" s="22">
        <v>80</v>
      </c>
      <c r="B98" s="22"/>
      <c r="C98" s="22"/>
      <c r="D98" s="22" t="s">
        <v>324</v>
      </c>
      <c r="E98" s="31" t="s">
        <v>646</v>
      </c>
      <c r="F98" s="22" t="s">
        <v>312</v>
      </c>
      <c r="G98" s="22" t="s">
        <v>1</v>
      </c>
      <c r="H98" s="22"/>
      <c r="I98" s="22" t="s">
        <v>375</v>
      </c>
      <c r="J98" s="22"/>
      <c r="K98" s="22" t="s">
        <v>433</v>
      </c>
      <c r="L98" s="22"/>
      <c r="M98" s="22"/>
      <c r="N98" s="22"/>
      <c r="O98" s="22"/>
      <c r="P98" s="22"/>
      <c r="Q98" s="22" t="s">
        <v>213</v>
      </c>
      <c r="R98" s="22"/>
      <c r="S98" s="22" t="s">
        <v>325</v>
      </c>
      <c r="T98" s="22"/>
      <c r="U98" s="22"/>
      <c r="V98" s="22" t="s">
        <v>214</v>
      </c>
      <c r="W98" s="22"/>
      <c r="X98" s="22"/>
      <c r="Y98" s="22"/>
      <c r="AA98" s="22" t="s">
        <v>14</v>
      </c>
      <c r="AB98" s="22" t="s">
        <v>66</v>
      </c>
      <c r="AC98" s="22" t="s">
        <v>66</v>
      </c>
      <c r="AD98" s="22" t="s">
        <v>66</v>
      </c>
      <c r="AF98" s="22"/>
      <c r="AG98" s="22" t="s">
        <v>14</v>
      </c>
      <c r="AH98" s="22" t="s">
        <v>14</v>
      </c>
      <c r="AI98" s="22"/>
      <c r="AJ98" s="22"/>
      <c r="AK98" s="22"/>
      <c r="AL98" s="22"/>
      <c r="AM98" s="22"/>
      <c r="AO98" s="20"/>
    </row>
    <row r="99" spans="1:41" s="1" customFormat="1" ht="26">
      <c r="A99" s="22">
        <v>80</v>
      </c>
      <c r="B99" s="22"/>
      <c r="C99" s="22"/>
      <c r="D99" s="22" t="s">
        <v>325</v>
      </c>
      <c r="E99" s="31" t="s">
        <v>647</v>
      </c>
      <c r="F99" s="22" t="s">
        <v>313</v>
      </c>
      <c r="G99" s="22" t="s">
        <v>1</v>
      </c>
      <c r="H99" s="22"/>
      <c r="I99" s="22" t="s">
        <v>376</v>
      </c>
      <c r="J99" s="22"/>
      <c r="K99" s="22" t="s">
        <v>366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AA99" s="22" t="s">
        <v>66</v>
      </c>
      <c r="AB99" s="22" t="s">
        <v>66</v>
      </c>
      <c r="AC99" s="22" t="s">
        <v>66</v>
      </c>
      <c r="AD99" s="22" t="s">
        <v>66</v>
      </c>
      <c r="AF99" s="22"/>
      <c r="AG99" s="22" t="s">
        <v>14</v>
      </c>
      <c r="AH99" s="22"/>
      <c r="AI99" s="22"/>
      <c r="AJ99" s="22"/>
      <c r="AK99" s="22"/>
      <c r="AL99" s="22"/>
      <c r="AM99" s="22"/>
      <c r="AO99" s="20"/>
    </row>
    <row r="100" spans="1:41" s="1" customFormat="1" ht="39">
      <c r="A100" s="22">
        <v>80</v>
      </c>
      <c r="B100" s="22"/>
      <c r="C100" s="22"/>
      <c r="D100" s="22" t="s">
        <v>326</v>
      </c>
      <c r="E100" s="31" t="s">
        <v>648</v>
      </c>
      <c r="F100" s="22" t="s">
        <v>314</v>
      </c>
      <c r="G100" s="22" t="s">
        <v>1</v>
      </c>
      <c r="H100" s="22"/>
      <c r="I100" s="22" t="s">
        <v>375</v>
      </c>
      <c r="J100" s="22"/>
      <c r="K100" s="22" t="s">
        <v>433</v>
      </c>
      <c r="L100" s="22"/>
      <c r="M100" s="22"/>
      <c r="N100" s="22"/>
      <c r="O100" s="22"/>
      <c r="P100" s="22"/>
      <c r="Q100" s="22" t="s">
        <v>213</v>
      </c>
      <c r="R100" s="22"/>
      <c r="S100" s="22" t="s">
        <v>327</v>
      </c>
      <c r="T100" s="22"/>
      <c r="U100" s="22"/>
      <c r="V100" s="22" t="s">
        <v>214</v>
      </c>
      <c r="W100" s="22"/>
      <c r="X100" s="22"/>
      <c r="Y100" s="22"/>
      <c r="AA100" s="22" t="s">
        <v>14</v>
      </c>
      <c r="AB100" s="22" t="s">
        <v>66</v>
      </c>
      <c r="AC100" s="22" t="s">
        <v>66</v>
      </c>
      <c r="AD100" s="22" t="s">
        <v>66</v>
      </c>
      <c r="AF100" s="22"/>
      <c r="AG100" s="22" t="s">
        <v>14</v>
      </c>
      <c r="AH100" s="22" t="s">
        <v>14</v>
      </c>
      <c r="AI100" s="22"/>
      <c r="AJ100" s="22"/>
      <c r="AK100" s="22"/>
      <c r="AL100" s="22"/>
      <c r="AM100" s="22"/>
      <c r="AO100" s="20"/>
    </row>
    <row r="101" spans="1:41" s="1" customFormat="1" ht="26">
      <c r="A101" s="22">
        <v>80</v>
      </c>
      <c r="B101" s="22"/>
      <c r="C101" s="22"/>
      <c r="D101" s="22" t="s">
        <v>327</v>
      </c>
      <c r="E101" s="31" t="s">
        <v>649</v>
      </c>
      <c r="F101" s="22" t="s">
        <v>315</v>
      </c>
      <c r="G101" s="22" t="s">
        <v>1</v>
      </c>
      <c r="H101" s="22"/>
      <c r="I101" s="22" t="s">
        <v>376</v>
      </c>
      <c r="J101" s="22"/>
      <c r="K101" s="22" t="s">
        <v>366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AA101" s="22" t="s">
        <v>66</v>
      </c>
      <c r="AB101" s="22" t="s">
        <v>66</v>
      </c>
      <c r="AC101" s="22" t="s">
        <v>66</v>
      </c>
      <c r="AD101" s="22" t="s">
        <v>66</v>
      </c>
      <c r="AF101" s="22"/>
      <c r="AG101" s="22" t="s">
        <v>14</v>
      </c>
      <c r="AH101" s="22"/>
      <c r="AI101" s="22"/>
      <c r="AJ101" s="22"/>
      <c r="AK101" s="22"/>
      <c r="AL101" s="22"/>
      <c r="AM101" s="22"/>
      <c r="AO101" s="20"/>
    </row>
    <row r="102" spans="1:41" s="1" customFormat="1" ht="39">
      <c r="A102" s="22">
        <v>80</v>
      </c>
      <c r="B102" s="22"/>
      <c r="C102" s="22"/>
      <c r="D102" s="22" t="s">
        <v>328</v>
      </c>
      <c r="E102" s="31" t="s">
        <v>650</v>
      </c>
      <c r="F102" s="22" t="s">
        <v>316</v>
      </c>
      <c r="G102" s="22" t="s">
        <v>1</v>
      </c>
      <c r="H102" s="22"/>
      <c r="I102" s="22" t="s">
        <v>375</v>
      </c>
      <c r="J102" s="22"/>
      <c r="K102" s="22" t="s">
        <v>433</v>
      </c>
      <c r="L102" s="22"/>
      <c r="M102" s="22"/>
      <c r="N102" s="22"/>
      <c r="O102" s="22"/>
      <c r="P102" s="22"/>
      <c r="Q102" s="22" t="s">
        <v>213</v>
      </c>
      <c r="R102" s="22"/>
      <c r="S102" s="22" t="s">
        <v>329</v>
      </c>
      <c r="T102" s="22"/>
      <c r="U102" s="22"/>
      <c r="V102" s="22" t="s">
        <v>214</v>
      </c>
      <c r="W102" s="22"/>
      <c r="X102" s="22"/>
      <c r="Y102" s="22" t="s">
        <v>374</v>
      </c>
      <c r="AA102" s="22" t="s">
        <v>14</v>
      </c>
      <c r="AB102" s="22" t="s">
        <v>66</v>
      </c>
      <c r="AC102" s="22" t="s">
        <v>66</v>
      </c>
      <c r="AD102" s="22" t="s">
        <v>66</v>
      </c>
      <c r="AF102" s="22"/>
      <c r="AG102" s="22" t="s">
        <v>14</v>
      </c>
      <c r="AH102" s="22" t="s">
        <v>14</v>
      </c>
      <c r="AI102" s="22"/>
      <c r="AJ102" s="22"/>
      <c r="AK102" s="22"/>
      <c r="AL102" s="22"/>
      <c r="AM102" s="22"/>
      <c r="AO102" s="20"/>
    </row>
    <row r="103" spans="1:41" s="1" customFormat="1" ht="26">
      <c r="A103" s="22">
        <v>80</v>
      </c>
      <c r="B103" s="22"/>
      <c r="C103" s="22"/>
      <c r="D103" s="22" t="s">
        <v>329</v>
      </c>
      <c r="E103" s="31" t="s">
        <v>651</v>
      </c>
      <c r="F103" s="22" t="s">
        <v>317</v>
      </c>
      <c r="G103" s="22" t="s">
        <v>1</v>
      </c>
      <c r="H103" s="22"/>
      <c r="I103" s="22" t="s">
        <v>376</v>
      </c>
      <c r="J103" s="22"/>
      <c r="K103" s="22" t="s">
        <v>366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 t="s">
        <v>374</v>
      </c>
      <c r="AA103" s="22" t="s">
        <v>66</v>
      </c>
      <c r="AB103" s="22" t="s">
        <v>66</v>
      </c>
      <c r="AC103" s="22" t="s">
        <v>66</v>
      </c>
      <c r="AD103" s="22" t="s">
        <v>66</v>
      </c>
      <c r="AF103" s="22"/>
      <c r="AG103" s="22" t="s">
        <v>14</v>
      </c>
      <c r="AH103" s="22"/>
      <c r="AI103" s="22"/>
      <c r="AJ103" s="22"/>
      <c r="AK103" s="22"/>
      <c r="AL103" s="22"/>
      <c r="AM103" s="22"/>
      <c r="AO103" s="20"/>
    </row>
    <row r="104" spans="1:41" s="1" customFormat="1" ht="39">
      <c r="A104" s="22">
        <v>80</v>
      </c>
      <c r="B104" s="22"/>
      <c r="C104" s="22"/>
      <c r="D104" s="22" t="s">
        <v>330</v>
      </c>
      <c r="E104" s="31" t="s">
        <v>652</v>
      </c>
      <c r="F104" s="22" t="s">
        <v>318</v>
      </c>
      <c r="G104" s="22" t="s">
        <v>1</v>
      </c>
      <c r="H104" s="22"/>
      <c r="I104" s="22" t="s">
        <v>375</v>
      </c>
      <c r="J104" s="22"/>
      <c r="K104" s="22" t="s">
        <v>433</v>
      </c>
      <c r="L104" s="22"/>
      <c r="M104" s="22"/>
      <c r="N104" s="22"/>
      <c r="O104" s="22"/>
      <c r="P104" s="22"/>
      <c r="Q104" s="22" t="s">
        <v>213</v>
      </c>
      <c r="R104" s="22"/>
      <c r="S104" s="22" t="s">
        <v>476</v>
      </c>
      <c r="T104" s="22"/>
      <c r="U104" s="22"/>
      <c r="V104" s="22" t="s">
        <v>214</v>
      </c>
      <c r="W104" s="22"/>
      <c r="X104" s="22"/>
      <c r="Y104" s="22" t="s">
        <v>463</v>
      </c>
      <c r="AA104" s="22" t="s">
        <v>14</v>
      </c>
      <c r="AB104" s="22" t="s">
        <v>66</v>
      </c>
      <c r="AC104" s="22" t="s">
        <v>66</v>
      </c>
      <c r="AD104" s="22" t="s">
        <v>66</v>
      </c>
      <c r="AF104" s="22"/>
      <c r="AG104" s="22" t="s">
        <v>14</v>
      </c>
      <c r="AH104" s="22" t="s">
        <v>14</v>
      </c>
      <c r="AI104" s="22"/>
      <c r="AJ104" s="22"/>
      <c r="AK104" s="22"/>
      <c r="AL104" s="22"/>
      <c r="AM104" s="22"/>
      <c r="AO104" s="20"/>
    </row>
    <row r="105" spans="1:41" s="1" customFormat="1" ht="26">
      <c r="A105" s="22">
        <v>80</v>
      </c>
      <c r="B105" s="22"/>
      <c r="C105" s="22"/>
      <c r="D105" s="22" t="s">
        <v>331</v>
      </c>
      <c r="E105" s="31" t="s">
        <v>653</v>
      </c>
      <c r="F105" s="22" t="s">
        <v>319</v>
      </c>
      <c r="G105" s="22" t="s">
        <v>1</v>
      </c>
      <c r="H105" s="22"/>
      <c r="I105" s="22" t="s">
        <v>376</v>
      </c>
      <c r="J105" s="22"/>
      <c r="K105" s="22" t="s">
        <v>366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 t="s">
        <v>463</v>
      </c>
      <c r="AA105" s="22" t="s">
        <v>66</v>
      </c>
      <c r="AB105" s="22" t="s">
        <v>66</v>
      </c>
      <c r="AC105" s="22" t="s">
        <v>66</v>
      </c>
      <c r="AD105" s="22" t="s">
        <v>66</v>
      </c>
      <c r="AF105" s="22"/>
      <c r="AG105" s="22" t="s">
        <v>14</v>
      </c>
      <c r="AH105" s="22"/>
      <c r="AI105" s="22"/>
      <c r="AJ105" s="22"/>
      <c r="AK105" s="22"/>
      <c r="AL105" s="22"/>
      <c r="AM105" s="22"/>
      <c r="AO105" s="20"/>
    </row>
    <row r="106" spans="1:41" s="1" customFormat="1" ht="39">
      <c r="A106" s="22">
        <v>80</v>
      </c>
      <c r="B106" s="22"/>
      <c r="C106" s="22"/>
      <c r="D106" s="22" t="s">
        <v>332</v>
      </c>
      <c r="E106" s="31" t="s">
        <v>654</v>
      </c>
      <c r="F106" s="22" t="s">
        <v>320</v>
      </c>
      <c r="G106" s="22" t="s">
        <v>1</v>
      </c>
      <c r="H106" s="22"/>
      <c r="I106" s="22" t="s">
        <v>375</v>
      </c>
      <c r="J106" s="22"/>
      <c r="K106" s="22" t="s">
        <v>433</v>
      </c>
      <c r="L106" s="22"/>
      <c r="M106" s="22"/>
      <c r="N106" s="22"/>
      <c r="O106" s="22"/>
      <c r="P106" s="22"/>
      <c r="Q106" s="22" t="s">
        <v>213</v>
      </c>
      <c r="R106" s="22"/>
      <c r="S106" s="22" t="s">
        <v>477</v>
      </c>
      <c r="T106" s="22"/>
      <c r="U106" s="22"/>
      <c r="V106" s="22" t="s">
        <v>214</v>
      </c>
      <c r="W106" s="22"/>
      <c r="X106" s="22"/>
      <c r="Y106" s="22" t="s">
        <v>367</v>
      </c>
      <c r="AA106" s="22" t="s">
        <v>14</v>
      </c>
      <c r="AB106" s="22" t="s">
        <v>66</v>
      </c>
      <c r="AC106" s="22" t="s">
        <v>66</v>
      </c>
      <c r="AD106" s="22" t="s">
        <v>66</v>
      </c>
      <c r="AF106" s="22"/>
      <c r="AG106" s="22" t="s">
        <v>14</v>
      </c>
      <c r="AH106" s="22" t="s">
        <v>14</v>
      </c>
      <c r="AI106" s="22"/>
      <c r="AJ106" s="22"/>
      <c r="AK106" s="22"/>
      <c r="AL106" s="22"/>
      <c r="AM106" s="22"/>
      <c r="AO106" s="20"/>
    </row>
    <row r="107" spans="1:41" s="1" customFormat="1" ht="26">
      <c r="A107" s="22">
        <v>80</v>
      </c>
      <c r="B107" s="22"/>
      <c r="C107" s="22"/>
      <c r="D107" s="22" t="s">
        <v>333</v>
      </c>
      <c r="E107" s="31" t="s">
        <v>655</v>
      </c>
      <c r="F107" s="22" t="s">
        <v>321</v>
      </c>
      <c r="G107" s="22" t="s">
        <v>1</v>
      </c>
      <c r="H107" s="22"/>
      <c r="I107" s="22" t="s">
        <v>376</v>
      </c>
      <c r="J107" s="22"/>
      <c r="K107" s="22" t="s">
        <v>366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 t="s">
        <v>367</v>
      </c>
      <c r="AA107" s="22" t="s">
        <v>66</v>
      </c>
      <c r="AB107" s="22" t="s">
        <v>66</v>
      </c>
      <c r="AC107" s="22" t="s">
        <v>66</v>
      </c>
      <c r="AD107" s="22" t="s">
        <v>66</v>
      </c>
      <c r="AF107" s="22"/>
      <c r="AG107" s="22" t="s">
        <v>14</v>
      </c>
      <c r="AH107" s="22"/>
      <c r="AI107" s="22"/>
      <c r="AJ107" s="22"/>
      <c r="AK107" s="22"/>
      <c r="AL107" s="22"/>
      <c r="AM107" s="22"/>
      <c r="AO107" s="20"/>
    </row>
    <row r="108" spans="1:41" s="1" customFormat="1" ht="39">
      <c r="A108" s="22">
        <v>80</v>
      </c>
      <c r="B108" s="22"/>
      <c r="C108" s="22"/>
      <c r="D108" s="22" t="s">
        <v>334</v>
      </c>
      <c r="E108" s="31" t="s">
        <v>656</v>
      </c>
      <c r="F108" s="22" t="s">
        <v>322</v>
      </c>
      <c r="G108" s="22" t="s">
        <v>1</v>
      </c>
      <c r="H108" s="22"/>
      <c r="I108" s="22" t="s">
        <v>375</v>
      </c>
      <c r="J108" s="22"/>
      <c r="K108" s="22" t="s">
        <v>433</v>
      </c>
      <c r="L108" s="22"/>
      <c r="M108" s="22"/>
      <c r="N108" s="22"/>
      <c r="O108" s="22"/>
      <c r="P108" s="22"/>
      <c r="Q108" s="22" t="s">
        <v>213</v>
      </c>
      <c r="R108" s="22"/>
      <c r="S108" s="22" t="s">
        <v>478</v>
      </c>
      <c r="T108" s="22"/>
      <c r="U108" s="22"/>
      <c r="V108" s="22" t="s">
        <v>214</v>
      </c>
      <c r="W108" s="22"/>
      <c r="X108" s="22"/>
      <c r="Y108" s="22" t="s">
        <v>368</v>
      </c>
      <c r="AA108" s="22" t="s">
        <v>14</v>
      </c>
      <c r="AB108" s="22" t="s">
        <v>66</v>
      </c>
      <c r="AC108" s="22" t="s">
        <v>66</v>
      </c>
      <c r="AD108" s="22" t="s">
        <v>66</v>
      </c>
      <c r="AF108" s="22"/>
      <c r="AG108" s="22" t="s">
        <v>14</v>
      </c>
      <c r="AH108" s="22" t="s">
        <v>14</v>
      </c>
      <c r="AI108" s="22"/>
      <c r="AJ108" s="22"/>
      <c r="AK108" s="22"/>
      <c r="AL108" s="22"/>
      <c r="AM108" s="22"/>
      <c r="AO108" s="20"/>
    </row>
    <row r="109" spans="1:41" s="1" customFormat="1" ht="26">
      <c r="A109" s="22">
        <v>80</v>
      </c>
      <c r="B109" s="22"/>
      <c r="C109" s="22"/>
      <c r="D109" s="22" t="s">
        <v>335</v>
      </c>
      <c r="E109" s="31" t="s">
        <v>657</v>
      </c>
      <c r="F109" s="22" t="s">
        <v>323</v>
      </c>
      <c r="G109" s="22" t="s">
        <v>1</v>
      </c>
      <c r="H109" s="22"/>
      <c r="I109" s="22" t="s">
        <v>376</v>
      </c>
      <c r="J109" s="22"/>
      <c r="K109" s="22" t="s">
        <v>366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 t="s">
        <v>368</v>
      </c>
      <c r="AA109" s="22" t="s">
        <v>66</v>
      </c>
      <c r="AB109" s="22" t="s">
        <v>66</v>
      </c>
      <c r="AC109" s="22" t="s">
        <v>66</v>
      </c>
      <c r="AD109" s="22" t="s">
        <v>66</v>
      </c>
      <c r="AF109" s="22"/>
      <c r="AG109" s="22" t="s">
        <v>14</v>
      </c>
      <c r="AH109" s="22"/>
      <c r="AI109" s="22"/>
      <c r="AJ109" s="22"/>
      <c r="AK109" s="22"/>
      <c r="AL109" s="22"/>
      <c r="AM109" s="22"/>
      <c r="AO109" s="20"/>
    </row>
    <row r="110" spans="1:41" s="1" customFormat="1" ht="39">
      <c r="A110" s="22">
        <v>80</v>
      </c>
      <c r="B110" s="22"/>
      <c r="C110" s="22"/>
      <c r="D110" s="22" t="s">
        <v>143</v>
      </c>
      <c r="E110" s="31" t="s">
        <v>658</v>
      </c>
      <c r="F110" s="22" t="s">
        <v>144</v>
      </c>
      <c r="G110" s="22" t="s">
        <v>1</v>
      </c>
      <c r="H110" s="22"/>
      <c r="I110" s="22" t="s">
        <v>375</v>
      </c>
      <c r="J110" s="22"/>
      <c r="K110" s="22" t="s">
        <v>433</v>
      </c>
      <c r="L110" s="22"/>
      <c r="M110" s="22"/>
      <c r="N110" s="22"/>
      <c r="O110" s="22"/>
      <c r="P110" s="22"/>
      <c r="Q110" s="22" t="s">
        <v>213</v>
      </c>
      <c r="R110" s="22"/>
      <c r="S110" s="22" t="s">
        <v>479</v>
      </c>
      <c r="T110" s="22"/>
      <c r="U110" s="22"/>
      <c r="V110" s="22" t="s">
        <v>214</v>
      </c>
      <c r="W110" s="22"/>
      <c r="X110" s="22"/>
      <c r="Y110" s="22"/>
      <c r="AA110" s="22" t="s">
        <v>14</v>
      </c>
      <c r="AB110" s="22" t="s">
        <v>66</v>
      </c>
      <c r="AC110" s="22" t="s">
        <v>66</v>
      </c>
      <c r="AD110" s="22" t="s">
        <v>66</v>
      </c>
      <c r="AF110" s="22"/>
      <c r="AG110" s="22" t="s">
        <v>14</v>
      </c>
      <c r="AH110" s="22" t="s">
        <v>14</v>
      </c>
      <c r="AI110" s="22"/>
      <c r="AJ110" s="22"/>
      <c r="AK110" s="22"/>
      <c r="AL110" s="22"/>
      <c r="AM110" s="22"/>
      <c r="AO110" s="20"/>
    </row>
    <row r="111" spans="1:41" s="1" customFormat="1" ht="26">
      <c r="A111" s="22">
        <v>80</v>
      </c>
      <c r="B111" s="22"/>
      <c r="C111" s="22"/>
      <c r="D111" s="22" t="s">
        <v>145</v>
      </c>
      <c r="E111" s="31" t="s">
        <v>659</v>
      </c>
      <c r="F111" s="22" t="s">
        <v>146</v>
      </c>
      <c r="G111" s="22" t="s">
        <v>1</v>
      </c>
      <c r="H111" s="22"/>
      <c r="I111" s="22" t="s">
        <v>376</v>
      </c>
      <c r="J111" s="22"/>
      <c r="K111" s="22" t="s">
        <v>366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AA111" s="22" t="s">
        <v>66</v>
      </c>
      <c r="AB111" s="22" t="s">
        <v>66</v>
      </c>
      <c r="AC111" s="22" t="s">
        <v>66</v>
      </c>
      <c r="AD111" s="22" t="s">
        <v>66</v>
      </c>
      <c r="AF111" s="22"/>
      <c r="AG111" s="22" t="s">
        <v>14</v>
      </c>
      <c r="AH111" s="22"/>
      <c r="AI111" s="22"/>
      <c r="AJ111" s="22"/>
      <c r="AK111" s="22"/>
      <c r="AL111" s="22"/>
      <c r="AM111" s="22"/>
      <c r="AO111" s="20"/>
    </row>
    <row r="112" spans="1:41" s="1" customFormat="1" ht="26">
      <c r="A112" s="22">
        <v>80</v>
      </c>
      <c r="B112" s="22"/>
      <c r="C112" s="22"/>
      <c r="D112" s="22" t="s">
        <v>147</v>
      </c>
      <c r="E112" s="31" t="s">
        <v>660</v>
      </c>
      <c r="F112" s="22" t="s">
        <v>148</v>
      </c>
      <c r="G112" s="22" t="s">
        <v>1</v>
      </c>
      <c r="H112" s="22"/>
      <c r="I112" s="22" t="s">
        <v>377</v>
      </c>
      <c r="J112" s="22"/>
      <c r="K112" s="22" t="s">
        <v>433</v>
      </c>
      <c r="L112" s="22"/>
      <c r="M112" s="22"/>
      <c r="N112" s="22"/>
      <c r="O112" s="22"/>
      <c r="P112" s="22"/>
      <c r="Q112" s="22" t="s">
        <v>378</v>
      </c>
      <c r="R112" s="22"/>
      <c r="S112" s="22" t="s">
        <v>215</v>
      </c>
      <c r="T112" s="22"/>
      <c r="U112" s="22"/>
      <c r="V112" s="22" t="s">
        <v>480</v>
      </c>
      <c r="W112" s="22"/>
      <c r="X112" s="22"/>
      <c r="Y112" s="22"/>
      <c r="AA112" s="22" t="s">
        <v>14</v>
      </c>
      <c r="AB112" s="22" t="s">
        <v>66</v>
      </c>
      <c r="AC112" s="22" t="s">
        <v>66</v>
      </c>
      <c r="AD112" s="22" t="s">
        <v>66</v>
      </c>
      <c r="AF112" s="22"/>
      <c r="AG112" s="22" t="s">
        <v>14</v>
      </c>
      <c r="AH112" s="22" t="s">
        <v>14</v>
      </c>
      <c r="AI112" s="22"/>
      <c r="AJ112" s="22"/>
      <c r="AK112" s="22"/>
      <c r="AL112" s="22"/>
      <c r="AM112" s="22"/>
      <c r="AO112" s="20"/>
    </row>
    <row r="113" spans="1:41" s="1" customFormat="1">
      <c r="A113" s="22">
        <v>80</v>
      </c>
      <c r="B113" s="22"/>
      <c r="C113" s="22"/>
      <c r="D113" s="22" t="s">
        <v>215</v>
      </c>
      <c r="E113" s="31" t="s">
        <v>661</v>
      </c>
      <c r="F113" s="22" t="s">
        <v>149</v>
      </c>
      <c r="G113" s="22" t="s">
        <v>1</v>
      </c>
      <c r="H113" s="22"/>
      <c r="I113" s="22" t="s">
        <v>379</v>
      </c>
      <c r="J113" s="22"/>
      <c r="K113" s="22" t="s">
        <v>366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AA113" s="22" t="s">
        <v>66</v>
      </c>
      <c r="AB113" s="22" t="s">
        <v>66</v>
      </c>
      <c r="AC113" s="22" t="s">
        <v>66</v>
      </c>
      <c r="AD113" s="22" t="s">
        <v>66</v>
      </c>
      <c r="AF113" s="22"/>
      <c r="AG113" s="22" t="s">
        <v>14</v>
      </c>
      <c r="AH113" s="22"/>
      <c r="AI113" s="22"/>
      <c r="AJ113" s="22"/>
      <c r="AK113" s="22"/>
      <c r="AL113" s="22"/>
      <c r="AM113" s="22"/>
      <c r="AO113" s="20"/>
    </row>
    <row r="114" spans="1:41" s="1" customFormat="1" ht="26">
      <c r="A114" s="22">
        <v>80</v>
      </c>
      <c r="B114" s="22"/>
      <c r="C114" s="22"/>
      <c r="D114" s="22" t="s">
        <v>150</v>
      </c>
      <c r="E114" s="31" t="s">
        <v>662</v>
      </c>
      <c r="F114" s="22" t="s">
        <v>151</v>
      </c>
      <c r="G114" s="22" t="s">
        <v>1</v>
      </c>
      <c r="H114" s="22"/>
      <c r="I114" s="22" t="s">
        <v>380</v>
      </c>
      <c r="J114" s="22"/>
      <c r="K114" s="22" t="s">
        <v>366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AA114" s="22" t="s">
        <v>14</v>
      </c>
      <c r="AB114" s="22" t="s">
        <v>66</v>
      </c>
      <c r="AC114" s="22" t="s">
        <v>66</v>
      </c>
      <c r="AD114" s="22" t="s">
        <v>66</v>
      </c>
      <c r="AF114" s="22"/>
      <c r="AG114" s="22" t="s">
        <v>14</v>
      </c>
      <c r="AH114" s="22" t="s">
        <v>14</v>
      </c>
      <c r="AI114" s="22"/>
      <c r="AJ114" s="22"/>
      <c r="AK114" s="22"/>
      <c r="AL114" s="22"/>
      <c r="AM114" s="22"/>
      <c r="AO114" s="20"/>
    </row>
    <row r="115" spans="1:41" s="1" customFormat="1" ht="26">
      <c r="A115" s="22">
        <v>80</v>
      </c>
      <c r="B115" s="22"/>
      <c r="C115" s="22"/>
      <c r="D115" s="22" t="s">
        <v>152</v>
      </c>
      <c r="E115" s="31" t="s">
        <v>663</v>
      </c>
      <c r="F115" s="22" t="s">
        <v>153</v>
      </c>
      <c r="G115" s="22" t="s">
        <v>1</v>
      </c>
      <c r="H115" s="22"/>
      <c r="I115" s="22" t="s">
        <v>377</v>
      </c>
      <c r="J115" s="22"/>
      <c r="K115" s="22" t="s">
        <v>433</v>
      </c>
      <c r="L115" s="22"/>
      <c r="M115" s="22"/>
      <c r="N115" s="22"/>
      <c r="O115" s="22"/>
      <c r="P115" s="22"/>
      <c r="Q115" s="22" t="s">
        <v>378</v>
      </c>
      <c r="R115" s="22"/>
      <c r="S115" s="22" t="s">
        <v>481</v>
      </c>
      <c r="T115" s="22"/>
      <c r="U115" s="22"/>
      <c r="V115" s="22" t="s">
        <v>480</v>
      </c>
      <c r="W115" s="22"/>
      <c r="X115" s="22"/>
      <c r="Y115" s="22"/>
      <c r="AA115" s="22" t="s">
        <v>14</v>
      </c>
      <c r="AB115" s="22" t="s">
        <v>66</v>
      </c>
      <c r="AC115" s="22" t="s">
        <v>66</v>
      </c>
      <c r="AD115" s="22" t="s">
        <v>66</v>
      </c>
      <c r="AF115" s="22"/>
      <c r="AG115" s="22" t="s">
        <v>14</v>
      </c>
      <c r="AH115" s="22" t="s">
        <v>14</v>
      </c>
      <c r="AI115" s="22"/>
      <c r="AJ115" s="22"/>
      <c r="AK115" s="22"/>
      <c r="AL115" s="22"/>
      <c r="AM115" s="22"/>
      <c r="AO115" s="20"/>
    </row>
    <row r="116" spans="1:41" s="1" customFormat="1" ht="26">
      <c r="A116" s="22">
        <v>80</v>
      </c>
      <c r="B116" s="22"/>
      <c r="C116" s="22"/>
      <c r="D116" s="22" t="s">
        <v>154</v>
      </c>
      <c r="E116" s="31" t="s">
        <v>664</v>
      </c>
      <c r="F116" s="22" t="s">
        <v>155</v>
      </c>
      <c r="G116" s="22" t="s">
        <v>1</v>
      </c>
      <c r="H116" s="22"/>
      <c r="I116" s="22" t="s">
        <v>379</v>
      </c>
      <c r="J116" s="22"/>
      <c r="K116" s="22" t="s">
        <v>366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AA116" s="22" t="s">
        <v>66</v>
      </c>
      <c r="AB116" s="22" t="s">
        <v>66</v>
      </c>
      <c r="AC116" s="22" t="s">
        <v>66</v>
      </c>
      <c r="AD116" s="22" t="s">
        <v>66</v>
      </c>
      <c r="AF116" s="22"/>
      <c r="AG116" s="22" t="s">
        <v>14</v>
      </c>
      <c r="AH116" s="22"/>
      <c r="AI116" s="22"/>
      <c r="AJ116" s="22"/>
      <c r="AK116" s="22"/>
      <c r="AL116" s="22"/>
      <c r="AM116" s="22"/>
      <c r="AO116" s="20"/>
    </row>
    <row r="117" spans="1:41" s="1" customFormat="1" ht="26">
      <c r="A117" s="22">
        <v>80</v>
      </c>
      <c r="B117" s="22"/>
      <c r="C117" s="22"/>
      <c r="D117" s="22" t="s">
        <v>156</v>
      </c>
      <c r="E117" s="31" t="s">
        <v>665</v>
      </c>
      <c r="F117" s="22" t="s">
        <v>157</v>
      </c>
      <c r="G117" s="22" t="s">
        <v>1</v>
      </c>
      <c r="H117" s="22"/>
      <c r="I117" s="22" t="s">
        <v>380</v>
      </c>
      <c r="J117" s="22"/>
      <c r="K117" s="22" t="s">
        <v>366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AA117" s="22" t="s">
        <v>14</v>
      </c>
      <c r="AB117" s="22" t="s">
        <v>66</v>
      </c>
      <c r="AC117" s="22" t="s">
        <v>66</v>
      </c>
      <c r="AD117" s="22" t="s">
        <v>66</v>
      </c>
      <c r="AF117" s="22"/>
      <c r="AG117" s="22" t="s">
        <v>14</v>
      </c>
      <c r="AH117" s="22" t="s">
        <v>14</v>
      </c>
      <c r="AI117" s="22"/>
      <c r="AJ117" s="22"/>
      <c r="AK117" s="22"/>
      <c r="AL117" s="22"/>
      <c r="AM117" s="22"/>
      <c r="AO117" s="20"/>
    </row>
    <row r="118" spans="1:41" s="1" customFormat="1" ht="26">
      <c r="A118" s="22">
        <v>80</v>
      </c>
      <c r="B118" s="22"/>
      <c r="C118" s="22"/>
      <c r="D118" s="22" t="s">
        <v>158</v>
      </c>
      <c r="E118" s="31" t="s">
        <v>666</v>
      </c>
      <c r="F118" s="22" t="s">
        <v>159</v>
      </c>
      <c r="G118" s="22" t="s">
        <v>1</v>
      </c>
      <c r="H118" s="22"/>
      <c r="I118" s="22" t="s">
        <v>482</v>
      </c>
      <c r="J118" s="22"/>
      <c r="K118" s="22" t="s">
        <v>433</v>
      </c>
      <c r="L118" s="22"/>
      <c r="M118" s="22"/>
      <c r="N118" s="22"/>
      <c r="O118" s="22"/>
      <c r="P118" s="22"/>
      <c r="Q118" s="22" t="s">
        <v>381</v>
      </c>
      <c r="R118" s="22"/>
      <c r="S118" s="22" t="s">
        <v>483</v>
      </c>
      <c r="T118" s="22"/>
      <c r="U118" s="22"/>
      <c r="V118" s="22"/>
      <c r="W118" s="22"/>
      <c r="X118" s="22"/>
      <c r="Y118" s="22"/>
      <c r="AA118" s="22" t="s">
        <v>14</v>
      </c>
      <c r="AB118" s="22" t="s">
        <v>66</v>
      </c>
      <c r="AC118" s="22" t="s">
        <v>66</v>
      </c>
      <c r="AD118" s="22" t="s">
        <v>66</v>
      </c>
      <c r="AF118" s="22"/>
      <c r="AG118" s="22" t="s">
        <v>14</v>
      </c>
      <c r="AH118" s="22" t="s">
        <v>14</v>
      </c>
      <c r="AI118" s="22"/>
      <c r="AJ118" s="22"/>
      <c r="AK118" s="22"/>
      <c r="AL118" s="22"/>
      <c r="AM118" s="22"/>
      <c r="AO118" s="20"/>
    </row>
    <row r="119" spans="1:41" s="1" customFormat="1">
      <c r="A119" s="22">
        <v>80</v>
      </c>
      <c r="B119" s="22"/>
      <c r="C119" s="22"/>
      <c r="D119" s="22" t="s">
        <v>160</v>
      </c>
      <c r="E119" s="31" t="s">
        <v>667</v>
      </c>
      <c r="F119" s="22" t="s">
        <v>161</v>
      </c>
      <c r="G119" s="22" t="s">
        <v>1</v>
      </c>
      <c r="H119" s="22"/>
      <c r="I119" s="22" t="s">
        <v>484</v>
      </c>
      <c r="J119" s="22"/>
      <c r="K119" s="22" t="s">
        <v>366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AA119" s="22" t="s">
        <v>66</v>
      </c>
      <c r="AB119" s="22" t="s">
        <v>66</v>
      </c>
      <c r="AC119" s="22" t="s">
        <v>66</v>
      </c>
      <c r="AD119" s="22" t="s">
        <v>66</v>
      </c>
      <c r="AF119" s="22"/>
      <c r="AG119" s="22" t="s">
        <v>14</v>
      </c>
      <c r="AH119" s="22"/>
      <c r="AI119" s="22"/>
      <c r="AJ119" s="22"/>
      <c r="AK119" s="22"/>
      <c r="AL119" s="22"/>
      <c r="AM119" s="22"/>
      <c r="AO119" s="20"/>
    </row>
    <row r="120" spans="1:41" s="1" customFormat="1" ht="26">
      <c r="A120" s="22">
        <v>80</v>
      </c>
      <c r="B120" s="22"/>
      <c r="C120" s="22"/>
      <c r="D120" s="22" t="s">
        <v>162</v>
      </c>
      <c r="E120" s="31" t="s">
        <v>668</v>
      </c>
      <c r="F120" s="22" t="s">
        <v>163</v>
      </c>
      <c r="G120" s="22" t="s">
        <v>1</v>
      </c>
      <c r="H120" s="22"/>
      <c r="I120" s="22" t="s">
        <v>485</v>
      </c>
      <c r="J120" s="22"/>
      <c r="K120" s="22" t="s">
        <v>433</v>
      </c>
      <c r="L120" s="22"/>
      <c r="M120" s="22"/>
      <c r="N120" s="22"/>
      <c r="O120" s="22"/>
      <c r="P120" s="22"/>
      <c r="Q120" s="22" t="s">
        <v>486</v>
      </c>
      <c r="R120" s="22"/>
      <c r="S120" s="22" t="s">
        <v>487</v>
      </c>
      <c r="T120" s="22"/>
      <c r="U120" s="22"/>
      <c r="V120" s="22"/>
      <c r="W120" s="22"/>
      <c r="X120" s="22"/>
      <c r="Y120" s="22"/>
      <c r="AA120" s="22" t="s">
        <v>14</v>
      </c>
      <c r="AB120" s="22" t="s">
        <v>66</v>
      </c>
      <c r="AC120" s="22" t="s">
        <v>66</v>
      </c>
      <c r="AD120" s="22" t="s">
        <v>66</v>
      </c>
      <c r="AF120" s="22"/>
      <c r="AG120" s="22" t="s">
        <v>14</v>
      </c>
      <c r="AH120" s="22" t="s">
        <v>14</v>
      </c>
      <c r="AI120" s="22"/>
      <c r="AJ120" s="22"/>
      <c r="AK120" s="22"/>
      <c r="AL120" s="22"/>
      <c r="AM120" s="22"/>
      <c r="AO120" s="20"/>
    </row>
    <row r="121" spans="1:41" s="1" customFormat="1">
      <c r="A121" s="22">
        <v>80</v>
      </c>
      <c r="B121" s="22"/>
      <c r="C121" s="22"/>
      <c r="D121" s="22" t="s">
        <v>164</v>
      </c>
      <c r="E121" s="31" t="s">
        <v>669</v>
      </c>
      <c r="F121" s="22" t="s">
        <v>165</v>
      </c>
      <c r="G121" s="22" t="s">
        <v>1</v>
      </c>
      <c r="H121" s="22"/>
      <c r="I121" s="22" t="s">
        <v>488</v>
      </c>
      <c r="J121" s="22"/>
      <c r="K121" s="22" t="s">
        <v>366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AA121" s="22" t="s">
        <v>66</v>
      </c>
      <c r="AB121" s="22" t="s">
        <v>66</v>
      </c>
      <c r="AC121" s="22" t="s">
        <v>66</v>
      </c>
      <c r="AD121" s="22" t="s">
        <v>66</v>
      </c>
      <c r="AF121" s="22"/>
      <c r="AG121" s="22" t="s">
        <v>14</v>
      </c>
      <c r="AH121" s="22"/>
      <c r="AI121" s="22"/>
      <c r="AJ121" s="22"/>
      <c r="AK121" s="22"/>
      <c r="AL121" s="22"/>
      <c r="AM121" s="22"/>
      <c r="AO121" s="20"/>
    </row>
    <row r="122" spans="1:41" s="1" customFormat="1" ht="26">
      <c r="A122" s="22">
        <v>80</v>
      </c>
      <c r="B122" s="22"/>
      <c r="C122" s="22"/>
      <c r="D122" s="22" t="s">
        <v>166</v>
      </c>
      <c r="E122" s="31" t="s">
        <v>670</v>
      </c>
      <c r="F122" s="22" t="s">
        <v>167</v>
      </c>
      <c r="G122" s="22" t="s">
        <v>1</v>
      </c>
      <c r="H122" s="22"/>
      <c r="I122" s="22" t="s">
        <v>489</v>
      </c>
      <c r="J122" s="22"/>
      <c r="K122" s="22" t="s">
        <v>433</v>
      </c>
      <c r="L122" s="22"/>
      <c r="M122" s="22"/>
      <c r="N122" s="22"/>
      <c r="O122" s="22"/>
      <c r="P122" s="22"/>
      <c r="Q122" s="22" t="s">
        <v>490</v>
      </c>
      <c r="R122" s="22"/>
      <c r="S122" s="22" t="s">
        <v>491</v>
      </c>
      <c r="T122" s="22"/>
      <c r="U122" s="22"/>
      <c r="V122" s="22"/>
      <c r="W122" s="22"/>
      <c r="X122" s="22"/>
      <c r="Y122" s="22"/>
      <c r="AA122" s="22" t="s">
        <v>14</v>
      </c>
      <c r="AB122" s="22" t="s">
        <v>66</v>
      </c>
      <c r="AC122" s="22" t="s">
        <v>66</v>
      </c>
      <c r="AD122" s="22" t="s">
        <v>66</v>
      </c>
      <c r="AF122" s="22"/>
      <c r="AG122" s="22" t="s">
        <v>14</v>
      </c>
      <c r="AH122" s="22" t="s">
        <v>14</v>
      </c>
      <c r="AI122" s="22"/>
      <c r="AJ122" s="22"/>
      <c r="AK122" s="22"/>
      <c r="AL122" s="22"/>
      <c r="AM122" s="22"/>
      <c r="AO122" s="20"/>
    </row>
    <row r="123" spans="1:41" s="1" customFormat="1">
      <c r="A123" s="22">
        <v>80</v>
      </c>
      <c r="B123" s="22"/>
      <c r="C123" s="22"/>
      <c r="D123" s="22" t="s">
        <v>168</v>
      </c>
      <c r="E123" s="31" t="s">
        <v>671</v>
      </c>
      <c r="F123" s="22" t="s">
        <v>169</v>
      </c>
      <c r="G123" s="22" t="s">
        <v>1</v>
      </c>
      <c r="H123" s="22"/>
      <c r="I123" s="22" t="s">
        <v>382</v>
      </c>
      <c r="J123" s="22"/>
      <c r="K123" s="22" t="s">
        <v>366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AA123" s="22" t="s">
        <v>66</v>
      </c>
      <c r="AB123" s="22" t="s">
        <v>66</v>
      </c>
      <c r="AC123" s="22" t="s">
        <v>66</v>
      </c>
      <c r="AD123" s="22" t="s">
        <v>66</v>
      </c>
      <c r="AF123" s="22"/>
      <c r="AG123" s="22" t="s">
        <v>14</v>
      </c>
      <c r="AH123" s="22"/>
      <c r="AI123" s="22"/>
      <c r="AJ123" s="22"/>
      <c r="AK123" s="22"/>
      <c r="AL123" s="22"/>
      <c r="AM123" s="22"/>
      <c r="AO123" s="20"/>
    </row>
    <row r="124" spans="1:41" s="1" customFormat="1" ht="26">
      <c r="A124" s="22">
        <v>80</v>
      </c>
      <c r="B124" s="22"/>
      <c r="C124" s="22"/>
      <c r="D124" s="22" t="s">
        <v>170</v>
      </c>
      <c r="E124" s="31" t="s">
        <v>672</v>
      </c>
      <c r="F124" s="22" t="s">
        <v>171</v>
      </c>
      <c r="G124" s="22" t="s">
        <v>201</v>
      </c>
      <c r="H124" s="22"/>
      <c r="I124" s="22" t="s">
        <v>383</v>
      </c>
      <c r="J124" s="22"/>
      <c r="K124" s="22" t="s">
        <v>433</v>
      </c>
      <c r="L124" s="22"/>
      <c r="M124" s="22"/>
      <c r="N124" s="22"/>
      <c r="O124" s="22"/>
      <c r="P124" s="22"/>
      <c r="Q124" s="22" t="s">
        <v>216</v>
      </c>
      <c r="R124" s="22"/>
      <c r="S124" s="22" t="s">
        <v>492</v>
      </c>
      <c r="T124" s="22"/>
      <c r="U124" s="22"/>
      <c r="V124" s="22" t="s">
        <v>221</v>
      </c>
      <c r="W124" s="22" t="s">
        <v>384</v>
      </c>
      <c r="X124" s="22" t="s">
        <v>385</v>
      </c>
      <c r="Y124" s="22"/>
      <c r="AA124" s="22" t="s">
        <v>14</v>
      </c>
      <c r="AB124" s="22" t="s">
        <v>66</v>
      </c>
      <c r="AC124" s="22" t="s">
        <v>66</v>
      </c>
      <c r="AD124" s="22" t="s">
        <v>66</v>
      </c>
      <c r="AF124" s="22"/>
      <c r="AG124" s="22" t="s">
        <v>14</v>
      </c>
      <c r="AH124" s="22" t="s">
        <v>14</v>
      </c>
      <c r="AI124" s="22"/>
      <c r="AJ124" s="22"/>
      <c r="AK124" s="22"/>
      <c r="AL124" s="22"/>
      <c r="AM124" s="22"/>
      <c r="AO124" s="20"/>
    </row>
    <row r="125" spans="1:41" s="1" customFormat="1">
      <c r="A125" s="22">
        <v>80</v>
      </c>
      <c r="B125" s="22"/>
      <c r="C125" s="22"/>
      <c r="D125" s="22" t="s">
        <v>172</v>
      </c>
      <c r="E125" s="31" t="s">
        <v>673</v>
      </c>
      <c r="F125" s="22" t="s">
        <v>173</v>
      </c>
      <c r="G125" s="22" t="s">
        <v>1</v>
      </c>
      <c r="H125" s="22"/>
      <c r="I125" s="22" t="s">
        <v>386</v>
      </c>
      <c r="J125" s="22"/>
      <c r="K125" s="22" t="s">
        <v>366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AA125" s="22" t="s">
        <v>66</v>
      </c>
      <c r="AB125" s="22" t="s">
        <v>66</v>
      </c>
      <c r="AC125" s="22" t="s">
        <v>66</v>
      </c>
      <c r="AD125" s="22" t="s">
        <v>66</v>
      </c>
      <c r="AF125" s="22"/>
      <c r="AG125" s="22" t="s">
        <v>14</v>
      </c>
      <c r="AH125" s="22"/>
      <c r="AI125" s="22"/>
      <c r="AJ125" s="22"/>
      <c r="AK125" s="22"/>
      <c r="AL125" s="22"/>
      <c r="AM125" s="22"/>
      <c r="AO125" s="20"/>
    </row>
    <row r="126" spans="1:41" s="1" customFormat="1" ht="26">
      <c r="A126" s="22">
        <v>80</v>
      </c>
      <c r="B126" s="22"/>
      <c r="C126" s="22"/>
      <c r="D126" s="22" t="s">
        <v>174</v>
      </c>
      <c r="E126" s="31" t="s">
        <v>674</v>
      </c>
      <c r="F126" s="22" t="s">
        <v>338</v>
      </c>
      <c r="G126" s="22" t="s">
        <v>340</v>
      </c>
      <c r="H126" s="22"/>
      <c r="I126" s="22" t="s">
        <v>383</v>
      </c>
      <c r="J126" s="22"/>
      <c r="K126" s="22" t="s">
        <v>433</v>
      </c>
      <c r="L126" s="22"/>
      <c r="M126" s="22"/>
      <c r="N126" s="22"/>
      <c r="O126" s="22"/>
      <c r="P126" s="22"/>
      <c r="Q126" s="22" t="s">
        <v>216</v>
      </c>
      <c r="R126" s="22"/>
      <c r="S126" s="22" t="s">
        <v>493</v>
      </c>
      <c r="T126" s="22"/>
      <c r="U126" s="22"/>
      <c r="V126" s="22" t="s">
        <v>221</v>
      </c>
      <c r="W126" s="22" t="s">
        <v>384</v>
      </c>
      <c r="X126" s="22" t="s">
        <v>385</v>
      </c>
      <c r="Y126" s="22"/>
      <c r="AA126" s="22" t="s">
        <v>14</v>
      </c>
      <c r="AB126" s="22" t="s">
        <v>66</v>
      </c>
      <c r="AC126" s="22" t="s">
        <v>66</v>
      </c>
      <c r="AD126" s="22" t="s">
        <v>66</v>
      </c>
      <c r="AF126" s="22"/>
      <c r="AG126" s="22" t="s">
        <v>14</v>
      </c>
      <c r="AH126" s="22" t="s">
        <v>14</v>
      </c>
      <c r="AI126" s="22"/>
      <c r="AJ126" s="22"/>
      <c r="AK126" s="22"/>
      <c r="AL126" s="22"/>
      <c r="AM126" s="22"/>
      <c r="AO126" s="20"/>
    </row>
    <row r="127" spans="1:41" s="1" customFormat="1">
      <c r="A127" s="22">
        <v>80</v>
      </c>
      <c r="B127" s="22"/>
      <c r="C127" s="22"/>
      <c r="D127" s="22" t="s">
        <v>175</v>
      </c>
      <c r="E127" s="31" t="s">
        <v>675</v>
      </c>
      <c r="F127" s="22" t="s">
        <v>339</v>
      </c>
      <c r="G127" s="22" t="s">
        <v>1</v>
      </c>
      <c r="H127" s="22"/>
      <c r="I127" s="22" t="s">
        <v>386</v>
      </c>
      <c r="J127" s="22"/>
      <c r="K127" s="22" t="s">
        <v>366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AA127" s="22" t="s">
        <v>66</v>
      </c>
      <c r="AB127" s="22" t="s">
        <v>66</v>
      </c>
      <c r="AC127" s="22" t="s">
        <v>66</v>
      </c>
      <c r="AD127" s="22" t="s">
        <v>66</v>
      </c>
      <c r="AF127" s="22"/>
      <c r="AG127" s="22" t="s">
        <v>14</v>
      </c>
      <c r="AH127" s="22"/>
      <c r="AI127" s="22"/>
      <c r="AJ127" s="22"/>
      <c r="AK127" s="22"/>
      <c r="AL127" s="22"/>
      <c r="AM127" s="22"/>
      <c r="AO127" s="20"/>
    </row>
    <row r="128" spans="1:41" s="1" customFormat="1" ht="26">
      <c r="A128" s="22">
        <v>80</v>
      </c>
      <c r="B128" s="22"/>
      <c r="C128" s="22"/>
      <c r="D128" s="22" t="s">
        <v>176</v>
      </c>
      <c r="E128" s="31" t="s">
        <v>676</v>
      </c>
      <c r="F128" s="22" t="s">
        <v>177</v>
      </c>
      <c r="G128" s="22" t="s">
        <v>202</v>
      </c>
      <c r="H128" s="22"/>
      <c r="I128" s="22" t="s">
        <v>383</v>
      </c>
      <c r="J128" s="22"/>
      <c r="K128" s="22" t="s">
        <v>433</v>
      </c>
      <c r="L128" s="22"/>
      <c r="M128" s="22"/>
      <c r="N128" s="22"/>
      <c r="O128" s="22"/>
      <c r="P128" s="22"/>
      <c r="Q128" s="22" t="s">
        <v>216</v>
      </c>
      <c r="R128" s="22"/>
      <c r="S128" s="22" t="s">
        <v>494</v>
      </c>
      <c r="T128" s="22"/>
      <c r="U128" s="22"/>
      <c r="V128" s="22" t="s">
        <v>221</v>
      </c>
      <c r="W128" s="22" t="s">
        <v>384</v>
      </c>
      <c r="X128" s="22" t="s">
        <v>385</v>
      </c>
      <c r="Y128" s="22"/>
      <c r="AA128" s="22" t="s">
        <v>14</v>
      </c>
      <c r="AB128" s="22" t="s">
        <v>66</v>
      </c>
      <c r="AC128" s="22" t="s">
        <v>66</v>
      </c>
      <c r="AD128" s="22" t="s">
        <v>66</v>
      </c>
      <c r="AF128" s="22"/>
      <c r="AG128" s="22" t="s">
        <v>14</v>
      </c>
      <c r="AH128" s="22" t="s">
        <v>14</v>
      </c>
      <c r="AI128" s="22"/>
      <c r="AJ128" s="22"/>
      <c r="AK128" s="22"/>
      <c r="AL128" s="22"/>
      <c r="AM128" s="22"/>
      <c r="AO128" s="20"/>
    </row>
    <row r="129" spans="1:41" s="1" customFormat="1">
      <c r="A129" s="22">
        <v>80</v>
      </c>
      <c r="B129" s="22"/>
      <c r="C129" s="22"/>
      <c r="D129" s="22" t="s">
        <v>178</v>
      </c>
      <c r="E129" s="31" t="s">
        <v>677</v>
      </c>
      <c r="F129" s="22" t="s">
        <v>179</v>
      </c>
      <c r="G129" s="22" t="s">
        <v>1</v>
      </c>
      <c r="H129" s="22"/>
      <c r="I129" s="22" t="s">
        <v>386</v>
      </c>
      <c r="J129" s="22"/>
      <c r="K129" s="22" t="s">
        <v>366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AA129" s="22" t="s">
        <v>66</v>
      </c>
      <c r="AB129" s="22" t="s">
        <v>66</v>
      </c>
      <c r="AC129" s="22" t="s">
        <v>66</v>
      </c>
      <c r="AD129" s="22" t="s">
        <v>66</v>
      </c>
      <c r="AF129" s="22"/>
      <c r="AG129" s="22" t="s">
        <v>14</v>
      </c>
      <c r="AH129" s="22"/>
      <c r="AI129" s="22"/>
      <c r="AJ129" s="22"/>
      <c r="AK129" s="22"/>
      <c r="AL129" s="22"/>
      <c r="AM129" s="22"/>
      <c r="AO129" s="20"/>
    </row>
    <row r="130" spans="1:41" s="1" customFormat="1" ht="26">
      <c r="A130" s="22">
        <v>80</v>
      </c>
      <c r="B130" s="22"/>
      <c r="C130" s="22"/>
      <c r="D130" s="22" t="s">
        <v>180</v>
      </c>
      <c r="E130" s="31" t="s">
        <v>678</v>
      </c>
      <c r="F130" s="22" t="s">
        <v>181</v>
      </c>
      <c r="G130" s="22" t="s">
        <v>203</v>
      </c>
      <c r="H130" s="22"/>
      <c r="I130" s="22" t="s">
        <v>383</v>
      </c>
      <c r="J130" s="22"/>
      <c r="K130" s="22" t="s">
        <v>433</v>
      </c>
      <c r="L130" s="22"/>
      <c r="M130" s="22"/>
      <c r="N130" s="22"/>
      <c r="O130" s="22"/>
      <c r="P130" s="22"/>
      <c r="Q130" s="22" t="s">
        <v>216</v>
      </c>
      <c r="R130" s="22"/>
      <c r="S130" s="22" t="s">
        <v>495</v>
      </c>
      <c r="T130" s="22"/>
      <c r="U130" s="22"/>
      <c r="V130" s="22" t="s">
        <v>221</v>
      </c>
      <c r="W130" s="22" t="s">
        <v>384</v>
      </c>
      <c r="X130" s="22" t="s">
        <v>385</v>
      </c>
      <c r="Y130" s="22"/>
      <c r="AA130" s="22" t="s">
        <v>14</v>
      </c>
      <c r="AB130" s="22" t="s">
        <v>66</v>
      </c>
      <c r="AC130" s="22" t="s">
        <v>66</v>
      </c>
      <c r="AD130" s="22" t="s">
        <v>66</v>
      </c>
      <c r="AF130" s="22"/>
      <c r="AG130" s="22" t="s">
        <v>14</v>
      </c>
      <c r="AH130" s="22" t="s">
        <v>14</v>
      </c>
      <c r="AI130" s="22"/>
      <c r="AJ130" s="22"/>
      <c r="AK130" s="22"/>
      <c r="AL130" s="22"/>
      <c r="AM130" s="22"/>
      <c r="AO130" s="20"/>
    </row>
    <row r="131" spans="1:41" s="1" customFormat="1">
      <c r="A131" s="22">
        <v>80</v>
      </c>
      <c r="B131" s="22"/>
      <c r="C131" s="22"/>
      <c r="D131" s="22" t="s">
        <v>182</v>
      </c>
      <c r="E131" s="31" t="s">
        <v>679</v>
      </c>
      <c r="F131" s="22" t="s">
        <v>183</v>
      </c>
      <c r="G131" s="22" t="s">
        <v>1</v>
      </c>
      <c r="H131" s="22"/>
      <c r="I131" s="22" t="s">
        <v>386</v>
      </c>
      <c r="J131" s="22"/>
      <c r="K131" s="22" t="s">
        <v>366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AA131" s="22" t="s">
        <v>66</v>
      </c>
      <c r="AB131" s="22" t="s">
        <v>66</v>
      </c>
      <c r="AC131" s="22" t="s">
        <v>66</v>
      </c>
      <c r="AD131" s="22" t="s">
        <v>66</v>
      </c>
      <c r="AF131" s="22"/>
      <c r="AG131" s="22" t="s">
        <v>14</v>
      </c>
      <c r="AH131" s="22"/>
      <c r="AI131" s="22"/>
      <c r="AJ131" s="22"/>
      <c r="AK131" s="22"/>
      <c r="AL131" s="22"/>
      <c r="AM131" s="22"/>
      <c r="AO131" s="20"/>
    </row>
    <row r="132" spans="1:41" s="1" customFormat="1" ht="26">
      <c r="A132" s="22">
        <v>80</v>
      </c>
      <c r="B132" s="22"/>
      <c r="C132" s="22"/>
      <c r="D132" s="22" t="s">
        <v>184</v>
      </c>
      <c r="E132" s="31" t="s">
        <v>680</v>
      </c>
      <c r="F132" s="22" t="s">
        <v>185</v>
      </c>
      <c r="G132" s="22" t="s">
        <v>204</v>
      </c>
      <c r="H132" s="22"/>
      <c r="I132" s="22" t="s">
        <v>383</v>
      </c>
      <c r="J132" s="22"/>
      <c r="K132" s="22" t="s">
        <v>433</v>
      </c>
      <c r="L132" s="22"/>
      <c r="M132" s="22"/>
      <c r="N132" s="22"/>
      <c r="O132" s="22"/>
      <c r="P132" s="22"/>
      <c r="Q132" s="22" t="s">
        <v>216</v>
      </c>
      <c r="R132" s="22"/>
      <c r="S132" s="22" t="s">
        <v>496</v>
      </c>
      <c r="T132" s="22"/>
      <c r="U132" s="22"/>
      <c r="V132" s="22" t="s">
        <v>221</v>
      </c>
      <c r="W132" s="22" t="s">
        <v>384</v>
      </c>
      <c r="X132" s="22" t="s">
        <v>385</v>
      </c>
      <c r="Y132" s="22"/>
      <c r="AA132" s="22" t="s">
        <v>14</v>
      </c>
      <c r="AB132" s="22" t="s">
        <v>66</v>
      </c>
      <c r="AC132" s="22" t="s">
        <v>66</v>
      </c>
      <c r="AD132" s="22" t="s">
        <v>66</v>
      </c>
      <c r="AF132" s="22"/>
      <c r="AG132" s="22" t="s">
        <v>14</v>
      </c>
      <c r="AH132" s="22" t="s">
        <v>14</v>
      </c>
      <c r="AI132" s="22"/>
      <c r="AJ132" s="22"/>
      <c r="AK132" s="22"/>
      <c r="AL132" s="22"/>
      <c r="AM132" s="22"/>
      <c r="AO132" s="20"/>
    </row>
    <row r="133" spans="1:41" s="1" customFormat="1">
      <c r="A133" s="22">
        <v>80</v>
      </c>
      <c r="B133" s="22"/>
      <c r="C133" s="22"/>
      <c r="D133" s="22" t="s">
        <v>186</v>
      </c>
      <c r="E133" s="31" t="s">
        <v>681</v>
      </c>
      <c r="F133" s="22" t="s">
        <v>187</v>
      </c>
      <c r="G133" s="22" t="s">
        <v>1</v>
      </c>
      <c r="H133" s="22"/>
      <c r="I133" s="22" t="s">
        <v>386</v>
      </c>
      <c r="J133" s="22"/>
      <c r="K133" s="22" t="s">
        <v>366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AA133" s="22" t="s">
        <v>66</v>
      </c>
      <c r="AB133" s="22" t="s">
        <v>66</v>
      </c>
      <c r="AC133" s="22" t="s">
        <v>66</v>
      </c>
      <c r="AD133" s="22" t="s">
        <v>66</v>
      </c>
      <c r="AF133" s="22"/>
      <c r="AG133" s="22" t="s">
        <v>14</v>
      </c>
      <c r="AH133" s="22"/>
      <c r="AI133" s="22"/>
      <c r="AJ133" s="22"/>
      <c r="AK133" s="22"/>
      <c r="AL133" s="22"/>
      <c r="AM133" s="22"/>
      <c r="AO133" s="20"/>
    </row>
    <row r="134" spans="1:41" s="1" customFormat="1" ht="26">
      <c r="A134" s="22">
        <v>80</v>
      </c>
      <c r="B134" s="22"/>
      <c r="C134" s="22"/>
      <c r="D134" s="22" t="s">
        <v>188</v>
      </c>
      <c r="E134" s="31" t="s">
        <v>682</v>
      </c>
      <c r="F134" s="22" t="s">
        <v>189</v>
      </c>
      <c r="G134" s="22" t="s">
        <v>205</v>
      </c>
      <c r="H134" s="22"/>
      <c r="I134" s="22" t="s">
        <v>383</v>
      </c>
      <c r="J134" s="22"/>
      <c r="K134" s="22" t="s">
        <v>433</v>
      </c>
      <c r="L134" s="22"/>
      <c r="M134" s="22"/>
      <c r="N134" s="22"/>
      <c r="O134" s="22"/>
      <c r="P134" s="22"/>
      <c r="Q134" s="22" t="s">
        <v>216</v>
      </c>
      <c r="R134" s="22"/>
      <c r="S134" s="22" t="s">
        <v>497</v>
      </c>
      <c r="T134" s="22"/>
      <c r="U134" s="22"/>
      <c r="V134" s="22" t="s">
        <v>221</v>
      </c>
      <c r="W134" s="22" t="s">
        <v>498</v>
      </c>
      <c r="X134" s="22" t="s">
        <v>385</v>
      </c>
      <c r="Y134" s="22"/>
      <c r="AA134" s="22" t="s">
        <v>14</v>
      </c>
      <c r="AB134" s="22" t="s">
        <v>66</v>
      </c>
      <c r="AC134" s="22" t="s">
        <v>66</v>
      </c>
      <c r="AD134" s="22" t="s">
        <v>66</v>
      </c>
      <c r="AF134" s="22"/>
      <c r="AG134" s="22" t="s">
        <v>14</v>
      </c>
      <c r="AH134" s="22" t="s">
        <v>14</v>
      </c>
      <c r="AI134" s="22"/>
      <c r="AJ134" s="22"/>
      <c r="AK134" s="22"/>
      <c r="AL134" s="22"/>
      <c r="AM134" s="22"/>
      <c r="AO134" s="20"/>
    </row>
    <row r="135" spans="1:41" s="1" customFormat="1" ht="26">
      <c r="A135" s="22">
        <v>80</v>
      </c>
      <c r="B135" s="22"/>
      <c r="C135" s="22"/>
      <c r="D135" s="22" t="s">
        <v>190</v>
      </c>
      <c r="E135" s="31" t="s">
        <v>683</v>
      </c>
      <c r="F135" s="22" t="s">
        <v>191</v>
      </c>
      <c r="G135" s="22" t="s">
        <v>1</v>
      </c>
      <c r="H135" s="22"/>
      <c r="I135" s="22" t="s">
        <v>386</v>
      </c>
      <c r="J135" s="22"/>
      <c r="K135" s="22" t="s">
        <v>366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AA135" s="22" t="s">
        <v>66</v>
      </c>
      <c r="AB135" s="22" t="s">
        <v>66</v>
      </c>
      <c r="AC135" s="22" t="s">
        <v>66</v>
      </c>
      <c r="AD135" s="22" t="s">
        <v>66</v>
      </c>
      <c r="AF135" s="22"/>
      <c r="AG135" s="22" t="s">
        <v>14</v>
      </c>
      <c r="AH135" s="22"/>
      <c r="AI135" s="22"/>
      <c r="AJ135" s="22"/>
      <c r="AK135" s="22"/>
      <c r="AL135" s="22"/>
      <c r="AM135" s="22"/>
      <c r="AO135" s="20"/>
    </row>
    <row r="136" spans="1:41" s="1" customFormat="1" ht="26">
      <c r="A136" s="22">
        <v>80</v>
      </c>
      <c r="B136" s="22"/>
      <c r="C136" s="22"/>
      <c r="D136" s="22" t="s">
        <v>192</v>
      </c>
      <c r="E136" s="31" t="s">
        <v>684</v>
      </c>
      <c r="F136" s="22" t="s">
        <v>193</v>
      </c>
      <c r="G136" s="22" t="s">
        <v>1</v>
      </c>
      <c r="H136" s="22"/>
      <c r="I136" s="22" t="s">
        <v>387</v>
      </c>
      <c r="J136" s="22"/>
      <c r="K136" s="22" t="s">
        <v>433</v>
      </c>
      <c r="L136" s="22"/>
      <c r="M136" s="22"/>
      <c r="N136" s="22"/>
      <c r="O136" s="22"/>
      <c r="P136" s="22"/>
      <c r="Q136" s="22" t="s">
        <v>388</v>
      </c>
      <c r="R136" s="22"/>
      <c r="S136" s="22" t="s">
        <v>499</v>
      </c>
      <c r="T136" s="22"/>
      <c r="U136" s="22"/>
      <c r="V136" s="22"/>
      <c r="W136" s="22"/>
      <c r="X136" s="22"/>
      <c r="Y136" s="22"/>
      <c r="AA136" s="22" t="s">
        <v>14</v>
      </c>
      <c r="AB136" s="22" t="s">
        <v>66</v>
      </c>
      <c r="AC136" s="22" t="s">
        <v>66</v>
      </c>
      <c r="AD136" s="22" t="s">
        <v>66</v>
      </c>
      <c r="AF136" s="22"/>
      <c r="AG136" s="22" t="s">
        <v>14</v>
      </c>
      <c r="AH136" s="22" t="s">
        <v>14</v>
      </c>
      <c r="AI136" s="22"/>
      <c r="AJ136" s="22"/>
      <c r="AK136" s="22"/>
      <c r="AL136" s="22"/>
      <c r="AM136" s="22"/>
      <c r="AO136" s="20"/>
    </row>
    <row r="137" spans="1:41" s="1" customFormat="1" ht="26">
      <c r="A137" s="22">
        <v>80</v>
      </c>
      <c r="B137" s="22"/>
      <c r="C137" s="22"/>
      <c r="D137" s="22" t="s">
        <v>194</v>
      </c>
      <c r="E137" s="31" t="s">
        <v>685</v>
      </c>
      <c r="F137" s="22" t="s">
        <v>195</v>
      </c>
      <c r="G137" s="22" t="s">
        <v>1</v>
      </c>
      <c r="H137" s="22"/>
      <c r="I137" s="22" t="s">
        <v>500</v>
      </c>
      <c r="J137" s="22"/>
      <c r="K137" s="22" t="s">
        <v>366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AA137" s="22" t="s">
        <v>66</v>
      </c>
      <c r="AB137" s="22" t="s">
        <v>66</v>
      </c>
      <c r="AC137" s="22" t="s">
        <v>66</v>
      </c>
      <c r="AD137" s="22" t="s">
        <v>66</v>
      </c>
      <c r="AF137" s="22"/>
      <c r="AG137" s="22" t="s">
        <v>14</v>
      </c>
      <c r="AH137" s="22"/>
      <c r="AI137" s="22"/>
      <c r="AJ137" s="22"/>
      <c r="AK137" s="22"/>
      <c r="AL137" s="22"/>
      <c r="AM137" s="22"/>
      <c r="AO137" s="20"/>
    </row>
    <row r="138" spans="1:41" s="1" customFormat="1">
      <c r="A138" s="22">
        <v>80</v>
      </c>
      <c r="B138" s="22"/>
      <c r="C138" s="22"/>
      <c r="D138" s="22" t="s">
        <v>30</v>
      </c>
      <c r="E138" s="31" t="s">
        <v>588</v>
      </c>
      <c r="F138" s="22" t="s">
        <v>23</v>
      </c>
      <c r="G138" s="22" t="s">
        <v>9</v>
      </c>
      <c r="H138" s="22"/>
      <c r="I138" s="22" t="s">
        <v>438</v>
      </c>
      <c r="J138" s="22"/>
      <c r="K138" s="22" t="s">
        <v>366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AA138" s="22" t="s">
        <v>14</v>
      </c>
      <c r="AB138" s="22" t="s">
        <v>66</v>
      </c>
      <c r="AC138" s="22" t="s">
        <v>66</v>
      </c>
      <c r="AD138" s="22" t="s">
        <v>66</v>
      </c>
      <c r="AF138" s="22"/>
      <c r="AG138" s="22" t="s">
        <v>14</v>
      </c>
      <c r="AH138" s="22" t="s">
        <v>14</v>
      </c>
      <c r="AI138" s="22"/>
      <c r="AJ138" s="22"/>
      <c r="AK138" s="22"/>
      <c r="AL138" s="22"/>
      <c r="AM138" s="22"/>
      <c r="AO138" s="20"/>
    </row>
    <row r="139" spans="1:41" s="1" customFormat="1">
      <c r="A139" s="22">
        <v>80</v>
      </c>
      <c r="B139" s="22"/>
      <c r="C139" s="22"/>
      <c r="D139" s="22" t="s">
        <v>24</v>
      </c>
      <c r="E139" s="31" t="s">
        <v>589</v>
      </c>
      <c r="F139" s="22" t="s">
        <v>26</v>
      </c>
      <c r="G139" s="22" t="s">
        <v>9</v>
      </c>
      <c r="H139" s="22"/>
      <c r="I139" s="22" t="s">
        <v>439</v>
      </c>
      <c r="J139" s="22"/>
      <c r="K139" s="22" t="s">
        <v>366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AA139" s="22" t="s">
        <v>14</v>
      </c>
      <c r="AB139" s="22" t="s">
        <v>66</v>
      </c>
      <c r="AC139" s="22" t="s">
        <v>66</v>
      </c>
      <c r="AD139" s="22" t="s">
        <v>66</v>
      </c>
      <c r="AF139" s="22"/>
      <c r="AG139" s="22" t="s">
        <v>14</v>
      </c>
      <c r="AH139" s="22" t="s">
        <v>14</v>
      </c>
      <c r="AI139" s="22"/>
      <c r="AJ139" s="22"/>
      <c r="AK139" s="22"/>
      <c r="AL139" s="22"/>
      <c r="AM139" s="22"/>
      <c r="AO139" s="20"/>
    </row>
    <row r="140" spans="1:41" s="1" customFormat="1">
      <c r="A140" s="22">
        <v>80</v>
      </c>
      <c r="B140" s="22"/>
      <c r="C140" s="22"/>
      <c r="D140" s="22" t="s">
        <v>25</v>
      </c>
      <c r="E140" s="31" t="s">
        <v>590</v>
      </c>
      <c r="F140" s="22" t="s">
        <v>27</v>
      </c>
      <c r="G140" s="22" t="s">
        <v>9</v>
      </c>
      <c r="H140" s="22"/>
      <c r="I140" s="22" t="s">
        <v>440</v>
      </c>
      <c r="J140" s="22"/>
      <c r="K140" s="22" t="s">
        <v>366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AA140" s="22" t="s">
        <v>14</v>
      </c>
      <c r="AB140" s="22" t="s">
        <v>66</v>
      </c>
      <c r="AC140" s="22" t="s">
        <v>66</v>
      </c>
      <c r="AD140" s="22" t="s">
        <v>66</v>
      </c>
      <c r="AF140" s="22"/>
      <c r="AG140" s="22" t="s">
        <v>14</v>
      </c>
      <c r="AH140" s="22" t="s">
        <v>14</v>
      </c>
      <c r="AI140" s="22"/>
      <c r="AJ140" s="22"/>
      <c r="AK140" s="22"/>
      <c r="AL140" s="22"/>
      <c r="AM140" s="22"/>
      <c r="AO140" s="20"/>
    </row>
    <row r="141" spans="1:41" s="1" customFormat="1">
      <c r="A141" s="22">
        <v>80</v>
      </c>
      <c r="B141" s="22"/>
      <c r="C141" s="22"/>
      <c r="D141" s="22" t="s">
        <v>54</v>
      </c>
      <c r="E141" s="31" t="s">
        <v>686</v>
      </c>
      <c r="F141" s="22" t="s">
        <v>48</v>
      </c>
      <c r="G141" s="22" t="s">
        <v>9</v>
      </c>
      <c r="H141" s="22"/>
      <c r="I141" s="22" t="s">
        <v>501</v>
      </c>
      <c r="J141" s="22"/>
      <c r="K141" s="22" t="s">
        <v>366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AA141" s="22" t="s">
        <v>66</v>
      </c>
      <c r="AB141" s="22" t="s">
        <v>66</v>
      </c>
      <c r="AC141" s="22" t="s">
        <v>66</v>
      </c>
      <c r="AD141" s="22" t="s">
        <v>66</v>
      </c>
      <c r="AF141" s="22"/>
      <c r="AG141" s="22" t="s">
        <v>14</v>
      </c>
      <c r="AH141" s="22"/>
      <c r="AI141" s="22"/>
      <c r="AJ141" s="22"/>
      <c r="AK141" s="22"/>
      <c r="AL141" s="22"/>
      <c r="AM141" s="22"/>
      <c r="AO141" s="20"/>
    </row>
    <row r="142" spans="1:41" s="1" customFormat="1">
      <c r="A142" s="22">
        <v>80</v>
      </c>
      <c r="B142" s="22"/>
      <c r="C142" s="22"/>
      <c r="D142" s="22" t="s">
        <v>55</v>
      </c>
      <c r="E142" s="31" t="s">
        <v>687</v>
      </c>
      <c r="F142" s="22" t="s">
        <v>31</v>
      </c>
      <c r="G142" s="22" t="s">
        <v>9</v>
      </c>
      <c r="H142" s="22"/>
      <c r="I142" s="22" t="s">
        <v>389</v>
      </c>
      <c r="J142" s="22"/>
      <c r="K142" s="22" t="s">
        <v>366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AA142" s="22" t="s">
        <v>66</v>
      </c>
      <c r="AB142" s="22" t="s">
        <v>66</v>
      </c>
      <c r="AC142" s="22" t="s">
        <v>66</v>
      </c>
      <c r="AD142" s="22" t="s">
        <v>66</v>
      </c>
      <c r="AF142" s="22"/>
      <c r="AG142" s="22" t="s">
        <v>14</v>
      </c>
      <c r="AH142" s="22"/>
      <c r="AI142" s="22"/>
      <c r="AJ142" s="22"/>
      <c r="AK142" s="22"/>
      <c r="AL142" s="22"/>
      <c r="AM142" s="22"/>
      <c r="AO142" s="20"/>
    </row>
    <row r="143" spans="1:41" s="1" customFormat="1">
      <c r="A143" s="22">
        <v>80</v>
      </c>
      <c r="B143" s="22"/>
      <c r="C143" s="22"/>
      <c r="D143" s="22" t="s">
        <v>67</v>
      </c>
      <c r="E143" s="31" t="s">
        <v>688</v>
      </c>
      <c r="F143" s="22" t="s">
        <v>10</v>
      </c>
      <c r="G143" s="22" t="s">
        <v>9</v>
      </c>
      <c r="H143" s="22"/>
      <c r="I143" s="22" t="s">
        <v>502</v>
      </c>
      <c r="J143" s="22"/>
      <c r="K143" s="22" t="s">
        <v>366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AA143" s="22" t="s">
        <v>66</v>
      </c>
      <c r="AB143" s="22" t="s">
        <v>66</v>
      </c>
      <c r="AC143" s="22" t="s">
        <v>66</v>
      </c>
      <c r="AD143" s="22" t="s">
        <v>66</v>
      </c>
      <c r="AF143" s="22"/>
      <c r="AG143" s="22" t="s">
        <v>14</v>
      </c>
      <c r="AH143" s="22"/>
      <c r="AI143" s="22"/>
      <c r="AJ143" s="22"/>
      <c r="AK143" s="22"/>
      <c r="AL143" s="22"/>
      <c r="AM143" s="22"/>
      <c r="AO143" s="20"/>
    </row>
    <row r="144" spans="1:41" s="1" customFormat="1">
      <c r="A144" s="22">
        <v>80</v>
      </c>
      <c r="B144" s="22"/>
      <c r="C144" s="22"/>
      <c r="D144" s="22" t="s">
        <v>56</v>
      </c>
      <c r="E144" s="31" t="s">
        <v>689</v>
      </c>
      <c r="F144" s="22" t="s">
        <v>34</v>
      </c>
      <c r="G144" s="22" t="s">
        <v>9</v>
      </c>
      <c r="H144" s="22"/>
      <c r="I144" s="22" t="s">
        <v>503</v>
      </c>
      <c r="J144" s="22"/>
      <c r="K144" s="22" t="s">
        <v>366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AA144" s="22" t="s">
        <v>66</v>
      </c>
      <c r="AB144" s="22" t="s">
        <v>66</v>
      </c>
      <c r="AC144" s="22" t="s">
        <v>66</v>
      </c>
      <c r="AD144" s="22" t="s">
        <v>66</v>
      </c>
      <c r="AF144" s="22"/>
      <c r="AG144" s="22" t="s">
        <v>14</v>
      </c>
      <c r="AH144" s="22"/>
      <c r="AI144" s="22"/>
      <c r="AJ144" s="22"/>
      <c r="AK144" s="22"/>
      <c r="AL144" s="22"/>
      <c r="AM144" s="22"/>
      <c r="AO144" s="20"/>
    </row>
    <row r="145" spans="1:41" s="1" customFormat="1">
      <c r="A145" s="22">
        <v>80</v>
      </c>
      <c r="B145" s="22"/>
      <c r="C145" s="22"/>
      <c r="D145" s="22" t="s">
        <v>61</v>
      </c>
      <c r="E145" s="31" t="s">
        <v>690</v>
      </c>
      <c r="F145" s="22" t="s">
        <v>62</v>
      </c>
      <c r="G145" s="22" t="s">
        <v>9</v>
      </c>
      <c r="H145" s="22"/>
      <c r="I145" s="22" t="s">
        <v>504</v>
      </c>
      <c r="J145" s="22"/>
      <c r="K145" s="22" t="s">
        <v>366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AA145" s="22" t="s">
        <v>66</v>
      </c>
      <c r="AB145" s="22" t="s">
        <v>66</v>
      </c>
      <c r="AC145" s="22" t="s">
        <v>66</v>
      </c>
      <c r="AD145" s="22" t="s">
        <v>66</v>
      </c>
      <c r="AF145" s="22"/>
      <c r="AG145" s="22" t="s">
        <v>14</v>
      </c>
      <c r="AH145" s="22"/>
      <c r="AI145" s="22"/>
      <c r="AJ145" s="22"/>
      <c r="AK145" s="22"/>
      <c r="AL145" s="22"/>
      <c r="AM145" s="22"/>
      <c r="AO145" s="20"/>
    </row>
    <row r="146" spans="1:41" s="1" customFormat="1">
      <c r="A146" s="22">
        <v>80</v>
      </c>
      <c r="B146" s="22"/>
      <c r="C146" s="22"/>
      <c r="D146" s="22" t="s">
        <v>111</v>
      </c>
      <c r="E146" s="31" t="s">
        <v>691</v>
      </c>
      <c r="F146" s="22" t="s">
        <v>112</v>
      </c>
      <c r="G146" s="22"/>
      <c r="H146" s="22"/>
      <c r="I146" s="22" t="s">
        <v>505</v>
      </c>
      <c r="J146" s="22"/>
      <c r="K146" s="22" t="s">
        <v>366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AA146" s="22" t="s">
        <v>223</v>
      </c>
      <c r="AB146" s="22" t="s">
        <v>223</v>
      </c>
      <c r="AC146" s="22" t="s">
        <v>223</v>
      </c>
      <c r="AD146" s="22" t="s">
        <v>223</v>
      </c>
      <c r="AF146" s="22"/>
      <c r="AG146" s="22" t="s">
        <v>14</v>
      </c>
      <c r="AH146" s="22" t="s">
        <v>14</v>
      </c>
      <c r="AI146" s="22"/>
      <c r="AJ146" s="22" t="s">
        <v>14</v>
      </c>
      <c r="AK146" s="22"/>
      <c r="AL146" s="22"/>
      <c r="AM146" s="22"/>
      <c r="AO146" s="20"/>
    </row>
    <row r="147" spans="1:41" s="1" customFormat="1">
      <c r="A147" s="22">
        <v>80</v>
      </c>
      <c r="B147" s="22"/>
      <c r="C147" s="22"/>
      <c r="D147" s="22" t="s">
        <v>57</v>
      </c>
      <c r="E147" s="31" t="s">
        <v>692</v>
      </c>
      <c r="F147" s="22" t="s">
        <v>89</v>
      </c>
      <c r="G147" s="22" t="s">
        <v>1</v>
      </c>
      <c r="H147" s="22"/>
      <c r="I147" s="22" t="s">
        <v>501</v>
      </c>
      <c r="J147" s="22"/>
      <c r="K147" s="22" t="s">
        <v>366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AA147" s="22" t="s">
        <v>66</v>
      </c>
      <c r="AB147" s="22" t="s">
        <v>66</v>
      </c>
      <c r="AC147" s="22" t="s">
        <v>66</v>
      </c>
      <c r="AD147" s="22" t="s">
        <v>66</v>
      </c>
      <c r="AF147" s="22"/>
      <c r="AG147" s="22" t="s">
        <v>14</v>
      </c>
      <c r="AH147" s="22"/>
      <c r="AI147" s="22"/>
      <c r="AJ147" s="22"/>
      <c r="AK147" s="22"/>
      <c r="AL147" s="22"/>
      <c r="AM147" s="22"/>
      <c r="AO147" s="20"/>
    </row>
    <row r="148" spans="1:41" s="1" customFormat="1">
      <c r="A148" s="22">
        <v>80</v>
      </c>
      <c r="B148" s="22"/>
      <c r="C148" s="22"/>
      <c r="D148" s="22" t="s">
        <v>58</v>
      </c>
      <c r="E148" s="31" t="s">
        <v>693</v>
      </c>
      <c r="F148" s="22" t="s">
        <v>32</v>
      </c>
      <c r="G148" s="22" t="s">
        <v>9</v>
      </c>
      <c r="H148" s="22"/>
      <c r="I148" s="22" t="s">
        <v>389</v>
      </c>
      <c r="J148" s="22"/>
      <c r="K148" s="22" t="s">
        <v>366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AA148" s="22" t="s">
        <v>66</v>
      </c>
      <c r="AB148" s="22" t="s">
        <v>66</v>
      </c>
      <c r="AC148" s="22" t="s">
        <v>66</v>
      </c>
      <c r="AD148" s="22" t="s">
        <v>66</v>
      </c>
      <c r="AF148" s="22"/>
      <c r="AG148" s="22" t="s">
        <v>14</v>
      </c>
      <c r="AH148" s="22"/>
      <c r="AI148" s="22"/>
      <c r="AJ148" s="22"/>
      <c r="AK148" s="22"/>
      <c r="AL148" s="22"/>
      <c r="AM148" s="22"/>
      <c r="AO148" s="20"/>
    </row>
    <row r="149" spans="1:41" s="1" customFormat="1">
      <c r="A149" s="22">
        <v>80</v>
      </c>
      <c r="B149" s="22"/>
      <c r="C149" s="22"/>
      <c r="D149" s="22" t="s">
        <v>59</v>
      </c>
      <c r="E149" s="31" t="s">
        <v>694</v>
      </c>
      <c r="F149" s="22" t="s">
        <v>35</v>
      </c>
      <c r="G149" s="22" t="s">
        <v>9</v>
      </c>
      <c r="H149" s="22"/>
      <c r="I149" s="22" t="s">
        <v>502</v>
      </c>
      <c r="J149" s="22"/>
      <c r="K149" s="22" t="s">
        <v>366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AA149" s="22" t="s">
        <v>66</v>
      </c>
      <c r="AB149" s="22" t="s">
        <v>66</v>
      </c>
      <c r="AC149" s="22" t="s">
        <v>66</v>
      </c>
      <c r="AD149" s="22" t="s">
        <v>66</v>
      </c>
      <c r="AF149" s="22"/>
      <c r="AG149" s="22" t="s">
        <v>14</v>
      </c>
      <c r="AH149" s="22"/>
      <c r="AI149" s="22"/>
      <c r="AJ149" s="22"/>
      <c r="AK149" s="22"/>
      <c r="AL149" s="22"/>
      <c r="AM149" s="22"/>
      <c r="AO149" s="20"/>
    </row>
    <row r="150" spans="1:41" s="1" customFormat="1">
      <c r="A150" s="22">
        <v>80</v>
      </c>
      <c r="B150" s="22"/>
      <c r="C150" s="22"/>
      <c r="D150" s="22" t="s">
        <v>60</v>
      </c>
      <c r="E150" s="31" t="s">
        <v>695</v>
      </c>
      <c r="F150" s="22" t="s">
        <v>36</v>
      </c>
      <c r="G150" s="22" t="s">
        <v>9</v>
      </c>
      <c r="H150" s="22"/>
      <c r="I150" s="22" t="s">
        <v>503</v>
      </c>
      <c r="J150" s="22"/>
      <c r="K150" s="22" t="s">
        <v>366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AA150" s="22" t="s">
        <v>66</v>
      </c>
      <c r="AB150" s="22" t="s">
        <v>66</v>
      </c>
      <c r="AC150" s="22" t="s">
        <v>66</v>
      </c>
      <c r="AD150" s="22" t="s">
        <v>66</v>
      </c>
      <c r="AF150" s="22"/>
      <c r="AG150" s="22" t="s">
        <v>14</v>
      </c>
      <c r="AH150" s="22"/>
      <c r="AI150" s="22"/>
      <c r="AJ150" s="22"/>
      <c r="AK150" s="22"/>
      <c r="AL150" s="22"/>
      <c r="AM150" s="22"/>
      <c r="AO150" s="20"/>
    </row>
    <row r="151" spans="1:41" s="1" customFormat="1">
      <c r="A151" s="22">
        <v>80</v>
      </c>
      <c r="B151" s="22"/>
      <c r="C151" s="22"/>
      <c r="D151" s="22" t="s">
        <v>63</v>
      </c>
      <c r="E151" s="31" t="s">
        <v>696</v>
      </c>
      <c r="F151" s="22" t="s">
        <v>64</v>
      </c>
      <c r="G151" s="22" t="s">
        <v>9</v>
      </c>
      <c r="H151" s="22"/>
      <c r="I151" s="22" t="s">
        <v>504</v>
      </c>
      <c r="J151" s="22"/>
      <c r="K151" s="22" t="s">
        <v>366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AA151" s="22" t="s">
        <v>66</v>
      </c>
      <c r="AB151" s="22" t="s">
        <v>66</v>
      </c>
      <c r="AC151" s="22" t="s">
        <v>66</v>
      </c>
      <c r="AD151" s="22" t="s">
        <v>66</v>
      </c>
      <c r="AF151" s="22"/>
      <c r="AG151" s="22" t="s">
        <v>14</v>
      </c>
      <c r="AH151" s="22"/>
      <c r="AI151" s="22"/>
      <c r="AJ151" s="22"/>
      <c r="AK151" s="22"/>
      <c r="AL151" s="22"/>
      <c r="AM151" s="22"/>
      <c r="AO151" s="20"/>
    </row>
    <row r="152" spans="1:41" s="1" customFormat="1">
      <c r="A152" s="22">
        <v>80</v>
      </c>
      <c r="B152" s="22"/>
      <c r="C152" s="22"/>
      <c r="D152" s="22" t="s">
        <v>65</v>
      </c>
      <c r="E152" s="31" t="s">
        <v>697</v>
      </c>
      <c r="F152" s="22" t="s">
        <v>37</v>
      </c>
      <c r="G152" s="22" t="s">
        <v>9</v>
      </c>
      <c r="H152" s="22"/>
      <c r="I152" s="22" t="s">
        <v>390</v>
      </c>
      <c r="J152" s="22"/>
      <c r="K152" s="22" t="s">
        <v>366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AA152" s="22" t="s">
        <v>66</v>
      </c>
      <c r="AB152" s="22" t="s">
        <v>66</v>
      </c>
      <c r="AC152" s="22" t="s">
        <v>66</v>
      </c>
      <c r="AD152" s="22" t="s">
        <v>66</v>
      </c>
      <c r="AF152" s="22"/>
      <c r="AG152" s="22" t="s">
        <v>14</v>
      </c>
      <c r="AH152" s="22"/>
      <c r="AI152" s="22"/>
      <c r="AJ152" s="22"/>
      <c r="AK152" s="22"/>
      <c r="AL152" s="22"/>
      <c r="AM152" s="22"/>
      <c r="AO152" s="20"/>
    </row>
    <row r="153" spans="1:41" s="1" customFormat="1">
      <c r="A153" s="22">
        <v>80</v>
      </c>
      <c r="B153" s="22"/>
      <c r="C153" s="22"/>
      <c r="D153" s="22" t="s">
        <v>103</v>
      </c>
      <c r="E153" s="31" t="s">
        <v>698</v>
      </c>
      <c r="F153" s="22" t="s">
        <v>38</v>
      </c>
      <c r="G153" s="22" t="s">
        <v>9</v>
      </c>
      <c r="H153" s="22"/>
      <c r="I153" s="22" t="s">
        <v>501</v>
      </c>
      <c r="J153" s="22"/>
      <c r="K153" s="22" t="s">
        <v>366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AA153" s="22" t="s">
        <v>66</v>
      </c>
      <c r="AB153" s="22" t="s">
        <v>66</v>
      </c>
      <c r="AC153" s="22" t="s">
        <v>66</v>
      </c>
      <c r="AD153" s="22" t="s">
        <v>66</v>
      </c>
      <c r="AF153" s="22"/>
      <c r="AG153" s="22" t="s">
        <v>14</v>
      </c>
      <c r="AH153" s="22"/>
      <c r="AI153" s="22"/>
      <c r="AJ153" s="22"/>
      <c r="AK153" s="22"/>
      <c r="AL153" s="22"/>
      <c r="AM153" s="22"/>
      <c r="AO153" s="20"/>
    </row>
    <row r="154" spans="1:41" s="1" customFormat="1">
      <c r="A154" s="22">
        <v>80</v>
      </c>
      <c r="B154" s="22"/>
      <c r="C154" s="22"/>
      <c r="D154" s="22" t="s">
        <v>104</v>
      </c>
      <c r="E154" s="31" t="s">
        <v>699</v>
      </c>
      <c r="F154" s="22" t="s">
        <v>39</v>
      </c>
      <c r="G154" s="22" t="s">
        <v>9</v>
      </c>
      <c r="H154" s="22"/>
      <c r="I154" s="22" t="s">
        <v>389</v>
      </c>
      <c r="J154" s="22"/>
      <c r="K154" s="22" t="s">
        <v>366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AA154" s="22" t="s">
        <v>66</v>
      </c>
      <c r="AB154" s="22" t="s">
        <v>66</v>
      </c>
      <c r="AC154" s="22" t="s">
        <v>66</v>
      </c>
      <c r="AD154" s="22" t="s">
        <v>66</v>
      </c>
      <c r="AF154" s="22"/>
      <c r="AG154" s="22" t="s">
        <v>14</v>
      </c>
      <c r="AH154" s="22"/>
      <c r="AI154" s="22"/>
      <c r="AJ154" s="22"/>
      <c r="AK154" s="22"/>
      <c r="AL154" s="22"/>
      <c r="AM154" s="22"/>
      <c r="AO154" s="20"/>
    </row>
    <row r="155" spans="1:41" s="1" customFormat="1">
      <c r="A155" s="22">
        <v>80</v>
      </c>
      <c r="B155" s="22"/>
      <c r="C155" s="22"/>
      <c r="D155" s="22" t="s">
        <v>105</v>
      </c>
      <c r="E155" s="31" t="s">
        <v>700</v>
      </c>
      <c r="F155" s="22" t="s">
        <v>40</v>
      </c>
      <c r="G155" s="22" t="s">
        <v>9</v>
      </c>
      <c r="H155" s="22"/>
      <c r="I155" s="22" t="s">
        <v>502</v>
      </c>
      <c r="J155" s="22"/>
      <c r="K155" s="22" t="s">
        <v>366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AA155" s="22" t="s">
        <v>66</v>
      </c>
      <c r="AB155" s="22" t="s">
        <v>66</v>
      </c>
      <c r="AC155" s="22" t="s">
        <v>66</v>
      </c>
      <c r="AD155" s="22" t="s">
        <v>66</v>
      </c>
      <c r="AF155" s="22"/>
      <c r="AG155" s="22" t="s">
        <v>14</v>
      </c>
      <c r="AH155" s="22"/>
      <c r="AI155" s="22"/>
      <c r="AJ155" s="22"/>
      <c r="AK155" s="22"/>
      <c r="AL155" s="22"/>
      <c r="AM155" s="22"/>
      <c r="AO155" s="20"/>
    </row>
    <row r="156" spans="1:41" s="1" customFormat="1" ht="52">
      <c r="A156" s="41"/>
      <c r="AF156" s="36" t="s">
        <v>711</v>
      </c>
      <c r="AG156" s="36" t="s">
        <v>712</v>
      </c>
      <c r="AH156" s="36" t="s">
        <v>711</v>
      </c>
      <c r="AI156" s="36" t="s">
        <v>712</v>
      </c>
      <c r="AJ156" s="36" t="s">
        <v>711</v>
      </c>
      <c r="AK156" s="36" t="s">
        <v>712</v>
      </c>
      <c r="AL156" s="36" t="s">
        <v>711</v>
      </c>
      <c r="AM156" s="36" t="s">
        <v>712</v>
      </c>
      <c r="AO156" s="11"/>
    </row>
    <row r="157" spans="1:41" s="1" customFormat="1">
      <c r="A157" s="22">
        <v>90</v>
      </c>
      <c r="B157" s="18" t="s">
        <v>11</v>
      </c>
      <c r="C157" s="18"/>
      <c r="D157" s="18" t="s">
        <v>69</v>
      </c>
      <c r="E157" s="19"/>
      <c r="F157" s="18"/>
      <c r="G157" s="18"/>
      <c r="H157" s="18"/>
      <c r="I157" s="18" t="s">
        <v>362</v>
      </c>
      <c r="J157" s="18"/>
      <c r="K157" s="18" t="s">
        <v>427</v>
      </c>
      <c r="L157" s="18"/>
      <c r="M157" s="18" t="s">
        <v>428</v>
      </c>
      <c r="N157" s="18"/>
      <c r="O157" s="18"/>
      <c r="P157" s="18"/>
      <c r="Q157" s="21"/>
      <c r="R157" s="21"/>
      <c r="S157" s="21"/>
      <c r="T157" s="21"/>
      <c r="U157" s="21"/>
      <c r="V157" s="21"/>
      <c r="W157" s="21"/>
      <c r="X157" s="21"/>
      <c r="Y157" s="21"/>
      <c r="Z157" s="23"/>
      <c r="AA157" s="21"/>
      <c r="AB157" s="21"/>
      <c r="AC157" s="21"/>
      <c r="AD157" s="21"/>
      <c r="AE157" s="23"/>
      <c r="AF157" s="22"/>
      <c r="AG157" s="22"/>
      <c r="AH157" s="22"/>
      <c r="AI157" s="22"/>
      <c r="AJ157" s="22"/>
      <c r="AK157" s="22"/>
      <c r="AL157" s="22"/>
      <c r="AM157" s="22"/>
      <c r="AN157" s="23"/>
      <c r="AO157" s="20"/>
    </row>
    <row r="158" spans="1:41" s="1" customFormat="1">
      <c r="A158" s="22">
        <v>90</v>
      </c>
      <c r="B158" s="22"/>
      <c r="C158" s="22"/>
      <c r="D158" s="22" t="s">
        <v>41</v>
      </c>
      <c r="E158" s="31" t="s">
        <v>701</v>
      </c>
      <c r="F158" s="22" t="s">
        <v>43</v>
      </c>
      <c r="G158" s="22" t="s">
        <v>45</v>
      </c>
      <c r="H158" s="22"/>
      <c r="I158" s="22" t="s">
        <v>506</v>
      </c>
      <c r="J158" s="22"/>
      <c r="K158" s="22" t="s">
        <v>507</v>
      </c>
      <c r="L158" s="22"/>
      <c r="M158" s="22"/>
      <c r="N158" s="22"/>
      <c r="O158" s="22"/>
      <c r="P158" s="22"/>
      <c r="Q158" s="22"/>
      <c r="R158" s="22"/>
      <c r="S158" s="22"/>
      <c r="T158" s="22" t="s">
        <v>508</v>
      </c>
      <c r="U158" s="22"/>
      <c r="V158" s="22"/>
      <c r="W158" s="22"/>
      <c r="X158" s="22"/>
      <c r="Y158" s="22"/>
      <c r="AA158" s="22" t="s">
        <v>14</v>
      </c>
      <c r="AB158" s="22" t="s">
        <v>509</v>
      </c>
      <c r="AC158" s="22" t="s">
        <v>14</v>
      </c>
      <c r="AD158" s="22" t="s">
        <v>509</v>
      </c>
      <c r="AF158" s="22"/>
      <c r="AG158" s="22"/>
      <c r="AH158" s="22"/>
      <c r="AI158" s="22"/>
      <c r="AJ158" s="22"/>
      <c r="AK158" s="22"/>
      <c r="AL158" s="22"/>
      <c r="AM158" s="22"/>
      <c r="AO158" s="20"/>
    </row>
    <row r="159" spans="1:41" s="1" customFormat="1">
      <c r="A159" s="22">
        <v>90</v>
      </c>
      <c r="B159" s="22"/>
      <c r="C159" s="22"/>
      <c r="D159" s="22" t="s">
        <v>42</v>
      </c>
      <c r="E159" s="31" t="s">
        <v>702</v>
      </c>
      <c r="F159" s="22" t="s">
        <v>44</v>
      </c>
      <c r="G159" s="22" t="s">
        <v>46</v>
      </c>
      <c r="H159" s="22"/>
      <c r="I159" s="22" t="s">
        <v>506</v>
      </c>
      <c r="J159" s="22"/>
      <c r="K159" s="22" t="s">
        <v>507</v>
      </c>
      <c r="L159" s="22"/>
      <c r="M159" s="22"/>
      <c r="N159" s="22"/>
      <c r="O159" s="22"/>
      <c r="P159" s="22"/>
      <c r="Q159" s="22"/>
      <c r="R159" s="22"/>
      <c r="S159" s="22"/>
      <c r="T159" s="22" t="s">
        <v>391</v>
      </c>
      <c r="U159" s="22"/>
      <c r="V159" s="22"/>
      <c r="W159" s="22"/>
      <c r="X159" s="22"/>
      <c r="Y159" s="22"/>
      <c r="AA159" s="22" t="s">
        <v>14</v>
      </c>
      <c r="AB159" s="22" t="s">
        <v>509</v>
      </c>
      <c r="AC159" s="22" t="s">
        <v>14</v>
      </c>
      <c r="AD159" s="22" t="s">
        <v>509</v>
      </c>
      <c r="AF159" s="22"/>
      <c r="AG159" s="22"/>
      <c r="AH159" s="22"/>
      <c r="AI159" s="22"/>
      <c r="AJ159" s="22"/>
      <c r="AK159" s="22"/>
      <c r="AL159" s="22"/>
      <c r="AM159" s="22"/>
      <c r="AO159" s="20"/>
    </row>
    <row r="160" spans="1:41" s="1" customFormat="1">
      <c r="A160" s="22">
        <v>90</v>
      </c>
      <c r="B160" s="22"/>
      <c r="C160" s="22"/>
      <c r="D160" s="22" t="s">
        <v>403</v>
      </c>
      <c r="E160" s="31" t="s">
        <v>703</v>
      </c>
      <c r="F160" s="22" t="s">
        <v>17</v>
      </c>
      <c r="G160" s="22" t="s">
        <v>18</v>
      </c>
      <c r="H160" s="22"/>
      <c r="I160" s="22" t="s">
        <v>506</v>
      </c>
      <c r="J160" s="22"/>
      <c r="K160" s="22" t="s">
        <v>507</v>
      </c>
      <c r="L160" s="22"/>
      <c r="M160" s="22"/>
      <c r="N160" s="22"/>
      <c r="O160" s="22"/>
      <c r="P160" s="22"/>
      <c r="Q160" s="22" t="s">
        <v>510</v>
      </c>
      <c r="R160" s="22" t="s">
        <v>73</v>
      </c>
      <c r="S160" s="22"/>
      <c r="T160" s="22" t="s">
        <v>511</v>
      </c>
      <c r="U160" s="22"/>
      <c r="V160" s="22"/>
      <c r="W160" s="22"/>
      <c r="X160" s="22"/>
      <c r="Y160" s="22"/>
      <c r="AA160" s="22" t="s">
        <v>14</v>
      </c>
      <c r="AB160" s="22" t="s">
        <v>509</v>
      </c>
      <c r="AC160" s="22" t="s">
        <v>509</v>
      </c>
      <c r="AD160" s="22" t="s">
        <v>509</v>
      </c>
      <c r="AF160" s="22"/>
      <c r="AG160" s="22"/>
      <c r="AH160" s="22"/>
      <c r="AI160" s="22"/>
      <c r="AJ160" s="22"/>
      <c r="AK160" s="22"/>
      <c r="AL160" s="22"/>
      <c r="AM160" s="22"/>
      <c r="AO160" s="20"/>
    </row>
    <row r="161" spans="1:41" s="1" customFormat="1">
      <c r="A161" s="22">
        <v>90</v>
      </c>
      <c r="B161" s="22"/>
      <c r="C161" s="22"/>
      <c r="D161" s="22" t="s">
        <v>404</v>
      </c>
      <c r="E161" s="31" t="s">
        <v>704</v>
      </c>
      <c r="F161" s="22" t="s">
        <v>19</v>
      </c>
      <c r="G161" s="22" t="s">
        <v>20</v>
      </c>
      <c r="H161" s="22"/>
      <c r="I161" s="22" t="s">
        <v>506</v>
      </c>
      <c r="J161" s="22"/>
      <c r="K161" s="22" t="s">
        <v>507</v>
      </c>
      <c r="L161" s="22"/>
      <c r="M161" s="22"/>
      <c r="N161" s="22"/>
      <c r="O161" s="22"/>
      <c r="P161" s="22"/>
      <c r="Q161" s="22" t="s">
        <v>512</v>
      </c>
      <c r="R161" s="22" t="s">
        <v>73</v>
      </c>
      <c r="S161" s="22"/>
      <c r="T161" s="22" t="s">
        <v>513</v>
      </c>
      <c r="U161" s="22"/>
      <c r="V161" s="22"/>
      <c r="W161" s="22"/>
      <c r="X161" s="22"/>
      <c r="Y161" s="22"/>
      <c r="AA161" s="22" t="s">
        <v>14</v>
      </c>
      <c r="AB161" s="22" t="s">
        <v>509</v>
      </c>
      <c r="AC161" s="22" t="s">
        <v>509</v>
      </c>
      <c r="AD161" s="22" t="s">
        <v>509</v>
      </c>
      <c r="AF161" s="22"/>
      <c r="AG161" s="22"/>
      <c r="AH161" s="22"/>
      <c r="AI161" s="22"/>
      <c r="AJ161" s="22"/>
      <c r="AK161" s="22"/>
      <c r="AL161" s="22"/>
      <c r="AM161" s="22"/>
      <c r="AO161" s="20"/>
    </row>
    <row r="162" spans="1:41" s="1" customFormat="1">
      <c r="A162" s="22">
        <v>90</v>
      </c>
      <c r="B162" s="22"/>
      <c r="C162" s="22"/>
      <c r="D162" s="22" t="s">
        <v>405</v>
      </c>
      <c r="E162" s="31" t="s">
        <v>705</v>
      </c>
      <c r="F162" s="22" t="s">
        <v>21</v>
      </c>
      <c r="G162" s="22" t="s">
        <v>22</v>
      </c>
      <c r="H162" s="22"/>
      <c r="I162" s="22" t="s">
        <v>506</v>
      </c>
      <c r="J162" s="22"/>
      <c r="K162" s="22" t="s">
        <v>507</v>
      </c>
      <c r="L162" s="22"/>
      <c r="M162" s="22"/>
      <c r="N162" s="22"/>
      <c r="O162" s="22"/>
      <c r="P162" s="22"/>
      <c r="Q162" s="22" t="s">
        <v>392</v>
      </c>
      <c r="R162" s="22" t="s">
        <v>73</v>
      </c>
      <c r="S162" s="22"/>
      <c r="T162" s="22" t="s">
        <v>514</v>
      </c>
      <c r="U162" s="22"/>
      <c r="V162" s="22"/>
      <c r="W162" s="22"/>
      <c r="X162" s="22"/>
      <c r="Y162" s="22"/>
      <c r="AA162" s="22" t="s">
        <v>14</v>
      </c>
      <c r="AB162" s="22" t="s">
        <v>509</v>
      </c>
      <c r="AC162" s="22" t="s">
        <v>509</v>
      </c>
      <c r="AD162" s="22" t="s">
        <v>509</v>
      </c>
      <c r="AF162" s="22"/>
      <c r="AG162" s="22"/>
      <c r="AH162" s="22"/>
      <c r="AI162" s="22"/>
      <c r="AJ162" s="22"/>
      <c r="AK162" s="22"/>
      <c r="AL162" s="22"/>
      <c r="AM162" s="22"/>
      <c r="AO162" s="20"/>
    </row>
    <row r="163" spans="1:41" s="1" customFormat="1">
      <c r="A163" s="41"/>
      <c r="AF163" s="36"/>
      <c r="AG163" s="36"/>
      <c r="AH163" s="36"/>
      <c r="AI163" s="36"/>
      <c r="AJ163" s="36"/>
      <c r="AK163" s="36"/>
      <c r="AL163" s="36"/>
      <c r="AM163" s="36"/>
      <c r="AO163" s="11"/>
    </row>
    <row r="164" spans="1:41" s="1" customFormat="1">
      <c r="A164" s="22">
        <v>100</v>
      </c>
      <c r="B164" s="18" t="s">
        <v>11</v>
      </c>
      <c r="C164" s="18"/>
      <c r="D164" s="18" t="s">
        <v>72</v>
      </c>
      <c r="E164" s="19"/>
      <c r="F164" s="18"/>
      <c r="G164" s="18"/>
      <c r="H164" s="18"/>
      <c r="I164" s="18" t="s">
        <v>362</v>
      </c>
      <c r="J164" s="18"/>
      <c r="K164" s="18" t="s">
        <v>427</v>
      </c>
      <c r="L164" s="18"/>
      <c r="M164" s="18" t="s">
        <v>238</v>
      </c>
      <c r="N164" s="18"/>
      <c r="O164" s="18"/>
      <c r="P164" s="18"/>
      <c r="Q164" s="21"/>
      <c r="R164" s="21"/>
      <c r="S164" s="21"/>
      <c r="T164" s="21"/>
      <c r="U164" s="21"/>
      <c r="V164" s="21"/>
      <c r="W164" s="21"/>
      <c r="X164" s="21"/>
      <c r="Y164" s="21"/>
      <c r="Z164" s="23"/>
      <c r="AA164" s="21"/>
      <c r="AB164" s="21"/>
      <c r="AC164" s="21"/>
      <c r="AD164" s="21"/>
      <c r="AE164" s="23"/>
      <c r="AF164" s="22"/>
      <c r="AG164" s="22"/>
      <c r="AH164" s="22"/>
      <c r="AI164" s="22"/>
      <c r="AJ164" s="22"/>
      <c r="AK164" s="22"/>
      <c r="AL164" s="22"/>
      <c r="AM164" s="22"/>
      <c r="AN164" s="23"/>
      <c r="AO164" s="20"/>
    </row>
    <row r="165" spans="1:41" s="1" customFormat="1">
      <c r="A165" s="22">
        <v>100</v>
      </c>
      <c r="B165" s="22"/>
      <c r="C165" s="22"/>
      <c r="D165" s="22" t="s">
        <v>73</v>
      </c>
      <c r="E165" s="31"/>
      <c r="F165" s="22"/>
      <c r="G165" s="22"/>
      <c r="H165" s="22"/>
      <c r="I165" s="22"/>
      <c r="J165" s="22"/>
      <c r="K165" s="22" t="s">
        <v>356</v>
      </c>
      <c r="L165" s="22"/>
      <c r="M165" s="22"/>
      <c r="N165" s="22"/>
      <c r="O165" s="22" t="s">
        <v>70</v>
      </c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AA165" s="22"/>
      <c r="AB165" s="22"/>
      <c r="AC165" s="22"/>
      <c r="AD165" s="22"/>
      <c r="AF165" s="22"/>
      <c r="AG165" s="22"/>
      <c r="AH165" s="22"/>
      <c r="AI165" s="22"/>
      <c r="AJ165" s="22"/>
      <c r="AK165" s="22"/>
      <c r="AL165" s="22"/>
      <c r="AM165" s="22"/>
      <c r="AO165" s="20"/>
    </row>
    <row r="166" spans="1:41" s="1" customFormat="1">
      <c r="A166" s="22">
        <v>100</v>
      </c>
      <c r="B166" s="22"/>
      <c r="C166" s="22"/>
      <c r="D166" s="22" t="s">
        <v>74</v>
      </c>
      <c r="E166" s="31"/>
      <c r="F166" s="22"/>
      <c r="G166" s="22"/>
      <c r="H166" s="22"/>
      <c r="I166" s="22"/>
      <c r="J166" s="22"/>
      <c r="K166" s="22" t="s">
        <v>356</v>
      </c>
      <c r="L166" s="22"/>
      <c r="M166" s="22"/>
      <c r="N166" s="22"/>
      <c r="O166" s="22" t="s">
        <v>75</v>
      </c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AA166" s="22"/>
      <c r="AB166" s="22"/>
      <c r="AC166" s="22"/>
      <c r="AD166" s="22"/>
      <c r="AF166" s="22"/>
      <c r="AG166" s="22"/>
      <c r="AH166" s="22"/>
      <c r="AI166" s="22"/>
      <c r="AJ166" s="22"/>
      <c r="AK166" s="22"/>
      <c r="AL166" s="22"/>
      <c r="AM166" s="22"/>
      <c r="AO166" s="20"/>
    </row>
    <row r="167" spans="1:41" s="1" customFormat="1" ht="52">
      <c r="A167" s="41"/>
      <c r="AF167" s="36" t="s">
        <v>711</v>
      </c>
      <c r="AG167" s="36" t="s">
        <v>712</v>
      </c>
      <c r="AH167" s="36" t="s">
        <v>711</v>
      </c>
      <c r="AI167" s="36" t="s">
        <v>712</v>
      </c>
      <c r="AJ167" s="36" t="s">
        <v>711</v>
      </c>
      <c r="AK167" s="36" t="s">
        <v>712</v>
      </c>
      <c r="AL167" s="36" t="s">
        <v>711</v>
      </c>
      <c r="AM167" s="36" t="s">
        <v>712</v>
      </c>
      <c r="AO167" s="11"/>
    </row>
    <row r="168" spans="1:41" s="1" customFormat="1">
      <c r="A168" s="22">
        <v>110</v>
      </c>
      <c r="B168" s="18" t="s">
        <v>0</v>
      </c>
      <c r="C168" s="18"/>
      <c r="D168" s="18" t="s">
        <v>70</v>
      </c>
      <c r="E168" s="19"/>
      <c r="F168" s="18"/>
      <c r="G168" s="18"/>
      <c r="H168" s="18"/>
      <c r="I168" s="18" t="s">
        <v>446</v>
      </c>
      <c r="J168" s="18"/>
      <c r="K168" s="18" t="s">
        <v>447</v>
      </c>
      <c r="L168" s="18"/>
      <c r="M168" s="18" t="s">
        <v>433</v>
      </c>
      <c r="N168" s="18"/>
      <c r="O168" s="18"/>
      <c r="P168" s="18"/>
      <c r="Q168" s="21"/>
      <c r="R168" s="21"/>
      <c r="S168" s="21"/>
      <c r="T168" s="21"/>
      <c r="U168" s="21"/>
      <c r="V168" s="21"/>
      <c r="W168" s="21"/>
      <c r="X168" s="21"/>
      <c r="Y168" s="21"/>
      <c r="Z168" s="23"/>
      <c r="AA168" s="21"/>
      <c r="AB168" s="21"/>
      <c r="AC168" s="21"/>
      <c r="AD168" s="21"/>
      <c r="AE168" s="23"/>
      <c r="AF168" s="22"/>
      <c r="AG168" s="22"/>
      <c r="AH168" s="22"/>
      <c r="AI168" s="22"/>
      <c r="AJ168" s="22"/>
      <c r="AK168" s="22"/>
      <c r="AL168" s="22"/>
      <c r="AM168" s="22"/>
      <c r="AN168" s="23"/>
      <c r="AO168" s="20"/>
    </row>
    <row r="169" spans="1:41" s="1" customFormat="1">
      <c r="A169" s="22">
        <v>110</v>
      </c>
      <c r="B169" s="22"/>
      <c r="C169" s="22"/>
      <c r="D169" s="22" t="s">
        <v>28</v>
      </c>
      <c r="E169" s="31" t="s">
        <v>594</v>
      </c>
      <c r="F169" s="22" t="s">
        <v>29</v>
      </c>
      <c r="G169" s="22" t="s">
        <v>9</v>
      </c>
      <c r="H169" s="22"/>
      <c r="I169" s="22" t="s">
        <v>441</v>
      </c>
      <c r="J169" s="22"/>
      <c r="K169" s="22" t="s">
        <v>15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AA169" s="22" t="s">
        <v>362</v>
      </c>
      <c r="AB169" s="22" t="s">
        <v>66</v>
      </c>
      <c r="AC169" s="22" t="s">
        <v>66</v>
      </c>
      <c r="AD169" s="22" t="s">
        <v>223</v>
      </c>
      <c r="AF169" s="22"/>
      <c r="AG169" s="22"/>
      <c r="AH169" s="22"/>
      <c r="AI169" s="22"/>
      <c r="AJ169" s="22"/>
      <c r="AK169" s="22"/>
      <c r="AL169" s="22"/>
      <c r="AM169" s="22"/>
      <c r="AO169" s="20"/>
    </row>
    <row r="170" spans="1:41" s="1" customFormat="1">
      <c r="A170" s="22">
        <v>110</v>
      </c>
      <c r="B170" s="22"/>
      <c r="C170" s="22"/>
      <c r="D170" s="22" t="s">
        <v>124</v>
      </c>
      <c r="E170" s="31" t="s">
        <v>586</v>
      </c>
      <c r="F170" s="22" t="s">
        <v>125</v>
      </c>
      <c r="G170" s="22" t="s">
        <v>126</v>
      </c>
      <c r="H170" s="22"/>
      <c r="I170" s="22" t="s">
        <v>434</v>
      </c>
      <c r="J170" s="22"/>
      <c r="K170" s="22" t="s">
        <v>366</v>
      </c>
      <c r="L170" s="22"/>
      <c r="M170" s="22"/>
      <c r="N170" s="22"/>
      <c r="O170" s="22" t="s">
        <v>410</v>
      </c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AA170" s="22" t="s">
        <v>223</v>
      </c>
      <c r="AB170" s="22" t="s">
        <v>223</v>
      </c>
      <c r="AC170" s="22" t="s">
        <v>223</v>
      </c>
      <c r="AD170" s="22" t="s">
        <v>223</v>
      </c>
      <c r="AF170" s="22"/>
      <c r="AG170" s="22"/>
      <c r="AH170" s="22"/>
      <c r="AI170" s="22"/>
      <c r="AJ170" s="22"/>
      <c r="AK170" s="22"/>
      <c r="AL170" s="22"/>
      <c r="AM170" s="22"/>
      <c r="AO170" s="20"/>
    </row>
    <row r="171" spans="1:41" s="1" customFormat="1" ht="26">
      <c r="A171" s="22">
        <v>110</v>
      </c>
      <c r="B171" s="22"/>
      <c r="C171" s="22"/>
      <c r="D171" s="22" t="s">
        <v>116</v>
      </c>
      <c r="E171" s="31" t="s">
        <v>706</v>
      </c>
      <c r="F171" s="22" t="s">
        <v>118</v>
      </c>
      <c r="G171" s="22" t="s">
        <v>71</v>
      </c>
      <c r="H171" s="22"/>
      <c r="I171" s="22" t="s">
        <v>120</v>
      </c>
      <c r="J171" s="22"/>
      <c r="K171" s="22" t="s">
        <v>433</v>
      </c>
      <c r="L171" s="22"/>
      <c r="M171" s="22"/>
      <c r="N171" s="22"/>
      <c r="O171" s="22" t="s">
        <v>410</v>
      </c>
      <c r="P171" s="22"/>
      <c r="Q171" s="22" t="s">
        <v>393</v>
      </c>
      <c r="R171" s="22"/>
      <c r="S171" s="22" t="s">
        <v>117</v>
      </c>
      <c r="T171" s="22"/>
      <c r="U171" s="22"/>
      <c r="V171" s="22"/>
      <c r="W171" s="22"/>
      <c r="X171" s="22"/>
      <c r="Y171" s="22"/>
      <c r="AA171" s="22" t="s">
        <v>362</v>
      </c>
      <c r="AB171" s="22" t="s">
        <v>66</v>
      </c>
      <c r="AC171" s="22" t="s">
        <v>66</v>
      </c>
      <c r="AD171" s="22" t="s">
        <v>66</v>
      </c>
      <c r="AF171" s="22"/>
      <c r="AG171" s="22"/>
      <c r="AH171" s="22"/>
      <c r="AI171" s="22"/>
      <c r="AJ171" s="22"/>
      <c r="AK171" s="22"/>
      <c r="AL171" s="22"/>
      <c r="AM171" s="22"/>
      <c r="AO171" s="20"/>
    </row>
    <row r="172" spans="1:41" s="1" customFormat="1">
      <c r="A172" s="22">
        <v>110</v>
      </c>
      <c r="B172" s="22"/>
      <c r="C172" s="22"/>
      <c r="D172" s="22" t="s">
        <v>98</v>
      </c>
      <c r="E172" s="3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AA172" s="22"/>
      <c r="AB172" s="22"/>
      <c r="AC172" s="22"/>
      <c r="AD172" s="22"/>
      <c r="AF172" s="22"/>
      <c r="AG172" s="22"/>
      <c r="AH172" s="22"/>
      <c r="AI172" s="22"/>
      <c r="AJ172" s="22"/>
      <c r="AK172" s="22"/>
      <c r="AL172" s="22"/>
      <c r="AM172" s="22"/>
      <c r="AO172" s="20"/>
    </row>
    <row r="173" spans="1:41" s="1" customFormat="1">
      <c r="A173" s="22">
        <v>110</v>
      </c>
      <c r="B173" s="22"/>
      <c r="C173" s="22"/>
      <c r="D173" s="22" t="s">
        <v>117</v>
      </c>
      <c r="E173" s="31" t="s">
        <v>707</v>
      </c>
      <c r="F173" s="22" t="s">
        <v>119</v>
      </c>
      <c r="G173" s="22" t="s">
        <v>9</v>
      </c>
      <c r="H173" s="22"/>
      <c r="I173" s="22" t="s">
        <v>515</v>
      </c>
      <c r="J173" s="22"/>
      <c r="K173" s="22" t="s">
        <v>366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AA173" s="22" t="s">
        <v>66</v>
      </c>
      <c r="AB173" s="22" t="s">
        <v>66</v>
      </c>
      <c r="AC173" s="22" t="s">
        <v>66</v>
      </c>
      <c r="AD173" s="22" t="s">
        <v>66</v>
      </c>
      <c r="AF173" s="22"/>
      <c r="AG173" s="22"/>
      <c r="AH173" s="22"/>
      <c r="AI173" s="22"/>
      <c r="AJ173" s="22"/>
      <c r="AK173" s="22"/>
      <c r="AL173" s="22"/>
      <c r="AM173" s="22"/>
      <c r="AO173" s="20"/>
    </row>
    <row r="174" spans="1:41" s="1" customFormat="1">
      <c r="A174" s="22">
        <v>110</v>
      </c>
      <c r="B174" s="22"/>
      <c r="C174" s="22"/>
      <c r="D174" s="22" t="s">
        <v>206</v>
      </c>
      <c r="E174" s="31" t="s">
        <v>587</v>
      </c>
      <c r="F174" s="22" t="s">
        <v>128</v>
      </c>
      <c r="G174" s="22" t="s">
        <v>1</v>
      </c>
      <c r="H174" s="22"/>
      <c r="I174" s="22" t="s">
        <v>359</v>
      </c>
      <c r="J174" s="22"/>
      <c r="K174" s="22" t="s">
        <v>366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AA174" s="22" t="s">
        <v>362</v>
      </c>
      <c r="AB174" s="22" t="s">
        <v>66</v>
      </c>
      <c r="AC174" s="22" t="s">
        <v>66</v>
      </c>
      <c r="AD174" s="22" t="s">
        <v>66</v>
      </c>
      <c r="AF174" s="22"/>
      <c r="AG174" s="22"/>
      <c r="AH174" s="22"/>
      <c r="AI174" s="22"/>
      <c r="AJ174" s="22"/>
      <c r="AK174" s="22"/>
      <c r="AL174" s="22"/>
      <c r="AM174" s="22"/>
      <c r="AO174" s="20"/>
    </row>
    <row r="175" spans="1:41" s="1" customFormat="1">
      <c r="A175" s="22">
        <v>110</v>
      </c>
      <c r="B175" s="22"/>
      <c r="C175" s="22"/>
      <c r="D175" s="22" t="s">
        <v>30</v>
      </c>
      <c r="E175" s="31" t="s">
        <v>588</v>
      </c>
      <c r="F175" s="22" t="s">
        <v>23</v>
      </c>
      <c r="G175" s="22" t="s">
        <v>9</v>
      </c>
      <c r="H175" s="22"/>
      <c r="I175" s="22" t="s">
        <v>438</v>
      </c>
      <c r="J175" s="22"/>
      <c r="K175" s="22" t="s">
        <v>366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AA175" s="22" t="s">
        <v>14</v>
      </c>
      <c r="AB175" s="22" t="s">
        <v>66</v>
      </c>
      <c r="AC175" s="22" t="s">
        <v>66</v>
      </c>
      <c r="AD175" s="22" t="s">
        <v>66</v>
      </c>
      <c r="AF175" s="22"/>
      <c r="AG175" s="22"/>
      <c r="AH175" s="22"/>
      <c r="AI175" s="22"/>
      <c r="AJ175" s="22"/>
      <c r="AK175" s="22"/>
      <c r="AL175" s="22"/>
      <c r="AM175" s="22"/>
      <c r="AO175" s="20"/>
    </row>
    <row r="176" spans="1:41" s="1" customFormat="1">
      <c r="A176" s="22">
        <v>110</v>
      </c>
      <c r="B176" s="22"/>
      <c r="C176" s="22"/>
      <c r="D176" s="22" t="s">
        <v>24</v>
      </c>
      <c r="E176" s="31" t="s">
        <v>589</v>
      </c>
      <c r="F176" s="22" t="s">
        <v>26</v>
      </c>
      <c r="G176" s="22" t="s">
        <v>9</v>
      </c>
      <c r="H176" s="22"/>
      <c r="I176" s="22" t="s">
        <v>439</v>
      </c>
      <c r="J176" s="22"/>
      <c r="K176" s="22" t="s">
        <v>366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AA176" s="22" t="s">
        <v>14</v>
      </c>
      <c r="AB176" s="22" t="s">
        <v>66</v>
      </c>
      <c r="AC176" s="22" t="s">
        <v>66</v>
      </c>
      <c r="AD176" s="22" t="s">
        <v>66</v>
      </c>
      <c r="AF176" s="22"/>
      <c r="AG176" s="22"/>
      <c r="AH176" s="22"/>
      <c r="AI176" s="22"/>
      <c r="AJ176" s="22"/>
      <c r="AK176" s="22"/>
      <c r="AL176" s="22"/>
      <c r="AM176" s="22"/>
      <c r="AO176" s="20"/>
    </row>
    <row r="177" spans="1:41" s="1" customFormat="1">
      <c r="A177" s="22">
        <v>110</v>
      </c>
      <c r="B177" s="22"/>
      <c r="C177" s="22"/>
      <c r="D177" s="22" t="s">
        <v>25</v>
      </c>
      <c r="E177" s="31" t="s">
        <v>590</v>
      </c>
      <c r="F177" s="22" t="s">
        <v>27</v>
      </c>
      <c r="G177" s="22" t="s">
        <v>9</v>
      </c>
      <c r="H177" s="22"/>
      <c r="I177" s="22" t="s">
        <v>440</v>
      </c>
      <c r="J177" s="22"/>
      <c r="K177" s="22" t="s">
        <v>366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AA177" s="22" t="s">
        <v>14</v>
      </c>
      <c r="AB177" s="22" t="s">
        <v>66</v>
      </c>
      <c r="AC177" s="22" t="s">
        <v>66</v>
      </c>
      <c r="AD177" s="22" t="s">
        <v>66</v>
      </c>
      <c r="AF177" s="22"/>
      <c r="AG177" s="22"/>
      <c r="AH177" s="22"/>
      <c r="AI177" s="22"/>
      <c r="AJ177" s="22"/>
      <c r="AK177" s="22"/>
      <c r="AL177" s="22"/>
      <c r="AM177" s="22"/>
      <c r="AO177" s="20"/>
    </row>
    <row r="178" spans="1:41" s="1" customFormat="1">
      <c r="A178" s="22">
        <v>110</v>
      </c>
      <c r="B178" s="22"/>
      <c r="C178" s="22"/>
      <c r="D178" s="22" t="s">
        <v>54</v>
      </c>
      <c r="E178" s="31" t="s">
        <v>686</v>
      </c>
      <c r="F178" s="22" t="s">
        <v>82</v>
      </c>
      <c r="G178" s="22" t="s">
        <v>1</v>
      </c>
      <c r="H178" s="22"/>
      <c r="I178" s="22" t="s">
        <v>501</v>
      </c>
      <c r="J178" s="22"/>
      <c r="K178" s="22" t="s">
        <v>366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AA178" s="22" t="s">
        <v>66</v>
      </c>
      <c r="AB178" s="22" t="s">
        <v>66</v>
      </c>
      <c r="AC178" s="22" t="s">
        <v>66</v>
      </c>
      <c r="AD178" s="22" t="s">
        <v>66</v>
      </c>
      <c r="AF178" s="22"/>
      <c r="AG178" s="22"/>
      <c r="AH178" s="22"/>
      <c r="AI178" s="22"/>
      <c r="AJ178" s="22"/>
      <c r="AK178" s="22"/>
      <c r="AL178" s="22"/>
      <c r="AM178" s="22"/>
      <c r="AO178" s="20"/>
    </row>
    <row r="179" spans="1:41" s="1" customFormat="1">
      <c r="A179" s="22">
        <v>110</v>
      </c>
      <c r="B179" s="22"/>
      <c r="C179" s="22"/>
      <c r="D179" s="22" t="s">
        <v>55</v>
      </c>
      <c r="E179" s="31" t="s">
        <v>687</v>
      </c>
      <c r="F179" s="22" t="s">
        <v>83</v>
      </c>
      <c r="G179" s="22" t="s">
        <v>1</v>
      </c>
      <c r="H179" s="22"/>
      <c r="I179" s="22" t="s">
        <v>389</v>
      </c>
      <c r="J179" s="22"/>
      <c r="K179" s="22" t="s">
        <v>366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AA179" s="22" t="s">
        <v>66</v>
      </c>
      <c r="AB179" s="22" t="s">
        <v>66</v>
      </c>
      <c r="AC179" s="22" t="s">
        <v>66</v>
      </c>
      <c r="AD179" s="22" t="s">
        <v>66</v>
      </c>
      <c r="AF179" s="22"/>
      <c r="AG179" s="22"/>
      <c r="AH179" s="22"/>
      <c r="AI179" s="22"/>
      <c r="AJ179" s="22"/>
      <c r="AK179" s="22"/>
      <c r="AL179" s="22"/>
      <c r="AM179" s="22"/>
      <c r="AO179" s="20"/>
    </row>
    <row r="180" spans="1:41" s="1" customFormat="1">
      <c r="A180" s="22">
        <v>110</v>
      </c>
      <c r="B180" s="22"/>
      <c r="C180" s="22"/>
      <c r="D180" s="22" t="s">
        <v>84</v>
      </c>
      <c r="E180" s="31" t="s">
        <v>688</v>
      </c>
      <c r="F180" s="22" t="s">
        <v>85</v>
      </c>
      <c r="G180" s="22" t="s">
        <v>1</v>
      </c>
      <c r="H180" s="22"/>
      <c r="I180" s="22" t="s">
        <v>502</v>
      </c>
      <c r="J180" s="22"/>
      <c r="K180" s="22" t="s">
        <v>366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AA180" s="22" t="s">
        <v>66</v>
      </c>
      <c r="AB180" s="22" t="s">
        <v>66</v>
      </c>
      <c r="AC180" s="22" t="s">
        <v>66</v>
      </c>
      <c r="AD180" s="22" t="s">
        <v>66</v>
      </c>
      <c r="AF180" s="22"/>
      <c r="AG180" s="22"/>
      <c r="AH180" s="22"/>
      <c r="AI180" s="22"/>
      <c r="AJ180" s="22"/>
      <c r="AK180" s="22"/>
      <c r="AL180" s="22"/>
      <c r="AM180" s="22"/>
      <c r="AO180" s="20"/>
    </row>
    <row r="181" spans="1:41" s="1" customFormat="1">
      <c r="A181" s="22">
        <v>110</v>
      </c>
      <c r="B181" s="22"/>
      <c r="C181" s="22"/>
      <c r="D181" s="22" t="s">
        <v>56</v>
      </c>
      <c r="E181" s="31" t="s">
        <v>689</v>
      </c>
      <c r="F181" s="22" t="s">
        <v>86</v>
      </c>
      <c r="G181" s="22" t="s">
        <v>1</v>
      </c>
      <c r="H181" s="22"/>
      <c r="I181" s="22" t="s">
        <v>503</v>
      </c>
      <c r="J181" s="22"/>
      <c r="K181" s="22" t="s">
        <v>366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AA181" s="22" t="s">
        <v>66</v>
      </c>
      <c r="AB181" s="22" t="s">
        <v>66</v>
      </c>
      <c r="AC181" s="22" t="s">
        <v>66</v>
      </c>
      <c r="AD181" s="22" t="s">
        <v>66</v>
      </c>
      <c r="AF181" s="22"/>
      <c r="AG181" s="22"/>
      <c r="AH181" s="22"/>
      <c r="AI181" s="22"/>
      <c r="AJ181" s="22"/>
      <c r="AK181" s="22"/>
      <c r="AL181" s="22"/>
      <c r="AM181" s="22"/>
      <c r="AO181" s="20"/>
    </row>
    <row r="182" spans="1:41" s="1" customFormat="1">
      <c r="A182" s="22">
        <v>110</v>
      </c>
      <c r="B182" s="22"/>
      <c r="C182" s="22"/>
      <c r="D182" s="22" t="s">
        <v>87</v>
      </c>
      <c r="E182" s="31" t="s">
        <v>690</v>
      </c>
      <c r="F182" s="22" t="s">
        <v>88</v>
      </c>
      <c r="G182" s="22" t="s">
        <v>1</v>
      </c>
      <c r="H182" s="22"/>
      <c r="I182" s="22" t="s">
        <v>504</v>
      </c>
      <c r="J182" s="22"/>
      <c r="K182" s="22" t="s">
        <v>366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AA182" s="22" t="s">
        <v>66</v>
      </c>
      <c r="AB182" s="22" t="s">
        <v>66</v>
      </c>
      <c r="AC182" s="22" t="s">
        <v>66</v>
      </c>
      <c r="AD182" s="22" t="s">
        <v>66</v>
      </c>
      <c r="AF182" s="22"/>
      <c r="AG182" s="22"/>
      <c r="AH182" s="22"/>
      <c r="AI182" s="22"/>
      <c r="AJ182" s="22"/>
      <c r="AK182" s="22"/>
      <c r="AL182" s="22"/>
      <c r="AM182" s="22"/>
      <c r="AO182" s="20"/>
    </row>
    <row r="183" spans="1:41" s="1" customFormat="1">
      <c r="A183" s="22">
        <v>110</v>
      </c>
      <c r="B183" s="22"/>
      <c r="C183" s="22"/>
      <c r="D183" s="22" t="s">
        <v>111</v>
      </c>
      <c r="E183" s="31" t="s">
        <v>691</v>
      </c>
      <c r="F183" s="22" t="s">
        <v>112</v>
      </c>
      <c r="G183" s="22"/>
      <c r="H183" s="22"/>
      <c r="I183" s="22" t="s">
        <v>505</v>
      </c>
      <c r="J183" s="22"/>
      <c r="K183" s="22" t="s">
        <v>366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AA183" s="22" t="s">
        <v>223</v>
      </c>
      <c r="AB183" s="22" t="s">
        <v>223</v>
      </c>
      <c r="AC183" s="22" t="s">
        <v>223</v>
      </c>
      <c r="AD183" s="22" t="s">
        <v>223</v>
      </c>
      <c r="AF183" s="22"/>
      <c r="AG183" s="22"/>
      <c r="AH183" s="22"/>
      <c r="AI183" s="22"/>
      <c r="AJ183" s="22"/>
      <c r="AK183" s="22"/>
      <c r="AL183" s="22"/>
      <c r="AM183" s="22"/>
      <c r="AO183" s="20"/>
    </row>
    <row r="184" spans="1:41" s="1" customFormat="1">
      <c r="A184" s="22">
        <v>110</v>
      </c>
      <c r="B184" s="22"/>
      <c r="C184" s="22"/>
      <c r="D184" s="22" t="s">
        <v>57</v>
      </c>
      <c r="E184" s="31" t="s">
        <v>692</v>
      </c>
      <c r="F184" s="22" t="s">
        <v>89</v>
      </c>
      <c r="G184" s="22" t="s">
        <v>1</v>
      </c>
      <c r="H184" s="22"/>
      <c r="I184" s="22" t="s">
        <v>501</v>
      </c>
      <c r="J184" s="22"/>
      <c r="K184" s="22" t="s">
        <v>366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AA184" s="22" t="s">
        <v>66</v>
      </c>
      <c r="AB184" s="22" t="s">
        <v>66</v>
      </c>
      <c r="AC184" s="22" t="s">
        <v>66</v>
      </c>
      <c r="AD184" s="22" t="s">
        <v>66</v>
      </c>
      <c r="AF184" s="22"/>
      <c r="AG184" s="22"/>
      <c r="AH184" s="22"/>
      <c r="AI184" s="22"/>
      <c r="AJ184" s="22"/>
      <c r="AK184" s="22"/>
      <c r="AL184" s="22"/>
      <c r="AM184" s="22"/>
      <c r="AO184" s="20"/>
    </row>
    <row r="185" spans="1:41" s="1" customFormat="1">
      <c r="A185" s="22">
        <v>110</v>
      </c>
      <c r="B185" s="22"/>
      <c r="C185" s="22"/>
      <c r="D185" s="22" t="s">
        <v>58</v>
      </c>
      <c r="E185" s="31" t="s">
        <v>693</v>
      </c>
      <c r="F185" s="22" t="s">
        <v>90</v>
      </c>
      <c r="G185" s="22" t="s">
        <v>1</v>
      </c>
      <c r="H185" s="22"/>
      <c r="I185" s="22" t="s">
        <v>389</v>
      </c>
      <c r="J185" s="22"/>
      <c r="K185" s="22" t="s">
        <v>366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AA185" s="22" t="s">
        <v>66</v>
      </c>
      <c r="AB185" s="22" t="s">
        <v>66</v>
      </c>
      <c r="AC185" s="22" t="s">
        <v>66</v>
      </c>
      <c r="AD185" s="22" t="s">
        <v>66</v>
      </c>
      <c r="AF185" s="22"/>
      <c r="AG185" s="22"/>
      <c r="AH185" s="22"/>
      <c r="AI185" s="22"/>
      <c r="AJ185" s="22"/>
      <c r="AK185" s="22"/>
      <c r="AL185" s="22"/>
      <c r="AM185" s="22"/>
      <c r="AO185" s="20"/>
    </row>
    <row r="186" spans="1:41" s="1" customFormat="1">
      <c r="A186" s="22">
        <v>110</v>
      </c>
      <c r="B186" s="22"/>
      <c r="C186" s="22"/>
      <c r="D186" s="22" t="s">
        <v>59</v>
      </c>
      <c r="E186" s="31" t="s">
        <v>694</v>
      </c>
      <c r="F186" s="22" t="s">
        <v>91</v>
      </c>
      <c r="G186" s="22" t="s">
        <v>1</v>
      </c>
      <c r="H186" s="22"/>
      <c r="I186" s="22" t="s">
        <v>502</v>
      </c>
      <c r="J186" s="22"/>
      <c r="K186" s="22" t="s">
        <v>366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AA186" s="22" t="s">
        <v>66</v>
      </c>
      <c r="AB186" s="22" t="s">
        <v>66</v>
      </c>
      <c r="AC186" s="22" t="s">
        <v>66</v>
      </c>
      <c r="AD186" s="22" t="s">
        <v>66</v>
      </c>
      <c r="AF186" s="22"/>
      <c r="AG186" s="22"/>
      <c r="AH186" s="22"/>
      <c r="AI186" s="22"/>
      <c r="AJ186" s="22"/>
      <c r="AK186" s="22"/>
      <c r="AL186" s="22"/>
      <c r="AM186" s="22"/>
      <c r="AO186" s="20"/>
    </row>
    <row r="187" spans="1:41" s="1" customFormat="1">
      <c r="A187" s="22">
        <v>110</v>
      </c>
      <c r="B187" s="22"/>
      <c r="C187" s="22"/>
      <c r="D187" s="22" t="s">
        <v>60</v>
      </c>
      <c r="E187" s="31" t="s">
        <v>695</v>
      </c>
      <c r="F187" s="22" t="s">
        <v>92</v>
      </c>
      <c r="G187" s="22" t="s">
        <v>1</v>
      </c>
      <c r="H187" s="22"/>
      <c r="I187" s="22" t="s">
        <v>503</v>
      </c>
      <c r="J187" s="22"/>
      <c r="K187" s="22" t="s">
        <v>366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AA187" s="22" t="s">
        <v>66</v>
      </c>
      <c r="AB187" s="22" t="s">
        <v>66</v>
      </c>
      <c r="AC187" s="22" t="s">
        <v>66</v>
      </c>
      <c r="AD187" s="22" t="s">
        <v>66</v>
      </c>
      <c r="AF187" s="22"/>
      <c r="AG187" s="22"/>
      <c r="AH187" s="22"/>
      <c r="AI187" s="22"/>
      <c r="AJ187" s="22"/>
      <c r="AK187" s="22"/>
      <c r="AL187" s="22"/>
      <c r="AM187" s="22"/>
      <c r="AO187" s="20"/>
    </row>
    <row r="188" spans="1:41" s="1" customFormat="1">
      <c r="A188" s="22">
        <v>110</v>
      </c>
      <c r="B188" s="22"/>
      <c r="C188" s="22"/>
      <c r="D188" s="22" t="s">
        <v>93</v>
      </c>
      <c r="E188" s="31" t="s">
        <v>696</v>
      </c>
      <c r="F188" s="22" t="s">
        <v>94</v>
      </c>
      <c r="G188" s="22" t="s">
        <v>1</v>
      </c>
      <c r="H188" s="22"/>
      <c r="I188" s="22" t="s">
        <v>504</v>
      </c>
      <c r="J188" s="22"/>
      <c r="K188" s="22" t="s">
        <v>366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AA188" s="22" t="s">
        <v>66</v>
      </c>
      <c r="AB188" s="22" t="s">
        <v>66</v>
      </c>
      <c r="AC188" s="22" t="s">
        <v>66</v>
      </c>
      <c r="AD188" s="22" t="s">
        <v>66</v>
      </c>
      <c r="AF188" s="22"/>
      <c r="AG188" s="22"/>
      <c r="AH188" s="22"/>
      <c r="AI188" s="22"/>
      <c r="AJ188" s="22"/>
      <c r="AK188" s="22"/>
      <c r="AL188" s="22"/>
      <c r="AM188" s="22"/>
      <c r="AO188" s="20"/>
    </row>
    <row r="189" spans="1:41" s="1" customFormat="1">
      <c r="A189" s="22">
        <v>110</v>
      </c>
      <c r="B189" s="22"/>
      <c r="C189" s="22"/>
      <c r="D189" s="22" t="s">
        <v>95</v>
      </c>
      <c r="E189" s="31" t="s">
        <v>697</v>
      </c>
      <c r="F189" s="22" t="s">
        <v>96</v>
      </c>
      <c r="G189" s="22" t="s">
        <v>1</v>
      </c>
      <c r="H189" s="22"/>
      <c r="I189" s="22" t="s">
        <v>390</v>
      </c>
      <c r="J189" s="22"/>
      <c r="K189" s="22" t="s">
        <v>366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AA189" s="22" t="s">
        <v>66</v>
      </c>
      <c r="AB189" s="22" t="s">
        <v>66</v>
      </c>
      <c r="AC189" s="22" t="s">
        <v>66</v>
      </c>
      <c r="AD189" s="22" t="s">
        <v>66</v>
      </c>
      <c r="AF189" s="22"/>
      <c r="AG189" s="22"/>
      <c r="AH189" s="22"/>
      <c r="AI189" s="22"/>
      <c r="AJ189" s="22"/>
      <c r="AK189" s="22"/>
      <c r="AL189" s="22"/>
      <c r="AM189" s="22"/>
      <c r="AO189" s="20"/>
    </row>
    <row r="190" spans="1:41" s="1" customFormat="1" ht="52">
      <c r="A190" s="41"/>
      <c r="AF190" s="36" t="s">
        <v>711</v>
      </c>
      <c r="AG190" s="36" t="s">
        <v>712</v>
      </c>
      <c r="AH190" s="36" t="s">
        <v>711</v>
      </c>
      <c r="AI190" s="36" t="s">
        <v>712</v>
      </c>
      <c r="AJ190" s="36" t="s">
        <v>711</v>
      </c>
      <c r="AK190" s="36" t="s">
        <v>712</v>
      </c>
      <c r="AL190" s="36" t="s">
        <v>711</v>
      </c>
      <c r="AM190" s="36" t="s">
        <v>712</v>
      </c>
      <c r="AO190" s="11"/>
    </row>
    <row r="191" spans="1:41" s="1" customFormat="1">
      <c r="A191" s="22">
        <v>120</v>
      </c>
      <c r="B191" s="18" t="s">
        <v>0</v>
      </c>
      <c r="C191" s="18"/>
      <c r="D191" s="18" t="s">
        <v>76</v>
      </c>
      <c r="E191" s="19" t="s">
        <v>77</v>
      </c>
      <c r="F191" s="18" t="s">
        <v>70</v>
      </c>
      <c r="G191" s="18"/>
      <c r="H191" s="18"/>
      <c r="I191" s="18" t="s">
        <v>446</v>
      </c>
      <c r="J191" s="18"/>
      <c r="K191" s="18" t="s">
        <v>516</v>
      </c>
      <c r="L191" s="18"/>
      <c r="M191" s="18" t="s">
        <v>433</v>
      </c>
      <c r="N191" s="18"/>
      <c r="O191" s="18"/>
      <c r="P191" s="18"/>
      <c r="Q191" s="21"/>
      <c r="R191" s="21"/>
      <c r="S191" s="21"/>
      <c r="T191" s="21"/>
      <c r="U191" s="21"/>
      <c r="V191" s="21"/>
      <c r="W191" s="21"/>
      <c r="X191" s="21"/>
      <c r="Y191" s="21"/>
      <c r="Z191" s="23"/>
      <c r="AA191" s="21"/>
      <c r="AB191" s="21"/>
      <c r="AC191" s="21"/>
      <c r="AD191" s="21"/>
      <c r="AE191" s="23"/>
      <c r="AF191" s="22"/>
      <c r="AG191" s="22" t="s">
        <v>517</v>
      </c>
      <c r="AH191" s="22" t="s">
        <v>518</v>
      </c>
      <c r="AI191" s="22"/>
      <c r="AJ191" s="22"/>
      <c r="AK191" s="22"/>
      <c r="AL191" s="22"/>
      <c r="AM191" s="22"/>
      <c r="AN191" s="23"/>
      <c r="AO191" s="20"/>
    </row>
    <row r="192" spans="1:41" s="1" customFormat="1">
      <c r="A192" s="22">
        <v>120</v>
      </c>
      <c r="B192" s="22"/>
      <c r="C192" s="22"/>
      <c r="D192" s="22" t="s">
        <v>28</v>
      </c>
      <c r="E192" s="31" t="s">
        <v>594</v>
      </c>
      <c r="F192" s="22" t="s">
        <v>196</v>
      </c>
      <c r="G192" s="22" t="s">
        <v>1</v>
      </c>
      <c r="H192" s="22"/>
      <c r="I192" s="22" t="s">
        <v>441</v>
      </c>
      <c r="J192" s="22"/>
      <c r="K192" s="22" t="s">
        <v>15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AA192" s="22"/>
      <c r="AB192" s="22"/>
      <c r="AC192" s="22"/>
      <c r="AD192" s="22"/>
      <c r="AF192" s="22"/>
      <c r="AG192" s="22"/>
      <c r="AH192" s="22"/>
      <c r="AI192" s="22"/>
      <c r="AJ192" s="22"/>
      <c r="AK192" s="22"/>
      <c r="AL192" s="22"/>
      <c r="AM192" s="22"/>
      <c r="AO192" s="20"/>
    </row>
    <row r="193" spans="1:41" s="1" customFormat="1">
      <c r="A193" s="22">
        <v>120</v>
      </c>
      <c r="B193" s="22"/>
      <c r="C193" s="22"/>
      <c r="D193" s="22" t="s">
        <v>124</v>
      </c>
      <c r="E193" s="31" t="s">
        <v>586</v>
      </c>
      <c r="F193" s="22" t="s">
        <v>125</v>
      </c>
      <c r="G193" s="22" t="s">
        <v>126</v>
      </c>
      <c r="H193" s="22"/>
      <c r="I193" s="22" t="s">
        <v>434</v>
      </c>
      <c r="J193" s="22"/>
      <c r="K193" s="22" t="s">
        <v>366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AA193" s="22"/>
      <c r="AB193" s="22"/>
      <c r="AC193" s="22"/>
      <c r="AD193" s="22"/>
      <c r="AF193" s="22"/>
      <c r="AG193" s="22" t="s">
        <v>14</v>
      </c>
      <c r="AH193" s="22" t="s">
        <v>14</v>
      </c>
      <c r="AI193" s="22"/>
      <c r="AJ193" s="22"/>
      <c r="AK193" s="22"/>
      <c r="AL193" s="22"/>
      <c r="AM193" s="22"/>
      <c r="AO193" s="20"/>
    </row>
    <row r="194" spans="1:41" s="1" customFormat="1" ht="26">
      <c r="A194" s="22">
        <v>120</v>
      </c>
      <c r="B194" s="22"/>
      <c r="C194" s="22"/>
      <c r="D194" s="22" t="s">
        <v>197</v>
      </c>
      <c r="E194" s="31" t="s">
        <v>706</v>
      </c>
      <c r="F194" s="22" t="s">
        <v>198</v>
      </c>
      <c r="G194" s="22" t="s">
        <v>199</v>
      </c>
      <c r="H194" s="22"/>
      <c r="I194" s="22" t="s">
        <v>120</v>
      </c>
      <c r="J194" s="22"/>
      <c r="K194" s="22" t="s">
        <v>433</v>
      </c>
      <c r="L194" s="22"/>
      <c r="M194" s="22"/>
      <c r="N194" s="22"/>
      <c r="O194" s="22"/>
      <c r="P194" s="22"/>
      <c r="Q194" s="22" t="s">
        <v>393</v>
      </c>
      <c r="R194" s="22"/>
      <c r="S194" s="22" t="s">
        <v>117</v>
      </c>
      <c r="T194" s="22"/>
      <c r="U194" s="22"/>
      <c r="V194" s="22"/>
      <c r="W194" s="22"/>
      <c r="X194" s="22"/>
      <c r="Y194" s="22"/>
      <c r="AA194" s="22"/>
      <c r="AB194" s="22"/>
      <c r="AC194" s="22"/>
      <c r="AD194" s="22"/>
      <c r="AF194" s="22"/>
      <c r="AG194" s="22" t="s">
        <v>14</v>
      </c>
      <c r="AH194" s="22" t="s">
        <v>14</v>
      </c>
      <c r="AI194" s="22"/>
      <c r="AJ194" s="22"/>
      <c r="AK194" s="22"/>
      <c r="AL194" s="22"/>
      <c r="AM194" s="22"/>
      <c r="AO194" s="20"/>
    </row>
    <row r="195" spans="1:41" s="1" customFormat="1">
      <c r="A195" s="22">
        <v>120</v>
      </c>
      <c r="B195" s="22"/>
      <c r="C195" s="22"/>
      <c r="D195" s="22" t="s">
        <v>200</v>
      </c>
      <c r="E195" s="31" t="s">
        <v>707</v>
      </c>
      <c r="F195" s="22" t="s">
        <v>119</v>
      </c>
      <c r="G195" s="22" t="s">
        <v>1</v>
      </c>
      <c r="H195" s="22"/>
      <c r="I195" s="22" t="s">
        <v>515</v>
      </c>
      <c r="J195" s="22"/>
      <c r="K195" s="22" t="s">
        <v>366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AA195" s="22"/>
      <c r="AB195" s="22"/>
      <c r="AC195" s="22"/>
      <c r="AD195" s="22"/>
      <c r="AF195" s="22"/>
      <c r="AG195" s="22" t="s">
        <v>14</v>
      </c>
      <c r="AH195" s="22"/>
      <c r="AI195" s="22"/>
      <c r="AJ195" s="22"/>
      <c r="AK195" s="22"/>
      <c r="AL195" s="22"/>
      <c r="AM195" s="22"/>
      <c r="AO195" s="20"/>
    </row>
    <row r="196" spans="1:41" s="1" customFormat="1">
      <c r="A196" s="22">
        <v>120</v>
      </c>
      <c r="B196" s="22"/>
      <c r="C196" s="22"/>
      <c r="D196" s="22" t="s">
        <v>206</v>
      </c>
      <c r="E196" s="31" t="s">
        <v>587</v>
      </c>
      <c r="F196" s="22" t="s">
        <v>128</v>
      </c>
      <c r="G196" s="22" t="s">
        <v>1</v>
      </c>
      <c r="H196" s="22"/>
      <c r="I196" s="22" t="s">
        <v>359</v>
      </c>
      <c r="J196" s="22"/>
      <c r="K196" s="22" t="s">
        <v>366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AA196" s="22"/>
      <c r="AB196" s="22"/>
      <c r="AC196" s="22"/>
      <c r="AD196" s="22"/>
      <c r="AF196" s="22"/>
      <c r="AG196" s="22" t="s">
        <v>14</v>
      </c>
      <c r="AH196" s="22" t="s">
        <v>14</v>
      </c>
      <c r="AI196" s="22"/>
      <c r="AJ196" s="22"/>
      <c r="AK196" s="22"/>
      <c r="AL196" s="22"/>
      <c r="AM196" s="22"/>
      <c r="AO196" s="20"/>
    </row>
    <row r="197" spans="1:41" s="1" customFormat="1">
      <c r="A197" s="22">
        <v>120</v>
      </c>
      <c r="B197" s="22"/>
      <c r="C197" s="22"/>
      <c r="D197" s="22" t="s">
        <v>30</v>
      </c>
      <c r="E197" s="31" t="s">
        <v>588</v>
      </c>
      <c r="F197" s="22" t="s">
        <v>23</v>
      </c>
      <c r="G197" s="22" t="s">
        <v>9</v>
      </c>
      <c r="H197" s="22"/>
      <c r="I197" s="22" t="s">
        <v>438</v>
      </c>
      <c r="J197" s="22"/>
      <c r="K197" s="22" t="s">
        <v>516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AA197" s="22"/>
      <c r="AB197" s="22"/>
      <c r="AC197" s="22"/>
      <c r="AD197" s="22"/>
      <c r="AF197" s="22"/>
      <c r="AG197" s="22" t="s">
        <v>14</v>
      </c>
      <c r="AH197" s="22" t="s">
        <v>14</v>
      </c>
      <c r="AI197" s="22"/>
      <c r="AJ197" s="22"/>
      <c r="AK197" s="22"/>
      <c r="AL197" s="22"/>
      <c r="AM197" s="22"/>
      <c r="AO197" s="20"/>
    </row>
    <row r="198" spans="1:41" s="1" customFormat="1">
      <c r="A198" s="22">
        <v>120</v>
      </c>
      <c r="B198" s="22"/>
      <c r="C198" s="22"/>
      <c r="D198" s="22" t="s">
        <v>24</v>
      </c>
      <c r="E198" s="31" t="s">
        <v>589</v>
      </c>
      <c r="F198" s="22" t="s">
        <v>26</v>
      </c>
      <c r="G198" s="22" t="s">
        <v>9</v>
      </c>
      <c r="H198" s="22"/>
      <c r="I198" s="22" t="s">
        <v>439</v>
      </c>
      <c r="J198" s="22"/>
      <c r="K198" s="22" t="s">
        <v>516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AA198" s="22"/>
      <c r="AB198" s="22"/>
      <c r="AC198" s="22"/>
      <c r="AD198" s="22"/>
      <c r="AF198" s="22"/>
      <c r="AG198" s="22" t="s">
        <v>14</v>
      </c>
      <c r="AH198" s="22" t="s">
        <v>14</v>
      </c>
      <c r="AI198" s="22"/>
      <c r="AJ198" s="22"/>
      <c r="AK198" s="22"/>
      <c r="AL198" s="22"/>
      <c r="AM198" s="22"/>
      <c r="AO198" s="20"/>
    </row>
    <row r="199" spans="1:41" s="1" customFormat="1">
      <c r="A199" s="22">
        <v>120</v>
      </c>
      <c r="B199" s="22"/>
      <c r="C199" s="22"/>
      <c r="D199" s="22" t="s">
        <v>25</v>
      </c>
      <c r="E199" s="31" t="s">
        <v>590</v>
      </c>
      <c r="F199" s="22" t="s">
        <v>27</v>
      </c>
      <c r="G199" s="22" t="s">
        <v>9</v>
      </c>
      <c r="H199" s="22"/>
      <c r="I199" s="22" t="s">
        <v>440</v>
      </c>
      <c r="J199" s="22"/>
      <c r="K199" s="22" t="s">
        <v>516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AA199" s="22"/>
      <c r="AB199" s="22"/>
      <c r="AC199" s="22"/>
      <c r="AD199" s="22"/>
      <c r="AF199" s="22"/>
      <c r="AG199" s="22" t="s">
        <v>14</v>
      </c>
      <c r="AH199" s="22" t="s">
        <v>14</v>
      </c>
      <c r="AI199" s="22"/>
      <c r="AJ199" s="22"/>
      <c r="AK199" s="22"/>
      <c r="AL199" s="22"/>
      <c r="AM199" s="22"/>
      <c r="AO199" s="20"/>
    </row>
    <row r="200" spans="1:41" s="1" customFormat="1">
      <c r="A200" s="22">
        <v>120</v>
      </c>
      <c r="B200" s="22"/>
      <c r="C200" s="22"/>
      <c r="D200" s="22" t="s">
        <v>54</v>
      </c>
      <c r="E200" s="31" t="s">
        <v>686</v>
      </c>
      <c r="F200" s="22" t="s">
        <v>48</v>
      </c>
      <c r="G200" s="22" t="s">
        <v>9</v>
      </c>
      <c r="H200" s="22"/>
      <c r="I200" s="22" t="s">
        <v>501</v>
      </c>
      <c r="J200" s="22"/>
      <c r="K200" s="22" t="s">
        <v>516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AA200" s="22"/>
      <c r="AB200" s="22"/>
      <c r="AC200" s="22"/>
      <c r="AD200" s="22"/>
      <c r="AF200" s="22"/>
      <c r="AG200" s="22" t="s">
        <v>14</v>
      </c>
      <c r="AH200" s="22"/>
      <c r="AI200" s="22"/>
      <c r="AJ200" s="22"/>
      <c r="AK200" s="22"/>
      <c r="AL200" s="22"/>
      <c r="AM200" s="22"/>
      <c r="AO200" s="20"/>
    </row>
    <row r="201" spans="1:41" s="1" customFormat="1">
      <c r="A201" s="22">
        <v>120</v>
      </c>
      <c r="B201" s="22"/>
      <c r="C201" s="22"/>
      <c r="D201" s="22" t="s">
        <v>55</v>
      </c>
      <c r="E201" s="31" t="s">
        <v>687</v>
      </c>
      <c r="F201" s="22" t="s">
        <v>31</v>
      </c>
      <c r="G201" s="22" t="s">
        <v>9</v>
      </c>
      <c r="H201" s="22"/>
      <c r="I201" s="22" t="s">
        <v>389</v>
      </c>
      <c r="J201" s="22"/>
      <c r="K201" s="22" t="s">
        <v>516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AA201" s="22"/>
      <c r="AB201" s="22"/>
      <c r="AC201" s="22"/>
      <c r="AD201" s="22"/>
      <c r="AF201" s="22"/>
      <c r="AG201" s="22" t="s">
        <v>14</v>
      </c>
      <c r="AH201" s="22"/>
      <c r="AI201" s="22"/>
      <c r="AJ201" s="22"/>
      <c r="AK201" s="22"/>
      <c r="AL201" s="22"/>
      <c r="AM201" s="22"/>
      <c r="AO201" s="20"/>
    </row>
    <row r="202" spans="1:41" s="1" customFormat="1">
      <c r="A202" s="22">
        <v>120</v>
      </c>
      <c r="B202" s="22"/>
      <c r="C202" s="22"/>
      <c r="D202" s="22" t="s">
        <v>67</v>
      </c>
      <c r="E202" s="31" t="s">
        <v>688</v>
      </c>
      <c r="F202" s="22" t="s">
        <v>10</v>
      </c>
      <c r="G202" s="22" t="s">
        <v>9</v>
      </c>
      <c r="H202" s="22"/>
      <c r="I202" s="22" t="s">
        <v>502</v>
      </c>
      <c r="J202" s="22"/>
      <c r="K202" s="22" t="s">
        <v>516</v>
      </c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AA202" s="22"/>
      <c r="AB202" s="22"/>
      <c r="AC202" s="22"/>
      <c r="AD202" s="22"/>
      <c r="AF202" s="22"/>
      <c r="AG202" s="22" t="s">
        <v>14</v>
      </c>
      <c r="AH202" s="22"/>
      <c r="AI202" s="22"/>
      <c r="AJ202" s="22"/>
      <c r="AK202" s="22"/>
      <c r="AL202" s="22"/>
      <c r="AM202" s="22"/>
      <c r="AO202" s="20"/>
    </row>
    <row r="203" spans="1:41" s="1" customFormat="1">
      <c r="A203" s="22">
        <v>120</v>
      </c>
      <c r="B203" s="22"/>
      <c r="C203" s="22"/>
      <c r="D203" s="22" t="s">
        <v>56</v>
      </c>
      <c r="E203" s="31" t="s">
        <v>689</v>
      </c>
      <c r="F203" s="22" t="s">
        <v>34</v>
      </c>
      <c r="G203" s="22" t="s">
        <v>9</v>
      </c>
      <c r="H203" s="22"/>
      <c r="I203" s="22" t="s">
        <v>503</v>
      </c>
      <c r="J203" s="22"/>
      <c r="K203" s="22" t="s">
        <v>516</v>
      </c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AA203" s="22"/>
      <c r="AB203" s="22"/>
      <c r="AC203" s="22"/>
      <c r="AD203" s="22"/>
      <c r="AF203" s="22"/>
      <c r="AG203" s="22" t="s">
        <v>14</v>
      </c>
      <c r="AH203" s="22"/>
      <c r="AI203" s="22"/>
      <c r="AJ203" s="22"/>
      <c r="AK203" s="22"/>
      <c r="AL203" s="22"/>
      <c r="AM203" s="22"/>
      <c r="AO203" s="20"/>
    </row>
    <row r="204" spans="1:41" s="1" customFormat="1">
      <c r="A204" s="22">
        <v>120</v>
      </c>
      <c r="B204" s="22"/>
      <c r="C204" s="22"/>
      <c r="D204" s="22" t="s">
        <v>61</v>
      </c>
      <c r="E204" s="31" t="s">
        <v>690</v>
      </c>
      <c r="F204" s="22" t="s">
        <v>62</v>
      </c>
      <c r="G204" s="22" t="s">
        <v>9</v>
      </c>
      <c r="H204" s="22"/>
      <c r="I204" s="22" t="s">
        <v>504</v>
      </c>
      <c r="J204" s="22"/>
      <c r="K204" s="22" t="s">
        <v>516</v>
      </c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AA204" s="22"/>
      <c r="AB204" s="22"/>
      <c r="AC204" s="22"/>
      <c r="AD204" s="22"/>
      <c r="AF204" s="22"/>
      <c r="AG204" s="22" t="s">
        <v>14</v>
      </c>
      <c r="AH204" s="22"/>
      <c r="AI204" s="22"/>
      <c r="AJ204" s="22"/>
      <c r="AK204" s="22"/>
      <c r="AL204" s="22"/>
      <c r="AM204" s="22"/>
      <c r="AO204" s="20"/>
    </row>
    <row r="205" spans="1:41" s="1" customFormat="1">
      <c r="A205" s="22">
        <v>120</v>
      </c>
      <c r="B205" s="22"/>
      <c r="C205" s="22"/>
      <c r="D205" s="22" t="s">
        <v>111</v>
      </c>
      <c r="E205" s="31" t="s">
        <v>691</v>
      </c>
      <c r="F205" s="22" t="s">
        <v>112</v>
      </c>
      <c r="G205" s="22" t="s">
        <v>9</v>
      </c>
      <c r="H205" s="22"/>
      <c r="I205" s="22" t="s">
        <v>505</v>
      </c>
      <c r="J205" s="22"/>
      <c r="K205" s="22" t="s">
        <v>516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AA205" s="22"/>
      <c r="AB205" s="22"/>
      <c r="AC205" s="22"/>
      <c r="AD205" s="22"/>
      <c r="AF205" s="22"/>
      <c r="AG205" s="22" t="s">
        <v>14</v>
      </c>
      <c r="AH205" s="22" t="s">
        <v>14</v>
      </c>
      <c r="AI205" s="22"/>
      <c r="AJ205" s="22"/>
      <c r="AK205" s="22"/>
      <c r="AL205" s="22"/>
      <c r="AM205" s="22"/>
      <c r="AO205" s="20"/>
    </row>
    <row r="206" spans="1:41" s="1" customFormat="1">
      <c r="A206" s="22">
        <v>120</v>
      </c>
      <c r="B206" s="22"/>
      <c r="C206" s="22"/>
      <c r="D206" s="22" t="s">
        <v>57</v>
      </c>
      <c r="E206" s="31" t="s">
        <v>692</v>
      </c>
      <c r="F206" s="22" t="s">
        <v>33</v>
      </c>
      <c r="G206" s="22" t="s">
        <v>9</v>
      </c>
      <c r="H206" s="22"/>
      <c r="I206" s="22" t="s">
        <v>501</v>
      </c>
      <c r="J206" s="22"/>
      <c r="K206" s="22" t="s">
        <v>516</v>
      </c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AA206" s="22"/>
      <c r="AB206" s="22"/>
      <c r="AC206" s="22"/>
      <c r="AD206" s="22"/>
      <c r="AF206" s="22"/>
      <c r="AG206" s="22" t="s">
        <v>14</v>
      </c>
      <c r="AH206" s="22"/>
      <c r="AI206" s="22"/>
      <c r="AJ206" s="22"/>
      <c r="AK206" s="22"/>
      <c r="AL206" s="22"/>
      <c r="AM206" s="22"/>
      <c r="AO206" s="20"/>
    </row>
    <row r="207" spans="1:41" s="1" customFormat="1">
      <c r="A207" s="22">
        <v>120</v>
      </c>
      <c r="B207" s="22"/>
      <c r="C207" s="22"/>
      <c r="D207" s="22" t="s">
        <v>58</v>
      </c>
      <c r="E207" s="31" t="s">
        <v>693</v>
      </c>
      <c r="F207" s="22" t="s">
        <v>32</v>
      </c>
      <c r="G207" s="22" t="s">
        <v>9</v>
      </c>
      <c r="H207" s="22"/>
      <c r="I207" s="22" t="s">
        <v>389</v>
      </c>
      <c r="J207" s="22"/>
      <c r="K207" s="22" t="s">
        <v>516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AA207" s="22"/>
      <c r="AB207" s="22"/>
      <c r="AC207" s="22"/>
      <c r="AD207" s="22"/>
      <c r="AF207" s="22"/>
      <c r="AG207" s="22" t="s">
        <v>14</v>
      </c>
      <c r="AH207" s="22"/>
      <c r="AI207" s="22"/>
      <c r="AJ207" s="22"/>
      <c r="AK207" s="22"/>
      <c r="AL207" s="22"/>
      <c r="AM207" s="22"/>
      <c r="AO207" s="20"/>
    </row>
    <row r="208" spans="1:41" s="1" customFormat="1">
      <c r="A208" s="22">
        <v>120</v>
      </c>
      <c r="B208" s="22"/>
      <c r="C208" s="22"/>
      <c r="D208" s="22" t="s">
        <v>59</v>
      </c>
      <c r="E208" s="31" t="s">
        <v>694</v>
      </c>
      <c r="F208" s="22" t="s">
        <v>35</v>
      </c>
      <c r="G208" s="22" t="s">
        <v>9</v>
      </c>
      <c r="H208" s="22"/>
      <c r="I208" s="22" t="s">
        <v>502</v>
      </c>
      <c r="J208" s="22"/>
      <c r="K208" s="22" t="s">
        <v>516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AA208" s="22"/>
      <c r="AB208" s="22"/>
      <c r="AC208" s="22"/>
      <c r="AD208" s="22"/>
      <c r="AF208" s="22"/>
      <c r="AG208" s="22" t="s">
        <v>14</v>
      </c>
      <c r="AH208" s="22"/>
      <c r="AI208" s="22"/>
      <c r="AJ208" s="22"/>
      <c r="AK208" s="22"/>
      <c r="AL208" s="22"/>
      <c r="AM208" s="22"/>
      <c r="AO208" s="20"/>
    </row>
    <row r="209" spans="1:41" s="1" customFormat="1">
      <c r="A209" s="22">
        <v>120</v>
      </c>
      <c r="B209" s="22"/>
      <c r="C209" s="22"/>
      <c r="D209" s="22" t="s">
        <v>60</v>
      </c>
      <c r="E209" s="31" t="s">
        <v>695</v>
      </c>
      <c r="F209" s="22" t="s">
        <v>36</v>
      </c>
      <c r="G209" s="22" t="s">
        <v>9</v>
      </c>
      <c r="H209" s="22"/>
      <c r="I209" s="22" t="s">
        <v>503</v>
      </c>
      <c r="J209" s="22"/>
      <c r="K209" s="22" t="s">
        <v>516</v>
      </c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AA209" s="22"/>
      <c r="AB209" s="22"/>
      <c r="AC209" s="22"/>
      <c r="AD209" s="22"/>
      <c r="AF209" s="22"/>
      <c r="AG209" s="22" t="s">
        <v>14</v>
      </c>
      <c r="AH209" s="22"/>
      <c r="AI209" s="22"/>
      <c r="AJ209" s="22"/>
      <c r="AK209" s="22"/>
      <c r="AL209" s="22"/>
      <c r="AM209" s="22"/>
      <c r="AO209" s="20"/>
    </row>
    <row r="210" spans="1:41" s="1" customFormat="1">
      <c r="A210" s="22">
        <v>120</v>
      </c>
      <c r="B210" s="22"/>
      <c r="C210" s="22"/>
      <c r="D210" s="22" t="s">
        <v>63</v>
      </c>
      <c r="E210" s="31" t="s">
        <v>696</v>
      </c>
      <c r="F210" s="22" t="s">
        <v>64</v>
      </c>
      <c r="G210" s="22" t="s">
        <v>9</v>
      </c>
      <c r="H210" s="22"/>
      <c r="I210" s="22" t="s">
        <v>504</v>
      </c>
      <c r="J210" s="22"/>
      <c r="K210" s="22" t="s">
        <v>516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AA210" s="22"/>
      <c r="AB210" s="22"/>
      <c r="AC210" s="22"/>
      <c r="AD210" s="22"/>
      <c r="AF210" s="22"/>
      <c r="AG210" s="22" t="s">
        <v>14</v>
      </c>
      <c r="AH210" s="22"/>
      <c r="AI210" s="22"/>
      <c r="AJ210" s="22"/>
      <c r="AK210" s="22"/>
      <c r="AL210" s="22"/>
      <c r="AM210" s="22"/>
      <c r="AO210" s="20"/>
    </row>
    <row r="211" spans="1:41" s="1" customFormat="1">
      <c r="A211" s="22">
        <v>120</v>
      </c>
      <c r="B211" s="22"/>
      <c r="C211" s="22"/>
      <c r="D211" s="22" t="s">
        <v>65</v>
      </c>
      <c r="E211" s="31" t="s">
        <v>697</v>
      </c>
      <c r="F211" s="22" t="s">
        <v>37</v>
      </c>
      <c r="G211" s="22" t="s">
        <v>9</v>
      </c>
      <c r="H211" s="22"/>
      <c r="I211" s="22" t="s">
        <v>390</v>
      </c>
      <c r="J211" s="22"/>
      <c r="K211" s="22" t="s">
        <v>516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AA211" s="22"/>
      <c r="AB211" s="22"/>
      <c r="AC211" s="22"/>
      <c r="AD211" s="22"/>
      <c r="AF211" s="22"/>
      <c r="AG211" s="22" t="s">
        <v>14</v>
      </c>
      <c r="AH211" s="22"/>
      <c r="AI211" s="22"/>
      <c r="AJ211" s="22"/>
      <c r="AK211" s="22"/>
      <c r="AL211" s="22"/>
      <c r="AM211" s="22"/>
      <c r="AO211" s="20"/>
    </row>
    <row r="212" spans="1:41" s="1" customFormat="1" ht="52">
      <c r="A212" s="41"/>
      <c r="AF212" s="36" t="s">
        <v>711</v>
      </c>
      <c r="AG212" s="36" t="s">
        <v>712</v>
      </c>
      <c r="AH212" s="36" t="s">
        <v>711</v>
      </c>
      <c r="AI212" s="36" t="s">
        <v>712</v>
      </c>
      <c r="AJ212" s="36" t="s">
        <v>711</v>
      </c>
      <c r="AK212" s="36" t="s">
        <v>712</v>
      </c>
      <c r="AL212" s="36" t="s">
        <v>711</v>
      </c>
      <c r="AM212" s="36" t="s">
        <v>712</v>
      </c>
      <c r="AO212" s="11"/>
    </row>
    <row r="213" spans="1:41" s="1" customFormat="1">
      <c r="A213" s="22">
        <v>130</v>
      </c>
      <c r="B213" s="18" t="s">
        <v>16</v>
      </c>
      <c r="C213" s="18"/>
      <c r="D213" s="18" t="s">
        <v>78</v>
      </c>
      <c r="E213" s="19"/>
      <c r="F213" s="18"/>
      <c r="G213" s="18"/>
      <c r="H213" s="18"/>
      <c r="I213" s="18" t="s">
        <v>362</v>
      </c>
      <c r="J213" s="18"/>
      <c r="K213" s="18" t="s">
        <v>427</v>
      </c>
      <c r="L213" s="18"/>
      <c r="M213" s="18" t="s">
        <v>428</v>
      </c>
      <c r="N213" s="18"/>
      <c r="O213" s="18"/>
      <c r="P213" s="18"/>
      <c r="Q213" s="21"/>
      <c r="R213" s="21"/>
      <c r="S213" s="21"/>
      <c r="T213" s="21"/>
      <c r="U213" s="21"/>
      <c r="V213" s="21"/>
      <c r="W213" s="21"/>
      <c r="X213" s="21"/>
      <c r="Y213" s="21"/>
      <c r="Z213" s="23"/>
      <c r="AA213" s="21"/>
      <c r="AB213" s="21"/>
      <c r="AC213" s="21"/>
      <c r="AD213" s="21"/>
      <c r="AE213" s="23"/>
      <c r="AF213" s="22"/>
      <c r="AG213" s="22"/>
      <c r="AH213" s="22"/>
      <c r="AI213" s="22"/>
      <c r="AJ213" s="22"/>
      <c r="AK213" s="22"/>
      <c r="AL213" s="22"/>
      <c r="AM213" s="22"/>
      <c r="AN213" s="23"/>
      <c r="AO213" s="20"/>
    </row>
    <row r="214" spans="1:41" s="1" customFormat="1">
      <c r="A214" s="22">
        <v>130</v>
      </c>
      <c r="B214" s="22"/>
      <c r="C214" s="22"/>
      <c r="D214" s="22" t="s">
        <v>41</v>
      </c>
      <c r="E214" s="31" t="s">
        <v>701</v>
      </c>
      <c r="F214" s="22" t="s">
        <v>43</v>
      </c>
      <c r="G214" s="22" t="s">
        <v>45</v>
      </c>
      <c r="H214" s="22"/>
      <c r="I214" s="22" t="s">
        <v>506</v>
      </c>
      <c r="J214" s="22"/>
      <c r="K214" s="22" t="s">
        <v>507</v>
      </c>
      <c r="L214" s="22"/>
      <c r="M214" s="22"/>
      <c r="N214" s="22"/>
      <c r="O214" s="22"/>
      <c r="P214" s="22"/>
      <c r="Q214" s="22"/>
      <c r="R214" s="22"/>
      <c r="S214" s="22"/>
      <c r="T214" s="22" t="s">
        <v>519</v>
      </c>
      <c r="U214" s="22"/>
      <c r="V214" s="22"/>
      <c r="W214" s="22"/>
      <c r="X214" s="22"/>
      <c r="Y214" s="22"/>
      <c r="AA214" s="22" t="s">
        <v>14</v>
      </c>
      <c r="AB214" s="22" t="s">
        <v>509</v>
      </c>
      <c r="AC214" s="22" t="s">
        <v>509</v>
      </c>
      <c r="AD214" s="22" t="s">
        <v>509</v>
      </c>
      <c r="AF214" s="22"/>
      <c r="AG214" s="22"/>
      <c r="AH214" s="22"/>
      <c r="AI214" s="22"/>
      <c r="AJ214" s="22"/>
      <c r="AK214" s="22"/>
      <c r="AL214" s="22"/>
      <c r="AM214" s="22"/>
      <c r="AO214" s="20"/>
    </row>
    <row r="215" spans="1:41" s="1" customFormat="1">
      <c r="A215" s="22">
        <v>130</v>
      </c>
      <c r="B215" s="22"/>
      <c r="C215" s="22"/>
      <c r="D215" s="22" t="s">
        <v>42</v>
      </c>
      <c r="E215" s="31" t="s">
        <v>702</v>
      </c>
      <c r="F215" s="22" t="s">
        <v>44</v>
      </c>
      <c r="G215" s="22" t="s">
        <v>46</v>
      </c>
      <c r="H215" s="22"/>
      <c r="I215" s="22" t="s">
        <v>506</v>
      </c>
      <c r="J215" s="22"/>
      <c r="K215" s="22" t="s">
        <v>507</v>
      </c>
      <c r="L215" s="22"/>
      <c r="M215" s="22"/>
      <c r="N215" s="22"/>
      <c r="O215" s="22"/>
      <c r="P215" s="22"/>
      <c r="Q215" s="22"/>
      <c r="R215" s="22"/>
      <c r="S215" s="22"/>
      <c r="T215" s="22" t="s">
        <v>107</v>
      </c>
      <c r="U215" s="22"/>
      <c r="V215" s="22"/>
      <c r="W215" s="22"/>
      <c r="X215" s="22"/>
      <c r="Y215" s="22"/>
      <c r="AA215" s="22" t="s">
        <v>14</v>
      </c>
      <c r="AB215" s="22" t="s">
        <v>509</v>
      </c>
      <c r="AC215" s="22" t="s">
        <v>509</v>
      </c>
      <c r="AD215" s="22" t="s">
        <v>509</v>
      </c>
      <c r="AF215" s="22"/>
      <c r="AG215" s="22"/>
      <c r="AH215" s="22"/>
      <c r="AI215" s="22"/>
      <c r="AJ215" s="22"/>
      <c r="AK215" s="22"/>
      <c r="AL215" s="22"/>
      <c r="AM215" s="22"/>
      <c r="AO215" s="20"/>
    </row>
    <row r="216" spans="1:41" s="1" customFormat="1">
      <c r="A216" s="22">
        <v>130</v>
      </c>
      <c r="B216" s="22"/>
      <c r="C216" s="22"/>
      <c r="D216" s="22" t="s">
        <v>403</v>
      </c>
      <c r="E216" s="31" t="s">
        <v>703</v>
      </c>
      <c r="F216" s="22" t="s">
        <v>17</v>
      </c>
      <c r="G216" s="22" t="s">
        <v>18</v>
      </c>
      <c r="H216" s="22"/>
      <c r="I216" s="22" t="s">
        <v>506</v>
      </c>
      <c r="J216" s="22"/>
      <c r="K216" s="22" t="s">
        <v>507</v>
      </c>
      <c r="L216" s="22"/>
      <c r="M216" s="22"/>
      <c r="N216" s="22"/>
      <c r="O216" s="22"/>
      <c r="P216" s="22"/>
      <c r="Q216" s="22" t="s">
        <v>510</v>
      </c>
      <c r="R216" s="22" t="s">
        <v>70</v>
      </c>
      <c r="S216" s="22"/>
      <c r="T216" s="22" t="s">
        <v>80</v>
      </c>
      <c r="U216" s="22"/>
      <c r="V216" s="22"/>
      <c r="W216" s="22"/>
      <c r="X216" s="22"/>
      <c r="Y216" s="22"/>
      <c r="AA216" s="22" t="s">
        <v>14</v>
      </c>
      <c r="AB216" s="22" t="s">
        <v>509</v>
      </c>
      <c r="AC216" s="22" t="s">
        <v>509</v>
      </c>
      <c r="AD216" s="22" t="s">
        <v>509</v>
      </c>
      <c r="AF216" s="22"/>
      <c r="AG216" s="22"/>
      <c r="AH216" s="22"/>
      <c r="AI216" s="22"/>
      <c r="AJ216" s="22"/>
      <c r="AK216" s="22"/>
      <c r="AL216" s="22"/>
      <c r="AM216" s="22"/>
      <c r="AO216" s="20"/>
    </row>
    <row r="217" spans="1:41" s="1" customFormat="1">
      <c r="A217" s="22">
        <v>130</v>
      </c>
      <c r="B217" s="22"/>
      <c r="C217" s="22"/>
      <c r="D217" s="22" t="s">
        <v>404</v>
      </c>
      <c r="E217" s="31" t="s">
        <v>704</v>
      </c>
      <c r="F217" s="22" t="s">
        <v>19</v>
      </c>
      <c r="G217" s="22" t="s">
        <v>20</v>
      </c>
      <c r="H217" s="22"/>
      <c r="I217" s="22" t="s">
        <v>506</v>
      </c>
      <c r="J217" s="22"/>
      <c r="K217" s="22" t="s">
        <v>507</v>
      </c>
      <c r="L217" s="22"/>
      <c r="M217" s="22"/>
      <c r="N217" s="22"/>
      <c r="O217" s="22"/>
      <c r="P217" s="22"/>
      <c r="Q217" s="22" t="s">
        <v>512</v>
      </c>
      <c r="R217" s="22" t="s">
        <v>70</v>
      </c>
      <c r="S217" s="22"/>
      <c r="T217" s="22" t="s">
        <v>81</v>
      </c>
      <c r="U217" s="22"/>
      <c r="V217" s="22"/>
      <c r="W217" s="22"/>
      <c r="X217" s="22"/>
      <c r="Y217" s="22"/>
      <c r="AA217" s="22" t="s">
        <v>14</v>
      </c>
      <c r="AB217" s="22" t="s">
        <v>509</v>
      </c>
      <c r="AC217" s="22" t="s">
        <v>509</v>
      </c>
      <c r="AD217" s="22" t="s">
        <v>509</v>
      </c>
      <c r="AF217" s="22"/>
      <c r="AG217" s="22"/>
      <c r="AH217" s="22"/>
      <c r="AI217" s="22"/>
      <c r="AJ217" s="22"/>
      <c r="AK217" s="22"/>
      <c r="AL217" s="22"/>
      <c r="AM217" s="22"/>
      <c r="AO217" s="20"/>
    </row>
    <row r="218" spans="1:41" s="1" customFormat="1">
      <c r="A218" s="22">
        <v>130</v>
      </c>
      <c r="B218" s="22"/>
      <c r="C218" s="22"/>
      <c r="D218" s="22" t="s">
        <v>405</v>
      </c>
      <c r="E218" s="31" t="s">
        <v>705</v>
      </c>
      <c r="F218" s="22" t="s">
        <v>21</v>
      </c>
      <c r="G218" s="22" t="s">
        <v>22</v>
      </c>
      <c r="H218" s="22"/>
      <c r="I218" s="22" t="s">
        <v>506</v>
      </c>
      <c r="J218" s="22"/>
      <c r="K218" s="22" t="s">
        <v>507</v>
      </c>
      <c r="L218" s="22"/>
      <c r="M218" s="22"/>
      <c r="N218" s="22"/>
      <c r="O218" s="22"/>
      <c r="P218" s="22"/>
      <c r="Q218" s="22" t="s">
        <v>392</v>
      </c>
      <c r="R218" s="22" t="s">
        <v>70</v>
      </c>
      <c r="S218" s="22"/>
      <c r="T218" s="22" t="s">
        <v>106</v>
      </c>
      <c r="U218" s="22"/>
      <c r="V218" s="22"/>
      <c r="W218" s="22"/>
      <c r="X218" s="22"/>
      <c r="Y218" s="22"/>
      <c r="AA218" s="22" t="s">
        <v>14</v>
      </c>
      <c r="AB218" s="22" t="s">
        <v>509</v>
      </c>
      <c r="AC218" s="22" t="s">
        <v>509</v>
      </c>
      <c r="AD218" s="22" t="s">
        <v>509</v>
      </c>
      <c r="AF218" s="22"/>
      <c r="AG218" s="22"/>
      <c r="AH218" s="22"/>
      <c r="AI218" s="22"/>
      <c r="AJ218" s="22"/>
      <c r="AK218" s="22"/>
      <c r="AL218" s="22"/>
      <c r="AM218" s="22"/>
      <c r="AO218" s="20"/>
    </row>
    <row r="219" spans="1:41" s="1" customFormat="1" ht="52">
      <c r="A219" s="41"/>
      <c r="AF219" s="36" t="s">
        <v>711</v>
      </c>
      <c r="AG219" s="36" t="s">
        <v>712</v>
      </c>
      <c r="AH219" s="36" t="s">
        <v>711</v>
      </c>
      <c r="AI219" s="36" t="s">
        <v>712</v>
      </c>
      <c r="AJ219" s="36" t="s">
        <v>711</v>
      </c>
      <c r="AK219" s="36" t="s">
        <v>712</v>
      </c>
      <c r="AL219" s="36" t="s">
        <v>711</v>
      </c>
      <c r="AM219" s="36" t="s">
        <v>712</v>
      </c>
      <c r="AO219" s="11"/>
    </row>
    <row r="220" spans="1:41" s="1" customFormat="1">
      <c r="A220" s="22">
        <v>140</v>
      </c>
      <c r="B220" s="18" t="s">
        <v>11</v>
      </c>
      <c r="C220" s="18"/>
      <c r="D220" s="18" t="s">
        <v>79</v>
      </c>
      <c r="E220" s="19"/>
      <c r="F220" s="18"/>
      <c r="G220" s="18"/>
      <c r="H220" s="18"/>
      <c r="I220" s="18" t="s">
        <v>362</v>
      </c>
      <c r="J220" s="18"/>
      <c r="K220" s="18" t="s">
        <v>427</v>
      </c>
      <c r="L220" s="18"/>
      <c r="M220" s="18" t="s">
        <v>520</v>
      </c>
      <c r="N220" s="18">
        <v>700</v>
      </c>
      <c r="O220" s="18"/>
      <c r="P220" s="18"/>
      <c r="Q220" s="21"/>
      <c r="R220" s="21"/>
      <c r="S220" s="21"/>
      <c r="T220" s="21"/>
      <c r="U220" s="21"/>
      <c r="V220" s="21"/>
      <c r="W220" s="21"/>
      <c r="X220" s="21"/>
      <c r="Y220" s="21"/>
      <c r="Z220" s="23"/>
      <c r="AA220" s="21"/>
      <c r="AB220" s="21"/>
      <c r="AC220" s="21"/>
      <c r="AD220" s="21"/>
      <c r="AE220" s="23"/>
      <c r="AF220" s="22"/>
      <c r="AG220" s="22"/>
      <c r="AH220" s="22"/>
      <c r="AI220" s="22"/>
      <c r="AJ220" s="22"/>
      <c r="AK220" s="22"/>
      <c r="AL220" s="22"/>
      <c r="AM220" s="22"/>
      <c r="AN220" s="23"/>
      <c r="AO220" s="20"/>
    </row>
    <row r="221" spans="1:41" s="1" customFormat="1" ht="26">
      <c r="A221" s="22">
        <v>140</v>
      </c>
      <c r="B221" s="22"/>
      <c r="C221" s="22"/>
      <c r="D221" s="22" t="s">
        <v>208</v>
      </c>
      <c r="E221" s="31" t="s">
        <v>708</v>
      </c>
      <c r="F221" s="22" t="s">
        <v>209</v>
      </c>
      <c r="G221" s="22" t="s">
        <v>210</v>
      </c>
      <c r="H221" s="22"/>
      <c r="I221" s="22" t="s">
        <v>521</v>
      </c>
      <c r="J221" s="22"/>
      <c r="K221" s="22" t="s">
        <v>507</v>
      </c>
      <c r="L221" s="22"/>
      <c r="M221" s="22" t="s">
        <v>53</v>
      </c>
      <c r="N221" s="22"/>
      <c r="O221" s="22"/>
      <c r="P221" s="22"/>
      <c r="Q221" s="22"/>
      <c r="R221" s="22"/>
      <c r="S221" s="22"/>
      <c r="T221" s="22" t="s">
        <v>207</v>
      </c>
      <c r="U221" s="22"/>
      <c r="V221" s="22"/>
      <c r="W221" s="22"/>
      <c r="X221" s="22"/>
      <c r="Y221" s="22"/>
      <c r="AA221" s="22" t="s">
        <v>14</v>
      </c>
      <c r="AB221" s="22" t="s">
        <v>14</v>
      </c>
      <c r="AC221" s="22" t="s">
        <v>14</v>
      </c>
      <c r="AD221" s="22" t="s">
        <v>14</v>
      </c>
      <c r="AF221" s="22"/>
      <c r="AG221" s="22"/>
      <c r="AH221" s="22"/>
      <c r="AI221" s="22"/>
      <c r="AJ221" s="22"/>
      <c r="AK221" s="22"/>
      <c r="AL221" s="22"/>
      <c r="AM221" s="22"/>
      <c r="AO221" s="20"/>
    </row>
    <row r="222" spans="1:41" s="1" customFormat="1" ht="26">
      <c r="A222" s="22">
        <v>140</v>
      </c>
      <c r="B222" s="22"/>
      <c r="C222" s="22"/>
      <c r="D222" s="22" t="s">
        <v>406</v>
      </c>
      <c r="E222" s="31" t="s">
        <v>709</v>
      </c>
      <c r="F222" s="22" t="s">
        <v>217</v>
      </c>
      <c r="G222" s="22" t="s">
        <v>218</v>
      </c>
      <c r="H222" s="22"/>
      <c r="I222" s="22" t="s">
        <v>394</v>
      </c>
      <c r="J222" s="22"/>
      <c r="K222" s="22" t="s">
        <v>522</v>
      </c>
      <c r="L222" s="22"/>
      <c r="M222" s="22" t="s">
        <v>53</v>
      </c>
      <c r="N222" s="22"/>
      <c r="O222" s="22"/>
      <c r="P222" s="22"/>
      <c r="Q222" s="22" t="s">
        <v>523</v>
      </c>
      <c r="R222" s="22"/>
      <c r="S222" s="22"/>
      <c r="T222" s="22" t="s">
        <v>524</v>
      </c>
      <c r="U222" s="22"/>
      <c r="V222" s="22"/>
      <c r="W222" s="22"/>
      <c r="X222" s="22"/>
      <c r="Y222" s="22"/>
      <c r="AA222" s="22" t="s">
        <v>14</v>
      </c>
      <c r="AB222" s="22" t="s">
        <v>509</v>
      </c>
      <c r="AC222" s="22" t="s">
        <v>509</v>
      </c>
      <c r="AD222" s="22" t="s">
        <v>509</v>
      </c>
      <c r="AF222" s="22"/>
      <c r="AG222" s="22"/>
      <c r="AH222" s="22"/>
      <c r="AI222" s="22"/>
      <c r="AJ222" s="22"/>
      <c r="AK222" s="22"/>
      <c r="AL222" s="22"/>
      <c r="AM222" s="22"/>
      <c r="AO222" s="20"/>
    </row>
    <row r="223" spans="1:41" s="1" customFormat="1" ht="26">
      <c r="A223" s="22">
        <v>140</v>
      </c>
      <c r="B223" s="22"/>
      <c r="C223" s="22"/>
      <c r="D223" s="22" t="s">
        <v>50</v>
      </c>
      <c r="E223" s="31" t="s">
        <v>710</v>
      </c>
      <c r="F223" s="22" t="s">
        <v>219</v>
      </c>
      <c r="G223" s="22" t="s">
        <v>220</v>
      </c>
      <c r="H223" s="22"/>
      <c r="I223" s="22" t="s">
        <v>525</v>
      </c>
      <c r="J223" s="22"/>
      <c r="K223" s="22" t="s">
        <v>522</v>
      </c>
      <c r="L223" s="22"/>
      <c r="M223" s="22" t="s">
        <v>53</v>
      </c>
      <c r="N223" s="22"/>
      <c r="O223" s="22"/>
      <c r="P223" s="22"/>
      <c r="Q223" s="22" t="s">
        <v>526</v>
      </c>
      <c r="R223" s="22"/>
      <c r="S223" s="22"/>
      <c r="T223" s="22" t="s">
        <v>527</v>
      </c>
      <c r="U223" s="22"/>
      <c r="V223" s="22"/>
      <c r="W223" s="22"/>
      <c r="X223" s="22"/>
      <c r="Y223" s="22"/>
      <c r="AA223" s="22" t="s">
        <v>509</v>
      </c>
      <c r="AB223" s="22" t="s">
        <v>509</v>
      </c>
      <c r="AC223" s="22" t="s">
        <v>14</v>
      </c>
      <c r="AD223" s="22" t="s">
        <v>509</v>
      </c>
      <c r="AF223" s="22"/>
      <c r="AG223" s="22"/>
      <c r="AH223" s="22"/>
      <c r="AI223" s="22"/>
      <c r="AJ223" s="22"/>
      <c r="AK223" s="22"/>
      <c r="AL223" s="22"/>
      <c r="AM223" s="22"/>
      <c r="AO223" s="20"/>
    </row>
    <row r="224" spans="1:41" s="1" customFormat="1" ht="52">
      <c r="A224" s="41"/>
      <c r="AF224" s="36" t="s">
        <v>711</v>
      </c>
      <c r="AG224" s="36" t="s">
        <v>712</v>
      </c>
      <c r="AH224" s="36" t="s">
        <v>711</v>
      </c>
      <c r="AI224" s="36" t="s">
        <v>712</v>
      </c>
      <c r="AJ224" s="36" t="s">
        <v>711</v>
      </c>
      <c r="AK224" s="36" t="s">
        <v>712</v>
      </c>
      <c r="AL224" s="36" t="s">
        <v>711</v>
      </c>
      <c r="AM224" s="36" t="s">
        <v>712</v>
      </c>
      <c r="AO224" s="11"/>
    </row>
    <row r="225" spans="1:41" s="1" customFormat="1">
      <c r="A225" s="50">
        <v>150</v>
      </c>
      <c r="B225" s="25" t="s">
        <v>51</v>
      </c>
      <c r="C225" s="25"/>
      <c r="D225" s="25" t="s">
        <v>52</v>
      </c>
      <c r="E225" s="26"/>
      <c r="F225" s="25"/>
      <c r="G225" s="25"/>
      <c r="H225" s="25"/>
      <c r="I225" s="25" t="s">
        <v>362</v>
      </c>
      <c r="J225" s="25"/>
      <c r="K225" s="25" t="s">
        <v>427</v>
      </c>
      <c r="L225" s="25"/>
      <c r="M225" s="25" t="s">
        <v>528</v>
      </c>
      <c r="N225" s="25" t="s">
        <v>53</v>
      </c>
      <c r="O225" s="25"/>
      <c r="P225" s="25"/>
      <c r="Q225" s="29"/>
      <c r="R225" s="29"/>
      <c r="S225" s="29"/>
      <c r="T225" s="29"/>
      <c r="U225" s="29"/>
      <c r="V225" s="29"/>
      <c r="W225" s="29"/>
      <c r="X225" s="29"/>
      <c r="Y225" s="29"/>
      <c r="Z225" s="27"/>
      <c r="AA225" s="29"/>
      <c r="AB225" s="29"/>
      <c r="AC225" s="29"/>
      <c r="AD225" s="29"/>
      <c r="AE225" s="27"/>
      <c r="AF225" s="50"/>
      <c r="AG225" s="50"/>
      <c r="AH225" s="50"/>
      <c r="AI225" s="50"/>
      <c r="AJ225" s="50"/>
      <c r="AK225" s="50"/>
      <c r="AL225" s="50"/>
      <c r="AM225" s="50"/>
      <c r="AN225" s="27"/>
      <c r="AO225" s="28"/>
    </row>
    <row r="226" spans="1:41" s="1" customFormat="1">
      <c r="A226" s="2"/>
      <c r="B226" s="3"/>
      <c r="C226" s="3"/>
      <c r="D226" s="4" t="s">
        <v>407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12"/>
    </row>
    <row r="227" spans="1:41" s="1" customFormat="1">
      <c r="A227" s="41"/>
      <c r="AO227" s="11"/>
    </row>
    <row r="228" spans="1:41" s="1" customFormat="1">
      <c r="A228" s="41"/>
      <c r="AO228" s="11"/>
    </row>
    <row r="229" spans="1:41" s="1" customFormat="1">
      <c r="A229" s="41"/>
      <c r="AO229" s="11"/>
    </row>
    <row r="230" spans="1:41" s="1" customFormat="1">
      <c r="A230" s="41"/>
      <c r="AO230" s="11"/>
    </row>
    <row r="231" spans="1:41" s="1" customFormat="1">
      <c r="A231" s="41"/>
      <c r="AO231" s="11"/>
    </row>
    <row r="232" spans="1:41" s="1" customFormat="1">
      <c r="A232" s="41"/>
      <c r="AO232" s="11"/>
    </row>
    <row r="233" spans="1:41" s="1" customFormat="1">
      <c r="A233" s="41"/>
      <c r="AO233" s="11"/>
    </row>
    <row r="234" spans="1:41" s="1" customFormat="1">
      <c r="A234" s="41"/>
      <c r="AO234" s="11"/>
    </row>
    <row r="235" spans="1:41" s="1" customFormat="1">
      <c r="A235" s="41"/>
      <c r="AO235" s="11"/>
    </row>
    <row r="236" spans="1:41" s="1" customFormat="1">
      <c r="A236" s="41"/>
      <c r="AO236" s="11"/>
    </row>
    <row r="237" spans="1:41" s="1" customFormat="1">
      <c r="A237" s="41"/>
      <c r="AO237" s="11"/>
    </row>
    <row r="238" spans="1:41" s="1" customFormat="1">
      <c r="A238" s="41"/>
      <c r="AO238" s="11"/>
    </row>
    <row r="239" spans="1:41" s="1" customFormat="1">
      <c r="A239" s="41"/>
      <c r="AO239" s="11"/>
    </row>
    <row r="240" spans="1:41" s="1" customFormat="1">
      <c r="A240" s="41"/>
      <c r="AO240" s="11"/>
    </row>
    <row r="241" spans="1:41" s="1" customFormat="1">
      <c r="A241" s="41"/>
      <c r="AO241" s="11"/>
    </row>
    <row r="242" spans="1:41" s="1" customFormat="1">
      <c r="A242" s="41"/>
      <c r="AO242" s="11"/>
    </row>
    <row r="243" spans="1:41" s="1" customFormat="1">
      <c r="A243" s="41"/>
      <c r="AO243" s="11"/>
    </row>
    <row r="244" spans="1:41" s="1" customFormat="1">
      <c r="A244" s="41"/>
      <c r="AO244" s="11"/>
    </row>
    <row r="245" spans="1:41" s="1" customFormat="1">
      <c r="A245" s="41"/>
      <c r="AO245" s="11"/>
    </row>
    <row r="246" spans="1:41" s="1" customFormat="1">
      <c r="A246" s="41"/>
      <c r="AO246" s="11"/>
    </row>
    <row r="247" spans="1:41" s="1" customFormat="1">
      <c r="A247" s="41"/>
      <c r="AO247" s="11"/>
    </row>
    <row r="248" spans="1:41" s="1" customFormat="1">
      <c r="A248" s="41"/>
      <c r="AO248" s="11"/>
    </row>
    <row r="249" spans="1:41" s="1" customFormat="1">
      <c r="A249" s="41"/>
      <c r="AO249" s="11"/>
    </row>
    <row r="250" spans="1:41" s="1" customFormat="1">
      <c r="A250" s="41"/>
      <c r="AO250" s="11"/>
    </row>
    <row r="251" spans="1:41" s="1" customFormat="1">
      <c r="A251" s="41"/>
      <c r="AO251" s="11"/>
    </row>
    <row r="252" spans="1:41" s="1" customFormat="1">
      <c r="A252" s="41"/>
      <c r="AO252" s="11"/>
    </row>
    <row r="253" spans="1:41" s="1" customFormat="1">
      <c r="A253" s="41"/>
      <c r="AO253" s="11"/>
    </row>
    <row r="254" spans="1:41" s="1" customFormat="1">
      <c r="A254" s="41"/>
      <c r="AO254" s="11"/>
    </row>
    <row r="255" spans="1:41" s="1" customFormat="1">
      <c r="A255" s="41"/>
      <c r="AO255" s="11"/>
    </row>
    <row r="256" spans="1:41" s="1" customFormat="1">
      <c r="A256" s="41"/>
      <c r="AO256" s="11"/>
    </row>
    <row r="257" spans="1:41" s="1" customFormat="1">
      <c r="A257" s="41"/>
      <c r="AO257" s="11"/>
    </row>
    <row r="258" spans="1:41" s="1" customFormat="1">
      <c r="A258" s="41"/>
      <c r="AO258" s="11"/>
    </row>
    <row r="259" spans="1:41" s="1" customFormat="1">
      <c r="A259" s="41"/>
      <c r="AO259" s="11"/>
    </row>
    <row r="260" spans="1:41" s="1" customFormat="1">
      <c r="A260" s="41"/>
      <c r="AO260" s="11"/>
    </row>
    <row r="261" spans="1:41" s="1" customFormat="1">
      <c r="A261" s="41"/>
      <c r="AO261" s="11"/>
    </row>
    <row r="262" spans="1:41" s="1" customFormat="1">
      <c r="A262" s="41"/>
      <c r="AO262" s="11"/>
    </row>
    <row r="263" spans="1:41" s="1" customFormat="1">
      <c r="A263" s="41"/>
      <c r="AO263" s="11"/>
    </row>
    <row r="264" spans="1:41" s="1" customFormat="1">
      <c r="A264" s="41"/>
      <c r="AO264" s="11"/>
    </row>
    <row r="265" spans="1:41" s="1" customFormat="1">
      <c r="A265" s="41"/>
      <c r="AO265" s="11"/>
    </row>
    <row r="266" spans="1:41" s="1" customFormat="1">
      <c r="A266" s="4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16384" width="9" style="16"/>
  </cols>
  <sheetData>
    <row r="1" spans="1:57" s="13" customFormat="1" ht="38.25" customHeight="1" thickBot="1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94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7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99">
        <v>1</v>
      </c>
      <c r="B4" s="100"/>
      <c r="C4" s="100"/>
      <c r="D4" s="100"/>
      <c r="E4" s="100"/>
      <c r="F4" s="100"/>
      <c r="G4" s="101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70"/>
      <c r="I5" s="71"/>
      <c r="J5" s="71"/>
      <c r="K5" s="71"/>
      <c r="L5" s="71"/>
      <c r="M5" s="71"/>
      <c r="N5" s="72"/>
      <c r="O5" s="102" t="s">
        <v>713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714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>
      <c r="A6" s="64"/>
      <c r="B6" s="65"/>
      <c r="C6" s="65"/>
      <c r="D6" s="65"/>
      <c r="E6" s="65"/>
      <c r="F6" s="65"/>
      <c r="G6" s="66"/>
      <c r="H6" s="91"/>
      <c r="I6" s="92"/>
      <c r="J6" s="92"/>
      <c r="K6" s="92"/>
      <c r="L6" s="92"/>
      <c r="M6" s="92"/>
      <c r="N6" s="93"/>
      <c r="O6" s="7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64"/>
      <c r="B7" s="65"/>
      <c r="C7" s="65"/>
      <c r="D7" s="65"/>
      <c r="E7" s="65"/>
      <c r="F7" s="65"/>
      <c r="G7" s="66"/>
      <c r="H7" s="91"/>
      <c r="I7" s="92"/>
      <c r="J7" s="92"/>
      <c r="K7" s="92"/>
      <c r="L7" s="92"/>
      <c r="M7" s="92"/>
      <c r="N7" s="93"/>
      <c r="O7" s="70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82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8"/>
    </row>
    <row r="8" spans="1:57" ht="15" customHeight="1">
      <c r="A8" s="64"/>
      <c r="B8" s="65"/>
      <c r="C8" s="65"/>
      <c r="D8" s="65"/>
      <c r="E8" s="65"/>
      <c r="F8" s="65"/>
      <c r="G8" s="66"/>
      <c r="H8" s="70"/>
      <c r="I8" s="71"/>
      <c r="J8" s="71"/>
      <c r="K8" s="71"/>
      <c r="L8" s="71"/>
      <c r="M8" s="71"/>
      <c r="N8" s="72"/>
      <c r="O8" s="7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64"/>
      <c r="B9" s="65"/>
      <c r="C9" s="65"/>
      <c r="D9" s="65"/>
      <c r="E9" s="65"/>
      <c r="F9" s="65"/>
      <c r="G9" s="66"/>
      <c r="H9" s="70"/>
      <c r="I9" s="71"/>
      <c r="J9" s="71"/>
      <c r="K9" s="71"/>
      <c r="L9" s="71"/>
      <c r="M9" s="71"/>
      <c r="N9" s="72"/>
      <c r="O9" s="7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64"/>
      <c r="B10" s="65"/>
      <c r="C10" s="65"/>
      <c r="D10" s="65"/>
      <c r="E10" s="65"/>
      <c r="F10" s="65"/>
      <c r="G10" s="66"/>
      <c r="H10" s="70"/>
      <c r="I10" s="71"/>
      <c r="J10" s="71"/>
      <c r="K10" s="71"/>
      <c r="L10" s="71"/>
      <c r="M10" s="71"/>
      <c r="N10" s="72"/>
      <c r="O10" s="7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64"/>
      <c r="B11" s="65"/>
      <c r="C11" s="65"/>
      <c r="D11" s="65"/>
      <c r="E11" s="65"/>
      <c r="F11" s="65"/>
      <c r="G11" s="66"/>
      <c r="H11" s="70"/>
      <c r="I11" s="71"/>
      <c r="J11" s="71"/>
      <c r="K11" s="71"/>
      <c r="L11" s="71"/>
      <c r="M11" s="71"/>
      <c r="N11" s="72"/>
      <c r="O11" s="7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64"/>
      <c r="B12" s="65"/>
      <c r="C12" s="65"/>
      <c r="D12" s="65"/>
      <c r="E12" s="65"/>
      <c r="F12" s="65"/>
      <c r="G12" s="66"/>
      <c r="H12" s="70"/>
      <c r="I12" s="71"/>
      <c r="J12" s="71"/>
      <c r="K12" s="71"/>
      <c r="L12" s="71"/>
      <c r="M12" s="71"/>
      <c r="N12" s="72"/>
      <c r="O12" s="7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64"/>
      <c r="B13" s="65"/>
      <c r="C13" s="65"/>
      <c r="D13" s="65"/>
      <c r="E13" s="65"/>
      <c r="F13" s="65"/>
      <c r="G13" s="66"/>
      <c r="H13" s="70"/>
      <c r="I13" s="71"/>
      <c r="J13" s="71"/>
      <c r="K13" s="71"/>
      <c r="L13" s="71"/>
      <c r="M13" s="71"/>
      <c r="N13" s="72"/>
      <c r="O13" s="7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64"/>
      <c r="B14" s="65"/>
      <c r="C14" s="65"/>
      <c r="D14" s="65"/>
      <c r="E14" s="65"/>
      <c r="F14" s="65"/>
      <c r="G14" s="66"/>
      <c r="H14" s="70"/>
      <c r="I14" s="71"/>
      <c r="J14" s="71"/>
      <c r="K14" s="71"/>
      <c r="L14" s="71"/>
      <c r="M14" s="71"/>
      <c r="N14" s="72"/>
      <c r="O14" s="7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64"/>
      <c r="B15" s="65"/>
      <c r="C15" s="65"/>
      <c r="D15" s="65"/>
      <c r="E15" s="65"/>
      <c r="F15" s="65"/>
      <c r="G15" s="66"/>
      <c r="H15" s="70"/>
      <c r="I15" s="71"/>
      <c r="J15" s="71"/>
      <c r="K15" s="71"/>
      <c r="L15" s="71"/>
      <c r="M15" s="71"/>
      <c r="N15" s="72"/>
      <c r="O15" s="7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64"/>
      <c r="B16" s="65"/>
      <c r="C16" s="65"/>
      <c r="D16" s="65"/>
      <c r="E16" s="65"/>
      <c r="F16" s="65"/>
      <c r="G16" s="66"/>
      <c r="H16" s="70"/>
      <c r="I16" s="71"/>
      <c r="J16" s="71"/>
      <c r="K16" s="71"/>
      <c r="L16" s="71"/>
      <c r="M16" s="71"/>
      <c r="N16" s="72"/>
      <c r="O16" s="7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64"/>
      <c r="B17" s="65"/>
      <c r="C17" s="65"/>
      <c r="D17" s="65"/>
      <c r="E17" s="65"/>
      <c r="F17" s="65"/>
      <c r="G17" s="66"/>
      <c r="H17" s="70"/>
      <c r="I17" s="71"/>
      <c r="J17" s="71"/>
      <c r="K17" s="71"/>
      <c r="L17" s="71"/>
      <c r="M17" s="71"/>
      <c r="N17" s="72"/>
      <c r="O17" s="7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64"/>
      <c r="B18" s="65"/>
      <c r="C18" s="65"/>
      <c r="D18" s="65"/>
      <c r="E18" s="65"/>
      <c r="F18" s="65"/>
      <c r="G18" s="66"/>
      <c r="H18" s="70"/>
      <c r="I18" s="71"/>
      <c r="J18" s="71"/>
      <c r="K18" s="71"/>
      <c r="L18" s="71"/>
      <c r="M18" s="71"/>
      <c r="N18" s="72"/>
      <c r="O18" s="7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64"/>
      <c r="B19" s="65"/>
      <c r="C19" s="65"/>
      <c r="D19" s="65"/>
      <c r="E19" s="65"/>
      <c r="F19" s="65"/>
      <c r="G19" s="66"/>
      <c r="H19" s="70"/>
      <c r="I19" s="71"/>
      <c r="J19" s="71"/>
      <c r="K19" s="71"/>
      <c r="L19" s="71"/>
      <c r="M19" s="71"/>
      <c r="N19" s="72"/>
      <c r="O19" s="7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64"/>
      <c r="B20" s="65"/>
      <c r="C20" s="65"/>
      <c r="D20" s="65"/>
      <c r="E20" s="65"/>
      <c r="F20" s="65"/>
      <c r="G20" s="66"/>
      <c r="H20" s="70"/>
      <c r="I20" s="71"/>
      <c r="J20" s="71"/>
      <c r="K20" s="71"/>
      <c r="L20" s="71"/>
      <c r="M20" s="71"/>
      <c r="N20" s="72"/>
      <c r="O20" s="7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64"/>
      <c r="B21" s="65"/>
      <c r="C21" s="65"/>
      <c r="D21" s="65"/>
      <c r="E21" s="65"/>
      <c r="F21" s="65"/>
      <c r="G21" s="66"/>
      <c r="H21" s="70"/>
      <c r="I21" s="71"/>
      <c r="J21" s="71"/>
      <c r="K21" s="71"/>
      <c r="L21" s="71"/>
      <c r="M21" s="71"/>
      <c r="N21" s="72"/>
      <c r="O21" s="7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64"/>
      <c r="B22" s="65"/>
      <c r="C22" s="65"/>
      <c r="D22" s="65"/>
      <c r="E22" s="65"/>
      <c r="F22" s="65"/>
      <c r="G22" s="66"/>
      <c r="H22" s="70"/>
      <c r="I22" s="71"/>
      <c r="J22" s="71"/>
      <c r="K22" s="71"/>
      <c r="L22" s="71"/>
      <c r="M22" s="71"/>
      <c r="N22" s="72"/>
      <c r="O22" s="7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64"/>
      <c r="B23" s="65"/>
      <c r="C23" s="65"/>
      <c r="D23" s="65"/>
      <c r="E23" s="65"/>
      <c r="F23" s="65"/>
      <c r="G23" s="66"/>
      <c r="H23" s="70"/>
      <c r="I23" s="71"/>
      <c r="J23" s="71"/>
      <c r="K23" s="71"/>
      <c r="L23" s="71"/>
      <c r="M23" s="71"/>
      <c r="N23" s="72"/>
      <c r="O23" s="7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64"/>
      <c r="B24" s="65"/>
      <c r="C24" s="65"/>
      <c r="D24" s="65"/>
      <c r="E24" s="65"/>
      <c r="F24" s="65"/>
      <c r="G24" s="66"/>
      <c r="H24" s="70"/>
      <c r="I24" s="71"/>
      <c r="J24" s="71"/>
      <c r="K24" s="71"/>
      <c r="L24" s="71"/>
      <c r="M24" s="71"/>
      <c r="N24" s="72"/>
      <c r="O24" s="7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64"/>
      <c r="B25" s="65"/>
      <c r="C25" s="65"/>
      <c r="D25" s="65"/>
      <c r="E25" s="65"/>
      <c r="F25" s="65"/>
      <c r="G25" s="66"/>
      <c r="H25" s="70"/>
      <c r="I25" s="71"/>
      <c r="J25" s="71"/>
      <c r="K25" s="71"/>
      <c r="L25" s="71"/>
      <c r="M25" s="71"/>
      <c r="N25" s="72"/>
      <c r="O25" s="7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64"/>
      <c r="B26" s="65"/>
      <c r="C26" s="65"/>
      <c r="D26" s="65"/>
      <c r="E26" s="65"/>
      <c r="F26" s="65"/>
      <c r="G26" s="66"/>
      <c r="H26" s="70"/>
      <c r="I26" s="71"/>
      <c r="J26" s="71"/>
      <c r="K26" s="71"/>
      <c r="L26" s="71"/>
      <c r="M26" s="71"/>
      <c r="N26" s="72"/>
      <c r="O26" s="7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64"/>
      <c r="B27" s="65"/>
      <c r="C27" s="65"/>
      <c r="D27" s="65"/>
      <c r="E27" s="65"/>
      <c r="F27" s="65"/>
      <c r="G27" s="66"/>
      <c r="H27" s="70"/>
      <c r="I27" s="71"/>
      <c r="J27" s="71"/>
      <c r="K27" s="71"/>
      <c r="L27" s="71"/>
      <c r="M27" s="71"/>
      <c r="N27" s="72"/>
      <c r="O27" s="7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64"/>
      <c r="B28" s="65"/>
      <c r="C28" s="65"/>
      <c r="D28" s="65"/>
      <c r="E28" s="65"/>
      <c r="F28" s="65"/>
      <c r="G28" s="66"/>
      <c r="H28" s="70"/>
      <c r="I28" s="71"/>
      <c r="J28" s="71"/>
      <c r="K28" s="71"/>
      <c r="L28" s="71"/>
      <c r="M28" s="71"/>
      <c r="N28" s="72"/>
      <c r="O28" s="7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64"/>
      <c r="B29" s="65"/>
      <c r="C29" s="65"/>
      <c r="D29" s="65"/>
      <c r="E29" s="65"/>
      <c r="F29" s="65"/>
      <c r="G29" s="66"/>
      <c r="H29" s="70"/>
      <c r="I29" s="71"/>
      <c r="J29" s="71"/>
      <c r="K29" s="71"/>
      <c r="L29" s="71"/>
      <c r="M29" s="71"/>
      <c r="N29" s="72"/>
      <c r="O29" s="7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64"/>
      <c r="B30" s="65"/>
      <c r="C30" s="65"/>
      <c r="D30" s="65"/>
      <c r="E30" s="65"/>
      <c r="F30" s="65"/>
      <c r="G30" s="66"/>
      <c r="H30" s="70"/>
      <c r="I30" s="71"/>
      <c r="J30" s="71"/>
      <c r="K30" s="71"/>
      <c r="L30" s="71"/>
      <c r="M30" s="71"/>
      <c r="N30" s="72"/>
      <c r="O30" s="7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64"/>
      <c r="B31" s="65"/>
      <c r="C31" s="65"/>
      <c r="D31" s="65"/>
      <c r="E31" s="65"/>
      <c r="F31" s="65"/>
      <c r="G31" s="66"/>
      <c r="H31" s="70"/>
      <c r="I31" s="71"/>
      <c r="J31" s="71"/>
      <c r="K31" s="71"/>
      <c r="L31" s="71"/>
      <c r="M31" s="71"/>
      <c r="N31" s="72"/>
      <c r="O31" s="7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64"/>
      <c r="B32" s="65"/>
      <c r="C32" s="65"/>
      <c r="D32" s="65"/>
      <c r="E32" s="65"/>
      <c r="F32" s="65"/>
      <c r="G32" s="66"/>
      <c r="H32" s="70"/>
      <c r="I32" s="71"/>
      <c r="J32" s="71"/>
      <c r="K32" s="71"/>
      <c r="L32" s="71"/>
      <c r="M32" s="71"/>
      <c r="N32" s="72"/>
      <c r="O32" s="7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64"/>
      <c r="B33" s="65"/>
      <c r="C33" s="65"/>
      <c r="D33" s="65"/>
      <c r="E33" s="65"/>
      <c r="F33" s="65"/>
      <c r="G33" s="66"/>
      <c r="H33" s="70"/>
      <c r="I33" s="71"/>
      <c r="J33" s="71"/>
      <c r="K33" s="71"/>
      <c r="L33" s="71"/>
      <c r="M33" s="71"/>
      <c r="N33" s="72"/>
      <c r="O33" s="7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64"/>
      <c r="B34" s="65"/>
      <c r="C34" s="65"/>
      <c r="D34" s="65"/>
      <c r="E34" s="65"/>
      <c r="F34" s="65"/>
      <c r="G34" s="66"/>
      <c r="H34" s="70"/>
      <c r="I34" s="71"/>
      <c r="J34" s="71"/>
      <c r="K34" s="71"/>
      <c r="L34" s="71"/>
      <c r="M34" s="71"/>
      <c r="N34" s="72"/>
      <c r="O34" s="7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7"/>
      <c r="I35" s="68"/>
      <c r="J35" s="68"/>
      <c r="K35" s="68"/>
      <c r="L35" s="68"/>
      <c r="M35" s="68"/>
      <c r="N35" s="69"/>
      <c r="O35" s="67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2026-03-27T05:44:31Z</dcterms:modified>
  <cp:category/>
</cp:coreProperties>
</file>