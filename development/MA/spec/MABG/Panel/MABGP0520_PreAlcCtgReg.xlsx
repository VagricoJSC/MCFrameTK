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9F040B72-0360-49E4-8A39-3AD90C002E3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5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l="1"/>
  <c r="AF8" i="1"/>
  <c r="AJ8" i="1"/>
</calcChain>
</file>

<file path=xl/sharedStrings.xml><?xml version="1.0" encoding="utf-8"?>
<sst xmlns="http://schemas.openxmlformats.org/spreadsheetml/2006/main" count="974" uniqueCount="377">
  <si>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</si>
  <si>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</si>
  <si>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</si>
  <si>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</si>
  <si>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</si>
  <si>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</si>
  <si>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</si>
  <si>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</si>
  <si>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</si>
  <si>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</si>
  <si>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</si>
  <si>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</si>
  <si>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</si>
  <si>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</si>
  <si>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</si>
  <si>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</si>
  <si>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</si>
  <si>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</si>
  <si>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</si>
  <si>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</si>
  <si>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</si>
  <si>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</si>
  <si>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G</t>
    <phoneticPr fontId="4"/>
  </si>
  <si>
    <t>ScreenName :</t>
    <phoneticPr fontId="4"/>
  </si>
  <si>
    <t>SuperScreenID :</t>
    <phoneticPr fontId="4"/>
  </si>
  <si>
    <t>ACType :</t>
    <phoneticPr fontId="4"/>
  </si>
  <si>
    <t>ScreenType :</t>
    <phoneticPr fontId="4"/>
  </si>
  <si>
    <t>概要：</t>
    <phoneticPr fontId="4"/>
  </si>
  <si>
    <t>#</t>
    <phoneticPr fontId="4"/>
  </si>
  <si>
    <t>Key</t>
    <phoneticPr fontId="4"/>
  </si>
  <si>
    <t>R</t>
    <phoneticPr fontId="4"/>
  </si>
  <si>
    <t>N</t>
    <phoneticPr fontId="4"/>
  </si>
  <si>
    <t>S</t>
    <phoneticPr fontId="4"/>
  </si>
  <si>
    <t>AB</t>
    <phoneticPr fontId="4"/>
  </si>
  <si>
    <t>E</t>
    <phoneticPr fontId="4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</si>
  <si>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</si>
  <si>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</si>
  <si>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</si>
  <si>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</si>
  <si>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</si>
  <si>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</si>
  <si>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オン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</si>
  <si>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</si>
  <si>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</si>
  <si>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</si>
  <si>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</si>
  <si>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</si>
  <si>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</si>
  <si>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</si>
  <si>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</si>
  <si>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</si>
  <si>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</si>
  <si>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</si>
  <si>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</si>
  <si>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</si>
  <si>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</si>
  <si>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</si>
  <si>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</si>
  <si>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</si>
  <si>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</si>
  <si>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</si>
  <si>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</si>
  <si>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</si>
  <si>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</si>
  <si>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</si>
  <si>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4"/>
  </si>
  <si>
    <t>登録ユーザＩＤ</t>
    <phoneticPr fontId="4"/>
  </si>
  <si>
    <t>論理削除</t>
    <phoneticPr fontId="4"/>
  </si>
  <si>
    <t>del@EastBtn</t>
    <phoneticPr fontId="4"/>
  </si>
  <si>
    <t>*</t>
    <phoneticPr fontId="4"/>
  </si>
  <si>
    <t>EastBtn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</si>
  <si>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</si>
  <si>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</si>
  <si>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</si>
  <si>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</si>
  <si>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</si>
  <si>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</si>
  <si>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</si>
  <si>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</si>
  <si>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</si>
  <si>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</si>
  <si>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</si>
  <si>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</si>
  <si>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</si>
  <si>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Btn</t>
    <phoneticPr fontId="4"/>
  </si>
  <si>
    <t>更新ユーザＩＤ</t>
  </si>
  <si>
    <t>$fixed$</t>
    <phoneticPr fontId="4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</si>
  <si>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</si>
  <si>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</si>
  <si>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</si>
  <si>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</si>
  <si>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</si>
  <si>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</si>
  <si>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</si>
  <si>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</si>
  <si>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</si>
  <si>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</si>
  <si>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</si>
  <si>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</si>
  <si>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</si>
  <si>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</si>
  <si>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</si>
  <si>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MABGP0520</t>
    <phoneticPr fontId="4"/>
  </si>
  <si>
    <t>一次配賦基準カテゴリマスタ登録</t>
    <phoneticPr fontId="4"/>
  </si>
  <si>
    <t>一次配賦基準カテゴリマスタの検索、更新、削除を行います。</t>
    <rPh sb="0" eb="2">
      <t>イチジ</t>
    </rPh>
    <rPh sb="2" eb="4">
      <t>ハイフ</t>
    </rPh>
    <rPh sb="4" eb="6">
      <t>キジュン</t>
    </rPh>
    <rPh sb="20" eb="22">
      <t>サクジョ</t>
    </rPh>
    <phoneticPr fontId="4"/>
  </si>
  <si>
    <t>calc_ctg_cd</t>
  </si>
  <si>
    <t>計算カテゴリＣＤ</t>
  </si>
  <si>
    <t>計算カテゴリ</t>
  </si>
  <si>
    <t>calc_ctg_nm</t>
  </si>
  <si>
    <t>計算カテゴリ名</t>
  </si>
  <si>
    <t>pre_alc_rate_cd</t>
  </si>
  <si>
    <t>一次配賦基準ＣＤ</t>
  </si>
  <si>
    <t>一次配賦基準</t>
  </si>
  <si>
    <t>pre_alc_rate_nm</t>
  </si>
  <si>
    <t>一次配賦基準名</t>
  </si>
  <si>
    <t>計画データ予実区分</t>
    <rPh sb="0" eb="2">
      <t>ケイカク</t>
    </rPh>
    <rPh sb="5" eb="6">
      <t>ヨ</t>
    </rPh>
    <rPh sb="6" eb="7">
      <t>ジツ</t>
    </rPh>
    <rPh sb="7" eb="9">
      <t>クブン</t>
    </rPh>
    <phoneticPr fontId="11"/>
  </si>
  <si>
    <t>実績データ予実区分</t>
    <rPh sb="0" eb="2">
      <t>ジッセキ</t>
    </rPh>
    <rPh sb="5" eb="6">
      <t>ヨ</t>
    </rPh>
    <rPh sb="6" eb="7">
      <t>ジツ</t>
    </rPh>
    <rPh sb="7" eb="9">
      <t>クブン</t>
    </rPh>
    <phoneticPr fontId="11"/>
  </si>
  <si>
    <t>計画キー予実区分</t>
    <rPh sb="0" eb="2">
      <t>ケイカク</t>
    </rPh>
    <rPh sb="4" eb="5">
      <t>ヨ</t>
    </rPh>
    <rPh sb="5" eb="6">
      <t>ジツ</t>
    </rPh>
    <rPh sb="6" eb="8">
      <t>クブン</t>
    </rPh>
    <phoneticPr fontId="11"/>
  </si>
  <si>
    <t>実績キー予実区分</t>
    <rPh sb="0" eb="2">
      <t>ジッセキ</t>
    </rPh>
    <rPh sb="4" eb="5">
      <t>ヨ</t>
    </rPh>
    <rPh sb="5" eb="6">
      <t>ジツ</t>
    </rPh>
    <rPh sb="6" eb="8">
      <t>クブン</t>
    </rPh>
    <phoneticPr fontId="11"/>
  </si>
  <si>
    <t>計画データ予実区分名</t>
  </si>
  <si>
    <t>実績データ予実区分名</t>
  </si>
  <si>
    <t>計画キー予実区分名</t>
  </si>
  <si>
    <t>実績キー予実区分名</t>
  </si>
  <si>
    <t>data_pln_sa_typ</t>
  </si>
  <si>
    <t>data_pln_sa_typ_nm</t>
  </si>
  <si>
    <t>data_act_sa_typ</t>
  </si>
  <si>
    <t>data_act_sa_typ_nm</t>
  </si>
  <si>
    <t>key_pln_sa_typ</t>
  </si>
  <si>
    <t>key_pln_sa_typ_nm</t>
  </si>
  <si>
    <t>key_act_sa_typ</t>
  </si>
  <si>
    <t>key_act_sa_typ_nm</t>
  </si>
  <si>
    <t>pln_mly_flg</t>
  </si>
  <si>
    <t>計画月次比率</t>
  </si>
  <si>
    <t>act_mly_flg</t>
  </si>
  <si>
    <t>実績月次比率</t>
  </si>
  <si>
    <t>key_pln_ym</t>
  </si>
  <si>
    <t>計画キー対象年月</t>
  </si>
  <si>
    <t>key_act_ym</t>
  </si>
  <si>
    <t>実績キー対象年月</t>
  </si>
  <si>
    <t>rate_coeff_flg</t>
  </si>
  <si>
    <t>比率係数</t>
  </si>
  <si>
    <t>MABGP_PreAlcCtgReg</t>
    <phoneticPr fontId="4"/>
  </si>
  <si>
    <t>LIST_OUT_BASE</t>
    <phoneticPr fontId="4"/>
  </si>
  <si>
    <t>$image.DELETE$削除する</t>
    <phoneticPr fontId="4"/>
  </si>
  <si>
    <t>削除する</t>
    <phoneticPr fontId="4"/>
  </si>
  <si>
    <t>term_p</t>
  </si>
  <si>
    <t>term_p.term_fr#</t>
  </si>
  <si>
    <t>term_p.term#</t>
  </si>
  <si>
    <t>term_p.term_nm#</t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</si>
  <si>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</si>
  <si>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</si>
  <si>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pre_alc_rate_cd</t>
    <phoneticPr fontId="4"/>
  </si>
  <si>
    <t>論理削除.オフ</t>
    <phoneticPr fontId="4"/>
  </si>
  <si>
    <t>論理削除.オン</t>
    <phoneticPr fontId="4"/>
  </si>
  <si>
    <t>オフ</t>
    <phoneticPr fontId="4"/>
  </si>
  <si>
    <t>Top</t>
  </si>
  <si>
    <t>fold</t>
  </si>
  <si>
    <t>Fold</t>
  </si>
  <si>
    <t>ctrl</t>
  </si>
  <si>
    <t>Ctrl</t>
  </si>
  <si>
    <t>cnd</t>
  </si>
  <si>
    <t>UPD,登録・訂正する,0;DEL,削除する（管理者）,1;REF,参照する,3</t>
    <phoneticPr fontId="4"/>
  </si>
  <si>
    <t>D</t>
    <phoneticPr fontId="4"/>
  </si>
  <si>
    <t>wg_cd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</si>
  <si>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</si>
  <si>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</si>
  <si>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</si>
  <si>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wg_nm</t>
    <phoneticPr fontId="4"/>
  </si>
  <si>
    <t>ＷＧ名</t>
    <rPh sb="2" eb="3">
      <t>メイ</t>
    </rPh>
    <phoneticPr fontId="4"/>
  </si>
  <si>
    <t>C2A</t>
    <phoneticPr fontId="4"/>
  </si>
  <si>
    <t>LIST_IN</t>
    <phoneticPr fontId="4"/>
  </si>
  <si>
    <t>LIST_IN_BASE</t>
    <phoneticPr fontId="4"/>
  </si>
  <si>
    <t>MA.MAUAP0010.CostWg</t>
    <phoneticPr fontId="4"/>
  </si>
  <si>
    <t>In</t>
    <phoneticPr fontId="4"/>
  </si>
  <si>
    <t>MA.MAUDP1010</t>
    <phoneticPr fontId="4"/>
  </si>
  <si>
    <t>K</t>
    <phoneticPr fontId="33"/>
  </si>
  <si>
    <t>M</t>
    <phoneticPr fontId="4"/>
  </si>
  <si>
    <t>FIX</t>
    <phoneticPr fontId="4"/>
  </si>
  <si>
    <t>DEL</t>
    <phoneticPr fontId="4"/>
  </si>
  <si>
    <t>REF</t>
    <phoneticPr fontId="4"/>
  </si>
  <si>
    <t>o</t>
    <phoneticPr fontId="4"/>
  </si>
  <si>
    <t>000000</t>
    <phoneticPr fontId="4"/>
  </si>
  <si>
    <t>NW</t>
    <phoneticPr fontId="4"/>
  </si>
  <si>
    <t>$fit$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</si>
  <si>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</si>
  <si>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</si>
  <si>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</si>
  <si>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</si>
  <si>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</si>
  <si>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C</t>
    <phoneticPr fontId="4"/>
  </si>
  <si>
    <t>Cnd</t>
    <phoneticPr fontId="4"/>
  </si>
  <si>
    <t>Srch01_Cnd</t>
    <phoneticPr fontId="4"/>
  </si>
  <si>
    <t>#MA.CALC_CTG_CD</t>
    <phoneticPr fontId="4"/>
  </si>
  <si>
    <t>MA.MAUAP0010.CalcCtg</t>
    <phoneticPr fontId="4"/>
  </si>
  <si>
    <t>calc_ctg_nm</t>
    <phoneticPr fontId="4"/>
  </si>
  <si>
    <t>#MA.CALC_CTG_NM</t>
    <phoneticPr fontId="4"/>
  </si>
  <si>
    <t>FA</t>
    <phoneticPr fontId="4"/>
  </si>
  <si>
    <t>#MA.WG_CD</t>
    <phoneticPr fontId="4"/>
  </si>
  <si>
    <t>rd_flg</t>
    <phoneticPr fontId="4"/>
  </si>
  <si>
    <t>#MA.WG_NM</t>
    <phoneticPr fontId="4"/>
  </si>
  <si>
    <t>SC</t>
    <phoneticPr fontId="4"/>
  </si>
  <si>
    <t>MA.MAUBP0240.Term</t>
    <phoneticPr fontId="4"/>
  </si>
  <si>
    <t>ENABLE</t>
    <phoneticPr fontId="4"/>
  </si>
  <si>
    <t>RI</t>
    <phoneticPr fontId="4"/>
  </si>
  <si>
    <t>CI#C2</t>
    <phoneticPr fontId="4"/>
  </si>
  <si>
    <t>term</t>
    <phoneticPr fontId="4"/>
  </si>
  <si>
    <t>term_fr</t>
    <phoneticPr fontId="4"/>
  </si>
  <si>
    <t>CI</t>
    <phoneticPr fontId="4"/>
  </si>
  <si>
    <t>term_to</t>
    <phoneticPr fontId="4"/>
  </si>
  <si>
    <t>#MA.PRE_ALC_RATE_CD</t>
    <phoneticPr fontId="4"/>
  </si>
  <si>
    <t>MA.MAUAP0010.PreAlcRate</t>
    <phoneticPr fontId="4"/>
  </si>
  <si>
    <t>#MA.PRE_ALC_RATE_NM</t>
    <phoneticPr fontId="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</si>
  <si>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</si>
  <si>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</si>
  <si>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</si>
  <si>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</si>
  <si>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</si>
  <si>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</si>
  <si>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4"/>
  </si>
  <si>
    <t>FX.FXBAP0130</t>
    <phoneticPr fontId="4"/>
  </si>
  <si>
    <t>L</t>
    <phoneticPr fontId="4"/>
  </si>
  <si>
    <t>TBL</t>
    <phoneticPr fontId="4"/>
  </si>
  <si>
    <t>CB+</t>
    <phoneticPr fontId="4"/>
  </si>
  <si>
    <t>Srch01_Rslt1</t>
    <phoneticPr fontId="4"/>
  </si>
  <si>
    <t>Upd01_Dtl1</t>
    <phoneticPr fontId="4"/>
  </si>
  <si>
    <t>Del01_Dtl1</t>
    <phoneticPr fontId="4"/>
  </si>
  <si>
    <t>RO</t>
    <phoneticPr fontId="4"/>
  </si>
  <si>
    <t>I</t>
    <phoneticPr fontId="4"/>
  </si>
  <si>
    <t>F</t>
    <phoneticPr fontId="4"/>
  </si>
  <si>
    <t>wr_flg</t>
    <phoneticPr fontId="4"/>
  </si>
  <si>
    <t>CM</t>
    <phoneticPr fontId="4"/>
  </si>
  <si>
    <t>MA.MAUBP5160.Term</t>
    <phoneticPr fontId="4"/>
  </si>
  <si>
    <t>REQUIRED</t>
    <phoneticPr fontId="4"/>
  </si>
  <si>
    <t>READ_ONLY</t>
    <phoneticPr fontId="4"/>
  </si>
  <si>
    <t>term_nm</t>
    <phoneticPr fontId="4"/>
  </si>
  <si>
    <t>pre_alc_rate_nm;pln_mly_flg;act_mly_flg</t>
    <phoneticPr fontId="4"/>
  </si>
  <si>
    <t>#MA.SA_TYP</t>
    <phoneticPr fontId="4"/>
  </si>
  <si>
    <t>MA.MAUAP0010.SaTyp</t>
    <phoneticPr fontId="4"/>
  </si>
  <si>
    <t>sa_typ_nm</t>
    <phoneticPr fontId="4"/>
  </si>
  <si>
    <t>#MA.SA_TYP_NM</t>
    <phoneticPr fontId="4"/>
  </si>
  <si>
    <t>#MA.YM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</si>
  <si>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</si>
  <si>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</si>
  <si>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</si>
  <si>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</si>
  <si>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</si>
  <si>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</si>
  <si>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#MA.SRV_REQ_NO</t>
    <phoneticPr fontId="4"/>
  </si>
  <si>
    <t>SW</t>
    <phoneticPr fontId="4"/>
  </si>
  <si>
    <t>no_border</t>
    <phoneticPr fontId="4"/>
  </si>
  <si>
    <t>B</t>
    <phoneticPr fontId="4"/>
  </si>
  <si>
    <t>F13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</si>
  <si>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</si>
  <si>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</si>
  <si>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</si>
  <si>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</si>
  <si>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</si>
  <si>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</si>
  <si>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</si>
  <si>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</si>
  <si>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</si>
  <si>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</si>
  <si>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</si>
  <si>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</si>
  <si>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</si>
  <si>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MC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</si>
  <si>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</si>
  <si>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</si>
  <si>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</si>
  <si>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</si>
  <si>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</si>
  <si>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</si>
  <si>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</si>
  <si>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</si>
  <si>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</si>
  <si>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</si>
  <si>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</si>
  <si>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</si>
  <si>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Cnd</t>
    <phoneticPr fontId="4"/>
  </si>
  <si>
    <t>wg_nm</t>
    <phoneticPr fontId="4"/>
  </si>
  <si>
    <t>term_p.term_fr_nm#</t>
  </si>
  <si>
    <t>term_p.term_to#</t>
  </si>
  <si>
    <t>term_p.term_to_nm#</t>
  </si>
  <si>
    <t>Dtl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</si>
  <si>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</si>
  <si>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</si>
  <si>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</si>
  <si>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</si>
  <si>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</si>
  <si>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WG</t>
    <phoneticPr fontId="4"/>
  </si>
  <si>
    <t>DISP_CTL</t>
    <phoneticPr fontId="4"/>
  </si>
  <si>
    <t>pre_alc_rate_nm</t>
    <phoneticPr fontId="4"/>
  </si>
  <si>
    <t>data_pln_sa_typ_nm</t>
    <phoneticPr fontId="4"/>
  </si>
  <si>
    <t>data_act_sa_typ_nm</t>
    <phoneticPr fontId="4"/>
  </si>
  <si>
    <t>key_pln_sa_typ_nm</t>
    <phoneticPr fontId="4"/>
  </si>
  <si>
    <t>key_act_sa_typ_nm</t>
    <phoneticPr fontId="4"/>
  </si>
  <si>
    <t>MA.MABGL0520.Upd01</t>
    <phoneticPr fontId="4"/>
  </si>
  <si>
    <t>MA.MABGL0520.Del01</t>
    <phoneticPr fontId="4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</si>
  <si>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</si>
  <si>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</si>
  <si>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</si>
  <si>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</si>
  <si>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</si>
  <si>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</si>
  <si>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</si>
  <si>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</si>
  <si>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</si>
  <si>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</si>
  <si>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</si>
  <si>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</si>
  <si>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</si>
  <si>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</si>
  <si>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</si>
  <si>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</si>
  <si>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</si>
  <si>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</si>
  <si>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</si>
  <si>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</si>
  <si>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</si>
  <si>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</si>
  <si>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</si>
  <si>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</si>
  <si>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</si>
  <si>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</si>
  <si>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</si>
  <si>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</si>
  <si>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</si>
  <si>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</si>
  <si>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</si>
  <si>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Departmental alloc. basis cd.</t>
  </si>
  <si>
    <t>Departmental alloc. basis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</si>
  <si>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</si>
  <si>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</si>
  <si>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</si>
  <si>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</si>
  <si>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</si>
  <si>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</si>
  <si>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</si>
  <si>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Monthly ratio (Plan)</t>
  </si>
  <si>
    <t>Monthly ratio (Result)</t>
  </si>
  <si>
    <t>Planning data plan/result type</t>
  </si>
  <si>
    <t>Planning data plan/result type name</t>
  </si>
  <si>
    <t>Result data plan/result type</t>
  </si>
  <si>
    <t>Result data plan/result type name</t>
  </si>
  <si>
    <t>Plan key plan/result type</t>
  </si>
  <si>
    <t>Plan key plan/result type name</t>
  </si>
  <si>
    <t>Result key plan/result type</t>
  </si>
  <si>
    <t>Result key plan/result type name</t>
  </si>
  <si>
    <t>Plan key target month</t>
  </si>
  <si>
    <t>Result key target month</t>
  </si>
  <si>
    <t>Ratio coefficient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</si>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</sst>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3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0"/>
    <xf numFmtId="0" fontId="5" fillId="0" borderId="0">
      <alignment vertical="top"/>
    </xf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38" fontId="37" fillId="20" borderId="0" applyNumberFormat="0" applyBorder="0" applyAlignment="0" applyProtection="0"/>
    <xf numFmtId="10" fontId="37" fillId="21" borderId="15" applyNumberFormat="0" applyBorder="0" applyAlignment="0" applyProtection="0"/>
    <xf numFmtId="178" fontId="38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35" fillId="0" borderId="0" applyBorder="0" applyAlignment="0"/>
    <xf numFmtId="0" fontId="25" fillId="0" borderId="0"/>
    <xf numFmtId="0" fontId="5" fillId="0" borderId="0">
      <alignment vertical="top"/>
    </xf>
    <xf numFmtId="0" fontId="39" fillId="0" borderId="0">
      <alignment vertical="center"/>
    </xf>
    <xf numFmtId="0" fontId="5" fillId="0" borderId="0" applyNumberFormat="0"/>
    <xf numFmtId="0" fontId="35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44" fillId="31" borderId="7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39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31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31" fillId="0" borderId="0"/>
    <xf numFmtId="0" fontId="34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4" fillId="31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39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2" xfId="0" applyFont="1" applyBorder="1" applyAlignment="1">
      <alignment vertical="top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22" borderId="48" xfId="0" applyFont="1" applyFill="1" applyBorder="1">
      <alignment vertical="top" wrapText="1"/>
    </xf>
    <xf numFmtId="0" fontId="49" fillId="0" borderId="55" xfId="0" applyFont="1" applyBorder="1">
      <alignment vertical="top" wrapText="1"/>
    </xf>
    <xf numFmtId="49" fontId="49" fillId="18" borderId="57" xfId="0" applyNumberFormat="1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51" fillId="0" borderId="30" xfId="139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0" fontId="51" fillId="0" borderId="28" xfId="137" applyFont="1" applyBorder="1" applyAlignment="1">
      <alignment horizontal="left" vertical="center" wrapText="1"/>
    </xf>
    <xf numFmtId="0" fontId="52" fillId="19" borderId="24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25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23" xfId="137" applyFont="1" applyBorder="1" applyAlignment="1">
      <alignment vertical="center" wrapText="1"/>
    </xf>
    <xf numFmtId="176" fontId="51" fillId="0" borderId="26" xfId="139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176" fontId="51" fillId="0" borderId="28" xfId="137" applyNumberFormat="1" applyFont="1" applyBorder="1" applyAlignment="1">
      <alignment horizontal="center" vertical="center"/>
    </xf>
    <xf numFmtId="176" fontId="51" fillId="0" borderId="29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23" xfId="137" applyFont="1" applyBorder="1" applyAlignment="1">
      <alignment vertical="center"/>
    </xf>
    <xf numFmtId="0" fontId="51" fillId="0" borderId="27" xfId="137" applyFont="1" applyBorder="1" applyAlignment="1">
      <alignment vertical="center" wrapText="1"/>
    </xf>
    <xf numFmtId="0" fontId="51" fillId="0" borderId="28" xfId="137" applyFont="1" applyBorder="1" applyAlignment="1">
      <alignment vertical="center" wrapText="1"/>
    </xf>
    <xf numFmtId="0" fontId="51" fillId="0" borderId="30" xfId="139" applyFont="1" applyBorder="1" applyAlignment="1">
      <alignment vertical="center" wrapText="1"/>
    </xf>
    <xf numFmtId="0" fontId="51" fillId="0" borderId="31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33" xfId="137" applyFont="1" applyBorder="1" applyAlignment="1">
      <alignment horizontal="left" vertical="center" wrapText="1"/>
    </xf>
    <xf numFmtId="0" fontId="51" fillId="0" borderId="34" xfId="137" applyFont="1" applyBorder="1" applyAlignment="1">
      <alignment horizontal="left" vertical="center" wrapText="1"/>
    </xf>
    <xf numFmtId="0" fontId="51" fillId="0" borderId="33" xfId="137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176" fontId="51" fillId="0" borderId="36" xfId="139" applyNumberFormat="1" applyFont="1" applyBorder="1" applyAlignment="1">
      <alignment horizontal="center" vertical="center"/>
    </xf>
    <xf numFmtId="176" fontId="51" fillId="0" borderId="33" xfId="137" applyNumberFormat="1" applyFont="1" applyBorder="1" applyAlignment="1">
      <alignment horizontal="center" vertical="center"/>
    </xf>
    <xf numFmtId="176" fontId="51" fillId="0" borderId="34" xfId="137" applyNumberFormat="1" applyFont="1" applyBorder="1" applyAlignment="1">
      <alignment horizontal="center" vertical="center"/>
    </xf>
    <xf numFmtId="0" fontId="50" fillId="19" borderId="3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38" xfId="137" applyFont="1" applyBorder="1" applyAlignment="1">
      <alignment vertical="center"/>
    </xf>
    <xf numFmtId="0" fontId="52" fillId="19" borderId="3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25" xfId="139" applyFont="1" applyFill="1" applyBorder="1" applyAlignment="1">
      <alignment horizontal="center" vertical="center"/>
    </xf>
    <xf numFmtId="0" fontId="52" fillId="19" borderId="3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40" xfId="137" applyFont="1" applyBorder="1" applyAlignment="1">
      <alignment horizontal="center" vertical="center"/>
    </xf>
  </cellXfs>
  <cellStyles count="45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1 6" xfId="386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8" xr:uid="{00000000-0005-0000-0000-00000A000000}"/>
    <cellStyle name="20% - アクセント 2 6" xfId="387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9" xr:uid="{00000000-0005-0000-0000-00000F000000}"/>
    <cellStyle name="20% - アクセント 3 6" xfId="388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00" xr:uid="{00000000-0005-0000-0000-000014000000}"/>
    <cellStyle name="20% - アクセント 4 6" xfId="389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390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201" xr:uid="{00000000-0005-0000-0000-00001D000000}"/>
    <cellStyle name="20% - アクセント 6 6" xfId="391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202" xr:uid="{00000000-0005-0000-0000-000022000000}"/>
    <cellStyle name="40% - アクセント 1 6" xfId="392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393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203" xr:uid="{00000000-0005-0000-0000-00002B000000}"/>
    <cellStyle name="40% - アクセント 3 6" xfId="394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04" xr:uid="{00000000-0005-0000-0000-000030000000}"/>
    <cellStyle name="40% - アクセント 4 6" xfId="395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05" xr:uid="{00000000-0005-0000-0000-000035000000}"/>
    <cellStyle name="40% - アクセント 5 6" xfId="396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06" xr:uid="{00000000-0005-0000-0000-00003A000000}"/>
    <cellStyle name="40% - アクセント 6 6" xfId="397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7" xr:uid="{00000000-0005-0000-0000-00003F000000}"/>
    <cellStyle name="60% - アクセント 1 6" xfId="398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8" xr:uid="{00000000-0005-0000-0000-000044000000}"/>
    <cellStyle name="60% - アクセント 2 6" xfId="399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9" xr:uid="{00000000-0005-0000-0000-000049000000}"/>
    <cellStyle name="60% - アクセント 3 6" xfId="400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10" xr:uid="{00000000-0005-0000-0000-00004E000000}"/>
    <cellStyle name="60% - アクセント 4 6" xfId="401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11" xr:uid="{00000000-0005-0000-0000-000053000000}"/>
    <cellStyle name="60% - アクセント 5 6" xfId="40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12" xr:uid="{00000000-0005-0000-0000-000058000000}"/>
    <cellStyle name="60% - アクセント 6 6" xfId="403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13" xr:uid="{00000000-0005-0000-0000-00006B000000}"/>
    <cellStyle name="アクセント 1 6" xfId="404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14" xr:uid="{00000000-0005-0000-0000-000070000000}"/>
    <cellStyle name="アクセント 2 6" xfId="405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15" xr:uid="{00000000-0005-0000-0000-000075000000}"/>
    <cellStyle name="アクセント 3 6" xfId="406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16" xr:uid="{00000000-0005-0000-0000-00007A000000}"/>
    <cellStyle name="アクセント 4 6" xfId="407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408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7" xr:uid="{00000000-0005-0000-0000-000083000000}"/>
    <cellStyle name="アクセント 6 6" xfId="409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8" xr:uid="{00000000-0005-0000-0000-000088000000}"/>
    <cellStyle name="タイトル 6" xfId="410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411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9" xr:uid="{00000000-0005-0000-0000-000091000000}"/>
    <cellStyle name="どちらでもない 6" xfId="412" xr:uid="{00000000-0005-0000-0000-000092000000}"/>
    <cellStyle name="ハイパーリンク 2" xfId="30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20" xr:uid="{00000000-0005-0000-0000-000097000000}"/>
    <cellStyle name="メモ 6" xfId="413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21" xr:uid="{00000000-0005-0000-0000-00009C000000}"/>
    <cellStyle name="リンク セル 6" xfId="414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37" xr:uid="{00000000-0005-0000-0000-0000A1000000}"/>
    <cellStyle name="_x001d__x000c_K_x0014__x000d_&gt;V_x0001_&gt;_x0014_n_x001e__x0007__x0001__x0001_ 2 2 3" xfId="248" xr:uid="{00000000-0005-0000-0000-0000A2000000}"/>
    <cellStyle name="_x001d__x000c_K_x0014__x000d_&gt;V_x0001_&gt;_x0014_n_x001e__x0007__x0001__x0001_ 2 2 4" xfId="190" xr:uid="{00000000-0005-0000-0000-0000A3000000}"/>
    <cellStyle name="_x001d__x000c_K_x0014__x000d_&gt;V_x0001_&gt;_x0014_n_x001e__x0007__x0001__x0001_ 2 2 5" xfId="259" xr:uid="{00000000-0005-0000-0000-0000A4000000}"/>
    <cellStyle name="_x001d__x000c_K_x0014__x000d_&gt;V_x0001_&gt;_x0014_n_x001e__x0007__x0001__x0001_ 2 3" xfId="222" xr:uid="{00000000-0005-0000-0000-0000A5000000}"/>
    <cellStyle name="_x001d__x000c_K_x0014__x000d_&gt;V_x0001_&gt;_x0014_n_x001e__x0007__x0001__x0001_ 2 3 2" xfId="383" xr:uid="{00000000-0005-0000-0000-0000A6000000}"/>
    <cellStyle name="_x001d__x000c_K_x0014__x000d_&gt;V_x0001_&gt;_x0014_n_x001e__x0007__x0001__x0001_ 3" xfId="154" xr:uid="{00000000-0005-0000-0000-0000A7000000}"/>
    <cellStyle name="_x001d__x000c_K_x0014__x000d_&gt;V_x0001_&gt;_x0014_n_x001e__x0007__x0001__x0001_ 3 2" xfId="192" xr:uid="{00000000-0005-0000-0000-0000A8000000}"/>
    <cellStyle name="_x001d__x000c_K_x0014__x000d_&gt;V_x0001_&gt;_x0014_n_x001e__x0007__x0001__x0001_ 3 2 2" xfId="428" xr:uid="{00000000-0005-0000-0000-0000A9000000}"/>
    <cellStyle name="_x001d__x000c_K_x0014__x000d_&gt;V_x0001_&gt;_x0014_n_x001e__x0007__x0001__x0001_ 3 2 3" xfId="382" xr:uid="{00000000-0005-0000-0000-0000AA000000}"/>
    <cellStyle name="_x001d__x000c_K_x0014__x000d_&gt;V_x0001_&gt;_x0014_n_x001e__x0007__x0001__x0001_ 3 3" xfId="238" xr:uid="{00000000-0005-0000-0000-0000AB000000}"/>
    <cellStyle name="_x001d__x000c_K_x0014__x000d_&gt;V_x0001_&gt;_x0014_n_x001e__x0007__x0001__x0001_ 3 3 2" xfId="433" xr:uid="{00000000-0005-0000-0000-0000AC000000}"/>
    <cellStyle name="_x001d__x000c_K_x0014__x000d_&gt;V_x0001_&gt;_x0014_n_x001e__x0007__x0001__x0001_ 3 3 3" xfId="380" xr:uid="{00000000-0005-0000-0000-0000AD000000}"/>
    <cellStyle name="_x001d__x000c_K_x0014__x000d_&gt;V_x0001_&gt;_x0014_n_x001e__x0007__x0001__x0001_ 3 4" xfId="249" xr:uid="{00000000-0005-0000-0000-0000AE000000}"/>
    <cellStyle name="_x001d__x000c_K_x0014__x000d_&gt;V_x0001_&gt;_x0014_n_x001e__x0007__x0001__x0001_ 3 5" xfId="191" xr:uid="{00000000-0005-0000-0000-0000AF000000}"/>
    <cellStyle name="_x001d__x000c_K_x0014__x000d_&gt;V_x0001_&gt;_x0014_n_x001e__x0007__x0001__x0001_ 4" xfId="193" xr:uid="{00000000-0005-0000-0000-0000B0000000}"/>
    <cellStyle name="_x001d__x000c_K_x0014__x000d_&gt;V_x0001_&gt;_x0014_n_x001e__x0007__x0001__x0001_ 5" xfId="189" xr:uid="{00000000-0005-0000-0000-0000B1000000}"/>
    <cellStyle name="悪い 2" xfId="98" xr:uid="{00000000-0005-0000-0000-0000B2000000}"/>
    <cellStyle name="悪い 3" xfId="99" xr:uid="{00000000-0005-0000-0000-0000B3000000}"/>
    <cellStyle name="悪い 4" xfId="100" xr:uid="{00000000-0005-0000-0000-0000B4000000}"/>
    <cellStyle name="悪い 5" xfId="223" xr:uid="{00000000-0005-0000-0000-0000B5000000}"/>
    <cellStyle name="悪い 6" xfId="415" xr:uid="{00000000-0005-0000-0000-0000B6000000}"/>
    <cellStyle name="計算 2" xfId="101" xr:uid="{00000000-0005-0000-0000-0000B7000000}"/>
    <cellStyle name="計算 3" xfId="102" xr:uid="{00000000-0005-0000-0000-0000B8000000}"/>
    <cellStyle name="計算 4" xfId="103" xr:uid="{00000000-0005-0000-0000-0000B9000000}"/>
    <cellStyle name="計算 5" xfId="224" xr:uid="{00000000-0005-0000-0000-0000BA000000}"/>
    <cellStyle name="計算 6" xfId="416" xr:uid="{00000000-0005-0000-0000-0000BB000000}"/>
    <cellStyle name="警告文 2" xfId="104" xr:uid="{00000000-0005-0000-0000-0000BC000000}"/>
    <cellStyle name="警告文 3" xfId="105" xr:uid="{00000000-0005-0000-0000-0000BD000000}"/>
    <cellStyle name="警告文 4" xfId="106" xr:uid="{00000000-0005-0000-0000-0000BE000000}"/>
    <cellStyle name="警告文 5" xfId="417" xr:uid="{00000000-0005-0000-0000-0000BF000000}"/>
    <cellStyle name="桁区切り 2" xfId="165" xr:uid="{00000000-0005-0000-0000-0000C0000000}"/>
    <cellStyle name="桁区切り 3" xfId="166" xr:uid="{00000000-0005-0000-0000-0000C1000000}"/>
    <cellStyle name="見出し 1 2" xfId="107" xr:uid="{00000000-0005-0000-0000-0000C2000000}"/>
    <cellStyle name="見出し 1 3" xfId="108" xr:uid="{00000000-0005-0000-0000-0000C3000000}"/>
    <cellStyle name="見出し 1 4" xfId="109" xr:uid="{00000000-0005-0000-0000-0000C4000000}"/>
    <cellStyle name="見出し 1 5" xfId="225" xr:uid="{00000000-0005-0000-0000-0000C5000000}"/>
    <cellStyle name="見出し 1 6" xfId="418" xr:uid="{00000000-0005-0000-0000-0000C6000000}"/>
    <cellStyle name="見出し 2 2" xfId="110" xr:uid="{00000000-0005-0000-0000-0000C7000000}"/>
    <cellStyle name="見出し 2 3" xfId="111" xr:uid="{00000000-0005-0000-0000-0000C8000000}"/>
    <cellStyle name="見出し 2 4" xfId="112" xr:uid="{00000000-0005-0000-0000-0000C9000000}"/>
    <cellStyle name="見出し 2 5" xfId="226" xr:uid="{00000000-0005-0000-0000-0000CA000000}"/>
    <cellStyle name="見出し 2 6" xfId="419" xr:uid="{00000000-0005-0000-0000-0000CB000000}"/>
    <cellStyle name="見出し 3 2" xfId="113" xr:uid="{00000000-0005-0000-0000-0000CC000000}"/>
    <cellStyle name="見出し 3 3" xfId="114" xr:uid="{00000000-0005-0000-0000-0000CD000000}"/>
    <cellStyle name="見出し 3 4" xfId="115" xr:uid="{00000000-0005-0000-0000-0000CE000000}"/>
    <cellStyle name="見出し 3 5" xfId="227" xr:uid="{00000000-0005-0000-0000-0000CF000000}"/>
    <cellStyle name="見出し 3 6" xfId="420" xr:uid="{00000000-0005-0000-0000-0000D0000000}"/>
    <cellStyle name="見出し 4 2" xfId="116" xr:uid="{00000000-0005-0000-0000-0000D1000000}"/>
    <cellStyle name="見出し 4 3" xfId="117" xr:uid="{00000000-0005-0000-0000-0000D2000000}"/>
    <cellStyle name="見出し 4 4" xfId="118" xr:uid="{00000000-0005-0000-0000-0000D3000000}"/>
    <cellStyle name="見出し 4 5" xfId="228" xr:uid="{00000000-0005-0000-0000-0000D4000000}"/>
    <cellStyle name="見出し 4 6" xfId="421" xr:uid="{00000000-0005-0000-0000-0000D5000000}"/>
    <cellStyle name="作業ﾌﾛｰ" xfId="155" xr:uid="{00000000-0005-0000-0000-0000D6000000}"/>
    <cellStyle name="資料" xfId="156" xr:uid="{00000000-0005-0000-0000-0000D7000000}"/>
    <cellStyle name="資料２" xfId="157" xr:uid="{00000000-0005-0000-0000-0000D8000000}"/>
    <cellStyle name="集計 2" xfId="119" xr:uid="{00000000-0005-0000-0000-0000D9000000}"/>
    <cellStyle name="集計 3" xfId="120" xr:uid="{00000000-0005-0000-0000-0000DA000000}"/>
    <cellStyle name="集計 4" xfId="121" xr:uid="{00000000-0005-0000-0000-0000DB000000}"/>
    <cellStyle name="集計 5" xfId="229" xr:uid="{00000000-0005-0000-0000-0000DC000000}"/>
    <cellStyle name="集計 6" xfId="422" xr:uid="{00000000-0005-0000-0000-0000DD000000}"/>
    <cellStyle name="出力 2" xfId="122" xr:uid="{00000000-0005-0000-0000-0000DE000000}"/>
    <cellStyle name="出力 3" xfId="123" xr:uid="{00000000-0005-0000-0000-0000DF000000}"/>
    <cellStyle name="出力 4" xfId="124" xr:uid="{00000000-0005-0000-0000-0000E0000000}"/>
    <cellStyle name="出力 5" xfId="230" xr:uid="{00000000-0005-0000-0000-0000E1000000}"/>
    <cellStyle name="出力 6" xfId="423" xr:uid="{00000000-0005-0000-0000-0000E2000000}"/>
    <cellStyle name="説明文 2" xfId="125" xr:uid="{00000000-0005-0000-0000-0000E3000000}"/>
    <cellStyle name="説明文 3" xfId="126" xr:uid="{00000000-0005-0000-0000-0000E4000000}"/>
    <cellStyle name="説明文 4" xfId="127" xr:uid="{00000000-0005-0000-0000-0000E5000000}"/>
    <cellStyle name="説明文 5" xfId="424" xr:uid="{00000000-0005-0000-0000-0000E6000000}"/>
    <cellStyle name="入力 2" xfId="128" xr:uid="{00000000-0005-0000-0000-0000E7000000}"/>
    <cellStyle name="入力 3" xfId="129" xr:uid="{00000000-0005-0000-0000-0000E8000000}"/>
    <cellStyle name="入力 4" xfId="130" xr:uid="{00000000-0005-0000-0000-0000E9000000}"/>
    <cellStyle name="入力 5" xfId="231" xr:uid="{00000000-0005-0000-0000-0000EA000000}"/>
    <cellStyle name="入力 6" xfId="425" xr:uid="{00000000-0005-0000-0000-0000EB000000}"/>
    <cellStyle name="標準" xfId="0" builtinId="0"/>
    <cellStyle name="標準 10" xfId="164" xr:uid="{00000000-0005-0000-0000-0000ED000000}"/>
    <cellStyle name="標準 10 2" xfId="247" xr:uid="{00000000-0005-0000-0000-0000EE000000}"/>
    <cellStyle name="標準 10 2 2" xfId="450" xr:uid="{00000000-0005-0000-0000-0000EF000000}"/>
    <cellStyle name="標準 10 2 3" xfId="430" xr:uid="{00000000-0005-0000-0000-0000F0000000}"/>
    <cellStyle name="標準 10 3" xfId="240" xr:uid="{00000000-0005-0000-0000-0000F1000000}"/>
    <cellStyle name="標準 10 4" xfId="188" xr:uid="{00000000-0005-0000-0000-0000F2000000}"/>
    <cellStyle name="標準 10 4 2" xfId="437" xr:uid="{00000000-0005-0000-0000-0000F3000000}"/>
    <cellStyle name="標準 10 5" xfId="260" xr:uid="{00000000-0005-0000-0000-0000F4000000}"/>
    <cellStyle name="標準 10 6" xfId="379" xr:uid="{00000000-0005-0000-0000-0000F5000000}"/>
    <cellStyle name="標準 11" xfId="171" xr:uid="{00000000-0005-0000-0000-0000F6000000}"/>
    <cellStyle name="標準 11 2" xfId="451" xr:uid="{00000000-0005-0000-0000-0000F7000000}"/>
    <cellStyle name="標準 11 3" xfId="446" xr:uid="{00000000-0005-0000-0000-0000F8000000}"/>
    <cellStyle name="標準 11 4" xfId="438" xr:uid="{00000000-0005-0000-0000-0000F9000000}"/>
    <cellStyle name="標準 11 5" xfId="431" xr:uid="{00000000-0005-0000-0000-0000FA000000}"/>
    <cellStyle name="標準 12" xfId="179" xr:uid="{00000000-0005-0000-0000-0000FB000000}"/>
    <cellStyle name="標準 12 2" xfId="452" xr:uid="{00000000-0005-0000-0000-0000FC000000}"/>
    <cellStyle name="標準 12 3" xfId="444" xr:uid="{00000000-0005-0000-0000-0000FD000000}"/>
    <cellStyle name="標準 12 4" xfId="439" xr:uid="{00000000-0005-0000-0000-0000FE000000}"/>
    <cellStyle name="標準 12 5" xfId="432" xr:uid="{00000000-0005-0000-0000-0000FF000000}"/>
    <cellStyle name="標準 13" xfId="180" xr:uid="{00000000-0005-0000-0000-000000010000}"/>
    <cellStyle name="標準 13 2" xfId="449" xr:uid="{00000000-0005-0000-0000-000001010000}"/>
    <cellStyle name="標準 13 3" xfId="445" xr:uid="{00000000-0005-0000-0000-000002010000}"/>
    <cellStyle name="標準 13 4" xfId="436" xr:uid="{00000000-0005-0000-0000-000003010000}"/>
    <cellStyle name="標準 13 5" xfId="429" xr:uid="{00000000-0005-0000-0000-000004010000}"/>
    <cellStyle name="標準 14" xfId="181" xr:uid="{00000000-0005-0000-0000-000005010000}"/>
    <cellStyle name="標準 14 2" xfId="440" xr:uid="{00000000-0005-0000-0000-000006010000}"/>
    <cellStyle name="標準 14 3" xfId="442" xr:uid="{00000000-0005-0000-0000-000007010000}"/>
    <cellStyle name="標準 14 4" xfId="384" xr:uid="{00000000-0005-0000-0000-000008010000}"/>
    <cellStyle name="標準 15" xfId="196" xr:uid="{00000000-0005-0000-0000-000009010000}"/>
    <cellStyle name="標準 16" xfId="182" xr:uid="{00000000-0005-0000-0000-00000A010000}"/>
    <cellStyle name="標準 17" xfId="187" xr:uid="{00000000-0005-0000-0000-00000B010000}"/>
    <cellStyle name="標準 17 2" xfId="447" xr:uid="{00000000-0005-0000-0000-00000C010000}"/>
    <cellStyle name="標準 18" xfId="183" xr:uid="{00000000-0005-0000-0000-00000D010000}"/>
    <cellStyle name="標準 18 2" xfId="434" xr:uid="{00000000-0005-0000-0000-00000E010000}"/>
    <cellStyle name="標準 19" xfId="185" xr:uid="{00000000-0005-0000-0000-00000F010000}"/>
    <cellStyle name="標準 2" xfId="131" xr:uid="{00000000-0005-0000-0000-000010010000}"/>
    <cellStyle name="標準 2 2" xfId="158" xr:uid="{00000000-0005-0000-0000-000011010000}"/>
    <cellStyle name="標準 2 3" xfId="172" xr:uid="{00000000-0005-0000-0000-000012010000}"/>
    <cellStyle name="標準 2 3 2" xfId="255" xr:uid="{00000000-0005-0000-0000-000013010000}"/>
    <cellStyle name="標準 2 3 2 2" xfId="321" xr:uid="{00000000-0005-0000-0000-000014010000}"/>
    <cellStyle name="標準 2 3 2 2 2" xfId="362" xr:uid="{00000000-0005-0000-0000-000015010000}"/>
    <cellStyle name="標準 2 3 2 3" xfId="341" xr:uid="{00000000-0005-0000-0000-000016010000}"/>
    <cellStyle name="標準 2 3 2 4" xfId="299" xr:uid="{00000000-0005-0000-0000-000017010000}"/>
    <cellStyle name="標準 2 3 2 5" xfId="377" xr:uid="{00000000-0005-0000-0000-000018010000}"/>
    <cellStyle name="標準 2 3 2 6" xfId="279" xr:uid="{00000000-0005-0000-0000-000019010000}"/>
    <cellStyle name="標準 2 4" xfId="167" xr:uid="{00000000-0005-0000-0000-00001A010000}"/>
    <cellStyle name="標準 2 4 10" xfId="261" xr:uid="{00000000-0005-0000-0000-00001B010000}"/>
    <cellStyle name="標準 2 4 2" xfId="176" xr:uid="{00000000-0005-0000-0000-00001C010000}"/>
    <cellStyle name="標準 2 4 2 2" xfId="244" xr:uid="{00000000-0005-0000-0000-00001D010000}"/>
    <cellStyle name="標準 2 4 2 2 2" xfId="315" xr:uid="{00000000-0005-0000-0000-00001E010000}"/>
    <cellStyle name="標準 2 4 2 2 2 2" xfId="356" xr:uid="{00000000-0005-0000-0000-00001F010000}"/>
    <cellStyle name="標準 2 4 2 2 3" xfId="335" xr:uid="{00000000-0005-0000-0000-000020010000}"/>
    <cellStyle name="標準 2 4 2 2 4" xfId="293" xr:uid="{00000000-0005-0000-0000-000021010000}"/>
    <cellStyle name="標準 2 4 2 2 5" xfId="273" xr:uid="{00000000-0005-0000-0000-000022010000}"/>
    <cellStyle name="標準 2 4 2 3" xfId="306" xr:uid="{00000000-0005-0000-0000-000023010000}"/>
    <cellStyle name="標準 2 4 2 3 2" xfId="347" xr:uid="{00000000-0005-0000-0000-000024010000}"/>
    <cellStyle name="標準 2 4 2 4" xfId="326" xr:uid="{00000000-0005-0000-0000-000025010000}"/>
    <cellStyle name="標準 2 4 2 5" xfId="284" xr:uid="{00000000-0005-0000-0000-000026010000}"/>
    <cellStyle name="標準 2 4 2 6" xfId="371" xr:uid="{00000000-0005-0000-0000-000027010000}"/>
    <cellStyle name="標準 2 4 2 7" xfId="264" xr:uid="{00000000-0005-0000-0000-000028010000}"/>
    <cellStyle name="標準 2 4 3" xfId="252" xr:uid="{00000000-0005-0000-0000-000029010000}"/>
    <cellStyle name="標準 2 4 3 2" xfId="318" xr:uid="{00000000-0005-0000-0000-00002A010000}"/>
    <cellStyle name="標準 2 4 3 2 2" xfId="359" xr:uid="{00000000-0005-0000-0000-00002B010000}"/>
    <cellStyle name="標準 2 4 3 3" xfId="338" xr:uid="{00000000-0005-0000-0000-00002C010000}"/>
    <cellStyle name="標準 2 4 3 4" xfId="296" xr:uid="{00000000-0005-0000-0000-00002D010000}"/>
    <cellStyle name="標準 2 4 3 5" xfId="374" xr:uid="{00000000-0005-0000-0000-00002E010000}"/>
    <cellStyle name="標準 2 4 3 6" xfId="276" xr:uid="{00000000-0005-0000-0000-00002F010000}"/>
    <cellStyle name="標準 2 4 4" xfId="241" xr:uid="{00000000-0005-0000-0000-000030010000}"/>
    <cellStyle name="標準 2 4 4 2" xfId="312" xr:uid="{00000000-0005-0000-0000-000031010000}"/>
    <cellStyle name="標準 2 4 4 2 2" xfId="353" xr:uid="{00000000-0005-0000-0000-000032010000}"/>
    <cellStyle name="標準 2 4 4 3" xfId="332" xr:uid="{00000000-0005-0000-0000-000033010000}"/>
    <cellStyle name="標準 2 4 4 4" xfId="290" xr:uid="{00000000-0005-0000-0000-000034010000}"/>
    <cellStyle name="標準 2 4 4 5" xfId="270" xr:uid="{00000000-0005-0000-0000-000035010000}"/>
    <cellStyle name="標準 2 4 5" xfId="234" xr:uid="{00000000-0005-0000-0000-000036010000}"/>
    <cellStyle name="標準 2 4 5 2" xfId="309" xr:uid="{00000000-0005-0000-0000-000037010000}"/>
    <cellStyle name="標準 2 4 5 2 2" xfId="350" xr:uid="{00000000-0005-0000-0000-000038010000}"/>
    <cellStyle name="標準 2 4 5 3" xfId="329" xr:uid="{00000000-0005-0000-0000-000039010000}"/>
    <cellStyle name="標準 2 4 5 4" xfId="287" xr:uid="{00000000-0005-0000-0000-00003A010000}"/>
    <cellStyle name="標準 2 4 5 5" xfId="267" xr:uid="{00000000-0005-0000-0000-00003B010000}"/>
    <cellStyle name="標準 2 4 6" xfId="303" xr:uid="{00000000-0005-0000-0000-00003C010000}"/>
    <cellStyle name="標準 2 4 6 2" xfId="344" xr:uid="{00000000-0005-0000-0000-00003D010000}"/>
    <cellStyle name="標準 2 4 7" xfId="323" xr:uid="{00000000-0005-0000-0000-00003E010000}"/>
    <cellStyle name="標準 2 4 8" xfId="281" xr:uid="{00000000-0005-0000-0000-00003F010000}"/>
    <cellStyle name="標準 2 4 9" xfId="368" xr:uid="{00000000-0005-0000-0000-000040010000}"/>
    <cellStyle name="標準 20" xfId="184" xr:uid="{00000000-0005-0000-0000-000041010000}"/>
    <cellStyle name="標準 21" xfId="186" xr:uid="{00000000-0005-0000-0000-000042010000}"/>
    <cellStyle name="標準 22" xfId="302" xr:uid="{00000000-0005-0000-0000-000043010000}"/>
    <cellStyle name="標準 23" xfId="343" xr:uid="{00000000-0005-0000-0000-000044010000}"/>
    <cellStyle name="標準 24" xfId="364" xr:uid="{00000000-0005-0000-0000-000045010000}"/>
    <cellStyle name="標準 25" xfId="367" xr:uid="{00000000-0005-0000-0000-000046010000}"/>
    <cellStyle name="標準 26" xfId="365" xr:uid="{00000000-0005-0000-0000-000047010000}"/>
    <cellStyle name="標準 27" xfId="366" xr:uid="{00000000-0005-0000-0000-000048010000}"/>
    <cellStyle name="標準 3" xfId="132" xr:uid="{00000000-0005-0000-0000-000049010000}"/>
    <cellStyle name="標準 3 2" xfId="159" xr:uid="{00000000-0005-0000-0000-00004A010000}"/>
    <cellStyle name="標準 3 3" xfId="173" xr:uid="{00000000-0005-0000-0000-00004B010000}"/>
    <cellStyle name="標準 3 3 2" xfId="256" xr:uid="{00000000-0005-0000-0000-00004C010000}"/>
    <cellStyle name="標準 3 3 2 2" xfId="322" xr:uid="{00000000-0005-0000-0000-00004D010000}"/>
    <cellStyle name="標準 3 3 2 2 2" xfId="363" xr:uid="{00000000-0005-0000-0000-00004E010000}"/>
    <cellStyle name="標準 3 3 2 3" xfId="342" xr:uid="{00000000-0005-0000-0000-00004F010000}"/>
    <cellStyle name="標準 3 3 2 4" xfId="300" xr:uid="{00000000-0005-0000-0000-000050010000}"/>
    <cellStyle name="標準 3 3 2 5" xfId="378" xr:uid="{00000000-0005-0000-0000-000051010000}"/>
    <cellStyle name="標準 3 3 2 6" xfId="280" xr:uid="{00000000-0005-0000-0000-000052010000}"/>
    <cellStyle name="標準 3 4" xfId="168" xr:uid="{00000000-0005-0000-0000-000053010000}"/>
    <cellStyle name="標準 3 4 10" xfId="262" xr:uid="{00000000-0005-0000-0000-000054010000}"/>
    <cellStyle name="標準 3 4 2" xfId="177" xr:uid="{00000000-0005-0000-0000-000055010000}"/>
    <cellStyle name="標準 3 4 2 2" xfId="245" xr:uid="{00000000-0005-0000-0000-000056010000}"/>
    <cellStyle name="標準 3 4 2 2 2" xfId="316" xr:uid="{00000000-0005-0000-0000-000057010000}"/>
    <cellStyle name="標準 3 4 2 2 2 2" xfId="357" xr:uid="{00000000-0005-0000-0000-000058010000}"/>
    <cellStyle name="標準 3 4 2 2 3" xfId="336" xr:uid="{00000000-0005-0000-0000-000059010000}"/>
    <cellStyle name="標準 3 4 2 2 4" xfId="294" xr:uid="{00000000-0005-0000-0000-00005A010000}"/>
    <cellStyle name="標準 3 4 2 2 5" xfId="274" xr:uid="{00000000-0005-0000-0000-00005B010000}"/>
    <cellStyle name="標準 3 4 2 3" xfId="307" xr:uid="{00000000-0005-0000-0000-00005C010000}"/>
    <cellStyle name="標準 3 4 2 3 2" xfId="348" xr:uid="{00000000-0005-0000-0000-00005D010000}"/>
    <cellStyle name="標準 3 4 2 4" xfId="327" xr:uid="{00000000-0005-0000-0000-00005E010000}"/>
    <cellStyle name="標準 3 4 2 5" xfId="285" xr:uid="{00000000-0005-0000-0000-00005F010000}"/>
    <cellStyle name="標準 3 4 2 6" xfId="372" xr:uid="{00000000-0005-0000-0000-000060010000}"/>
    <cellStyle name="標準 3 4 2 7" xfId="265" xr:uid="{00000000-0005-0000-0000-000061010000}"/>
    <cellStyle name="標準 3 4 3" xfId="253" xr:uid="{00000000-0005-0000-0000-000062010000}"/>
    <cellStyle name="標準 3 4 3 2" xfId="319" xr:uid="{00000000-0005-0000-0000-000063010000}"/>
    <cellStyle name="標準 3 4 3 2 2" xfId="360" xr:uid="{00000000-0005-0000-0000-000064010000}"/>
    <cellStyle name="標準 3 4 3 3" xfId="339" xr:uid="{00000000-0005-0000-0000-000065010000}"/>
    <cellStyle name="標準 3 4 3 4" xfId="297" xr:uid="{00000000-0005-0000-0000-000066010000}"/>
    <cellStyle name="標準 3 4 3 5" xfId="375" xr:uid="{00000000-0005-0000-0000-000067010000}"/>
    <cellStyle name="標準 3 4 3 6" xfId="277" xr:uid="{00000000-0005-0000-0000-000068010000}"/>
    <cellStyle name="標準 3 4 4" xfId="242" xr:uid="{00000000-0005-0000-0000-000069010000}"/>
    <cellStyle name="標準 3 4 4 2" xfId="313" xr:uid="{00000000-0005-0000-0000-00006A010000}"/>
    <cellStyle name="標準 3 4 4 2 2" xfId="354" xr:uid="{00000000-0005-0000-0000-00006B010000}"/>
    <cellStyle name="標準 3 4 4 3" xfId="333" xr:uid="{00000000-0005-0000-0000-00006C010000}"/>
    <cellStyle name="標準 3 4 4 4" xfId="291" xr:uid="{00000000-0005-0000-0000-00006D010000}"/>
    <cellStyle name="標準 3 4 4 5" xfId="271" xr:uid="{00000000-0005-0000-0000-00006E010000}"/>
    <cellStyle name="標準 3 4 5" xfId="235" xr:uid="{00000000-0005-0000-0000-00006F010000}"/>
    <cellStyle name="標準 3 4 5 2" xfId="310" xr:uid="{00000000-0005-0000-0000-000070010000}"/>
    <cellStyle name="標準 3 4 5 2 2" xfId="351" xr:uid="{00000000-0005-0000-0000-000071010000}"/>
    <cellStyle name="標準 3 4 5 3" xfId="330" xr:uid="{00000000-0005-0000-0000-000072010000}"/>
    <cellStyle name="標準 3 4 5 4" xfId="288" xr:uid="{00000000-0005-0000-0000-000073010000}"/>
    <cellStyle name="標準 3 4 5 5" xfId="268" xr:uid="{00000000-0005-0000-0000-000074010000}"/>
    <cellStyle name="標準 3 4 6" xfId="304" xr:uid="{00000000-0005-0000-0000-000075010000}"/>
    <cellStyle name="標準 3 4 6 2" xfId="345" xr:uid="{00000000-0005-0000-0000-000076010000}"/>
    <cellStyle name="標準 3 4 7" xfId="324" xr:uid="{00000000-0005-0000-0000-000077010000}"/>
    <cellStyle name="標準 3 4 8" xfId="282" xr:uid="{00000000-0005-0000-0000-000078010000}"/>
    <cellStyle name="標準 3 4 9" xfId="369" xr:uid="{00000000-0005-0000-0000-000079010000}"/>
    <cellStyle name="標準 4" xfId="133" xr:uid="{00000000-0005-0000-0000-00007A010000}"/>
    <cellStyle name="標準 4 2" xfId="174" xr:uid="{00000000-0005-0000-0000-00007B010000}"/>
    <cellStyle name="標準 4 2 2" xfId="257" xr:uid="{00000000-0005-0000-0000-00007C010000}"/>
    <cellStyle name="標準 4 3" xfId="169" xr:uid="{00000000-0005-0000-0000-00007D010000}"/>
    <cellStyle name="標準 5" xfId="134" xr:uid="{00000000-0005-0000-0000-00007E010000}"/>
    <cellStyle name="標準 5 2" xfId="175" xr:uid="{00000000-0005-0000-0000-00007F010000}"/>
    <cellStyle name="標準 5 3" xfId="170" xr:uid="{00000000-0005-0000-0000-000080010000}"/>
    <cellStyle name="標準 5 3 10" xfId="263" xr:uid="{00000000-0005-0000-0000-000081010000}"/>
    <cellStyle name="標準 5 3 2" xfId="178" xr:uid="{00000000-0005-0000-0000-000082010000}"/>
    <cellStyle name="標準 5 3 2 2" xfId="246" xr:uid="{00000000-0005-0000-0000-000083010000}"/>
    <cellStyle name="標準 5 3 2 2 2" xfId="317" xr:uid="{00000000-0005-0000-0000-000084010000}"/>
    <cellStyle name="標準 5 3 2 2 2 2" xfId="358" xr:uid="{00000000-0005-0000-0000-000085010000}"/>
    <cellStyle name="標準 5 3 2 2 3" xfId="337" xr:uid="{00000000-0005-0000-0000-000086010000}"/>
    <cellStyle name="標準 5 3 2 2 4" xfId="295" xr:uid="{00000000-0005-0000-0000-000087010000}"/>
    <cellStyle name="標準 5 3 2 2 5" xfId="275" xr:uid="{00000000-0005-0000-0000-000088010000}"/>
    <cellStyle name="標準 5 3 2 3" xfId="308" xr:uid="{00000000-0005-0000-0000-000089010000}"/>
    <cellStyle name="標準 5 3 2 3 2" xfId="349" xr:uid="{00000000-0005-0000-0000-00008A010000}"/>
    <cellStyle name="標準 5 3 2 4" xfId="328" xr:uid="{00000000-0005-0000-0000-00008B010000}"/>
    <cellStyle name="標準 5 3 2 5" xfId="286" xr:uid="{00000000-0005-0000-0000-00008C010000}"/>
    <cellStyle name="標準 5 3 2 6" xfId="373" xr:uid="{00000000-0005-0000-0000-00008D010000}"/>
    <cellStyle name="標準 5 3 2 7" xfId="266" xr:uid="{00000000-0005-0000-0000-00008E010000}"/>
    <cellStyle name="標準 5 3 3" xfId="254" xr:uid="{00000000-0005-0000-0000-00008F010000}"/>
    <cellStyle name="標準 5 3 3 2" xfId="320" xr:uid="{00000000-0005-0000-0000-000090010000}"/>
    <cellStyle name="標準 5 3 3 2 2" xfId="361" xr:uid="{00000000-0005-0000-0000-000091010000}"/>
    <cellStyle name="標準 5 3 3 3" xfId="340" xr:uid="{00000000-0005-0000-0000-000092010000}"/>
    <cellStyle name="標準 5 3 3 4" xfId="298" xr:uid="{00000000-0005-0000-0000-000093010000}"/>
    <cellStyle name="標準 5 3 3 5" xfId="376" xr:uid="{00000000-0005-0000-0000-000094010000}"/>
    <cellStyle name="標準 5 3 3 6" xfId="278" xr:uid="{00000000-0005-0000-0000-000095010000}"/>
    <cellStyle name="標準 5 3 4" xfId="243" xr:uid="{00000000-0005-0000-0000-000096010000}"/>
    <cellStyle name="標準 5 3 4 2" xfId="314" xr:uid="{00000000-0005-0000-0000-000097010000}"/>
    <cellStyle name="標準 5 3 4 2 2" xfId="355" xr:uid="{00000000-0005-0000-0000-000098010000}"/>
    <cellStyle name="標準 5 3 4 3" xfId="334" xr:uid="{00000000-0005-0000-0000-000099010000}"/>
    <cellStyle name="標準 5 3 4 4" xfId="292" xr:uid="{00000000-0005-0000-0000-00009A010000}"/>
    <cellStyle name="標準 5 3 4 5" xfId="272" xr:uid="{00000000-0005-0000-0000-00009B010000}"/>
    <cellStyle name="標準 5 3 5" xfId="236" xr:uid="{00000000-0005-0000-0000-00009C010000}"/>
    <cellStyle name="標準 5 3 5 2" xfId="311" xr:uid="{00000000-0005-0000-0000-00009D010000}"/>
    <cellStyle name="標準 5 3 5 2 2" xfId="352" xr:uid="{00000000-0005-0000-0000-00009E010000}"/>
    <cellStyle name="標準 5 3 5 3" xfId="331" xr:uid="{00000000-0005-0000-0000-00009F010000}"/>
    <cellStyle name="標準 5 3 5 4" xfId="289" xr:uid="{00000000-0005-0000-0000-0000A0010000}"/>
    <cellStyle name="標準 5 3 5 5" xfId="269" xr:uid="{00000000-0005-0000-0000-0000A1010000}"/>
    <cellStyle name="標準 5 3 6" xfId="305" xr:uid="{00000000-0005-0000-0000-0000A2010000}"/>
    <cellStyle name="標準 5 3 6 2" xfId="346" xr:uid="{00000000-0005-0000-0000-0000A3010000}"/>
    <cellStyle name="標準 5 3 7" xfId="325" xr:uid="{00000000-0005-0000-0000-0000A4010000}"/>
    <cellStyle name="標準 5 3 8" xfId="283" xr:uid="{00000000-0005-0000-0000-0000A5010000}"/>
    <cellStyle name="標準 5 3 9" xfId="370" xr:uid="{00000000-0005-0000-0000-0000A6010000}"/>
    <cellStyle name="標準 6" xfId="135" xr:uid="{00000000-0005-0000-0000-0000A7010000}"/>
    <cellStyle name="標準 7" xfId="136" xr:uid="{00000000-0005-0000-0000-0000A8010000}"/>
    <cellStyle name="標準 8" xfId="160" xr:uid="{00000000-0005-0000-0000-0000A9010000}"/>
    <cellStyle name="標準 8 2" xfId="239" xr:uid="{00000000-0005-0000-0000-0000AA010000}"/>
    <cellStyle name="標準 8 2 2" xfId="448" xr:uid="{00000000-0005-0000-0000-0000AB010000}"/>
    <cellStyle name="標準 8 2 3" xfId="427" xr:uid="{00000000-0005-0000-0000-0000AC010000}"/>
    <cellStyle name="標準 8 3" xfId="250" xr:uid="{00000000-0005-0000-0000-0000AD010000}"/>
    <cellStyle name="標準 8 3 2" xfId="443" xr:uid="{00000000-0005-0000-0000-0000AE010000}"/>
    <cellStyle name="標準 8 4" xfId="194" xr:uid="{00000000-0005-0000-0000-0000AF010000}"/>
    <cellStyle name="標準 8 4 2" xfId="435" xr:uid="{00000000-0005-0000-0000-0000B0010000}"/>
    <cellStyle name="標準 9" xfId="145" xr:uid="{00000000-0005-0000-0000-0000B1010000}"/>
    <cellStyle name="標準 9 2" xfId="233" xr:uid="{00000000-0005-0000-0000-0000B2010000}"/>
    <cellStyle name="標準 9 2 2" xfId="385" xr:uid="{00000000-0005-0000-0000-0000B3010000}"/>
    <cellStyle name="標準 9 3" xfId="251" xr:uid="{00000000-0005-0000-0000-0000B4010000}"/>
    <cellStyle name="標準 9 3 2" xfId="441" xr:uid="{00000000-0005-0000-0000-0000B5010000}"/>
    <cellStyle name="標準 9 4" xfId="195" xr:uid="{00000000-0005-0000-0000-0000B6010000}"/>
    <cellStyle name="標準 9 5" xfId="258" xr:uid="{00000000-0005-0000-0000-0000B7010000}"/>
    <cellStyle name="標準 9 6" xfId="381" xr:uid="{00000000-0005-0000-0000-0000B8010000}"/>
    <cellStyle name="標準_02_変更来歴例" xfId="137" xr:uid="{00000000-0005-0000-0000-0000B9010000}"/>
    <cellStyle name="標準_A00200 オーダー状況" xfId="138" xr:uid="{00000000-0005-0000-0000-0000BA010000}"/>
    <cellStyle name="標準_変更来歴_1" xfId="139" xr:uid="{00000000-0005-0000-0000-0000BB010000}"/>
    <cellStyle name="標準2" xfId="161" xr:uid="{00000000-0005-0000-0000-0000BC010000}"/>
    <cellStyle name="標準２" xfId="162" xr:uid="{00000000-0005-0000-0000-0000BD010000}"/>
    <cellStyle name="標準2_DAIICH" xfId="163" xr:uid="{00000000-0005-0000-0000-0000BE010000}"/>
    <cellStyle name="未定義" xfId="140" xr:uid="{00000000-0005-0000-0000-0000BF010000}"/>
    <cellStyle name="良い 2" xfId="141" xr:uid="{00000000-0005-0000-0000-0000C0010000}"/>
    <cellStyle name="良い 3" xfId="142" xr:uid="{00000000-0005-0000-0000-0000C1010000}"/>
    <cellStyle name="良い 4" xfId="143" xr:uid="{00000000-0005-0000-0000-0000C2010000}"/>
    <cellStyle name="良い 5" xfId="232" xr:uid="{00000000-0005-0000-0000-0000C3010000}"/>
    <cellStyle name="良い 6" xfId="426" xr:uid="{00000000-0005-0000-0000-0000C4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38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4" width="15.6328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1" t="s">
        <v>11</v>
      </c>
      <c r="B1" s="31" t="s">
        <v>11</v>
      </c>
      <c r="C1" s="31"/>
      <c r="D1" s="17" t="s">
        <v>12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2" t="s">
        <v>11</v>
      </c>
      <c r="B2" s="33"/>
      <c r="C2" s="33"/>
      <c r="D2" s="34" t="s">
        <v>299</v>
      </c>
      <c r="E2" s="35" t="s">
        <v>13</v>
      </c>
      <c r="F2" s="10" t="str">
        <f>LEFT(I2,2)</f>
        <v>MA</v>
      </c>
      <c r="G2" s="56" t="s">
        <v>14</v>
      </c>
      <c r="H2" s="61"/>
      <c r="I2" s="62" t="s">
        <v>102</v>
      </c>
      <c r="J2" s="63"/>
      <c r="K2" s="59" t="s">
        <v>15</v>
      </c>
      <c r="L2" s="59"/>
      <c r="M2" s="59"/>
      <c r="N2" s="59"/>
      <c r="O2" s="56"/>
      <c r="P2" s="36"/>
      <c r="Q2" s="10" t="s">
        <v>265</v>
      </c>
      <c r="R2" s="35" t="s">
        <v>16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4"/>
    </row>
    <row r="3" spans="1:40" s="1" customFormat="1" ht="13.5" customHeight="1">
      <c r="A3" s="40" t="s">
        <v>11</v>
      </c>
      <c r="B3" s="41"/>
      <c r="C3" s="41"/>
      <c r="E3" s="35" t="s">
        <v>17</v>
      </c>
      <c r="F3" s="10" t="str">
        <f>LEFT(I2,4)</f>
        <v>MABG</v>
      </c>
      <c r="G3" s="56" t="s">
        <v>18</v>
      </c>
      <c r="H3" s="61"/>
      <c r="I3" s="62" t="s">
        <v>141</v>
      </c>
      <c r="J3" s="63"/>
      <c r="K3" s="59" t="s">
        <v>19</v>
      </c>
      <c r="L3" s="59"/>
      <c r="M3" s="59"/>
      <c r="N3" s="59"/>
      <c r="O3" s="56"/>
      <c r="P3" s="36"/>
      <c r="Q3" s="10"/>
      <c r="R3" s="35" t="s">
        <v>20</v>
      </c>
      <c r="S3" s="10" t="s">
        <v>266</v>
      </c>
      <c r="T3" s="10"/>
      <c r="AN3" s="14"/>
    </row>
    <row r="4" spans="1:40" s="1" customFormat="1" ht="13.5" customHeight="1">
      <c r="A4" s="40" t="s">
        <v>11</v>
      </c>
      <c r="B4" s="41"/>
      <c r="C4" s="41"/>
      <c r="D4" s="14"/>
      <c r="E4" s="35" t="s">
        <v>21</v>
      </c>
      <c r="F4" s="10" t="s">
        <v>22</v>
      </c>
      <c r="G4" s="56" t="s">
        <v>23</v>
      </c>
      <c r="H4" s="61"/>
      <c r="I4" s="62" t="s">
        <v>103</v>
      </c>
      <c r="J4" s="63"/>
      <c r="K4" s="59" t="s">
        <v>24</v>
      </c>
      <c r="L4" s="59"/>
      <c r="M4" s="59"/>
      <c r="N4" s="59"/>
      <c r="O4" s="56"/>
      <c r="P4" s="36"/>
      <c r="Q4" s="10" t="s">
        <v>174</v>
      </c>
      <c r="R4" s="35"/>
      <c r="S4" s="35"/>
      <c r="T4" s="42"/>
      <c r="AN4" s="14"/>
    </row>
    <row r="5" spans="1:40" s="1" customFormat="1">
      <c r="A5" s="43" t="s">
        <v>11</v>
      </c>
      <c r="B5" s="31"/>
      <c r="C5" s="31"/>
      <c r="D5" s="44"/>
      <c r="E5" s="35" t="s">
        <v>25</v>
      </c>
      <c r="F5" s="10" t="s">
        <v>1</v>
      </c>
      <c r="G5" s="56" t="s">
        <v>26</v>
      </c>
      <c r="H5" s="61"/>
      <c r="I5" s="64"/>
      <c r="J5" s="64"/>
      <c r="K5" s="45"/>
      <c r="L5" s="45"/>
      <c r="M5" s="45"/>
      <c r="N5" s="45"/>
      <c r="O5" s="45"/>
      <c r="P5" s="45"/>
      <c r="Q5" s="45"/>
      <c r="R5" s="45"/>
      <c r="S5" s="45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4"/>
    </row>
    <row r="6" spans="1:40" s="1" customFormat="1" ht="13.5" customHeight="1">
      <c r="A6" s="40" t="s">
        <v>11</v>
      </c>
      <c r="B6" s="41"/>
      <c r="C6" s="41"/>
      <c r="D6" s="1" t="s">
        <v>27</v>
      </c>
      <c r="E6" s="60" t="s">
        <v>104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46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4"/>
      <c r="AN6" s="47"/>
    </row>
    <row r="7" spans="1:40" s="1" customFormat="1" ht="26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175</v>
      </c>
      <c r="V7" s="10" t="s">
        <v>175</v>
      </c>
      <c r="W7" s="10" t="s">
        <v>175</v>
      </c>
      <c r="X7" s="10" t="s">
        <v>175</v>
      </c>
      <c r="Y7" s="5"/>
      <c r="Z7" s="10" t="s">
        <v>176</v>
      </c>
      <c r="AA7" s="10" t="s">
        <v>176</v>
      </c>
      <c r="AB7" s="10" t="s">
        <v>176</v>
      </c>
      <c r="AC7" s="10" t="s">
        <v>176</v>
      </c>
      <c r="AD7" s="6"/>
      <c r="AE7" s="35" t="s">
        <v>180</v>
      </c>
      <c r="AF7" s="10" t="s">
        <v>99</v>
      </c>
      <c r="AG7" s="35" t="s">
        <v>180</v>
      </c>
      <c r="AH7" s="10" t="s">
        <v>100</v>
      </c>
      <c r="AI7" s="35" t="s">
        <v>180</v>
      </c>
      <c r="AJ7" s="10" t="s">
        <v>101</v>
      </c>
      <c r="AK7" s="35" t="s">
        <v>180</v>
      </c>
      <c r="AL7" s="10"/>
      <c r="AM7" s="4"/>
      <c r="AN7" s="24"/>
    </row>
    <row r="8" spans="1:40" s="1" customFormat="1" ht="60" customHeight="1">
      <c r="A8" s="10" t="s">
        <v>28</v>
      </c>
      <c r="B8" s="10"/>
      <c r="C8" s="10"/>
      <c r="D8" s="35" t="s">
        <v>300</v>
      </c>
      <c r="E8" s="35" t="s">
        <v>267</v>
      </c>
      <c r="F8" s="35" t="s">
        <v>301</v>
      </c>
      <c r="G8" s="45" t="s">
        <v>302</v>
      </c>
      <c r="H8" s="35"/>
      <c r="I8" s="35" t="s">
        <v>303</v>
      </c>
      <c r="J8" s="35" t="s">
        <v>304</v>
      </c>
      <c r="K8" s="35" t="s">
        <v>305</v>
      </c>
      <c r="L8" s="35" t="s">
        <v>306</v>
      </c>
      <c r="M8" s="35" t="s">
        <v>268</v>
      </c>
      <c r="N8" s="35" t="s">
        <v>269</v>
      </c>
      <c r="O8" s="35" t="s">
        <v>270</v>
      </c>
      <c r="P8" s="35" t="s">
        <v>271</v>
      </c>
      <c r="Q8" s="56" t="s">
        <v>307</v>
      </c>
      <c r="R8" s="57"/>
      <c r="S8" s="58"/>
      <c r="T8" s="38" t="s">
        <v>308</v>
      </c>
      <c r="U8" s="10" t="s">
        <v>142</v>
      </c>
      <c r="V8" s="10" t="s">
        <v>170</v>
      </c>
      <c r="W8" s="10" t="s">
        <v>171</v>
      </c>
      <c r="X8" s="10" t="s">
        <v>290</v>
      </c>
      <c r="Y8" s="5"/>
      <c r="Z8" s="10" t="s">
        <v>272</v>
      </c>
      <c r="AA8" s="10" t="s">
        <v>177</v>
      </c>
      <c r="AB8" s="10" t="s">
        <v>178</v>
      </c>
      <c r="AC8" s="10" t="s">
        <v>179</v>
      </c>
      <c r="AD8" s="15"/>
      <c r="AE8" s="35" t="s">
        <v>273</v>
      </c>
      <c r="AF8" s="10" t="str">
        <f>F2&amp;"."&amp;F3&amp;"L"&amp;RIGHT(I2,4)&amp;".Srch01"</f>
        <v>MA.MABGL0520.Srch01</v>
      </c>
      <c r="AG8" s="35" t="s">
        <v>273</v>
      </c>
      <c r="AH8" s="10" t="str">
        <f>F2&amp;"."&amp;F3&amp;"L"&amp;RIGHT(I2,4)&amp;".Upd01"</f>
        <v>MA.MABGL0520.Upd01</v>
      </c>
      <c r="AI8" s="35" t="s">
        <v>273</v>
      </c>
      <c r="AJ8" s="10" t="str">
        <f>F2&amp;"."&amp;F3&amp;"L"&amp;RIGHT(I2,4)&amp;".Del01"</f>
        <v>MA.MABGL0520.Del01</v>
      </c>
      <c r="AK8" s="35" t="s">
        <v>273</v>
      </c>
      <c r="AL8" s="10"/>
      <c r="AM8" s="6"/>
      <c r="AN8" s="15" t="s">
        <v>320</v>
      </c>
    </row>
    <row r="9" spans="1:40" s="1" customFormat="1" ht="60" customHeight="1">
      <c r="A9" s="10" t="s">
        <v>28</v>
      </c>
      <c r="B9" s="10"/>
      <c r="C9" s="10"/>
      <c r="D9" s="35" t="s">
        <v>309</v>
      </c>
      <c r="E9" s="45" t="s">
        <v>310</v>
      </c>
      <c r="F9" s="48" t="s">
        <v>311</v>
      </c>
      <c r="G9" s="48" t="s">
        <v>312</v>
      </c>
      <c r="H9" s="48" t="s">
        <v>313</v>
      </c>
      <c r="I9" s="35" t="s">
        <v>314</v>
      </c>
      <c r="J9" s="48" t="s">
        <v>274</v>
      </c>
      <c r="K9" s="48" t="s">
        <v>315</v>
      </c>
      <c r="L9" s="35" t="s">
        <v>316</v>
      </c>
      <c r="M9" s="35" t="s">
        <v>317</v>
      </c>
      <c r="N9" s="35" t="s">
        <v>318</v>
      </c>
      <c r="O9" s="35" t="s">
        <v>29</v>
      </c>
      <c r="P9" s="35" t="s">
        <v>271</v>
      </c>
      <c r="Q9" s="35" t="s">
        <v>275</v>
      </c>
      <c r="R9" s="35" t="s">
        <v>173</v>
      </c>
      <c r="S9" s="35" t="s">
        <v>276</v>
      </c>
      <c r="T9" s="49"/>
      <c r="U9" s="4"/>
      <c r="V9" s="4"/>
      <c r="W9" s="4"/>
      <c r="X9" s="4"/>
      <c r="Y9" s="4"/>
      <c r="Z9" s="7"/>
      <c r="AA9" s="7"/>
      <c r="AB9" s="4"/>
      <c r="AC9" s="4"/>
      <c r="AD9" s="4"/>
      <c r="AE9" s="35" t="s">
        <v>277</v>
      </c>
      <c r="AF9" s="10" t="s">
        <v>181</v>
      </c>
      <c r="AG9" s="35" t="s">
        <v>277</v>
      </c>
      <c r="AH9" s="10" t="s">
        <v>181</v>
      </c>
      <c r="AI9" s="35" t="s">
        <v>277</v>
      </c>
      <c r="AJ9" s="10" t="s">
        <v>181</v>
      </c>
      <c r="AK9" s="35" t="s">
        <v>277</v>
      </c>
      <c r="AL9" s="10"/>
      <c r="AM9" s="55" t="s">
        <v>319</v>
      </c>
      <c r="AN9" s="15" t="s">
        <v>321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373</v>
      </c>
      <c r="AF10" s="35" t="s">
        <v>374</v>
      </c>
      <c r="AG10" s="35" t="s">
        <v>373</v>
      </c>
      <c r="AH10" s="35" t="s">
        <v>374</v>
      </c>
      <c r="AI10" s="35" t="s">
        <v>373</v>
      </c>
      <c r="AJ10" s="35" t="s">
        <v>374</v>
      </c>
      <c r="AK10" s="35" t="s">
        <v>373</v>
      </c>
      <c r="AL10" s="35" t="s">
        <v>374</v>
      </c>
      <c r="AM10" s="9"/>
      <c r="AN10" s="8"/>
    </row>
    <row r="11" spans="1:40" s="1" customFormat="1" ht="26">
      <c r="A11" s="50">
        <v>10</v>
      </c>
      <c r="B11" s="25" t="s">
        <v>0</v>
      </c>
      <c r="C11" s="25"/>
      <c r="D11" s="25" t="s">
        <v>94</v>
      </c>
      <c r="E11" s="26"/>
      <c r="F11" s="25"/>
      <c r="G11" s="25" t="s">
        <v>95</v>
      </c>
      <c r="H11" s="25"/>
      <c r="I11" s="25" t="s">
        <v>30</v>
      </c>
      <c r="J11" s="50" t="s">
        <v>322</v>
      </c>
      <c r="K11" s="25" t="s">
        <v>31</v>
      </c>
      <c r="L11" s="25" t="s">
        <v>32</v>
      </c>
      <c r="M11" s="25" t="s">
        <v>182</v>
      </c>
      <c r="N11" s="25" t="s">
        <v>183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1"/>
      <c r="Z11" s="29"/>
      <c r="AA11" s="29"/>
      <c r="AB11" s="29"/>
      <c r="AC11" s="29"/>
      <c r="AD11" s="51"/>
      <c r="AE11" s="50"/>
      <c r="AF11" s="50"/>
      <c r="AG11" s="50"/>
      <c r="AH11" s="50"/>
      <c r="AI11" s="50"/>
      <c r="AJ11" s="50"/>
      <c r="AK11" s="50"/>
      <c r="AL11" s="50"/>
      <c r="AM11" s="51"/>
      <c r="AN11" s="28"/>
    </row>
    <row r="12" spans="1:40" s="1" customFormat="1" ht="52">
      <c r="A12" s="40"/>
      <c r="AE12" s="35" t="s">
        <v>373</v>
      </c>
      <c r="AF12" s="35" t="s">
        <v>374</v>
      </c>
      <c r="AG12" s="35" t="s">
        <v>373</v>
      </c>
      <c r="AH12" s="35" t="s">
        <v>374</v>
      </c>
      <c r="AI12" s="35" t="s">
        <v>373</v>
      </c>
      <c r="AJ12" s="35" t="s">
        <v>374</v>
      </c>
      <c r="AK12" s="35" t="s">
        <v>373</v>
      </c>
      <c r="AL12" s="35" t="s">
        <v>374</v>
      </c>
      <c r="AN12" s="14"/>
    </row>
    <row r="13" spans="1:40" s="1" customFormat="1" ht="26">
      <c r="A13" s="10">
        <v>20</v>
      </c>
      <c r="B13" s="11" t="s">
        <v>0</v>
      </c>
      <c r="C13" s="11"/>
      <c r="D13" s="11" t="s">
        <v>155</v>
      </c>
      <c r="E13" s="12"/>
      <c r="F13" s="11"/>
      <c r="G13" s="11"/>
      <c r="H13" s="11"/>
      <c r="I13" s="11" t="s">
        <v>30</v>
      </c>
      <c r="J13" s="11"/>
      <c r="K13" s="11" t="s">
        <v>31</v>
      </c>
      <c r="L13" s="11"/>
      <c r="M13" s="11" t="s">
        <v>184</v>
      </c>
      <c r="N13" s="11"/>
      <c r="O13" s="10" t="s">
        <v>185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3"/>
    </row>
    <row r="14" spans="1:40" s="1" customFormat="1">
      <c r="A14" s="10">
        <v>20</v>
      </c>
      <c r="B14" s="10"/>
      <c r="C14" s="10"/>
      <c r="D14" s="10" t="s">
        <v>156</v>
      </c>
      <c r="E14" s="30"/>
      <c r="F14" s="10"/>
      <c r="G14" s="10"/>
      <c r="H14" s="10"/>
      <c r="I14" s="10"/>
      <c r="J14" s="10"/>
      <c r="K14" s="10" t="s">
        <v>186</v>
      </c>
      <c r="L14" s="10"/>
      <c r="M14" s="10"/>
      <c r="N14" s="10"/>
      <c r="O14" s="10" t="s">
        <v>187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>
      <c r="A15" s="10">
        <v>20</v>
      </c>
      <c r="B15" s="10"/>
      <c r="C15" s="10"/>
      <c r="D15" s="10" t="s">
        <v>158</v>
      </c>
      <c r="E15" s="30"/>
      <c r="F15" s="10"/>
      <c r="G15" s="10"/>
      <c r="H15" s="10"/>
      <c r="I15" s="10"/>
      <c r="J15" s="10"/>
      <c r="K15" s="10" t="s">
        <v>186</v>
      </c>
      <c r="L15" s="10"/>
      <c r="M15" s="10"/>
      <c r="N15" s="10"/>
      <c r="O15" s="10" t="s">
        <v>188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3"/>
    </row>
    <row r="16" spans="1:40" s="1" customFormat="1" ht="52">
      <c r="A16" s="40"/>
      <c r="AE16" s="35" t="s">
        <v>373</v>
      </c>
      <c r="AF16" s="35" t="s">
        <v>374</v>
      </c>
      <c r="AG16" s="35" t="s">
        <v>373</v>
      </c>
      <c r="AH16" s="35" t="s">
        <v>374</v>
      </c>
      <c r="AI16" s="35" t="s">
        <v>373</v>
      </c>
      <c r="AJ16" s="35" t="s">
        <v>374</v>
      </c>
      <c r="AK16" s="35" t="s">
        <v>373</v>
      </c>
      <c r="AL16" s="35" t="s">
        <v>374</v>
      </c>
      <c r="AN16" s="14"/>
    </row>
    <row r="17" spans="1:40" s="1" customFormat="1">
      <c r="A17" s="10">
        <v>30</v>
      </c>
      <c r="B17" s="11" t="s">
        <v>0</v>
      </c>
      <c r="C17" s="11"/>
      <c r="D17" s="11" t="s">
        <v>157</v>
      </c>
      <c r="E17" s="12"/>
      <c r="F17" s="11"/>
      <c r="G17" s="11"/>
      <c r="H17" s="11"/>
      <c r="I17" s="11" t="s">
        <v>30</v>
      </c>
      <c r="J17" s="11"/>
      <c r="K17" s="11" t="s">
        <v>31</v>
      </c>
      <c r="L17" s="11"/>
      <c r="M17" s="11" t="s">
        <v>189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3"/>
    </row>
    <row r="18" spans="1:40" s="1" customFormat="1">
      <c r="A18" s="10">
        <v>30</v>
      </c>
      <c r="B18" s="10"/>
      <c r="C18" s="10"/>
      <c r="D18" s="10" t="s">
        <v>160</v>
      </c>
      <c r="E18" s="30"/>
      <c r="F18" s="10"/>
      <c r="G18" s="10"/>
      <c r="H18" s="10"/>
      <c r="I18" s="10"/>
      <c r="J18" s="10"/>
      <c r="K18" s="10" t="s">
        <v>186</v>
      </c>
      <c r="L18" s="10"/>
      <c r="M18" s="10"/>
      <c r="N18" s="10"/>
      <c r="O18" s="10" t="s">
        <v>190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>
      <c r="A19" s="40"/>
      <c r="AE19" s="35"/>
      <c r="AF19" s="35"/>
      <c r="AG19" s="35"/>
      <c r="AH19" s="35"/>
      <c r="AI19" s="35"/>
      <c r="AJ19" s="35"/>
      <c r="AK19" s="35"/>
      <c r="AL19" s="35"/>
      <c r="AN19" s="14"/>
    </row>
    <row r="20" spans="1:40" s="1" customFormat="1">
      <c r="A20" s="10">
        <v>40</v>
      </c>
      <c r="B20" s="11" t="s">
        <v>0</v>
      </c>
      <c r="C20" s="11"/>
      <c r="D20" s="11" t="s">
        <v>278</v>
      </c>
      <c r="E20" s="12"/>
      <c r="F20" s="11"/>
      <c r="G20" s="11" t="s">
        <v>2</v>
      </c>
      <c r="H20" s="11"/>
      <c r="I20" s="11" t="s">
        <v>30</v>
      </c>
      <c r="J20" s="10" t="s">
        <v>323</v>
      </c>
      <c r="K20" s="11" t="s">
        <v>31</v>
      </c>
      <c r="L20" s="11" t="s">
        <v>32</v>
      </c>
      <c r="M20" s="11" t="s">
        <v>31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191</v>
      </c>
      <c r="AF20" s="10"/>
      <c r="AG20" s="10"/>
      <c r="AH20" s="10"/>
      <c r="AI20" s="10"/>
      <c r="AJ20" s="10"/>
      <c r="AK20" s="10"/>
      <c r="AL20" s="10"/>
      <c r="AM20" s="17"/>
      <c r="AN20" s="13"/>
    </row>
    <row r="21" spans="1:40" s="1" customFormat="1" ht="39">
      <c r="A21" s="10">
        <v>40</v>
      </c>
      <c r="B21" s="10"/>
      <c r="C21" s="10"/>
      <c r="D21" s="10" t="s">
        <v>96</v>
      </c>
      <c r="E21" s="30" t="s">
        <v>324</v>
      </c>
      <c r="F21" s="10" t="s">
        <v>161</v>
      </c>
      <c r="G21" s="10" t="s">
        <v>9</v>
      </c>
      <c r="H21" s="10"/>
      <c r="I21" s="10" t="s">
        <v>189</v>
      </c>
      <c r="J21" s="10"/>
      <c r="K21" s="10" t="s">
        <v>30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30</v>
      </c>
      <c r="AA21" s="10" t="s">
        <v>30</v>
      </c>
      <c r="AB21" s="10" t="s">
        <v>30</v>
      </c>
      <c r="AC21" s="10" t="s">
        <v>30</v>
      </c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26">
      <c r="A22" s="10">
        <v>40</v>
      </c>
      <c r="B22" s="10"/>
      <c r="C22" s="10"/>
      <c r="D22" s="10" t="s">
        <v>105</v>
      </c>
      <c r="E22" s="30" t="s">
        <v>325</v>
      </c>
      <c r="F22" s="10" t="s">
        <v>106</v>
      </c>
      <c r="G22" s="10" t="s">
        <v>107</v>
      </c>
      <c r="H22" s="10"/>
      <c r="I22" s="10" t="s">
        <v>192</v>
      </c>
      <c r="J22" s="10"/>
      <c r="K22" s="10" t="s">
        <v>169</v>
      </c>
      <c r="L22" s="10"/>
      <c r="M22" s="10"/>
      <c r="N22" s="10"/>
      <c r="O22" s="10"/>
      <c r="P22" s="10"/>
      <c r="Q22" s="10" t="s">
        <v>193</v>
      </c>
      <c r="R22" s="10"/>
      <c r="S22" s="10" t="s">
        <v>194</v>
      </c>
      <c r="T22" s="10"/>
      <c r="U22" s="10"/>
      <c r="V22" s="10"/>
      <c r="W22" s="10"/>
      <c r="X22" s="10"/>
      <c r="Z22" s="10" t="s">
        <v>34</v>
      </c>
      <c r="AA22" s="10" t="s">
        <v>34</v>
      </c>
      <c r="AB22" s="10" t="s">
        <v>34</v>
      </c>
      <c r="AC22" s="10" t="s">
        <v>34</v>
      </c>
      <c r="AE22" s="10" t="s">
        <v>34</v>
      </c>
      <c r="AF22" s="10"/>
      <c r="AG22" s="10"/>
      <c r="AH22" s="10"/>
      <c r="AI22" s="10"/>
      <c r="AJ22" s="10"/>
      <c r="AK22" s="10"/>
      <c r="AL22" s="10"/>
      <c r="AN22" s="13"/>
    </row>
    <row r="23" spans="1:40" s="1" customFormat="1">
      <c r="A23" s="10">
        <v>40</v>
      </c>
      <c r="B23" s="10"/>
      <c r="C23" s="10"/>
      <c r="D23" s="10" t="s">
        <v>108</v>
      </c>
      <c r="E23" s="30" t="s">
        <v>326</v>
      </c>
      <c r="F23" s="10" t="s">
        <v>109</v>
      </c>
      <c r="G23" s="10"/>
      <c r="H23" s="10"/>
      <c r="I23" s="10" t="s">
        <v>195</v>
      </c>
      <c r="J23" s="10"/>
      <c r="K23" s="10" t="s">
        <v>196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34</v>
      </c>
      <c r="AA23" s="10" t="s">
        <v>34</v>
      </c>
      <c r="AB23" s="10" t="s">
        <v>34</v>
      </c>
      <c r="AC23" s="10" t="s">
        <v>34</v>
      </c>
      <c r="AE23" s="10" t="s">
        <v>34</v>
      </c>
      <c r="AF23" s="10"/>
      <c r="AG23" s="10"/>
      <c r="AH23" s="10"/>
      <c r="AI23" s="10"/>
      <c r="AJ23" s="10"/>
      <c r="AK23" s="10"/>
      <c r="AL23" s="10"/>
      <c r="AN23" s="13"/>
    </row>
    <row r="24" spans="1:40" s="1" customFormat="1" ht="26">
      <c r="A24" s="10">
        <v>40</v>
      </c>
      <c r="B24" s="10"/>
      <c r="C24" s="10"/>
      <c r="D24" s="10" t="s">
        <v>163</v>
      </c>
      <c r="E24" s="30" t="s">
        <v>327</v>
      </c>
      <c r="F24" s="10" t="s">
        <v>164</v>
      </c>
      <c r="G24" s="10" t="s">
        <v>166</v>
      </c>
      <c r="H24" s="10"/>
      <c r="I24" s="10" t="s">
        <v>197</v>
      </c>
      <c r="J24" s="10"/>
      <c r="K24" s="10" t="s">
        <v>169</v>
      </c>
      <c r="L24" s="10"/>
      <c r="M24" s="10"/>
      <c r="N24" s="10"/>
      <c r="O24" s="10"/>
      <c r="P24" s="10"/>
      <c r="Q24" s="10" t="s">
        <v>172</v>
      </c>
      <c r="R24" s="10"/>
      <c r="S24" s="10" t="s">
        <v>167</v>
      </c>
      <c r="T24" s="10"/>
      <c r="U24" s="10"/>
      <c r="V24" s="54" t="s">
        <v>298</v>
      </c>
      <c r="W24" s="10" t="s">
        <v>198</v>
      </c>
      <c r="X24" s="10" t="s">
        <v>289</v>
      </c>
      <c r="Z24" s="10" t="s">
        <v>34</v>
      </c>
      <c r="AA24" s="10" t="s">
        <v>34</v>
      </c>
      <c r="AB24" s="10" t="s">
        <v>34</v>
      </c>
      <c r="AC24" s="10" t="s">
        <v>34</v>
      </c>
      <c r="AE24" s="10" t="s">
        <v>34</v>
      </c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>
      <c r="A25" s="10">
        <v>40</v>
      </c>
      <c r="B25" s="10"/>
      <c r="C25" s="10"/>
      <c r="D25" s="10" t="s">
        <v>279</v>
      </c>
      <c r="E25" s="30" t="s">
        <v>328</v>
      </c>
      <c r="F25" s="10" t="s">
        <v>165</v>
      </c>
      <c r="G25" s="10"/>
      <c r="H25" s="10"/>
      <c r="I25" s="10" t="s">
        <v>199</v>
      </c>
      <c r="J25" s="10"/>
      <c r="K25" s="10" t="s">
        <v>196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 t="s">
        <v>289</v>
      </c>
      <c r="Z25" s="10" t="s">
        <v>34</v>
      </c>
      <c r="AA25" s="10" t="s">
        <v>34</v>
      </c>
      <c r="AB25" s="10" t="s">
        <v>34</v>
      </c>
      <c r="AC25" s="10" t="s">
        <v>34</v>
      </c>
      <c r="AE25" s="10" t="s">
        <v>34</v>
      </c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ht="26">
      <c r="A26" s="52">
        <v>40</v>
      </c>
      <c r="B26" s="52"/>
      <c r="C26" s="52"/>
      <c r="D26" s="52" t="s">
        <v>145</v>
      </c>
      <c r="E26" s="52"/>
      <c r="F26" s="52"/>
      <c r="G26" s="52"/>
      <c r="H26" s="52"/>
      <c r="I26" s="52" t="s">
        <v>30</v>
      </c>
      <c r="J26" s="52"/>
      <c r="K26" s="52" t="s">
        <v>200</v>
      </c>
      <c r="L26" s="52" t="s">
        <v>201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 t="s">
        <v>202</v>
      </c>
      <c r="AA26" s="52" t="s">
        <v>202</v>
      </c>
      <c r="AB26" s="52" t="s">
        <v>202</v>
      </c>
      <c r="AC26" s="52" t="s">
        <v>202</v>
      </c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</row>
    <row r="27" spans="1:40" s="1" customFormat="1">
      <c r="A27" s="52">
        <v>40</v>
      </c>
      <c r="B27" s="10"/>
      <c r="C27" s="10"/>
      <c r="D27" s="10" t="s">
        <v>146</v>
      </c>
      <c r="E27" s="30"/>
      <c r="F27" s="10"/>
      <c r="G27" s="10"/>
      <c r="H27" s="10"/>
      <c r="I27" s="10" t="s">
        <v>203</v>
      </c>
      <c r="J27" s="10"/>
      <c r="K27" s="10" t="s">
        <v>204</v>
      </c>
      <c r="L27" s="10"/>
      <c r="M27" s="10"/>
      <c r="N27" s="10"/>
      <c r="O27" s="10"/>
      <c r="P27" s="10"/>
      <c r="Q27" s="10"/>
      <c r="R27" s="10"/>
      <c r="S27" s="10"/>
      <c r="T27" s="10"/>
      <c r="U27" s="10" t="s">
        <v>205</v>
      </c>
      <c r="V27" s="10"/>
      <c r="W27" s="10"/>
      <c r="X27" s="10"/>
      <c r="Z27" s="10"/>
      <c r="AA27" s="10"/>
      <c r="AB27" s="10"/>
      <c r="AC27" s="10"/>
      <c r="AE27" s="10" t="s">
        <v>206</v>
      </c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>
      <c r="A28" s="52">
        <v>40</v>
      </c>
      <c r="B28" s="10"/>
      <c r="C28" s="10"/>
      <c r="D28" s="10" t="s">
        <v>280</v>
      </c>
      <c r="E28" s="30"/>
      <c r="F28" s="10"/>
      <c r="G28" s="10"/>
      <c r="H28" s="10"/>
      <c r="I28" s="10" t="s">
        <v>203</v>
      </c>
      <c r="J28" s="10"/>
      <c r="K28" s="10" t="s">
        <v>207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>
      <c r="A29" s="52">
        <v>40</v>
      </c>
      <c r="B29" s="10"/>
      <c r="C29" s="10"/>
      <c r="D29" s="10" t="s">
        <v>281</v>
      </c>
      <c r="E29" s="30"/>
      <c r="F29" s="10"/>
      <c r="G29" s="10"/>
      <c r="H29" s="10"/>
      <c r="I29" s="10" t="s">
        <v>203</v>
      </c>
      <c r="J29" s="10"/>
      <c r="K29" s="10" t="s">
        <v>204</v>
      </c>
      <c r="L29" s="10"/>
      <c r="M29" s="10"/>
      <c r="N29" s="10"/>
      <c r="O29" s="10"/>
      <c r="P29" s="10"/>
      <c r="Q29" s="10"/>
      <c r="R29" s="10"/>
      <c r="S29" s="10"/>
      <c r="T29" s="10"/>
      <c r="U29" s="10" t="s">
        <v>205</v>
      </c>
      <c r="V29" s="10"/>
      <c r="W29" s="10"/>
      <c r="X29" s="10"/>
      <c r="Z29" s="10"/>
      <c r="AA29" s="10"/>
      <c r="AB29" s="10"/>
      <c r="AC29" s="10"/>
      <c r="AE29" s="10" t="s">
        <v>208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>
      <c r="A30" s="52">
        <v>40</v>
      </c>
      <c r="B30" s="10"/>
      <c r="C30" s="10"/>
      <c r="D30" s="10" t="s">
        <v>282</v>
      </c>
      <c r="E30" s="30"/>
      <c r="F30" s="10"/>
      <c r="G30" s="10"/>
      <c r="H30" s="10"/>
      <c r="I30" s="10" t="s">
        <v>203</v>
      </c>
      <c r="J30" s="10"/>
      <c r="K30" s="10" t="s">
        <v>207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/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ht="26">
      <c r="A31" s="10">
        <v>40</v>
      </c>
      <c r="B31" s="10"/>
      <c r="C31" s="10"/>
      <c r="D31" s="10" t="s">
        <v>151</v>
      </c>
      <c r="E31" s="30" t="s">
        <v>329</v>
      </c>
      <c r="F31" s="10" t="s">
        <v>111</v>
      </c>
      <c r="G31" s="10" t="s">
        <v>112</v>
      </c>
      <c r="H31" s="10"/>
      <c r="I31" s="10" t="s">
        <v>209</v>
      </c>
      <c r="J31" s="10"/>
      <c r="K31" s="10" t="s">
        <v>169</v>
      </c>
      <c r="L31" s="10"/>
      <c r="M31" s="10"/>
      <c r="N31" s="10"/>
      <c r="O31" s="10"/>
      <c r="P31" s="10"/>
      <c r="Q31" s="10" t="s">
        <v>210</v>
      </c>
      <c r="R31" s="10"/>
      <c r="S31" s="10" t="s">
        <v>291</v>
      </c>
      <c r="T31" s="10"/>
      <c r="U31" s="10"/>
      <c r="V31" s="10"/>
      <c r="W31" s="10"/>
      <c r="X31" s="10"/>
      <c r="Z31" s="10" t="s">
        <v>34</v>
      </c>
      <c r="AA31" s="10" t="s">
        <v>34</v>
      </c>
      <c r="AB31" s="10" t="s">
        <v>34</v>
      </c>
      <c r="AC31" s="10" t="s">
        <v>34</v>
      </c>
      <c r="AE31" s="10" t="s">
        <v>34</v>
      </c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 ht="26">
      <c r="A32" s="10">
        <v>40</v>
      </c>
      <c r="B32" s="10"/>
      <c r="C32" s="10"/>
      <c r="D32" s="10" t="s">
        <v>113</v>
      </c>
      <c r="E32" s="30" t="s">
        <v>330</v>
      </c>
      <c r="F32" s="10" t="s">
        <v>114</v>
      </c>
      <c r="G32" s="10"/>
      <c r="H32" s="10"/>
      <c r="I32" s="10" t="s">
        <v>211</v>
      </c>
      <c r="J32" s="10"/>
      <c r="K32" s="10" t="s">
        <v>196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34</v>
      </c>
      <c r="AA32" s="10" t="s">
        <v>34</v>
      </c>
      <c r="AB32" s="10" t="s">
        <v>34</v>
      </c>
      <c r="AC32" s="10" t="s">
        <v>34</v>
      </c>
      <c r="AE32" s="10" t="s">
        <v>34</v>
      </c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>
      <c r="A33" s="10">
        <v>40</v>
      </c>
      <c r="B33" s="10"/>
      <c r="C33" s="10"/>
      <c r="D33" s="10" t="s">
        <v>65</v>
      </c>
      <c r="E33" s="30" t="s">
        <v>331</v>
      </c>
      <c r="F33" s="10" t="s">
        <v>42</v>
      </c>
      <c r="G33" s="10" t="s">
        <v>9</v>
      </c>
      <c r="H33" s="10"/>
      <c r="I33" s="10" t="s">
        <v>212</v>
      </c>
      <c r="J33" s="10"/>
      <c r="K33" s="10" t="s">
        <v>196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34</v>
      </c>
      <c r="AA33" s="10" t="s">
        <v>34</v>
      </c>
      <c r="AB33" s="10" t="s">
        <v>34</v>
      </c>
      <c r="AC33" s="10" t="s">
        <v>34</v>
      </c>
      <c r="AE33" s="10" t="s">
        <v>34</v>
      </c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>
      <c r="A34" s="10">
        <v>40</v>
      </c>
      <c r="B34" s="10"/>
      <c r="C34" s="10"/>
      <c r="D34" s="10" t="s">
        <v>43</v>
      </c>
      <c r="E34" s="30" t="s">
        <v>332</v>
      </c>
      <c r="F34" s="10" t="s">
        <v>45</v>
      </c>
      <c r="G34" s="10" t="s">
        <v>9</v>
      </c>
      <c r="H34" s="10"/>
      <c r="I34" s="10" t="s">
        <v>213</v>
      </c>
      <c r="J34" s="10"/>
      <c r="K34" s="10" t="s">
        <v>196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34</v>
      </c>
      <c r="AA34" s="10" t="s">
        <v>34</v>
      </c>
      <c r="AB34" s="10" t="s">
        <v>34</v>
      </c>
      <c r="AC34" s="10" t="s">
        <v>34</v>
      </c>
      <c r="AE34" s="10" t="s">
        <v>34</v>
      </c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>
      <c r="A35" s="10">
        <v>40</v>
      </c>
      <c r="B35" s="10"/>
      <c r="C35" s="10"/>
      <c r="D35" s="10" t="s">
        <v>44</v>
      </c>
      <c r="E35" s="30" t="s">
        <v>333</v>
      </c>
      <c r="F35" s="10" t="s">
        <v>46</v>
      </c>
      <c r="G35" s="10" t="s">
        <v>9</v>
      </c>
      <c r="H35" s="10"/>
      <c r="I35" s="10" t="s">
        <v>214</v>
      </c>
      <c r="J35" s="10"/>
      <c r="K35" s="10" t="s">
        <v>196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34</v>
      </c>
      <c r="AA35" s="10" t="s">
        <v>34</v>
      </c>
      <c r="AB35" s="10" t="s">
        <v>34</v>
      </c>
      <c r="AC35" s="10" t="s">
        <v>34</v>
      </c>
      <c r="AE35" s="10" t="s">
        <v>34</v>
      </c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>
      <c r="A36" s="10">
        <v>40</v>
      </c>
      <c r="B36" s="10"/>
      <c r="C36" s="10"/>
      <c r="D36" s="10" t="s">
        <v>87</v>
      </c>
      <c r="E36" s="30" t="s">
        <v>334</v>
      </c>
      <c r="F36" s="10" t="s">
        <v>67</v>
      </c>
      <c r="G36" s="10" t="s">
        <v>9</v>
      </c>
      <c r="H36" s="10"/>
      <c r="I36" s="10"/>
      <c r="J36" s="10"/>
      <c r="K36" s="10" t="s">
        <v>215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/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>
      <c r="A37" s="10">
        <v>40</v>
      </c>
      <c r="B37" s="10"/>
      <c r="C37" s="10"/>
      <c r="D37" s="10" t="s">
        <v>88</v>
      </c>
      <c r="E37" s="30" t="s">
        <v>335</v>
      </c>
      <c r="F37" s="10" t="s">
        <v>152</v>
      </c>
      <c r="G37" s="10" t="s">
        <v>154</v>
      </c>
      <c r="H37" s="10"/>
      <c r="I37" s="10" t="s">
        <v>216</v>
      </c>
      <c r="J37" s="10"/>
      <c r="K37" s="10" t="s">
        <v>217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34</v>
      </c>
      <c r="AA37" s="10" t="s">
        <v>34</v>
      </c>
      <c r="AB37" s="10" t="s">
        <v>34</v>
      </c>
      <c r="AC37" s="10" t="s">
        <v>34</v>
      </c>
      <c r="AE37" s="10" t="s">
        <v>34</v>
      </c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>
      <c r="A38" s="10">
        <v>40</v>
      </c>
      <c r="B38" s="10"/>
      <c r="C38" s="10"/>
      <c r="D38" s="10" t="s">
        <v>89</v>
      </c>
      <c r="E38" s="30" t="s">
        <v>336</v>
      </c>
      <c r="F38" s="10" t="s">
        <v>153</v>
      </c>
      <c r="G38" s="10" t="s">
        <v>41</v>
      </c>
      <c r="H38" s="10"/>
      <c r="I38" s="10" t="s">
        <v>216</v>
      </c>
      <c r="J38" s="10"/>
      <c r="K38" s="10" t="s">
        <v>217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34</v>
      </c>
      <c r="AA38" s="10" t="s">
        <v>34</v>
      </c>
      <c r="AB38" s="10" t="s">
        <v>34</v>
      </c>
      <c r="AC38" s="10" t="s">
        <v>34</v>
      </c>
      <c r="AE38" s="10" t="s">
        <v>34</v>
      </c>
      <c r="AF38" s="10"/>
      <c r="AG38" s="10"/>
      <c r="AH38" s="10"/>
      <c r="AI38" s="10"/>
      <c r="AJ38" s="10"/>
      <c r="AK38" s="10"/>
      <c r="AL38" s="10"/>
      <c r="AN38" s="13"/>
    </row>
    <row r="39" spans="1:40" s="1" customFormat="1" ht="52">
      <c r="A39" s="40"/>
      <c r="AE39" s="35" t="s">
        <v>373</v>
      </c>
      <c r="AF39" s="35" t="s">
        <v>374</v>
      </c>
      <c r="AG39" s="35" t="s">
        <v>373</v>
      </c>
      <c r="AH39" s="35" t="s">
        <v>374</v>
      </c>
      <c r="AI39" s="35" t="s">
        <v>373</v>
      </c>
      <c r="AJ39" s="35" t="s">
        <v>374</v>
      </c>
      <c r="AK39" s="35" t="s">
        <v>373</v>
      </c>
      <c r="AL39" s="35" t="s">
        <v>374</v>
      </c>
      <c r="AN39" s="14"/>
    </row>
    <row r="40" spans="1:40" s="1" customFormat="1" ht="26">
      <c r="A40" s="10">
        <v>50</v>
      </c>
      <c r="B40" s="11" t="s">
        <v>0</v>
      </c>
      <c r="C40" s="11"/>
      <c r="D40" s="11" t="s">
        <v>159</v>
      </c>
      <c r="E40" s="12"/>
      <c r="F40" s="11"/>
      <c r="G40" s="11"/>
      <c r="H40" s="11"/>
      <c r="I40" s="11" t="s">
        <v>30</v>
      </c>
      <c r="J40" s="11"/>
      <c r="K40" s="10" t="s">
        <v>31</v>
      </c>
      <c r="L40" s="10" t="s">
        <v>218</v>
      </c>
      <c r="M40" s="10" t="s">
        <v>32</v>
      </c>
      <c r="N40" s="10" t="s">
        <v>183</v>
      </c>
      <c r="O40" s="10"/>
      <c r="P40" s="11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6"/>
      <c r="AD40" s="17"/>
      <c r="AE40" s="10"/>
      <c r="AF40" s="10"/>
      <c r="AG40" s="10"/>
      <c r="AH40" s="10"/>
      <c r="AI40" s="10"/>
      <c r="AJ40" s="10"/>
      <c r="AK40" s="10"/>
      <c r="AL40" s="10"/>
      <c r="AM40" s="17"/>
      <c r="AN40" s="13"/>
    </row>
    <row r="41" spans="1:40" s="1" customFormat="1">
      <c r="A41" s="10">
        <v>50</v>
      </c>
      <c r="B41" s="10"/>
      <c r="C41" s="10"/>
      <c r="D41" s="10" t="s">
        <v>158</v>
      </c>
      <c r="E41" s="30"/>
      <c r="F41" s="10"/>
      <c r="G41" s="10"/>
      <c r="H41" s="10"/>
      <c r="I41" s="10"/>
      <c r="J41" s="10"/>
      <c r="K41" s="10" t="s">
        <v>200</v>
      </c>
      <c r="L41" s="10" t="s">
        <v>219</v>
      </c>
      <c r="M41" s="10" t="s">
        <v>183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0"/>
      <c r="AJ41" s="10"/>
      <c r="AK41" s="10"/>
      <c r="AL41" s="10"/>
      <c r="AN41" s="13"/>
    </row>
    <row r="42" spans="1:40" s="1" customFormat="1" ht="52">
      <c r="A42" s="40"/>
      <c r="AE42" s="35" t="s">
        <v>373</v>
      </c>
      <c r="AF42" s="35" t="s">
        <v>374</v>
      </c>
      <c r="AG42" s="35" t="s">
        <v>373</v>
      </c>
      <c r="AH42" s="35" t="s">
        <v>374</v>
      </c>
      <c r="AI42" s="35" t="s">
        <v>373</v>
      </c>
      <c r="AJ42" s="35" t="s">
        <v>374</v>
      </c>
      <c r="AK42" s="35" t="s">
        <v>373</v>
      </c>
      <c r="AL42" s="35" t="s">
        <v>374</v>
      </c>
      <c r="AN42" s="14"/>
    </row>
    <row r="43" spans="1:40" s="1" customFormat="1">
      <c r="A43" s="10">
        <v>60</v>
      </c>
      <c r="B43" s="11" t="s">
        <v>0</v>
      </c>
      <c r="C43" s="11"/>
      <c r="D43" s="11" t="s">
        <v>283</v>
      </c>
      <c r="E43" s="12"/>
      <c r="F43" s="11"/>
      <c r="G43" s="11"/>
      <c r="H43" s="11"/>
      <c r="I43" s="11" t="s">
        <v>220</v>
      </c>
      <c r="J43" s="11"/>
      <c r="K43" s="11" t="s">
        <v>221</v>
      </c>
      <c r="L43" s="11"/>
      <c r="M43" s="11" t="s">
        <v>222</v>
      </c>
      <c r="N43" s="11"/>
      <c r="O43" s="11"/>
      <c r="P43" s="11"/>
      <c r="Q43" s="16"/>
      <c r="R43" s="16"/>
      <c r="S43" s="16"/>
      <c r="T43" s="16"/>
      <c r="U43" s="16"/>
      <c r="V43" s="16"/>
      <c r="W43" s="16"/>
      <c r="X43" s="16"/>
      <c r="Y43" s="17"/>
      <c r="Z43" s="16"/>
      <c r="AA43" s="16"/>
      <c r="AB43" s="16"/>
      <c r="AC43" s="16"/>
      <c r="AD43" s="17"/>
      <c r="AE43" s="10"/>
      <c r="AF43" s="10" t="s">
        <v>223</v>
      </c>
      <c r="AG43" s="10" t="s">
        <v>224</v>
      </c>
      <c r="AH43" s="10"/>
      <c r="AI43" s="10" t="s">
        <v>225</v>
      </c>
      <c r="AJ43" s="10"/>
      <c r="AK43" s="10"/>
      <c r="AL43" s="10"/>
      <c r="AM43" s="17"/>
      <c r="AN43" s="13"/>
    </row>
    <row r="44" spans="1:40" s="1" customFormat="1">
      <c r="A44" s="10">
        <v>60</v>
      </c>
      <c r="B44" s="10"/>
      <c r="C44" s="10"/>
      <c r="D44" s="10" t="s">
        <v>47</v>
      </c>
      <c r="E44" s="30" t="s">
        <v>337</v>
      </c>
      <c r="F44" s="10" t="s">
        <v>48</v>
      </c>
      <c r="G44" s="10" t="s">
        <v>9</v>
      </c>
      <c r="H44" s="10"/>
      <c r="I44" s="10" t="s">
        <v>216</v>
      </c>
      <c r="J44" s="10"/>
      <c r="K44" s="10" t="s">
        <v>217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30</v>
      </c>
      <c r="AA44" s="10" t="s">
        <v>226</v>
      </c>
      <c r="AB44" s="10" t="s">
        <v>30</v>
      </c>
      <c r="AC44" s="10" t="s">
        <v>227</v>
      </c>
      <c r="AE44" s="10"/>
      <c r="AF44" s="10"/>
      <c r="AG44" s="10"/>
      <c r="AH44" s="10"/>
      <c r="AI44" s="10"/>
      <c r="AJ44" s="10"/>
      <c r="AK44" s="10"/>
      <c r="AL44" s="10"/>
      <c r="AN44" s="13"/>
    </row>
    <row r="45" spans="1:40" s="1" customFormat="1">
      <c r="A45" s="10">
        <v>60</v>
      </c>
      <c r="B45" s="10"/>
      <c r="C45" s="10"/>
      <c r="D45" s="10" t="s">
        <v>90</v>
      </c>
      <c r="E45" s="30" t="s">
        <v>334</v>
      </c>
      <c r="F45" s="10" t="s">
        <v>67</v>
      </c>
      <c r="G45" s="10" t="s">
        <v>9</v>
      </c>
      <c r="H45" s="10"/>
      <c r="I45" s="10" t="s">
        <v>216</v>
      </c>
      <c r="J45" s="10"/>
      <c r="K45" s="10" t="s">
        <v>217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30</v>
      </c>
      <c r="AA45" s="10" t="s">
        <v>226</v>
      </c>
      <c r="AB45" s="10" t="s">
        <v>226</v>
      </c>
      <c r="AC45" s="10" t="s">
        <v>226</v>
      </c>
      <c r="AE45" s="10"/>
      <c r="AF45" s="10" t="s">
        <v>34</v>
      </c>
      <c r="AG45" s="10" t="s">
        <v>34</v>
      </c>
      <c r="AH45" s="10"/>
      <c r="AI45" s="10"/>
      <c r="AJ45" s="10"/>
      <c r="AK45" s="10"/>
      <c r="AL45" s="10"/>
      <c r="AN45" s="13"/>
    </row>
    <row r="46" spans="1:40" s="1" customFormat="1">
      <c r="A46" s="10">
        <v>60</v>
      </c>
      <c r="B46" s="10"/>
      <c r="C46" s="10"/>
      <c r="D46" s="10" t="s">
        <v>86</v>
      </c>
      <c r="E46" s="3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/>
      <c r="AF46" s="10"/>
      <c r="AG46" s="10"/>
      <c r="AH46" s="10"/>
      <c r="AI46" s="10"/>
      <c r="AJ46" s="10"/>
      <c r="AK46" s="10"/>
      <c r="AL46" s="10"/>
      <c r="AN46" s="13"/>
    </row>
    <row r="47" spans="1:40" s="1" customFormat="1" ht="26">
      <c r="A47" s="10">
        <v>60</v>
      </c>
      <c r="B47" s="10"/>
      <c r="C47" s="10"/>
      <c r="D47" s="10" t="s">
        <v>105</v>
      </c>
      <c r="E47" s="30" t="s">
        <v>325</v>
      </c>
      <c r="F47" s="10" t="s">
        <v>106</v>
      </c>
      <c r="G47" s="10" t="s">
        <v>107</v>
      </c>
      <c r="H47" s="10"/>
      <c r="I47" s="10" t="s">
        <v>192</v>
      </c>
      <c r="J47" s="10"/>
      <c r="K47" s="10" t="s">
        <v>189</v>
      </c>
      <c r="L47" s="10"/>
      <c r="M47" s="10"/>
      <c r="N47" s="10"/>
      <c r="O47" s="10" t="s">
        <v>29</v>
      </c>
      <c r="P47" s="10"/>
      <c r="Q47" s="10" t="s">
        <v>193</v>
      </c>
      <c r="R47" s="10"/>
      <c r="S47" s="10" t="s">
        <v>194</v>
      </c>
      <c r="T47" s="10"/>
      <c r="U47" s="10"/>
      <c r="V47" s="10"/>
      <c r="W47" s="10"/>
      <c r="X47" s="10"/>
      <c r="Z47" s="10" t="s">
        <v>30</v>
      </c>
      <c r="AA47" s="10" t="s">
        <v>226</v>
      </c>
      <c r="AB47" s="10" t="s">
        <v>226</v>
      </c>
      <c r="AC47" s="10" t="s">
        <v>226</v>
      </c>
      <c r="AE47" s="10"/>
      <c r="AF47" s="10" t="s">
        <v>34</v>
      </c>
      <c r="AG47" s="10" t="s">
        <v>34</v>
      </c>
      <c r="AH47" s="10"/>
      <c r="AI47" s="10" t="s">
        <v>34</v>
      </c>
      <c r="AJ47" s="10"/>
      <c r="AK47" s="10"/>
      <c r="AL47" s="10"/>
      <c r="AN47" s="13"/>
    </row>
    <row r="48" spans="1:40" s="1" customFormat="1">
      <c r="A48" s="10">
        <v>60</v>
      </c>
      <c r="B48" s="10"/>
      <c r="C48" s="10"/>
      <c r="D48" s="10" t="s">
        <v>108</v>
      </c>
      <c r="E48" s="30" t="s">
        <v>326</v>
      </c>
      <c r="F48" s="10" t="s">
        <v>109</v>
      </c>
      <c r="G48" s="10" t="s">
        <v>1</v>
      </c>
      <c r="H48" s="10"/>
      <c r="I48" s="10" t="s">
        <v>195</v>
      </c>
      <c r="J48" s="10"/>
      <c r="K48" s="10" t="s">
        <v>228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226</v>
      </c>
      <c r="AA48" s="10" t="s">
        <v>226</v>
      </c>
      <c r="AB48" s="10" t="s">
        <v>226</v>
      </c>
      <c r="AC48" s="10" t="s">
        <v>226</v>
      </c>
      <c r="AE48" s="10"/>
      <c r="AF48" s="10" t="s">
        <v>34</v>
      </c>
      <c r="AG48" s="10"/>
      <c r="AH48" s="10"/>
      <c r="AI48" s="10"/>
      <c r="AJ48" s="10"/>
      <c r="AK48" s="10"/>
      <c r="AL48" s="10"/>
      <c r="AN48" s="13"/>
    </row>
    <row r="49" spans="1:40" s="1" customFormat="1" ht="26">
      <c r="A49" s="10">
        <v>60</v>
      </c>
      <c r="B49" s="10"/>
      <c r="C49" s="10"/>
      <c r="D49" s="10" t="s">
        <v>163</v>
      </c>
      <c r="E49" s="30" t="s">
        <v>327</v>
      </c>
      <c r="F49" s="10" t="s">
        <v>164</v>
      </c>
      <c r="G49" s="10" t="s">
        <v>166</v>
      </c>
      <c r="H49" s="10"/>
      <c r="I49" s="10" t="s">
        <v>197</v>
      </c>
      <c r="J49" s="10"/>
      <c r="K49" s="10" t="s">
        <v>189</v>
      </c>
      <c r="L49" s="10"/>
      <c r="M49" s="10"/>
      <c r="N49" s="10"/>
      <c r="O49" s="10" t="s">
        <v>29</v>
      </c>
      <c r="P49" s="10"/>
      <c r="Q49" s="10" t="s">
        <v>172</v>
      </c>
      <c r="R49" s="10"/>
      <c r="S49" s="10" t="s">
        <v>167</v>
      </c>
      <c r="T49" s="10"/>
      <c r="U49" s="10" t="s">
        <v>167</v>
      </c>
      <c r="V49" s="54" t="s">
        <v>298</v>
      </c>
      <c r="W49" s="10" t="s">
        <v>229</v>
      </c>
      <c r="X49" s="10" t="s">
        <v>289</v>
      </c>
      <c r="Z49" s="10" t="s">
        <v>30</v>
      </c>
      <c r="AA49" s="10" t="s">
        <v>226</v>
      </c>
      <c r="AB49" s="10" t="s">
        <v>226</v>
      </c>
      <c r="AC49" s="10" t="s">
        <v>226</v>
      </c>
      <c r="AE49" s="10"/>
      <c r="AF49" s="10" t="s">
        <v>34</v>
      </c>
      <c r="AG49" s="10" t="s">
        <v>34</v>
      </c>
      <c r="AH49" s="10"/>
      <c r="AI49" s="10" t="s">
        <v>34</v>
      </c>
      <c r="AJ49" s="10"/>
      <c r="AK49" s="10"/>
      <c r="AL49" s="10"/>
      <c r="AN49" s="13"/>
    </row>
    <row r="50" spans="1:40" s="1" customFormat="1">
      <c r="A50" s="10">
        <v>60</v>
      </c>
      <c r="B50" s="10"/>
      <c r="C50" s="10"/>
      <c r="D50" s="10" t="s">
        <v>167</v>
      </c>
      <c r="E50" s="30" t="s">
        <v>328</v>
      </c>
      <c r="F50" s="10" t="s">
        <v>165</v>
      </c>
      <c r="G50" s="10" t="s">
        <v>168</v>
      </c>
      <c r="H50" s="10"/>
      <c r="I50" s="10" t="s">
        <v>199</v>
      </c>
      <c r="J50" s="10"/>
      <c r="K50" s="10" t="s">
        <v>228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 t="s">
        <v>289</v>
      </c>
      <c r="Z50" s="10" t="s">
        <v>226</v>
      </c>
      <c r="AA50" s="10" t="s">
        <v>226</v>
      </c>
      <c r="AB50" s="10" t="s">
        <v>226</v>
      </c>
      <c r="AC50" s="10" t="s">
        <v>226</v>
      </c>
      <c r="AE50" s="10"/>
      <c r="AF50" s="10" t="s">
        <v>34</v>
      </c>
      <c r="AG50" s="10"/>
      <c r="AH50" s="10"/>
      <c r="AI50" s="10"/>
      <c r="AJ50" s="10"/>
      <c r="AK50" s="10"/>
      <c r="AL50" s="10"/>
      <c r="AN50" s="13"/>
    </row>
    <row r="51" spans="1:40" s="1" customFormat="1" ht="26">
      <c r="A51" s="52">
        <v>60</v>
      </c>
      <c r="B51" s="52"/>
      <c r="C51" s="52"/>
      <c r="D51" s="52" t="s">
        <v>145</v>
      </c>
      <c r="E51" s="52"/>
      <c r="F51" s="52"/>
      <c r="G51" s="52"/>
      <c r="H51" s="52"/>
      <c r="I51" s="52" t="s">
        <v>30</v>
      </c>
      <c r="J51" s="52"/>
      <c r="K51" s="52" t="s">
        <v>230</v>
      </c>
      <c r="L51" s="52" t="s">
        <v>231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 t="s">
        <v>232</v>
      </c>
      <c r="AA51" s="52" t="s">
        <v>233</v>
      </c>
      <c r="AB51" s="52" t="s">
        <v>233</v>
      </c>
      <c r="AC51" s="52" t="s">
        <v>233</v>
      </c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</row>
    <row r="52" spans="1:40" s="1" customFormat="1">
      <c r="A52" s="52">
        <v>60</v>
      </c>
      <c r="B52" s="10"/>
      <c r="C52" s="10"/>
      <c r="D52" s="10" t="s">
        <v>147</v>
      </c>
      <c r="E52" s="30"/>
      <c r="F52" s="10"/>
      <c r="G52" s="10"/>
      <c r="H52" s="10"/>
      <c r="I52" s="10" t="s">
        <v>203</v>
      </c>
      <c r="J52" s="10"/>
      <c r="K52" s="10" t="s">
        <v>207</v>
      </c>
      <c r="L52" s="10"/>
      <c r="M52" s="10"/>
      <c r="N52" s="10"/>
      <c r="O52" s="10" t="s">
        <v>29</v>
      </c>
      <c r="P52" s="10"/>
      <c r="Q52" s="10"/>
      <c r="R52" s="10"/>
      <c r="S52" s="10"/>
      <c r="T52" s="10"/>
      <c r="U52" s="10"/>
      <c r="V52" s="10"/>
      <c r="W52" s="10"/>
      <c r="X52" s="10"/>
      <c r="Z52" s="10"/>
      <c r="AA52" s="10"/>
      <c r="AB52" s="10"/>
      <c r="AC52" s="10"/>
      <c r="AE52" s="10"/>
      <c r="AF52" s="10" t="s">
        <v>205</v>
      </c>
      <c r="AG52" s="10" t="s">
        <v>205</v>
      </c>
      <c r="AH52" s="10"/>
      <c r="AI52" s="10" t="s">
        <v>205</v>
      </c>
      <c r="AJ52" s="10"/>
      <c r="AK52" s="10"/>
      <c r="AL52" s="10"/>
      <c r="AN52" s="13"/>
    </row>
    <row r="53" spans="1:40" s="1" customFormat="1">
      <c r="A53" s="52">
        <v>60</v>
      </c>
      <c r="B53" s="10"/>
      <c r="C53" s="10"/>
      <c r="D53" s="10" t="s">
        <v>148</v>
      </c>
      <c r="E53" s="30"/>
      <c r="F53" s="10"/>
      <c r="G53" s="10"/>
      <c r="H53" s="10"/>
      <c r="I53" s="10" t="s">
        <v>203</v>
      </c>
      <c r="J53" s="10"/>
      <c r="K53" s="10" t="s">
        <v>207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E53" s="10"/>
      <c r="AF53" s="10" t="s">
        <v>234</v>
      </c>
      <c r="AG53" s="10"/>
      <c r="AH53" s="10"/>
      <c r="AI53" s="10"/>
      <c r="AJ53" s="10"/>
      <c r="AK53" s="10"/>
      <c r="AL53" s="10"/>
      <c r="AN53" s="13"/>
    </row>
    <row r="54" spans="1:40" s="1" customFormat="1" ht="65">
      <c r="A54" s="10">
        <v>60</v>
      </c>
      <c r="B54" s="10"/>
      <c r="C54" s="10"/>
      <c r="D54" s="10" t="s">
        <v>110</v>
      </c>
      <c r="E54" s="30" t="s">
        <v>329</v>
      </c>
      <c r="F54" s="10" t="s">
        <v>111</v>
      </c>
      <c r="G54" s="10" t="s">
        <v>112</v>
      </c>
      <c r="H54" s="10"/>
      <c r="I54" s="10" t="s">
        <v>209</v>
      </c>
      <c r="J54" s="10"/>
      <c r="K54" s="10" t="s">
        <v>189</v>
      </c>
      <c r="L54" s="10"/>
      <c r="M54" s="10"/>
      <c r="N54" s="10"/>
      <c r="O54" s="10" t="s">
        <v>29</v>
      </c>
      <c r="P54" s="10"/>
      <c r="Q54" s="10" t="s">
        <v>210</v>
      </c>
      <c r="R54" s="10"/>
      <c r="S54" s="10" t="s">
        <v>235</v>
      </c>
      <c r="T54" s="10"/>
      <c r="U54" s="10"/>
      <c r="V54" s="10"/>
      <c r="W54" s="10"/>
      <c r="X54" s="10"/>
      <c r="Z54" s="10" t="s">
        <v>30</v>
      </c>
      <c r="AA54" s="10" t="s">
        <v>226</v>
      </c>
      <c r="AB54" s="10" t="s">
        <v>226</v>
      </c>
      <c r="AC54" s="10" t="s">
        <v>226</v>
      </c>
      <c r="AE54" s="10"/>
      <c r="AF54" s="10" t="s">
        <v>34</v>
      </c>
      <c r="AG54" s="10" t="s">
        <v>34</v>
      </c>
      <c r="AH54" s="10"/>
      <c r="AI54" s="10" t="s">
        <v>34</v>
      </c>
      <c r="AJ54" s="10"/>
      <c r="AK54" s="10"/>
      <c r="AL54" s="10"/>
      <c r="AN54" s="13"/>
    </row>
    <row r="55" spans="1:40" s="1" customFormat="1" ht="26">
      <c r="A55" s="10">
        <v>60</v>
      </c>
      <c r="B55" s="10"/>
      <c r="C55" s="10"/>
      <c r="D55" s="10" t="s">
        <v>113</v>
      </c>
      <c r="E55" s="30" t="s">
        <v>330</v>
      </c>
      <c r="F55" s="10" t="s">
        <v>114</v>
      </c>
      <c r="G55" s="10" t="s">
        <v>1</v>
      </c>
      <c r="H55" s="10"/>
      <c r="I55" s="10" t="s">
        <v>211</v>
      </c>
      <c r="J55" s="10"/>
      <c r="K55" s="10" t="s">
        <v>228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226</v>
      </c>
      <c r="AA55" s="10" t="s">
        <v>226</v>
      </c>
      <c r="AB55" s="10" t="s">
        <v>226</v>
      </c>
      <c r="AC55" s="10" t="s">
        <v>226</v>
      </c>
      <c r="AE55" s="10"/>
      <c r="AF55" s="10" t="s">
        <v>34</v>
      </c>
      <c r="AG55" s="10"/>
      <c r="AH55" s="10"/>
      <c r="AI55" s="10"/>
      <c r="AJ55" s="10"/>
      <c r="AK55" s="10"/>
      <c r="AL55" s="10"/>
      <c r="AN55" s="13"/>
    </row>
    <row r="56" spans="1:40" s="1" customFormat="1">
      <c r="A56" s="10">
        <v>60</v>
      </c>
      <c r="B56" s="10"/>
      <c r="C56" s="10"/>
      <c r="D56" s="10" t="s">
        <v>131</v>
      </c>
      <c r="E56" s="30" t="s">
        <v>338</v>
      </c>
      <c r="F56" s="10" t="s">
        <v>132</v>
      </c>
      <c r="G56" s="10" t="s">
        <v>1</v>
      </c>
      <c r="H56" s="10"/>
      <c r="I56" s="10" t="s">
        <v>216</v>
      </c>
      <c r="J56" s="10"/>
      <c r="K56" s="10" t="s">
        <v>217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227</v>
      </c>
      <c r="AA56" s="10" t="s">
        <v>227</v>
      </c>
      <c r="AB56" s="10" t="s">
        <v>227</v>
      </c>
      <c r="AC56" s="10" t="s">
        <v>227</v>
      </c>
      <c r="AE56" s="10"/>
      <c r="AF56" s="10" t="s">
        <v>34</v>
      </c>
      <c r="AG56" s="10"/>
      <c r="AH56" s="10"/>
      <c r="AI56" s="10"/>
      <c r="AJ56" s="10"/>
      <c r="AK56" s="10"/>
      <c r="AL56" s="10"/>
      <c r="AN56" s="13"/>
    </row>
    <row r="57" spans="1:40" s="1" customFormat="1">
      <c r="A57" s="10">
        <v>60</v>
      </c>
      <c r="B57" s="10"/>
      <c r="C57" s="10"/>
      <c r="D57" s="10" t="s">
        <v>133</v>
      </c>
      <c r="E57" s="30" t="s">
        <v>339</v>
      </c>
      <c r="F57" s="10" t="s">
        <v>134</v>
      </c>
      <c r="G57" s="10" t="s">
        <v>1</v>
      </c>
      <c r="H57" s="10"/>
      <c r="I57" s="10" t="s">
        <v>216</v>
      </c>
      <c r="J57" s="10"/>
      <c r="K57" s="10" t="s">
        <v>217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227</v>
      </c>
      <c r="AA57" s="10" t="s">
        <v>227</v>
      </c>
      <c r="AB57" s="10" t="s">
        <v>227</v>
      </c>
      <c r="AC57" s="10" t="s">
        <v>227</v>
      </c>
      <c r="AE57" s="10"/>
      <c r="AF57" s="10" t="s">
        <v>34</v>
      </c>
      <c r="AG57" s="10"/>
      <c r="AH57" s="10"/>
      <c r="AI57" s="10"/>
      <c r="AJ57" s="10"/>
      <c r="AK57" s="10"/>
      <c r="AL57" s="10"/>
      <c r="AN57" s="13"/>
    </row>
    <row r="58" spans="1:40" s="1" customFormat="1" ht="39">
      <c r="A58" s="10">
        <v>60</v>
      </c>
      <c r="B58" s="10"/>
      <c r="C58" s="10"/>
      <c r="D58" s="10" t="s">
        <v>123</v>
      </c>
      <c r="E58" s="30" t="s">
        <v>340</v>
      </c>
      <c r="F58" s="10" t="s">
        <v>115</v>
      </c>
      <c r="G58" s="10" t="s">
        <v>1</v>
      </c>
      <c r="H58" s="10"/>
      <c r="I58" s="10" t="s">
        <v>236</v>
      </c>
      <c r="J58" s="10"/>
      <c r="K58" s="10" t="s">
        <v>189</v>
      </c>
      <c r="L58" s="10"/>
      <c r="M58" s="10"/>
      <c r="N58" s="10"/>
      <c r="O58" s="10"/>
      <c r="P58" s="10"/>
      <c r="Q58" s="10" t="s">
        <v>237</v>
      </c>
      <c r="R58" s="10"/>
      <c r="S58" s="10" t="s">
        <v>292</v>
      </c>
      <c r="T58" s="10"/>
      <c r="U58" s="10" t="s">
        <v>238</v>
      </c>
      <c r="V58" s="10"/>
      <c r="W58" s="10"/>
      <c r="X58" s="10"/>
      <c r="Z58" s="10" t="s">
        <v>34</v>
      </c>
      <c r="AA58" s="10" t="s">
        <v>226</v>
      </c>
      <c r="AB58" s="10" t="s">
        <v>226</v>
      </c>
      <c r="AC58" s="10" t="s">
        <v>226</v>
      </c>
      <c r="AE58" s="10"/>
      <c r="AF58" s="10" t="s">
        <v>34</v>
      </c>
      <c r="AG58" s="10" t="s">
        <v>34</v>
      </c>
      <c r="AH58" s="10"/>
      <c r="AI58" s="10"/>
      <c r="AJ58" s="10"/>
      <c r="AK58" s="10"/>
      <c r="AL58" s="10"/>
      <c r="AN58" s="13"/>
    </row>
    <row r="59" spans="1:40" s="1" customFormat="1" ht="26">
      <c r="A59" s="10">
        <v>60</v>
      </c>
      <c r="B59" s="10"/>
      <c r="C59" s="10"/>
      <c r="D59" s="10" t="s">
        <v>124</v>
      </c>
      <c r="E59" s="30" t="s">
        <v>341</v>
      </c>
      <c r="F59" s="10" t="s">
        <v>119</v>
      </c>
      <c r="G59" s="10" t="s">
        <v>1</v>
      </c>
      <c r="H59" s="10"/>
      <c r="I59" s="10" t="s">
        <v>239</v>
      </c>
      <c r="J59" s="10"/>
      <c r="K59" s="10" t="s">
        <v>228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226</v>
      </c>
      <c r="AA59" s="10" t="s">
        <v>226</v>
      </c>
      <c r="AB59" s="10" t="s">
        <v>226</v>
      </c>
      <c r="AC59" s="10" t="s">
        <v>226</v>
      </c>
      <c r="AE59" s="10"/>
      <c r="AF59" s="10" t="s">
        <v>34</v>
      </c>
      <c r="AG59" s="10"/>
      <c r="AH59" s="10"/>
      <c r="AI59" s="10"/>
      <c r="AJ59" s="10"/>
      <c r="AK59" s="10"/>
      <c r="AL59" s="10"/>
      <c r="AN59" s="13"/>
    </row>
    <row r="60" spans="1:40" s="1" customFormat="1" ht="39">
      <c r="A60" s="10">
        <v>60</v>
      </c>
      <c r="B60" s="10"/>
      <c r="C60" s="10"/>
      <c r="D60" s="10" t="s">
        <v>125</v>
      </c>
      <c r="E60" s="30" t="s">
        <v>342</v>
      </c>
      <c r="F60" s="10" t="s">
        <v>116</v>
      </c>
      <c r="G60" s="10" t="s">
        <v>1</v>
      </c>
      <c r="H60" s="10"/>
      <c r="I60" s="10" t="s">
        <v>236</v>
      </c>
      <c r="J60" s="10"/>
      <c r="K60" s="10" t="s">
        <v>189</v>
      </c>
      <c r="L60" s="10"/>
      <c r="M60" s="10"/>
      <c r="N60" s="10"/>
      <c r="O60" s="10"/>
      <c r="P60" s="10"/>
      <c r="Q60" s="10" t="s">
        <v>237</v>
      </c>
      <c r="R60" s="10"/>
      <c r="S60" s="10" t="s">
        <v>293</v>
      </c>
      <c r="T60" s="10"/>
      <c r="U60" s="10" t="s">
        <v>238</v>
      </c>
      <c r="V60" s="10"/>
      <c r="W60" s="10"/>
      <c r="X60" s="10"/>
      <c r="Z60" s="10" t="s">
        <v>34</v>
      </c>
      <c r="AA60" s="10" t="s">
        <v>226</v>
      </c>
      <c r="AB60" s="10" t="s">
        <v>226</v>
      </c>
      <c r="AC60" s="10" t="s">
        <v>226</v>
      </c>
      <c r="AE60" s="10"/>
      <c r="AF60" s="10" t="s">
        <v>34</v>
      </c>
      <c r="AG60" s="10" t="s">
        <v>34</v>
      </c>
      <c r="AH60" s="10"/>
      <c r="AI60" s="10"/>
      <c r="AJ60" s="10"/>
      <c r="AK60" s="10"/>
      <c r="AL60" s="10"/>
      <c r="AN60" s="13"/>
    </row>
    <row r="61" spans="1:40" s="1" customFormat="1" ht="26">
      <c r="A61" s="10">
        <v>60</v>
      </c>
      <c r="B61" s="10"/>
      <c r="C61" s="10"/>
      <c r="D61" s="10" t="s">
        <v>126</v>
      </c>
      <c r="E61" s="30" t="s">
        <v>343</v>
      </c>
      <c r="F61" s="10" t="s">
        <v>120</v>
      </c>
      <c r="G61" s="10" t="s">
        <v>1</v>
      </c>
      <c r="H61" s="10"/>
      <c r="I61" s="10" t="s">
        <v>239</v>
      </c>
      <c r="J61" s="10"/>
      <c r="K61" s="10" t="s">
        <v>228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226</v>
      </c>
      <c r="AA61" s="10" t="s">
        <v>226</v>
      </c>
      <c r="AB61" s="10" t="s">
        <v>226</v>
      </c>
      <c r="AC61" s="10" t="s">
        <v>226</v>
      </c>
      <c r="AE61" s="10"/>
      <c r="AF61" s="10" t="s">
        <v>34</v>
      </c>
      <c r="AG61" s="10"/>
      <c r="AH61" s="10"/>
      <c r="AI61" s="10"/>
      <c r="AJ61" s="10"/>
      <c r="AK61" s="10"/>
      <c r="AL61" s="10"/>
      <c r="AN61" s="13"/>
    </row>
    <row r="62" spans="1:40" s="1" customFormat="1" ht="39">
      <c r="A62" s="10">
        <v>60</v>
      </c>
      <c r="B62" s="10"/>
      <c r="C62" s="10"/>
      <c r="D62" s="10" t="s">
        <v>127</v>
      </c>
      <c r="E62" s="30" t="s">
        <v>344</v>
      </c>
      <c r="F62" s="10" t="s">
        <v>117</v>
      </c>
      <c r="G62" s="10" t="s">
        <v>1</v>
      </c>
      <c r="H62" s="10"/>
      <c r="I62" s="10" t="s">
        <v>236</v>
      </c>
      <c r="J62" s="10"/>
      <c r="K62" s="10" t="s">
        <v>189</v>
      </c>
      <c r="L62" s="10"/>
      <c r="M62" s="10"/>
      <c r="N62" s="10"/>
      <c r="O62" s="10"/>
      <c r="P62" s="10"/>
      <c r="Q62" s="10" t="s">
        <v>237</v>
      </c>
      <c r="R62" s="10"/>
      <c r="S62" s="10" t="s">
        <v>294</v>
      </c>
      <c r="T62" s="10"/>
      <c r="U62" s="10" t="s">
        <v>238</v>
      </c>
      <c r="V62" s="10"/>
      <c r="W62" s="10"/>
      <c r="X62" s="10"/>
      <c r="Z62" s="10" t="s">
        <v>34</v>
      </c>
      <c r="AA62" s="10" t="s">
        <v>226</v>
      </c>
      <c r="AB62" s="10" t="s">
        <v>226</v>
      </c>
      <c r="AC62" s="10" t="s">
        <v>226</v>
      </c>
      <c r="AE62" s="10"/>
      <c r="AF62" s="10" t="s">
        <v>34</v>
      </c>
      <c r="AG62" s="10" t="s">
        <v>34</v>
      </c>
      <c r="AH62" s="10"/>
      <c r="AI62" s="10"/>
      <c r="AJ62" s="10"/>
      <c r="AK62" s="10"/>
      <c r="AL62" s="10"/>
      <c r="AN62" s="13"/>
    </row>
    <row r="63" spans="1:40" s="1" customFormat="1">
      <c r="A63" s="10">
        <v>60</v>
      </c>
      <c r="B63" s="10"/>
      <c r="C63" s="10"/>
      <c r="D63" s="10" t="s">
        <v>128</v>
      </c>
      <c r="E63" s="30" t="s">
        <v>345</v>
      </c>
      <c r="F63" s="10" t="s">
        <v>121</v>
      </c>
      <c r="G63" s="10" t="s">
        <v>1</v>
      </c>
      <c r="H63" s="10"/>
      <c r="I63" s="10" t="s">
        <v>239</v>
      </c>
      <c r="J63" s="10"/>
      <c r="K63" s="10" t="s">
        <v>228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226</v>
      </c>
      <c r="AA63" s="10" t="s">
        <v>226</v>
      </c>
      <c r="AB63" s="10" t="s">
        <v>226</v>
      </c>
      <c r="AC63" s="10" t="s">
        <v>226</v>
      </c>
      <c r="AE63" s="10"/>
      <c r="AF63" s="10" t="s">
        <v>34</v>
      </c>
      <c r="AG63" s="10"/>
      <c r="AH63" s="10"/>
      <c r="AI63" s="10"/>
      <c r="AJ63" s="10"/>
      <c r="AK63" s="10"/>
      <c r="AL63" s="10"/>
      <c r="AN63" s="13"/>
    </row>
    <row r="64" spans="1:40" s="1" customFormat="1" ht="39">
      <c r="A64" s="10">
        <v>60</v>
      </c>
      <c r="B64" s="10"/>
      <c r="C64" s="10"/>
      <c r="D64" s="10" t="s">
        <v>129</v>
      </c>
      <c r="E64" s="30" t="s">
        <v>346</v>
      </c>
      <c r="F64" s="10" t="s">
        <v>118</v>
      </c>
      <c r="G64" s="10" t="s">
        <v>1</v>
      </c>
      <c r="H64" s="10"/>
      <c r="I64" s="10" t="s">
        <v>236</v>
      </c>
      <c r="J64" s="10"/>
      <c r="K64" s="10" t="s">
        <v>189</v>
      </c>
      <c r="L64" s="10"/>
      <c r="M64" s="10"/>
      <c r="N64" s="10"/>
      <c r="O64" s="10"/>
      <c r="P64" s="10"/>
      <c r="Q64" s="10" t="s">
        <v>237</v>
      </c>
      <c r="R64" s="10"/>
      <c r="S64" s="10" t="s">
        <v>295</v>
      </c>
      <c r="T64" s="10"/>
      <c r="U64" s="10" t="s">
        <v>238</v>
      </c>
      <c r="V64" s="10"/>
      <c r="W64" s="10"/>
      <c r="X64" s="10"/>
      <c r="Z64" s="10" t="s">
        <v>34</v>
      </c>
      <c r="AA64" s="10" t="s">
        <v>226</v>
      </c>
      <c r="AB64" s="10" t="s">
        <v>226</v>
      </c>
      <c r="AC64" s="10" t="s">
        <v>226</v>
      </c>
      <c r="AE64" s="10"/>
      <c r="AF64" s="10" t="s">
        <v>34</v>
      </c>
      <c r="AG64" s="10" t="s">
        <v>34</v>
      </c>
      <c r="AH64" s="10"/>
      <c r="AI64" s="10"/>
      <c r="AJ64" s="10"/>
      <c r="AK64" s="10"/>
      <c r="AL64" s="10"/>
      <c r="AN64" s="13"/>
    </row>
    <row r="65" spans="1:40" s="1" customFormat="1" ht="26">
      <c r="A65" s="10">
        <v>60</v>
      </c>
      <c r="B65" s="10"/>
      <c r="C65" s="10"/>
      <c r="D65" s="10" t="s">
        <v>130</v>
      </c>
      <c r="E65" s="30" t="s">
        <v>347</v>
      </c>
      <c r="F65" s="10" t="s">
        <v>122</v>
      </c>
      <c r="G65" s="10" t="s">
        <v>1</v>
      </c>
      <c r="H65" s="10"/>
      <c r="I65" s="10" t="s">
        <v>239</v>
      </c>
      <c r="J65" s="10"/>
      <c r="K65" s="10" t="s">
        <v>228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226</v>
      </c>
      <c r="AA65" s="10" t="s">
        <v>226</v>
      </c>
      <c r="AB65" s="10" t="s">
        <v>226</v>
      </c>
      <c r="AC65" s="10" t="s">
        <v>226</v>
      </c>
      <c r="AE65" s="10"/>
      <c r="AF65" s="10" t="s">
        <v>34</v>
      </c>
      <c r="AG65" s="10"/>
      <c r="AH65" s="10"/>
      <c r="AI65" s="10"/>
      <c r="AJ65" s="10"/>
      <c r="AK65" s="10"/>
      <c r="AL65" s="10"/>
      <c r="AN65" s="13"/>
    </row>
    <row r="66" spans="1:40" s="1" customFormat="1">
      <c r="A66" s="10">
        <v>60</v>
      </c>
      <c r="B66" s="10"/>
      <c r="C66" s="10"/>
      <c r="D66" s="10" t="s">
        <v>135</v>
      </c>
      <c r="E66" s="30" t="s">
        <v>348</v>
      </c>
      <c r="F66" s="10" t="s">
        <v>136</v>
      </c>
      <c r="G66" s="10" t="s">
        <v>1</v>
      </c>
      <c r="H66" s="10"/>
      <c r="I66" s="10" t="s">
        <v>240</v>
      </c>
      <c r="J66" s="10"/>
      <c r="K66" s="10" t="s">
        <v>228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34</v>
      </c>
      <c r="AA66" s="10" t="s">
        <v>226</v>
      </c>
      <c r="AB66" s="10" t="s">
        <v>226</v>
      </c>
      <c r="AC66" s="10" t="s">
        <v>226</v>
      </c>
      <c r="AE66" s="10"/>
      <c r="AF66" s="10" t="s">
        <v>34</v>
      </c>
      <c r="AG66" s="10" t="s">
        <v>34</v>
      </c>
      <c r="AH66" s="10"/>
      <c r="AI66" s="10"/>
      <c r="AJ66" s="10"/>
      <c r="AK66" s="10"/>
      <c r="AL66" s="10"/>
      <c r="AN66" s="13"/>
    </row>
    <row r="67" spans="1:40" s="1" customFormat="1">
      <c r="A67" s="10">
        <v>60</v>
      </c>
      <c r="B67" s="10"/>
      <c r="C67" s="10"/>
      <c r="D67" s="10" t="s">
        <v>137</v>
      </c>
      <c r="E67" s="30" t="s">
        <v>349</v>
      </c>
      <c r="F67" s="10" t="s">
        <v>138</v>
      </c>
      <c r="G67" s="10" t="s">
        <v>1</v>
      </c>
      <c r="H67" s="10"/>
      <c r="I67" s="10" t="s">
        <v>240</v>
      </c>
      <c r="J67" s="10"/>
      <c r="K67" s="10" t="s">
        <v>228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34</v>
      </c>
      <c r="AA67" s="10" t="s">
        <v>226</v>
      </c>
      <c r="AB67" s="10" t="s">
        <v>226</v>
      </c>
      <c r="AC67" s="10" t="s">
        <v>226</v>
      </c>
      <c r="AE67" s="10"/>
      <c r="AF67" s="10" t="s">
        <v>34</v>
      </c>
      <c r="AG67" s="10" t="s">
        <v>34</v>
      </c>
      <c r="AH67" s="10"/>
      <c r="AI67" s="10"/>
      <c r="AJ67" s="10"/>
      <c r="AK67" s="10"/>
      <c r="AL67" s="10"/>
      <c r="AN67" s="13"/>
    </row>
    <row r="68" spans="1:40" s="1" customFormat="1">
      <c r="A68" s="10">
        <v>60</v>
      </c>
      <c r="B68" s="10"/>
      <c r="C68" s="10"/>
      <c r="D68" s="10" t="s">
        <v>139</v>
      </c>
      <c r="E68" s="30" t="s">
        <v>350</v>
      </c>
      <c r="F68" s="10" t="s">
        <v>140</v>
      </c>
      <c r="G68" s="10" t="s">
        <v>1</v>
      </c>
      <c r="H68" s="10"/>
      <c r="I68" s="10" t="s">
        <v>216</v>
      </c>
      <c r="J68" s="10"/>
      <c r="K68" s="10" t="s">
        <v>217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30</v>
      </c>
      <c r="AA68" s="10" t="s">
        <v>226</v>
      </c>
      <c r="AB68" s="10" t="s">
        <v>226</v>
      </c>
      <c r="AC68" s="10" t="s">
        <v>226</v>
      </c>
      <c r="AE68" s="10"/>
      <c r="AF68" s="10" t="s">
        <v>34</v>
      </c>
      <c r="AG68" s="10" t="s">
        <v>34</v>
      </c>
      <c r="AH68" s="10"/>
      <c r="AI68" s="10"/>
      <c r="AJ68" s="10"/>
      <c r="AK68" s="10"/>
      <c r="AL68" s="10"/>
      <c r="AN68" s="13"/>
    </row>
    <row r="69" spans="1:40" s="1" customFormat="1">
      <c r="A69" s="10">
        <v>60</v>
      </c>
      <c r="B69" s="10"/>
      <c r="C69" s="10"/>
      <c r="D69" s="10" t="s">
        <v>49</v>
      </c>
      <c r="E69" s="30" t="s">
        <v>331</v>
      </c>
      <c r="F69" s="10" t="s">
        <v>42</v>
      </c>
      <c r="G69" s="10" t="s">
        <v>9</v>
      </c>
      <c r="H69" s="10"/>
      <c r="I69" s="10" t="s">
        <v>212</v>
      </c>
      <c r="J69" s="10"/>
      <c r="K69" s="10" t="s">
        <v>228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34</v>
      </c>
      <c r="AA69" s="10" t="s">
        <v>226</v>
      </c>
      <c r="AB69" s="10" t="s">
        <v>226</v>
      </c>
      <c r="AC69" s="10" t="s">
        <v>226</v>
      </c>
      <c r="AE69" s="10"/>
      <c r="AF69" s="10" t="s">
        <v>34</v>
      </c>
      <c r="AG69" s="10" t="s">
        <v>34</v>
      </c>
      <c r="AH69" s="10"/>
      <c r="AI69" s="10"/>
      <c r="AJ69" s="10"/>
      <c r="AK69" s="10"/>
      <c r="AL69" s="10"/>
      <c r="AN69" s="13"/>
    </row>
    <row r="70" spans="1:40" s="1" customFormat="1">
      <c r="A70" s="10">
        <v>60</v>
      </c>
      <c r="B70" s="10"/>
      <c r="C70" s="10"/>
      <c r="D70" s="10" t="s">
        <v>43</v>
      </c>
      <c r="E70" s="30" t="s">
        <v>332</v>
      </c>
      <c r="F70" s="10" t="s">
        <v>45</v>
      </c>
      <c r="G70" s="10" t="s">
        <v>9</v>
      </c>
      <c r="H70" s="10"/>
      <c r="I70" s="10" t="s">
        <v>213</v>
      </c>
      <c r="J70" s="10"/>
      <c r="K70" s="10" t="s">
        <v>228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34</v>
      </c>
      <c r="AA70" s="10" t="s">
        <v>226</v>
      </c>
      <c r="AB70" s="10" t="s">
        <v>226</v>
      </c>
      <c r="AC70" s="10" t="s">
        <v>226</v>
      </c>
      <c r="AE70" s="10"/>
      <c r="AF70" s="10" t="s">
        <v>34</v>
      </c>
      <c r="AG70" s="10" t="s">
        <v>34</v>
      </c>
      <c r="AH70" s="10"/>
      <c r="AI70" s="10"/>
      <c r="AJ70" s="10"/>
      <c r="AK70" s="10"/>
      <c r="AL70" s="10"/>
      <c r="AN70" s="13"/>
    </row>
    <row r="71" spans="1:40" s="1" customFormat="1">
      <c r="A71" s="10">
        <v>60</v>
      </c>
      <c r="B71" s="10"/>
      <c r="C71" s="10"/>
      <c r="D71" s="10" t="s">
        <v>44</v>
      </c>
      <c r="E71" s="30" t="s">
        <v>333</v>
      </c>
      <c r="F71" s="10" t="s">
        <v>46</v>
      </c>
      <c r="G71" s="10" t="s">
        <v>9</v>
      </c>
      <c r="H71" s="10"/>
      <c r="I71" s="10" t="s">
        <v>214</v>
      </c>
      <c r="J71" s="10"/>
      <c r="K71" s="10" t="s">
        <v>228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34</v>
      </c>
      <c r="AA71" s="10" t="s">
        <v>226</v>
      </c>
      <c r="AB71" s="10" t="s">
        <v>226</v>
      </c>
      <c r="AC71" s="10" t="s">
        <v>226</v>
      </c>
      <c r="AE71" s="10"/>
      <c r="AF71" s="10" t="s">
        <v>34</v>
      </c>
      <c r="AG71" s="10" t="s">
        <v>34</v>
      </c>
      <c r="AH71" s="10"/>
      <c r="AI71" s="10"/>
      <c r="AJ71" s="10"/>
      <c r="AK71" s="10"/>
      <c r="AL71" s="10"/>
      <c r="AN71" s="13"/>
    </row>
    <row r="72" spans="1:40" s="1" customFormat="1">
      <c r="A72" s="10">
        <v>60</v>
      </c>
      <c r="B72" s="10"/>
      <c r="C72" s="10"/>
      <c r="D72" s="10" t="s">
        <v>71</v>
      </c>
      <c r="E72" s="30" t="s">
        <v>351</v>
      </c>
      <c r="F72" s="10" t="s">
        <v>66</v>
      </c>
      <c r="G72" s="10" t="s">
        <v>9</v>
      </c>
      <c r="H72" s="10"/>
      <c r="I72" s="10" t="s">
        <v>241</v>
      </c>
      <c r="J72" s="10"/>
      <c r="K72" s="10" t="s">
        <v>228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226</v>
      </c>
      <c r="AA72" s="10" t="s">
        <v>226</v>
      </c>
      <c r="AB72" s="10" t="s">
        <v>226</v>
      </c>
      <c r="AC72" s="10" t="s">
        <v>226</v>
      </c>
      <c r="AE72" s="10"/>
      <c r="AF72" s="10" t="s">
        <v>34</v>
      </c>
      <c r="AG72" s="10"/>
      <c r="AH72" s="10"/>
      <c r="AI72" s="10"/>
      <c r="AJ72" s="10"/>
      <c r="AK72" s="10"/>
      <c r="AL72" s="10"/>
      <c r="AN72" s="13"/>
    </row>
    <row r="73" spans="1:40" s="1" customFormat="1">
      <c r="A73" s="10">
        <v>60</v>
      </c>
      <c r="B73" s="10"/>
      <c r="C73" s="10"/>
      <c r="D73" s="10" t="s">
        <v>72</v>
      </c>
      <c r="E73" s="30" t="s">
        <v>352</v>
      </c>
      <c r="F73" s="10" t="s">
        <v>50</v>
      </c>
      <c r="G73" s="10" t="s">
        <v>9</v>
      </c>
      <c r="H73" s="10"/>
      <c r="I73" s="10" t="s">
        <v>242</v>
      </c>
      <c r="J73" s="10"/>
      <c r="K73" s="10" t="s">
        <v>228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226</v>
      </c>
      <c r="AA73" s="10" t="s">
        <v>226</v>
      </c>
      <c r="AB73" s="10" t="s">
        <v>226</v>
      </c>
      <c r="AC73" s="10" t="s">
        <v>226</v>
      </c>
      <c r="AE73" s="10"/>
      <c r="AF73" s="10" t="s">
        <v>34</v>
      </c>
      <c r="AG73" s="10"/>
      <c r="AH73" s="10"/>
      <c r="AI73" s="10"/>
      <c r="AJ73" s="10"/>
      <c r="AK73" s="10"/>
      <c r="AL73" s="10"/>
      <c r="AN73" s="13"/>
    </row>
    <row r="74" spans="1:40" s="1" customFormat="1">
      <c r="A74" s="10">
        <v>60</v>
      </c>
      <c r="B74" s="10"/>
      <c r="C74" s="10"/>
      <c r="D74" s="10" t="s">
        <v>83</v>
      </c>
      <c r="E74" s="30" t="s">
        <v>353</v>
      </c>
      <c r="F74" s="10" t="s">
        <v>10</v>
      </c>
      <c r="G74" s="10" t="s">
        <v>9</v>
      </c>
      <c r="H74" s="10"/>
      <c r="I74" s="10" t="s">
        <v>243</v>
      </c>
      <c r="J74" s="10"/>
      <c r="K74" s="10" t="s">
        <v>228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226</v>
      </c>
      <c r="AA74" s="10" t="s">
        <v>226</v>
      </c>
      <c r="AB74" s="10" t="s">
        <v>226</v>
      </c>
      <c r="AC74" s="10" t="s">
        <v>226</v>
      </c>
      <c r="AE74" s="10"/>
      <c r="AF74" s="10" t="s">
        <v>34</v>
      </c>
      <c r="AG74" s="10"/>
      <c r="AH74" s="10"/>
      <c r="AI74" s="10"/>
      <c r="AJ74" s="10"/>
      <c r="AK74" s="10"/>
      <c r="AL74" s="10"/>
      <c r="AN74" s="13"/>
    </row>
    <row r="75" spans="1:40" s="1" customFormat="1">
      <c r="A75" s="10">
        <v>60</v>
      </c>
      <c r="B75" s="10"/>
      <c r="C75" s="10"/>
      <c r="D75" s="10" t="s">
        <v>73</v>
      </c>
      <c r="E75" s="30" t="s">
        <v>354</v>
      </c>
      <c r="F75" s="10" t="s">
        <v>52</v>
      </c>
      <c r="G75" s="10" t="s">
        <v>9</v>
      </c>
      <c r="H75" s="10"/>
      <c r="I75" s="10" t="s">
        <v>244</v>
      </c>
      <c r="J75" s="10"/>
      <c r="K75" s="10" t="s">
        <v>228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226</v>
      </c>
      <c r="AA75" s="10" t="s">
        <v>226</v>
      </c>
      <c r="AB75" s="10" t="s">
        <v>226</v>
      </c>
      <c r="AC75" s="10" t="s">
        <v>226</v>
      </c>
      <c r="AE75" s="10"/>
      <c r="AF75" s="10" t="s">
        <v>34</v>
      </c>
      <c r="AG75" s="10"/>
      <c r="AH75" s="10"/>
      <c r="AI75" s="10"/>
      <c r="AJ75" s="10"/>
      <c r="AK75" s="10"/>
      <c r="AL75" s="10"/>
      <c r="AN75" s="13"/>
    </row>
    <row r="76" spans="1:40" s="1" customFormat="1">
      <c r="A76" s="10">
        <v>60</v>
      </c>
      <c r="B76" s="10"/>
      <c r="C76" s="10"/>
      <c r="D76" s="10" t="s">
        <v>78</v>
      </c>
      <c r="E76" s="30" t="s">
        <v>355</v>
      </c>
      <c r="F76" s="10" t="s">
        <v>79</v>
      </c>
      <c r="G76" s="10" t="s">
        <v>9</v>
      </c>
      <c r="H76" s="10"/>
      <c r="I76" s="10" t="s">
        <v>245</v>
      </c>
      <c r="J76" s="10"/>
      <c r="K76" s="10" t="s">
        <v>228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226</v>
      </c>
      <c r="AA76" s="10" t="s">
        <v>226</v>
      </c>
      <c r="AB76" s="10" t="s">
        <v>226</v>
      </c>
      <c r="AC76" s="10" t="s">
        <v>226</v>
      </c>
      <c r="AE76" s="10"/>
      <c r="AF76" s="10" t="s">
        <v>34</v>
      </c>
      <c r="AG76" s="10"/>
      <c r="AH76" s="10"/>
      <c r="AI76" s="10"/>
      <c r="AJ76" s="10"/>
      <c r="AK76" s="10"/>
      <c r="AL76" s="10"/>
      <c r="AN76" s="13"/>
    </row>
    <row r="77" spans="1:40" s="1" customFormat="1">
      <c r="A77" s="10">
        <v>60</v>
      </c>
      <c r="B77" s="10"/>
      <c r="C77" s="10"/>
      <c r="D77" s="10" t="s">
        <v>97</v>
      </c>
      <c r="E77" s="30" t="s">
        <v>356</v>
      </c>
      <c r="F77" s="10" t="s">
        <v>98</v>
      </c>
      <c r="G77" s="10"/>
      <c r="H77" s="10"/>
      <c r="I77" s="10" t="s">
        <v>246</v>
      </c>
      <c r="J77" s="10"/>
      <c r="K77" s="10" t="s">
        <v>228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227</v>
      </c>
      <c r="AA77" s="10" t="s">
        <v>227</v>
      </c>
      <c r="AB77" s="10" t="s">
        <v>227</v>
      </c>
      <c r="AC77" s="10" t="s">
        <v>227</v>
      </c>
      <c r="AE77" s="10"/>
      <c r="AF77" s="10" t="s">
        <v>34</v>
      </c>
      <c r="AG77" s="10" t="s">
        <v>34</v>
      </c>
      <c r="AH77" s="10"/>
      <c r="AI77" s="10" t="s">
        <v>34</v>
      </c>
      <c r="AJ77" s="10"/>
      <c r="AK77" s="10"/>
      <c r="AL77" s="10"/>
      <c r="AN77" s="13"/>
    </row>
    <row r="78" spans="1:40" s="1" customFormat="1">
      <c r="A78" s="10">
        <v>60</v>
      </c>
      <c r="B78" s="10"/>
      <c r="C78" s="10"/>
      <c r="D78" s="10" t="s">
        <v>74</v>
      </c>
      <c r="E78" s="30" t="s">
        <v>357</v>
      </c>
      <c r="F78" s="10" t="s">
        <v>85</v>
      </c>
      <c r="G78" s="10" t="s">
        <v>1</v>
      </c>
      <c r="H78" s="10"/>
      <c r="I78" s="10" t="s">
        <v>241</v>
      </c>
      <c r="J78" s="10"/>
      <c r="K78" s="10" t="s">
        <v>228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226</v>
      </c>
      <c r="AA78" s="10" t="s">
        <v>226</v>
      </c>
      <c r="AB78" s="10" t="s">
        <v>226</v>
      </c>
      <c r="AC78" s="10" t="s">
        <v>226</v>
      </c>
      <c r="AE78" s="10"/>
      <c r="AF78" s="10" t="s">
        <v>34</v>
      </c>
      <c r="AG78" s="10"/>
      <c r="AH78" s="10"/>
      <c r="AI78" s="10"/>
      <c r="AJ78" s="10"/>
      <c r="AK78" s="10"/>
      <c r="AL78" s="10"/>
      <c r="AN78" s="13"/>
    </row>
    <row r="79" spans="1:40" s="1" customFormat="1">
      <c r="A79" s="10">
        <v>60</v>
      </c>
      <c r="B79" s="10"/>
      <c r="C79" s="10"/>
      <c r="D79" s="10" t="s">
        <v>75</v>
      </c>
      <c r="E79" s="30" t="s">
        <v>358</v>
      </c>
      <c r="F79" s="10" t="s">
        <v>51</v>
      </c>
      <c r="G79" s="10" t="s">
        <v>9</v>
      </c>
      <c r="H79" s="10"/>
      <c r="I79" s="10" t="s">
        <v>242</v>
      </c>
      <c r="J79" s="10"/>
      <c r="K79" s="10" t="s">
        <v>228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226</v>
      </c>
      <c r="AA79" s="10" t="s">
        <v>226</v>
      </c>
      <c r="AB79" s="10" t="s">
        <v>226</v>
      </c>
      <c r="AC79" s="10" t="s">
        <v>226</v>
      </c>
      <c r="AE79" s="10"/>
      <c r="AF79" s="10" t="s">
        <v>34</v>
      </c>
      <c r="AG79" s="10"/>
      <c r="AH79" s="10"/>
      <c r="AI79" s="10"/>
      <c r="AJ79" s="10"/>
      <c r="AK79" s="10"/>
      <c r="AL79" s="10"/>
      <c r="AN79" s="13"/>
    </row>
    <row r="80" spans="1:40" s="1" customFormat="1">
      <c r="A80" s="10">
        <v>60</v>
      </c>
      <c r="B80" s="10"/>
      <c r="C80" s="10"/>
      <c r="D80" s="10" t="s">
        <v>76</v>
      </c>
      <c r="E80" s="30" t="s">
        <v>359</v>
      </c>
      <c r="F80" s="10" t="s">
        <v>53</v>
      </c>
      <c r="G80" s="10" t="s">
        <v>9</v>
      </c>
      <c r="H80" s="10"/>
      <c r="I80" s="10" t="s">
        <v>243</v>
      </c>
      <c r="J80" s="10"/>
      <c r="K80" s="10" t="s">
        <v>228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226</v>
      </c>
      <c r="AA80" s="10" t="s">
        <v>226</v>
      </c>
      <c r="AB80" s="10" t="s">
        <v>226</v>
      </c>
      <c r="AC80" s="10" t="s">
        <v>226</v>
      </c>
      <c r="AE80" s="10"/>
      <c r="AF80" s="10" t="s">
        <v>34</v>
      </c>
      <c r="AG80" s="10"/>
      <c r="AH80" s="10"/>
      <c r="AI80" s="10"/>
      <c r="AJ80" s="10"/>
      <c r="AK80" s="10"/>
      <c r="AL80" s="10"/>
      <c r="AN80" s="13"/>
    </row>
    <row r="81" spans="1:40" s="1" customFormat="1">
      <c r="A81" s="10">
        <v>60</v>
      </c>
      <c r="B81" s="10"/>
      <c r="C81" s="10"/>
      <c r="D81" s="10" t="s">
        <v>77</v>
      </c>
      <c r="E81" s="30" t="s">
        <v>360</v>
      </c>
      <c r="F81" s="10" t="s">
        <v>54</v>
      </c>
      <c r="G81" s="10" t="s">
        <v>9</v>
      </c>
      <c r="H81" s="10"/>
      <c r="I81" s="10" t="s">
        <v>244</v>
      </c>
      <c r="J81" s="10"/>
      <c r="K81" s="10" t="s">
        <v>228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226</v>
      </c>
      <c r="AA81" s="10" t="s">
        <v>226</v>
      </c>
      <c r="AB81" s="10" t="s">
        <v>226</v>
      </c>
      <c r="AC81" s="10" t="s">
        <v>226</v>
      </c>
      <c r="AE81" s="10"/>
      <c r="AF81" s="10" t="s">
        <v>34</v>
      </c>
      <c r="AG81" s="10"/>
      <c r="AH81" s="10"/>
      <c r="AI81" s="10"/>
      <c r="AJ81" s="10"/>
      <c r="AK81" s="10"/>
      <c r="AL81" s="10"/>
      <c r="AN81" s="13"/>
    </row>
    <row r="82" spans="1:40" s="1" customFormat="1">
      <c r="A82" s="10">
        <v>60</v>
      </c>
      <c r="B82" s="10"/>
      <c r="C82" s="10"/>
      <c r="D82" s="10" t="s">
        <v>80</v>
      </c>
      <c r="E82" s="30" t="s">
        <v>361</v>
      </c>
      <c r="F82" s="10" t="s">
        <v>81</v>
      </c>
      <c r="G82" s="10" t="s">
        <v>9</v>
      </c>
      <c r="H82" s="10"/>
      <c r="I82" s="10" t="s">
        <v>245</v>
      </c>
      <c r="J82" s="10"/>
      <c r="K82" s="10" t="s">
        <v>228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226</v>
      </c>
      <c r="AA82" s="10" t="s">
        <v>226</v>
      </c>
      <c r="AB82" s="10" t="s">
        <v>226</v>
      </c>
      <c r="AC82" s="10" t="s">
        <v>226</v>
      </c>
      <c r="AE82" s="10"/>
      <c r="AF82" s="10" t="s">
        <v>34</v>
      </c>
      <c r="AG82" s="10"/>
      <c r="AH82" s="10"/>
      <c r="AI82" s="10"/>
      <c r="AJ82" s="10"/>
      <c r="AK82" s="10"/>
      <c r="AL82" s="10"/>
      <c r="AN82" s="13"/>
    </row>
    <row r="83" spans="1:40" s="1" customFormat="1">
      <c r="A83" s="10">
        <v>60</v>
      </c>
      <c r="B83" s="10"/>
      <c r="C83" s="10"/>
      <c r="D83" s="10" t="s">
        <v>82</v>
      </c>
      <c r="E83" s="30" t="s">
        <v>362</v>
      </c>
      <c r="F83" s="10" t="s">
        <v>55</v>
      </c>
      <c r="G83" s="10" t="s">
        <v>9</v>
      </c>
      <c r="H83" s="10"/>
      <c r="I83" s="10" t="s">
        <v>247</v>
      </c>
      <c r="J83" s="10"/>
      <c r="K83" s="10" t="s">
        <v>228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226</v>
      </c>
      <c r="AA83" s="10" t="s">
        <v>226</v>
      </c>
      <c r="AB83" s="10" t="s">
        <v>226</v>
      </c>
      <c r="AC83" s="10" t="s">
        <v>226</v>
      </c>
      <c r="AE83" s="10"/>
      <c r="AF83" s="10" t="s">
        <v>34</v>
      </c>
      <c r="AG83" s="10"/>
      <c r="AH83" s="10"/>
      <c r="AI83" s="10"/>
      <c r="AJ83" s="10"/>
      <c r="AK83" s="10"/>
      <c r="AL83" s="10"/>
      <c r="AN83" s="13"/>
    </row>
    <row r="84" spans="1:40" s="1" customFormat="1">
      <c r="A84" s="10">
        <v>60</v>
      </c>
      <c r="B84" s="10"/>
      <c r="C84" s="10"/>
      <c r="D84" s="10" t="s">
        <v>91</v>
      </c>
      <c r="E84" s="30" t="s">
        <v>363</v>
      </c>
      <c r="F84" s="10" t="s">
        <v>56</v>
      </c>
      <c r="G84" s="10" t="s">
        <v>9</v>
      </c>
      <c r="H84" s="10"/>
      <c r="I84" s="10" t="s">
        <v>241</v>
      </c>
      <c r="J84" s="10"/>
      <c r="K84" s="10" t="s">
        <v>228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226</v>
      </c>
      <c r="AA84" s="10" t="s">
        <v>226</v>
      </c>
      <c r="AB84" s="10" t="s">
        <v>226</v>
      </c>
      <c r="AC84" s="10" t="s">
        <v>226</v>
      </c>
      <c r="AE84" s="10"/>
      <c r="AF84" s="10" t="s">
        <v>34</v>
      </c>
      <c r="AG84" s="10"/>
      <c r="AH84" s="10"/>
      <c r="AI84" s="10"/>
      <c r="AJ84" s="10"/>
      <c r="AK84" s="10"/>
      <c r="AL84" s="10"/>
      <c r="AN84" s="13"/>
    </row>
    <row r="85" spans="1:40" s="1" customFormat="1">
      <c r="A85" s="10">
        <v>60</v>
      </c>
      <c r="B85" s="10"/>
      <c r="C85" s="10"/>
      <c r="D85" s="10" t="s">
        <v>92</v>
      </c>
      <c r="E85" s="30" t="s">
        <v>364</v>
      </c>
      <c r="F85" s="10" t="s">
        <v>57</v>
      </c>
      <c r="G85" s="10" t="s">
        <v>9</v>
      </c>
      <c r="H85" s="10"/>
      <c r="I85" s="10" t="s">
        <v>242</v>
      </c>
      <c r="J85" s="10"/>
      <c r="K85" s="10" t="s">
        <v>228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226</v>
      </c>
      <c r="AA85" s="10" t="s">
        <v>226</v>
      </c>
      <c r="AB85" s="10" t="s">
        <v>226</v>
      </c>
      <c r="AC85" s="10" t="s">
        <v>226</v>
      </c>
      <c r="AE85" s="10"/>
      <c r="AF85" s="10" t="s">
        <v>34</v>
      </c>
      <c r="AG85" s="10"/>
      <c r="AH85" s="10"/>
      <c r="AI85" s="10"/>
      <c r="AJ85" s="10"/>
      <c r="AK85" s="10"/>
      <c r="AL85" s="10"/>
      <c r="AN85" s="13"/>
    </row>
    <row r="86" spans="1:40" s="1" customFormat="1">
      <c r="A86" s="10">
        <v>60</v>
      </c>
      <c r="B86" s="10"/>
      <c r="C86" s="10"/>
      <c r="D86" s="10" t="s">
        <v>93</v>
      </c>
      <c r="E86" s="30" t="s">
        <v>365</v>
      </c>
      <c r="F86" s="10" t="s">
        <v>58</v>
      </c>
      <c r="G86" s="10" t="s">
        <v>9</v>
      </c>
      <c r="H86" s="10"/>
      <c r="I86" s="10" t="s">
        <v>243</v>
      </c>
      <c r="J86" s="10"/>
      <c r="K86" s="10" t="s">
        <v>228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226</v>
      </c>
      <c r="AA86" s="10" t="s">
        <v>226</v>
      </c>
      <c r="AB86" s="10" t="s">
        <v>226</v>
      </c>
      <c r="AC86" s="10" t="s">
        <v>226</v>
      </c>
      <c r="AE86" s="10"/>
      <c r="AF86" s="10" t="s">
        <v>34</v>
      </c>
      <c r="AG86" s="10"/>
      <c r="AH86" s="10"/>
      <c r="AI86" s="10"/>
      <c r="AJ86" s="10"/>
      <c r="AK86" s="10"/>
      <c r="AL86" s="10"/>
      <c r="AN86" s="13"/>
    </row>
    <row r="87" spans="1:40" s="1" customFormat="1">
      <c r="A87" s="40"/>
      <c r="AE87" s="35"/>
      <c r="AF87" s="35"/>
      <c r="AG87" s="35"/>
      <c r="AH87" s="35"/>
      <c r="AI87" s="35"/>
      <c r="AJ87" s="35"/>
      <c r="AK87" s="35"/>
      <c r="AL87" s="35"/>
      <c r="AN87" s="14"/>
    </row>
    <row r="88" spans="1:40" s="1" customFormat="1">
      <c r="A88" s="10">
        <v>70</v>
      </c>
      <c r="B88" s="11" t="s">
        <v>11</v>
      </c>
      <c r="C88" s="11"/>
      <c r="D88" s="11" t="s">
        <v>84</v>
      </c>
      <c r="E88" s="12"/>
      <c r="F88" s="11"/>
      <c r="G88" s="11"/>
      <c r="H88" s="11"/>
      <c r="I88" s="11" t="s">
        <v>30</v>
      </c>
      <c r="J88" s="11"/>
      <c r="K88" s="11" t="s">
        <v>31</v>
      </c>
      <c r="L88" s="11"/>
      <c r="M88" s="11" t="s">
        <v>248</v>
      </c>
      <c r="N88" s="11" t="s">
        <v>183</v>
      </c>
      <c r="O88" s="11"/>
      <c r="P88" s="11"/>
      <c r="Q88" s="16"/>
      <c r="R88" s="16"/>
      <c r="S88" s="16"/>
      <c r="T88" s="16"/>
      <c r="U88" s="16"/>
      <c r="V88" s="16"/>
      <c r="W88" s="16"/>
      <c r="X88" s="16"/>
      <c r="Y88" s="17"/>
      <c r="Z88" s="16"/>
      <c r="AA88" s="16"/>
      <c r="AB88" s="16"/>
      <c r="AC88" s="16"/>
      <c r="AD88" s="17"/>
      <c r="AE88" s="10"/>
      <c r="AF88" s="10"/>
      <c r="AG88" s="10"/>
      <c r="AH88" s="10"/>
      <c r="AI88" s="10"/>
      <c r="AJ88" s="10"/>
      <c r="AK88" s="10"/>
      <c r="AL88" s="10"/>
      <c r="AM88" s="17"/>
      <c r="AN88" s="13"/>
    </row>
    <row r="89" spans="1:40" s="1" customFormat="1">
      <c r="A89" s="10">
        <v>70</v>
      </c>
      <c r="B89" s="10"/>
      <c r="C89" s="10"/>
      <c r="D89" s="10" t="s">
        <v>59</v>
      </c>
      <c r="E89" s="30" t="s">
        <v>366</v>
      </c>
      <c r="F89" s="10" t="s">
        <v>61</v>
      </c>
      <c r="G89" s="10" t="s">
        <v>63</v>
      </c>
      <c r="H89" s="10"/>
      <c r="I89" s="10" t="s">
        <v>249</v>
      </c>
      <c r="J89" s="10"/>
      <c r="K89" s="10" t="s">
        <v>250</v>
      </c>
      <c r="L89" s="10"/>
      <c r="M89" s="10"/>
      <c r="N89" s="10"/>
      <c r="O89" s="10"/>
      <c r="P89" s="10"/>
      <c r="Q89" s="10"/>
      <c r="R89" s="10"/>
      <c r="S89" s="10"/>
      <c r="T89" s="10" t="s">
        <v>251</v>
      </c>
      <c r="U89" s="10"/>
      <c r="V89" s="10"/>
      <c r="W89" s="10"/>
      <c r="X89" s="10"/>
      <c r="Z89" s="10" t="s">
        <v>34</v>
      </c>
      <c r="AA89" s="10" t="s">
        <v>162</v>
      </c>
      <c r="AB89" s="10" t="s">
        <v>34</v>
      </c>
      <c r="AC89" s="10" t="s">
        <v>162</v>
      </c>
      <c r="AE89" s="10"/>
      <c r="AF89" s="10"/>
      <c r="AG89" s="10"/>
      <c r="AH89" s="10"/>
      <c r="AI89" s="10"/>
      <c r="AJ89" s="10"/>
      <c r="AK89" s="10"/>
      <c r="AL89" s="10"/>
      <c r="AN89" s="13"/>
    </row>
    <row r="90" spans="1:40" s="1" customFormat="1">
      <c r="A90" s="10">
        <v>70</v>
      </c>
      <c r="B90" s="10"/>
      <c r="C90" s="10"/>
      <c r="D90" s="10" t="s">
        <v>60</v>
      </c>
      <c r="E90" s="30" t="s">
        <v>367</v>
      </c>
      <c r="F90" s="10" t="s">
        <v>62</v>
      </c>
      <c r="G90" s="10" t="s">
        <v>64</v>
      </c>
      <c r="H90" s="10"/>
      <c r="I90" s="10" t="s">
        <v>249</v>
      </c>
      <c r="J90" s="10"/>
      <c r="K90" s="10" t="s">
        <v>250</v>
      </c>
      <c r="L90" s="10"/>
      <c r="M90" s="10"/>
      <c r="N90" s="10"/>
      <c r="O90" s="10"/>
      <c r="P90" s="10"/>
      <c r="Q90" s="10"/>
      <c r="R90" s="10"/>
      <c r="S90" s="10"/>
      <c r="T90" s="10" t="s">
        <v>252</v>
      </c>
      <c r="U90" s="10"/>
      <c r="V90" s="10"/>
      <c r="W90" s="10"/>
      <c r="X90" s="10"/>
      <c r="Z90" s="10" t="s">
        <v>34</v>
      </c>
      <c r="AA90" s="10" t="s">
        <v>162</v>
      </c>
      <c r="AB90" s="10" t="s">
        <v>34</v>
      </c>
      <c r="AC90" s="10" t="s">
        <v>162</v>
      </c>
      <c r="AE90" s="10"/>
      <c r="AF90" s="10"/>
      <c r="AG90" s="10"/>
      <c r="AH90" s="10"/>
      <c r="AI90" s="10"/>
      <c r="AJ90" s="10"/>
      <c r="AK90" s="10"/>
      <c r="AL90" s="10"/>
      <c r="AN90" s="13"/>
    </row>
    <row r="91" spans="1:40" s="1" customFormat="1">
      <c r="A91" s="10">
        <v>70</v>
      </c>
      <c r="B91" s="10"/>
      <c r="C91" s="10"/>
      <c r="D91" s="10" t="s">
        <v>284</v>
      </c>
      <c r="E91" s="30" t="s">
        <v>368</v>
      </c>
      <c r="F91" s="10" t="s">
        <v>35</v>
      </c>
      <c r="G91" s="10" t="s">
        <v>36</v>
      </c>
      <c r="H91" s="10"/>
      <c r="I91" s="10" t="s">
        <v>249</v>
      </c>
      <c r="J91" s="10"/>
      <c r="K91" s="10" t="s">
        <v>250</v>
      </c>
      <c r="L91" s="10"/>
      <c r="M91" s="10"/>
      <c r="N91" s="10"/>
      <c r="O91" s="10"/>
      <c r="P91" s="10"/>
      <c r="Q91" s="10" t="s">
        <v>253</v>
      </c>
      <c r="R91" s="10" t="s">
        <v>254</v>
      </c>
      <c r="S91" s="10"/>
      <c r="T91" s="10" t="s">
        <v>255</v>
      </c>
      <c r="U91" s="10"/>
      <c r="V91" s="10"/>
      <c r="W91" s="10"/>
      <c r="X91" s="10"/>
      <c r="Z91" s="10" t="s">
        <v>34</v>
      </c>
      <c r="AA91" s="10" t="s">
        <v>162</v>
      </c>
      <c r="AB91" s="10" t="s">
        <v>162</v>
      </c>
      <c r="AC91" s="10" t="s">
        <v>162</v>
      </c>
      <c r="AE91" s="10"/>
      <c r="AF91" s="10"/>
      <c r="AG91" s="10"/>
      <c r="AH91" s="10"/>
      <c r="AI91" s="10"/>
      <c r="AJ91" s="10"/>
      <c r="AK91" s="10"/>
      <c r="AL91" s="10"/>
      <c r="AN91" s="13"/>
    </row>
    <row r="92" spans="1:40" s="1" customFormat="1">
      <c r="A92" s="10">
        <v>70</v>
      </c>
      <c r="B92" s="10"/>
      <c r="C92" s="10"/>
      <c r="D92" s="10" t="s">
        <v>285</v>
      </c>
      <c r="E92" s="30" t="s">
        <v>369</v>
      </c>
      <c r="F92" s="10" t="s">
        <v>37</v>
      </c>
      <c r="G92" s="10" t="s">
        <v>38</v>
      </c>
      <c r="H92" s="10"/>
      <c r="I92" s="10" t="s">
        <v>249</v>
      </c>
      <c r="J92" s="10"/>
      <c r="K92" s="10" t="s">
        <v>250</v>
      </c>
      <c r="L92" s="10"/>
      <c r="M92" s="10"/>
      <c r="N92" s="10"/>
      <c r="O92" s="10"/>
      <c r="P92" s="10"/>
      <c r="Q92" s="10" t="s">
        <v>256</v>
      </c>
      <c r="R92" s="10" t="s">
        <v>254</v>
      </c>
      <c r="S92" s="10"/>
      <c r="T92" s="10" t="s">
        <v>257</v>
      </c>
      <c r="U92" s="10"/>
      <c r="V92" s="10"/>
      <c r="W92" s="10"/>
      <c r="X92" s="10"/>
      <c r="Z92" s="10" t="s">
        <v>34</v>
      </c>
      <c r="AA92" s="10" t="s">
        <v>162</v>
      </c>
      <c r="AB92" s="10" t="s">
        <v>162</v>
      </c>
      <c r="AC92" s="10" t="s">
        <v>162</v>
      </c>
      <c r="AE92" s="10"/>
      <c r="AF92" s="10"/>
      <c r="AG92" s="10"/>
      <c r="AH92" s="10"/>
      <c r="AI92" s="10"/>
      <c r="AJ92" s="10"/>
      <c r="AK92" s="10"/>
      <c r="AL92" s="10"/>
      <c r="AN92" s="13"/>
    </row>
    <row r="93" spans="1:40" s="1" customFormat="1">
      <c r="A93" s="10">
        <v>70</v>
      </c>
      <c r="B93" s="10"/>
      <c r="C93" s="10"/>
      <c r="D93" s="10" t="s">
        <v>286</v>
      </c>
      <c r="E93" s="30" t="s">
        <v>370</v>
      </c>
      <c r="F93" s="10" t="s">
        <v>39</v>
      </c>
      <c r="G93" s="10" t="s">
        <v>40</v>
      </c>
      <c r="H93" s="10"/>
      <c r="I93" s="10" t="s">
        <v>249</v>
      </c>
      <c r="J93" s="10"/>
      <c r="K93" s="10" t="s">
        <v>250</v>
      </c>
      <c r="L93" s="10"/>
      <c r="M93" s="10"/>
      <c r="N93" s="10"/>
      <c r="O93" s="10"/>
      <c r="P93" s="10"/>
      <c r="Q93" s="10" t="s">
        <v>258</v>
      </c>
      <c r="R93" s="10" t="s">
        <v>254</v>
      </c>
      <c r="S93" s="10"/>
      <c r="T93" s="10" t="s">
        <v>259</v>
      </c>
      <c r="U93" s="10"/>
      <c r="V93" s="10"/>
      <c r="W93" s="10"/>
      <c r="X93" s="10"/>
      <c r="Z93" s="10" t="s">
        <v>34</v>
      </c>
      <c r="AA93" s="10" t="s">
        <v>162</v>
      </c>
      <c r="AB93" s="10" t="s">
        <v>162</v>
      </c>
      <c r="AC93" s="10" t="s">
        <v>162</v>
      </c>
      <c r="AE93" s="10"/>
      <c r="AF93" s="10"/>
      <c r="AG93" s="10"/>
      <c r="AH93" s="10"/>
      <c r="AI93" s="10"/>
      <c r="AJ93" s="10"/>
      <c r="AK93" s="10"/>
      <c r="AL93" s="10"/>
      <c r="AN93" s="13"/>
    </row>
    <row r="94" spans="1:40" s="1" customFormat="1" ht="26">
      <c r="A94" s="10">
        <v>70</v>
      </c>
      <c r="B94" s="10"/>
      <c r="C94" s="10"/>
      <c r="D94" s="10" t="s">
        <v>287</v>
      </c>
      <c r="E94" s="30" t="s">
        <v>371</v>
      </c>
      <c r="F94" s="10" t="s">
        <v>149</v>
      </c>
      <c r="G94" s="10" t="s">
        <v>150</v>
      </c>
      <c r="H94" s="10"/>
      <c r="I94" s="10" t="s">
        <v>260</v>
      </c>
      <c r="J94" s="10"/>
      <c r="K94" s="10" t="s">
        <v>33</v>
      </c>
      <c r="L94" s="10"/>
      <c r="M94" s="10" t="s">
        <v>183</v>
      </c>
      <c r="N94" s="10"/>
      <c r="O94" s="10"/>
      <c r="P94" s="10"/>
      <c r="Q94" s="10" t="s">
        <v>296</v>
      </c>
      <c r="R94" s="10"/>
      <c r="S94" s="10"/>
      <c r="T94" s="10" t="s">
        <v>261</v>
      </c>
      <c r="U94" s="10"/>
      <c r="V94" s="10"/>
      <c r="W94" s="10"/>
      <c r="X94" s="10"/>
      <c r="Z94" s="10" t="s">
        <v>34</v>
      </c>
      <c r="AA94" s="10" t="s">
        <v>162</v>
      </c>
      <c r="AB94" s="10" t="s">
        <v>162</v>
      </c>
      <c r="AC94" s="10" t="s">
        <v>162</v>
      </c>
      <c r="AE94" s="10"/>
      <c r="AF94" s="10"/>
      <c r="AG94" s="10"/>
      <c r="AH94" s="10"/>
      <c r="AI94" s="10"/>
      <c r="AJ94" s="10"/>
      <c r="AK94" s="10"/>
      <c r="AL94" s="10"/>
      <c r="AN94" s="13"/>
    </row>
    <row r="95" spans="1:40" s="1" customFormat="1" ht="26">
      <c r="A95" s="10">
        <v>70</v>
      </c>
      <c r="B95" s="10"/>
      <c r="C95" s="10"/>
      <c r="D95" s="10" t="s">
        <v>68</v>
      </c>
      <c r="E95" s="30" t="s">
        <v>372</v>
      </c>
      <c r="F95" s="10" t="s">
        <v>144</v>
      </c>
      <c r="G95" s="10" t="s">
        <v>143</v>
      </c>
      <c r="H95" s="10"/>
      <c r="I95" s="10" t="s">
        <v>262</v>
      </c>
      <c r="J95" s="10"/>
      <c r="K95" s="10" t="s">
        <v>33</v>
      </c>
      <c r="L95" s="10"/>
      <c r="M95" s="10" t="s">
        <v>183</v>
      </c>
      <c r="N95" s="10"/>
      <c r="O95" s="10"/>
      <c r="P95" s="10"/>
      <c r="Q95" s="10" t="s">
        <v>297</v>
      </c>
      <c r="R95" s="10"/>
      <c r="S95" s="10"/>
      <c r="T95" s="10" t="s">
        <v>263</v>
      </c>
      <c r="U95" s="10"/>
      <c r="V95" s="10"/>
      <c r="W95" s="10"/>
      <c r="X95" s="10"/>
      <c r="Z95" s="10" t="s">
        <v>162</v>
      </c>
      <c r="AA95" s="10" t="s">
        <v>162</v>
      </c>
      <c r="AB95" s="10" t="s">
        <v>34</v>
      </c>
      <c r="AC95" s="10" t="s">
        <v>162</v>
      </c>
      <c r="AE95" s="10"/>
      <c r="AF95" s="10"/>
      <c r="AG95" s="10"/>
      <c r="AH95" s="10"/>
      <c r="AI95" s="10"/>
      <c r="AJ95" s="10"/>
      <c r="AK95" s="10"/>
      <c r="AL95" s="10"/>
      <c r="AN95" s="13"/>
    </row>
    <row r="96" spans="1:40" s="1" customFormat="1" ht="52">
      <c r="A96" s="40"/>
      <c r="AE96" s="35" t="s">
        <v>373</v>
      </c>
      <c r="AF96" s="35" t="s">
        <v>374</v>
      </c>
      <c r="AG96" s="35" t="s">
        <v>373</v>
      </c>
      <c r="AH96" s="35" t="s">
        <v>374</v>
      </c>
      <c r="AI96" s="35" t="s">
        <v>373</v>
      </c>
      <c r="AJ96" s="35" t="s">
        <v>374</v>
      </c>
      <c r="AK96" s="35" t="s">
        <v>373</v>
      </c>
      <c r="AL96" s="35" t="s">
        <v>374</v>
      </c>
      <c r="AN96" s="14"/>
    </row>
    <row r="97" spans="1:40" s="1" customFormat="1">
      <c r="A97" s="50">
        <v>80</v>
      </c>
      <c r="B97" s="25" t="s">
        <v>69</v>
      </c>
      <c r="C97" s="25"/>
      <c r="D97" s="25" t="s">
        <v>70</v>
      </c>
      <c r="E97" s="26"/>
      <c r="F97" s="25"/>
      <c r="G97" s="25"/>
      <c r="H97" s="25"/>
      <c r="I97" s="25" t="s">
        <v>30</v>
      </c>
      <c r="J97" s="25"/>
      <c r="K97" s="25" t="s">
        <v>31</v>
      </c>
      <c r="L97" s="25"/>
      <c r="M97" s="25" t="s">
        <v>264</v>
      </c>
      <c r="N97" s="25" t="s">
        <v>183</v>
      </c>
      <c r="O97" s="25"/>
      <c r="P97" s="25"/>
      <c r="Q97" s="27"/>
      <c r="R97" s="27"/>
      <c r="S97" s="27"/>
      <c r="T97" s="27"/>
      <c r="U97" s="27"/>
      <c r="V97" s="27"/>
      <c r="W97" s="27"/>
      <c r="X97" s="27"/>
      <c r="Y97" s="53"/>
      <c r="Z97" s="27"/>
      <c r="AA97" s="27"/>
      <c r="AB97" s="27"/>
      <c r="AC97" s="27"/>
      <c r="AD97" s="53"/>
      <c r="AE97" s="50"/>
      <c r="AF97" s="50"/>
      <c r="AG97" s="50"/>
      <c r="AH97" s="50"/>
      <c r="AI97" s="50"/>
      <c r="AJ97" s="50"/>
      <c r="AK97" s="50"/>
      <c r="AL97" s="50"/>
      <c r="AM97" s="53"/>
      <c r="AN97" s="28"/>
    </row>
    <row r="98" spans="1:40" s="1" customFormat="1">
      <c r="A98" s="2"/>
      <c r="B98" s="3"/>
      <c r="C98" s="3"/>
      <c r="D98" s="4" t="s">
        <v>288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18"/>
    </row>
    <row r="99" spans="1:40" s="1" customFormat="1">
      <c r="A99" s="40"/>
      <c r="AN99" s="14"/>
    </row>
    <row r="100" spans="1:40" s="1" customFormat="1">
      <c r="A100" s="40"/>
      <c r="AN100" s="14"/>
    </row>
    <row r="101" spans="1:40" s="1" customFormat="1">
      <c r="A101" s="40"/>
      <c r="AN101" s="14"/>
    </row>
    <row r="102" spans="1:40" s="1" customFormat="1">
      <c r="A102" s="40"/>
      <c r="AN102" s="14"/>
    </row>
    <row r="103" spans="1:40" s="1" customFormat="1">
      <c r="A103" s="40"/>
      <c r="AN103" s="14"/>
    </row>
    <row r="104" spans="1:40" s="1" customFormat="1">
      <c r="A104" s="40"/>
      <c r="AN104" s="14"/>
    </row>
    <row r="105" spans="1:40" s="1" customFormat="1">
      <c r="A105" s="40"/>
      <c r="AN105" s="14"/>
    </row>
    <row r="106" spans="1:40" s="1" customFormat="1">
      <c r="A106" s="40"/>
      <c r="AN106" s="14"/>
    </row>
    <row r="107" spans="1:40" s="1" customFormat="1">
      <c r="A107" s="40"/>
      <c r="AN107" s="14"/>
    </row>
    <row r="108" spans="1:40" s="1" customFormat="1">
      <c r="A108" s="40"/>
      <c r="AN108" s="14"/>
    </row>
    <row r="109" spans="1:40" s="1" customFormat="1">
      <c r="A109" s="40"/>
      <c r="AN109" s="14"/>
    </row>
    <row r="110" spans="1:40" s="1" customFormat="1">
      <c r="A110" s="40"/>
      <c r="AN110" s="14"/>
    </row>
    <row r="111" spans="1:40" s="1" customFormat="1">
      <c r="A111" s="40"/>
      <c r="AN111" s="14"/>
    </row>
    <row r="112" spans="1:40" s="1" customFormat="1">
      <c r="A112" s="40"/>
      <c r="AN112" s="14"/>
    </row>
    <row r="113" spans="1:40" s="1" customFormat="1">
      <c r="A113" s="40"/>
      <c r="AN113" s="14"/>
    </row>
    <row r="114" spans="1:40" s="1" customFormat="1">
      <c r="A114" s="40"/>
      <c r="AN114" s="14"/>
    </row>
    <row r="115" spans="1:40" s="1" customFormat="1">
      <c r="A115" s="40"/>
      <c r="AN115" s="14"/>
    </row>
    <row r="116" spans="1:40" s="1" customFormat="1">
      <c r="A116" s="40"/>
      <c r="AN116" s="14"/>
    </row>
    <row r="117" spans="1:40" s="1" customFormat="1">
      <c r="A117" s="40"/>
      <c r="AN117" s="14"/>
    </row>
    <row r="118" spans="1:40" s="1" customFormat="1">
      <c r="A118" s="40"/>
      <c r="AN118" s="14"/>
    </row>
    <row r="119" spans="1:40" s="1" customFormat="1">
      <c r="A119" s="40"/>
      <c r="AN119" s="14"/>
    </row>
    <row r="120" spans="1:40" s="1" customFormat="1">
      <c r="A120" s="40"/>
      <c r="AN120" s="14"/>
    </row>
    <row r="121" spans="1:40" s="1" customFormat="1">
      <c r="A121" s="40"/>
      <c r="AN121" s="14"/>
    </row>
    <row r="122" spans="1:40" s="1" customFormat="1">
      <c r="A122" s="40"/>
      <c r="AN122" s="14"/>
    </row>
    <row r="123" spans="1:40" s="1" customFormat="1">
      <c r="A123" s="40"/>
      <c r="AN123" s="14"/>
    </row>
    <row r="124" spans="1:40" s="1" customFormat="1">
      <c r="A124" s="40"/>
      <c r="AN124" s="14"/>
    </row>
    <row r="125" spans="1:40" s="1" customFormat="1">
      <c r="A125" s="40"/>
      <c r="AN125" s="14"/>
    </row>
    <row r="126" spans="1:40" s="1" customFormat="1">
      <c r="A126" s="40"/>
      <c r="AN126" s="14"/>
    </row>
    <row r="127" spans="1:40" s="1" customFormat="1">
      <c r="A127" s="40"/>
      <c r="AN127" s="14"/>
    </row>
    <row r="128" spans="1:40" s="1" customFormat="1">
      <c r="A128" s="40"/>
      <c r="AN128" s="14"/>
    </row>
    <row r="129" spans="1:40" s="1" customFormat="1">
      <c r="A129" s="40"/>
      <c r="AN129" s="14"/>
    </row>
    <row r="130" spans="1:40" s="1" customFormat="1">
      <c r="A130" s="40"/>
      <c r="AN130" s="14"/>
    </row>
    <row r="131" spans="1:40" s="1" customFormat="1">
      <c r="A131" s="40"/>
      <c r="AN131" s="14"/>
    </row>
    <row r="132" spans="1:40" s="1" customFormat="1">
      <c r="A132" s="40"/>
      <c r="AN132" s="14"/>
    </row>
    <row r="133" spans="1:40" s="1" customFormat="1">
      <c r="A133" s="40"/>
      <c r="AN133" s="14"/>
    </row>
    <row r="134" spans="1:40" s="1" customFormat="1">
      <c r="A134" s="40"/>
      <c r="AN134" s="14"/>
    </row>
    <row r="135" spans="1:40" s="1" customFormat="1">
      <c r="A135" s="40"/>
      <c r="AN135" s="14"/>
    </row>
    <row r="136" spans="1:40" s="1" customFormat="1">
      <c r="A136" s="40"/>
      <c r="AN136" s="14"/>
    </row>
    <row r="137" spans="1:40" s="1" customFormat="1">
      <c r="A137" s="40"/>
      <c r="AN137" s="14"/>
    </row>
    <row r="138" spans="1:40" s="1" customFormat="1">
      <c r="A138" s="43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4" t="s">
        <v>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107" t="s">
        <v>5</v>
      </c>
      <c r="I3" s="69"/>
      <c r="J3" s="69"/>
      <c r="K3" s="69"/>
      <c r="L3" s="69"/>
      <c r="M3" s="69"/>
      <c r="N3" s="70"/>
      <c r="O3" s="107" t="s">
        <v>6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7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65"/>
      <c r="I4" s="66"/>
      <c r="J4" s="66"/>
      <c r="K4" s="66"/>
      <c r="L4" s="66"/>
      <c r="M4" s="66"/>
      <c r="N4" s="67"/>
      <c r="O4" s="65" t="s">
        <v>8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71"/>
      <c r="I5" s="82"/>
      <c r="J5" s="82"/>
      <c r="K5" s="82"/>
      <c r="L5" s="82"/>
      <c r="M5" s="82"/>
      <c r="N5" s="83"/>
      <c r="O5" s="84" t="s">
        <v>375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376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79"/>
      <c r="B6" s="80"/>
      <c r="C6" s="80"/>
      <c r="D6" s="80"/>
      <c r="E6" s="80"/>
      <c r="F6" s="80"/>
      <c r="G6" s="81"/>
      <c r="H6" s="71"/>
      <c r="I6" s="82"/>
      <c r="J6" s="82"/>
      <c r="K6" s="82"/>
      <c r="L6" s="82"/>
      <c r="M6" s="82"/>
      <c r="N6" s="83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79"/>
      <c r="B7" s="80"/>
      <c r="C7" s="80"/>
      <c r="D7" s="80"/>
      <c r="E7" s="80"/>
      <c r="F7" s="80"/>
      <c r="G7" s="81"/>
      <c r="H7" s="71"/>
      <c r="I7" s="82"/>
      <c r="J7" s="82"/>
      <c r="K7" s="82"/>
      <c r="L7" s="82"/>
      <c r="M7" s="82"/>
      <c r="N7" s="83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79"/>
      <c r="B8" s="80"/>
      <c r="C8" s="80"/>
      <c r="D8" s="80"/>
      <c r="E8" s="80"/>
      <c r="F8" s="80"/>
      <c r="G8" s="81"/>
      <c r="H8" s="71"/>
      <c r="I8" s="82"/>
      <c r="J8" s="82"/>
      <c r="K8" s="82"/>
      <c r="L8" s="82"/>
      <c r="M8" s="82"/>
      <c r="N8" s="83"/>
      <c r="O8" s="71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79"/>
      <c r="B9" s="80"/>
      <c r="C9" s="80"/>
      <c r="D9" s="80"/>
      <c r="E9" s="80"/>
      <c r="F9" s="80"/>
      <c r="G9" s="81"/>
      <c r="H9" s="71"/>
      <c r="I9" s="82"/>
      <c r="J9" s="82"/>
      <c r="K9" s="82"/>
      <c r="L9" s="82"/>
      <c r="M9" s="82"/>
      <c r="N9" s="83"/>
      <c r="O9" s="71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79"/>
      <c r="B10" s="80"/>
      <c r="C10" s="80"/>
      <c r="D10" s="80"/>
      <c r="E10" s="80"/>
      <c r="F10" s="80"/>
      <c r="G10" s="81"/>
      <c r="H10" s="71"/>
      <c r="I10" s="82"/>
      <c r="J10" s="82"/>
      <c r="K10" s="82"/>
      <c r="L10" s="82"/>
      <c r="M10" s="82"/>
      <c r="N10" s="83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79"/>
      <c r="B11" s="80"/>
      <c r="C11" s="80"/>
      <c r="D11" s="80"/>
      <c r="E11" s="80"/>
      <c r="F11" s="80"/>
      <c r="G11" s="81"/>
      <c r="H11" s="71"/>
      <c r="I11" s="82"/>
      <c r="J11" s="82"/>
      <c r="K11" s="82"/>
      <c r="L11" s="82"/>
      <c r="M11" s="82"/>
      <c r="N11" s="83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79"/>
      <c r="B12" s="80"/>
      <c r="C12" s="80"/>
      <c r="D12" s="80"/>
      <c r="E12" s="80"/>
      <c r="F12" s="80"/>
      <c r="G12" s="81"/>
      <c r="H12" s="71"/>
      <c r="I12" s="82"/>
      <c r="J12" s="82"/>
      <c r="K12" s="82"/>
      <c r="L12" s="82"/>
      <c r="M12" s="82"/>
      <c r="N12" s="83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79"/>
      <c r="B13" s="80"/>
      <c r="C13" s="80"/>
      <c r="D13" s="80"/>
      <c r="E13" s="80"/>
      <c r="F13" s="80"/>
      <c r="G13" s="81"/>
      <c r="H13" s="71"/>
      <c r="I13" s="82"/>
      <c r="J13" s="82"/>
      <c r="K13" s="82"/>
      <c r="L13" s="82"/>
      <c r="M13" s="82"/>
      <c r="N13" s="83"/>
      <c r="O13" s="71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79"/>
      <c r="B14" s="80"/>
      <c r="C14" s="80"/>
      <c r="D14" s="80"/>
      <c r="E14" s="80"/>
      <c r="F14" s="80"/>
      <c r="G14" s="81"/>
      <c r="H14" s="71"/>
      <c r="I14" s="82"/>
      <c r="J14" s="82"/>
      <c r="K14" s="82"/>
      <c r="L14" s="82"/>
      <c r="M14" s="82"/>
      <c r="N14" s="83"/>
      <c r="O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79"/>
      <c r="B15" s="80"/>
      <c r="C15" s="80"/>
      <c r="D15" s="80"/>
      <c r="E15" s="80"/>
      <c r="F15" s="80"/>
      <c r="G15" s="81"/>
      <c r="H15" s="71"/>
      <c r="I15" s="82"/>
      <c r="J15" s="82"/>
      <c r="K15" s="82"/>
      <c r="L15" s="82"/>
      <c r="M15" s="82"/>
      <c r="N15" s="83"/>
      <c r="O15" s="71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79"/>
      <c r="B16" s="80"/>
      <c r="C16" s="80"/>
      <c r="D16" s="80"/>
      <c r="E16" s="80"/>
      <c r="F16" s="80"/>
      <c r="G16" s="81"/>
      <c r="H16" s="71"/>
      <c r="I16" s="82"/>
      <c r="J16" s="82"/>
      <c r="K16" s="82"/>
      <c r="L16" s="82"/>
      <c r="M16" s="82"/>
      <c r="N16" s="83"/>
      <c r="O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79"/>
      <c r="B17" s="80"/>
      <c r="C17" s="80"/>
      <c r="D17" s="80"/>
      <c r="E17" s="80"/>
      <c r="F17" s="80"/>
      <c r="G17" s="81"/>
      <c r="H17" s="71"/>
      <c r="I17" s="82"/>
      <c r="J17" s="82"/>
      <c r="K17" s="82"/>
      <c r="L17" s="82"/>
      <c r="M17" s="82"/>
      <c r="N17" s="83"/>
      <c r="O17" s="71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79"/>
      <c r="B18" s="80"/>
      <c r="C18" s="80"/>
      <c r="D18" s="80"/>
      <c r="E18" s="80"/>
      <c r="F18" s="80"/>
      <c r="G18" s="81"/>
      <c r="H18" s="71"/>
      <c r="I18" s="82"/>
      <c r="J18" s="82"/>
      <c r="K18" s="82"/>
      <c r="L18" s="82"/>
      <c r="M18" s="82"/>
      <c r="N18" s="83"/>
      <c r="O18" s="71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79"/>
      <c r="B19" s="80"/>
      <c r="C19" s="80"/>
      <c r="D19" s="80"/>
      <c r="E19" s="80"/>
      <c r="F19" s="80"/>
      <c r="G19" s="81"/>
      <c r="H19" s="71"/>
      <c r="I19" s="82"/>
      <c r="J19" s="82"/>
      <c r="K19" s="82"/>
      <c r="L19" s="82"/>
      <c r="M19" s="82"/>
      <c r="N19" s="83"/>
      <c r="O19" s="71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79"/>
      <c r="B20" s="80"/>
      <c r="C20" s="80"/>
      <c r="D20" s="80"/>
      <c r="E20" s="80"/>
      <c r="F20" s="80"/>
      <c r="G20" s="81"/>
      <c r="H20" s="71"/>
      <c r="I20" s="82"/>
      <c r="J20" s="82"/>
      <c r="K20" s="82"/>
      <c r="L20" s="82"/>
      <c r="M20" s="82"/>
      <c r="N20" s="83"/>
      <c r="O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79"/>
      <c r="B21" s="80"/>
      <c r="C21" s="80"/>
      <c r="D21" s="80"/>
      <c r="E21" s="80"/>
      <c r="F21" s="80"/>
      <c r="G21" s="81"/>
      <c r="H21" s="71"/>
      <c r="I21" s="82"/>
      <c r="J21" s="82"/>
      <c r="K21" s="82"/>
      <c r="L21" s="82"/>
      <c r="M21" s="82"/>
      <c r="N21" s="83"/>
      <c r="O21" s="71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79"/>
      <c r="B22" s="80"/>
      <c r="C22" s="80"/>
      <c r="D22" s="80"/>
      <c r="E22" s="80"/>
      <c r="F22" s="80"/>
      <c r="G22" s="81"/>
      <c r="H22" s="71"/>
      <c r="I22" s="82"/>
      <c r="J22" s="82"/>
      <c r="K22" s="82"/>
      <c r="L22" s="82"/>
      <c r="M22" s="82"/>
      <c r="N22" s="83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79"/>
      <c r="B23" s="80"/>
      <c r="C23" s="80"/>
      <c r="D23" s="80"/>
      <c r="E23" s="80"/>
      <c r="F23" s="80"/>
      <c r="G23" s="81"/>
      <c r="H23" s="71"/>
      <c r="I23" s="82"/>
      <c r="J23" s="82"/>
      <c r="K23" s="82"/>
      <c r="L23" s="82"/>
      <c r="M23" s="82"/>
      <c r="N23" s="83"/>
      <c r="O23" s="7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79"/>
      <c r="B24" s="80"/>
      <c r="C24" s="80"/>
      <c r="D24" s="80"/>
      <c r="E24" s="80"/>
      <c r="F24" s="80"/>
      <c r="G24" s="81"/>
      <c r="H24" s="71"/>
      <c r="I24" s="82"/>
      <c r="J24" s="82"/>
      <c r="K24" s="82"/>
      <c r="L24" s="82"/>
      <c r="M24" s="82"/>
      <c r="N24" s="83"/>
      <c r="O24" s="71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79"/>
      <c r="B25" s="80"/>
      <c r="C25" s="80"/>
      <c r="D25" s="80"/>
      <c r="E25" s="80"/>
      <c r="F25" s="80"/>
      <c r="G25" s="81"/>
      <c r="H25" s="71"/>
      <c r="I25" s="82"/>
      <c r="J25" s="82"/>
      <c r="K25" s="82"/>
      <c r="L25" s="82"/>
      <c r="M25" s="82"/>
      <c r="N25" s="83"/>
      <c r="O25" s="7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79"/>
      <c r="B26" s="80"/>
      <c r="C26" s="80"/>
      <c r="D26" s="80"/>
      <c r="E26" s="80"/>
      <c r="F26" s="80"/>
      <c r="G26" s="81"/>
      <c r="H26" s="71"/>
      <c r="I26" s="82"/>
      <c r="J26" s="82"/>
      <c r="K26" s="82"/>
      <c r="L26" s="82"/>
      <c r="M26" s="82"/>
      <c r="N26" s="83"/>
      <c r="O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79"/>
      <c r="B27" s="80"/>
      <c r="C27" s="80"/>
      <c r="D27" s="80"/>
      <c r="E27" s="80"/>
      <c r="F27" s="80"/>
      <c r="G27" s="81"/>
      <c r="H27" s="71"/>
      <c r="I27" s="82"/>
      <c r="J27" s="82"/>
      <c r="K27" s="82"/>
      <c r="L27" s="82"/>
      <c r="M27" s="82"/>
      <c r="N27" s="83"/>
      <c r="O27" s="71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79"/>
      <c r="B28" s="80"/>
      <c r="C28" s="80"/>
      <c r="D28" s="80"/>
      <c r="E28" s="80"/>
      <c r="F28" s="80"/>
      <c r="G28" s="81"/>
      <c r="H28" s="71"/>
      <c r="I28" s="82"/>
      <c r="J28" s="82"/>
      <c r="K28" s="82"/>
      <c r="L28" s="82"/>
      <c r="M28" s="82"/>
      <c r="N28" s="83"/>
      <c r="O28" s="71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79"/>
      <c r="B29" s="80"/>
      <c r="C29" s="80"/>
      <c r="D29" s="80"/>
      <c r="E29" s="80"/>
      <c r="F29" s="80"/>
      <c r="G29" s="81"/>
      <c r="H29" s="71"/>
      <c r="I29" s="82"/>
      <c r="J29" s="82"/>
      <c r="K29" s="82"/>
      <c r="L29" s="82"/>
      <c r="M29" s="82"/>
      <c r="N29" s="83"/>
      <c r="O29" s="71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79"/>
      <c r="B30" s="80"/>
      <c r="C30" s="80"/>
      <c r="D30" s="80"/>
      <c r="E30" s="80"/>
      <c r="F30" s="80"/>
      <c r="G30" s="81"/>
      <c r="H30" s="71"/>
      <c r="I30" s="82"/>
      <c r="J30" s="82"/>
      <c r="K30" s="82"/>
      <c r="L30" s="82"/>
      <c r="M30" s="82"/>
      <c r="N30" s="83"/>
      <c r="O30" s="71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79"/>
      <c r="B31" s="80"/>
      <c r="C31" s="80"/>
      <c r="D31" s="80"/>
      <c r="E31" s="80"/>
      <c r="F31" s="80"/>
      <c r="G31" s="81"/>
      <c r="H31" s="71"/>
      <c r="I31" s="82"/>
      <c r="J31" s="82"/>
      <c r="K31" s="82"/>
      <c r="L31" s="82"/>
      <c r="M31" s="82"/>
      <c r="N31" s="83"/>
      <c r="O31" s="71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79"/>
      <c r="B32" s="80"/>
      <c r="C32" s="80"/>
      <c r="D32" s="80"/>
      <c r="E32" s="80"/>
      <c r="F32" s="80"/>
      <c r="G32" s="81"/>
      <c r="H32" s="71"/>
      <c r="I32" s="82"/>
      <c r="J32" s="82"/>
      <c r="K32" s="82"/>
      <c r="L32" s="82"/>
      <c r="M32" s="82"/>
      <c r="N32" s="83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79"/>
      <c r="B33" s="80"/>
      <c r="C33" s="80"/>
      <c r="D33" s="80"/>
      <c r="E33" s="80"/>
      <c r="F33" s="80"/>
      <c r="G33" s="81"/>
      <c r="H33" s="71"/>
      <c r="I33" s="82"/>
      <c r="J33" s="82"/>
      <c r="K33" s="82"/>
      <c r="L33" s="82"/>
      <c r="M33" s="82"/>
      <c r="N33" s="83"/>
      <c r="O33" s="71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79"/>
      <c r="B34" s="80"/>
      <c r="C34" s="80"/>
      <c r="D34" s="80"/>
      <c r="E34" s="80"/>
      <c r="F34" s="80"/>
      <c r="G34" s="81"/>
      <c r="H34" s="71"/>
      <c r="I34" s="82"/>
      <c r="J34" s="82"/>
      <c r="K34" s="82"/>
      <c r="L34" s="82"/>
      <c r="M34" s="82"/>
      <c r="N34" s="83"/>
      <c r="O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MABGP0520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2026-03-27T05:44:43Z</dcterms:modified>
  <cp:category/>
</cp:coreProperties>
</file>