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5953DF46-1B8A-44BC-8687-BD5B3E3BDCD3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CostReport_UpdChk01" sheetId="18" r:id="rId2"/>
    <sheet name="CostReport_Upd01" sheetId="15" r:id="rId3"/>
    <sheet name="CostReport_DelChk01" sheetId="21" r:id="rId4"/>
    <sheet name="CostReport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<sst xmlns="http://schemas.openxmlformats.org/spreadsheetml/2006/main" count="911" uniqueCount="245">
  <si>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</si>
  <si>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</si>
  <si>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</si>
  <si>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</si>
  <si>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</si>
  <si>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</si>
  <si>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</si>
  <si>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</si>
  <si>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</si>
  <si>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</si>
  <si>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</si>
  <si>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</si>
  <si>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</si>
  <si>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</si>
  <si>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</si>
  <si>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</si>
  <si>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</si>
  <si>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</si>
  <si>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</si>
  <si>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</si>
  <si>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</si>
  <si>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</si>
  <si>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</si>
  <si>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ACType :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</si>
  <si>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</si>
  <si>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</si>
  <si>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</si>
  <si>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</si>
  <si>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</si>
  <si>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</si>
  <si>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Ope.Method :</t>
    <phoneticPr fontId="5"/>
  </si>
  <si>
    <t>@</t>
    <phoneticPr fontId="5"/>
  </si>
  <si>
    <t>ReportID :</t>
    <phoneticPr fontId="5"/>
  </si>
  <si>
    <t>E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</si>
  <si>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</si>
  <si>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</si>
  <si>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</si>
  <si>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</si>
  <si>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</si>
  <si>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</si>
  <si>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</si>
  <si>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</si>
  <si>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</si>
  <si>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</si>
  <si>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</si>
  <si>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</si>
  <si>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</si>
  <si>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</si>
  <si>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</si>
  <si>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</si>
  <si>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</si>
  <si>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</si>
  <si>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</si>
  <si>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</si>
  <si>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</si>
  <si>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</si>
  <si>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</si>
  <si>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#MA.FLG</t>
    <phoneticPr fontId="5"/>
  </si>
  <si>
    <t>論理削除</t>
    <phoneticPr fontId="5"/>
  </si>
  <si>
    <t>ins_func_id</t>
    <phoneticPr fontId="5"/>
  </si>
  <si>
    <t>登録機能ＩＤ</t>
    <phoneticPr fontId="5"/>
  </si>
  <si>
    <t>upd_func_id</t>
    <phoneticPr fontId="5"/>
  </si>
  <si>
    <t>更新機能ＩＤ</t>
    <phoneticPr fontId="5"/>
  </si>
  <si>
    <t>#MA.SRV_REQ_NO</t>
  </si>
  <si>
    <t>#MA.SYS_TS</t>
  </si>
  <si>
    <t>ins_func_nm</t>
    <phoneticPr fontId="5"/>
  </si>
  <si>
    <t>upd_func_nm</t>
    <phoneticPr fontId="5"/>
  </si>
  <si>
    <t>登録機能名</t>
    <phoneticPr fontId="5"/>
  </si>
  <si>
    <t>upd_srv_req_no</t>
    <phoneticPr fontId="5"/>
  </si>
  <si>
    <t>#MA.FLG</t>
    <phoneticPr fontId="5"/>
  </si>
  <si>
    <t>論理削除ＦＬＧ（オン）</t>
    <phoneticPr fontId="5"/>
  </si>
  <si>
    <t>削除</t>
    <phoneticPr fontId="5"/>
  </si>
  <si>
    <t>E</t>
    <phoneticPr fontId="42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</si>
  <si>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</si>
  <si>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</si>
  <si>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</si>
  <si>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</si>
  <si>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</si>
  <si>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</si>
  <si>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</si>
  <si>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</si>
  <si>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</si>
  <si>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</si>
  <si>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</si>
  <si>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</si>
  <si>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</si>
  <si>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</si>
  <si>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更新カウンタ</t>
    <phoneticPr fontId="5"/>
  </si>
  <si>
    <t>upd_cntr</t>
  </si>
  <si>
    <t>#MA.UPD_CNT</t>
  </si>
  <si>
    <t>UPDATE.updMaster</t>
    <phoneticPr fontId="5"/>
  </si>
  <si>
    <t>MAIN.chkMaster</t>
    <phoneticPr fontId="42"/>
  </si>
  <si>
    <t>$share$</t>
  </si>
  <si>
    <t>@</t>
  </si>
  <si>
    <t>upd_cntr</t>
    <phoneticPr fontId="42"/>
  </si>
  <si>
    <t>#MA.UPD_CNT</t>
    <phoneticPr fontId="42"/>
  </si>
  <si>
    <t>CALL_OPE01.chk01</t>
    <phoneticPr fontId="5"/>
  </si>
  <si>
    <t>CALL_OPE01.upd01</t>
    <phoneticPr fontId="5"/>
  </si>
  <si>
    <t>CALL_OPE01.chk01</t>
    <phoneticPr fontId="42"/>
  </si>
  <si>
    <t>CALL_OPE01.del01</t>
    <phoneticPr fontId="42"/>
  </si>
  <si>
    <t>K</t>
    <phoneticPr fontId="5"/>
  </si>
  <si>
    <t>REQUIRED</t>
    <phoneticPr fontId="5"/>
  </si>
  <si>
    <t>MA</t>
  </si>
  <si>
    <t>K</t>
  </si>
  <si>
    <t>CONST</t>
  </si>
  <si>
    <t>Del01</t>
    <phoneticPr fontId="42"/>
  </si>
  <si>
    <t>Srch01</t>
    <phoneticPr fontId="5"/>
  </si>
  <si>
    <t>Upd01</t>
    <phoneticPr fontId="5"/>
  </si>
  <si>
    <t>MABG</t>
  </si>
  <si>
    <t>LIST_LOGIC</t>
    <phoneticPr fontId="42"/>
  </si>
  <si>
    <t>calc_grp_cd</t>
  </si>
  <si>
    <t>#MA.CALC_GRP_CD</t>
  </si>
  <si>
    <t>K</t>
    <phoneticPr fontId="42"/>
  </si>
  <si>
    <t>CONST</t>
    <phoneticPr fontId="42"/>
  </si>
  <si>
    <t>calc_grp_nm</t>
  </si>
  <si>
    <t>#MA.CALC_GRP_NM</t>
  </si>
  <si>
    <t>calc_grp_cd</t>
    <phoneticPr fontId="5"/>
  </si>
  <si>
    <t>calc_grp_nm</t>
    <phoneticPr fontId="5"/>
  </si>
  <si>
    <t>$super$</t>
    <phoneticPr fontId="42"/>
  </si>
  <si>
    <t>#MA.FUNC_ID</t>
  </si>
  <si>
    <t>#MA.FUNC_NM</t>
  </si>
  <si>
    <t>#MA.FCM_USR_ID</t>
  </si>
  <si>
    <t>#MA.FCM_USR_NM</t>
  </si>
  <si>
    <t>MABGL0750</t>
  </si>
  <si>
    <t>原価帳票マスタ登録</t>
  </si>
  <si>
    <t>CostReport_UpdChk01_Dtl</t>
  </si>
  <si>
    <t>CostReport_UpdChk01</t>
  </si>
  <si>
    <t>CostReport_Upd01_Dtl</t>
  </si>
  <si>
    <t>CostReport_Upd01</t>
  </si>
  <si>
    <t>CostReport_DelChk01_Dtl</t>
  </si>
  <si>
    <t>CostReport_DelChk01</t>
  </si>
  <si>
    <t>CostReport_Del01_Dtl</t>
  </si>
  <si>
    <t>CostReport_Del01</t>
  </si>
  <si>
    <t>OPE.MA.MABGL0750.CostReport_UpdChk01</t>
  </si>
  <si>
    <t>OPE.MA.MABGL0750.CostReport_Upd01</t>
  </si>
  <si>
    <t>OPE.MA.MABGL0750.CostReport_DelChk01</t>
  </si>
  <si>
    <t>OPE.MA.MABGL0750.CostReport_Del01</t>
  </si>
  <si>
    <t>MABGL_CostReportReg</t>
    <phoneticPr fontId="5"/>
  </si>
  <si>
    <t>report_id</t>
  </si>
  <si>
    <t>#MA.REPORT_ID</t>
  </si>
  <si>
    <t>#MA.REPORT_NM</t>
    <phoneticPr fontId="5"/>
  </si>
  <si>
    <t>report_nm</t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</si>
  <si>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</si>
  <si>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</si>
  <si>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</si>
  <si>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原価帳票マスタを削除する</t>
    <rPh sb="8" eb="10">
      <t>サクジョ</t>
    </rPh>
    <phoneticPr fontId="3"/>
  </si>
  <si>
    <t>削除処理</t>
    <rPh sb="0" eb="2">
      <t>サクジョ</t>
    </rPh>
    <rPh sb="2" eb="4">
      <t>ショリ</t>
    </rPh>
    <phoneticPr fontId="3"/>
  </si>
  <si>
    <t>原価帳票マスタを削除する前のチェックを行う</t>
    <rPh sb="8" eb="10">
      <t>サクジョ</t>
    </rPh>
    <rPh sb="12" eb="13">
      <t>マエ</t>
    </rPh>
    <rPh sb="19" eb="20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</si>
  <si>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</si>
  <si>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原価帳票マスタを登録する</t>
    <rPh sb="8" eb="10">
      <t>トウロク</t>
    </rPh>
    <phoneticPr fontId="3"/>
  </si>
  <si>
    <t>登録処理</t>
    <rPh sb="0" eb="2">
      <t>トウロク</t>
    </rPh>
    <rPh sb="2" eb="4">
      <t>ショリ</t>
    </rPh>
    <phoneticPr fontId="3"/>
  </si>
  <si>
    <t>原価帳票マスタを登録する前のチェックを行う</t>
    <rPh sb="8" eb="10">
      <t>トウロク</t>
    </rPh>
    <rPh sb="12" eb="13">
      <t>マエ</t>
    </rPh>
    <rPh sb="19" eb="20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</si>
  <si>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</si>
  <si>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5"/>
  </si>
  <si>
    <t>Ope.ID :</t>
    <phoneticPr fontId="5"/>
  </si>
  <si>
    <t xml:space="preserve">Ope.Body : </t>
    <phoneticPr fontId="5"/>
  </si>
  <si>
    <t>Gene.Type :</t>
    <phoneticPr fontId="5"/>
  </si>
  <si>
    <t>ALL</t>
    <phoneticPr fontId="5"/>
  </si>
  <si>
    <t xml:space="preserve">Ope.Name : </t>
    <phoneticPr fontId="5"/>
  </si>
  <si>
    <t>計算グループＣＤ</t>
    <phoneticPr fontId="5"/>
  </si>
  <si>
    <t>MA.MAUAL0010.CalcGrp</t>
    <phoneticPr fontId="42"/>
  </si>
  <si>
    <t>帳票ＩＤ</t>
    <phoneticPr fontId="5"/>
  </si>
  <si>
    <t>メモ１</t>
    <phoneticPr fontId="5"/>
  </si>
  <si>
    <t>メモ２</t>
    <phoneticPr fontId="5"/>
  </si>
  <si>
    <t>メモ３</t>
    <phoneticPr fontId="5"/>
  </si>
  <si>
    <t>更新カウンタ</t>
    <phoneticPr fontId="42"/>
  </si>
  <si>
    <t>super/share</t>
    <phoneticPr fontId="5"/>
  </si>
  <si>
    <t>MA.MABGL0750.CostReport_UpdChk01.CostReport_UpdChk01_Dtl</t>
    <phoneticPr fontId="5"/>
  </si>
  <si>
    <t>L</t>
    <phoneticPr fontId="42"/>
  </si>
  <si>
    <t>MA.MABGL0750.CostReport_DelChk01.CostReport_DelChk01_Dtl</t>
    <phoneticPr fontId="5"/>
  </si>
  <si>
    <t>計算グループ名</t>
    <phoneticPr fontId="5"/>
  </si>
  <si>
    <t>帳票ＩＤ</t>
    <phoneticPr fontId="6"/>
  </si>
  <si>
    <t>帳票名</t>
    <phoneticPr fontId="6"/>
  </si>
  <si>
    <t>論理削除ＦＬＧ（オフ）</t>
    <phoneticPr fontId="5"/>
  </si>
  <si>
    <t>計算グループＣＤ</t>
    <phoneticPr fontId="6"/>
  </si>
  <si>
    <t>計算グループ名</t>
    <phoneticPr fontId="6"/>
  </si>
  <si>
    <t>登録ユーザＩＤ</t>
    <phoneticPr fontId="5"/>
  </si>
  <si>
    <t>登録ユーザ名</t>
    <phoneticPr fontId="5"/>
  </si>
  <si>
    <t>登録日時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</si>
  <si>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</si>
  <si>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</si>
  <si>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</si>
  <si>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</si>
  <si>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</si>
  <si>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</si>
  <si>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</si>
  <si>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</si>
  <si>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</si>
  <si>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</si>
  <si>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</si>
  <si>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</si>
  <si>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</si>
  <si>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MA.MABGL0750.CostReport_Upd01.CostReport_Upd01_Dtl</t>
    <phoneticPr fontId="5"/>
  </si>
  <si>
    <t>CostReport_UpdChk01_Dtl</t>
    <phoneticPr fontId="5"/>
  </si>
  <si>
    <t>CostReport_Upd01_Dtl</t>
    <phoneticPr fontId="5"/>
  </si>
  <si>
    <t>MA.MABGL0750.CostReport_Del01.CostReport_Del01_Dtl</t>
    <phoneticPr fontId="5"/>
  </si>
  <si>
    <t>CostReport_DelChk01_Dtl</t>
    <phoneticPr fontId="5"/>
  </si>
  <si>
    <t>CostReport_Del01_Dtl</t>
    <phoneticPr fontId="5"/>
  </si>
  <si>
    <t>MA.MAUDL5010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</si>
  <si>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</si>
  <si>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</si>
  <si>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</si>
  <si>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DBC:MA.MAM_COST_REPORT</t>
    <phoneticPr fontId="5"/>
  </si>
  <si>
    <t>DBC.MA.MAM_COST_REPORT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</si>
  <si>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</si>
  <si>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</si>
  <si>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</si>
  <si>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</si>
  <si>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</si>
  <si>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</si>
  <si>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</si>
  <si>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</si>
  <si>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</si>
  <si>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</si>
  <si>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</si>
  <si>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</si>
  <si>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</si>
  <si>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</si>
  <si>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group cd.</t>
  </si>
  <si>
    <t>Report ID</t>
  </si>
  <si>
    <t>Memo 1</t>
  </si>
  <si>
    <t>Memo 2</t>
  </si>
  <si>
    <t>Memo 3</t>
  </si>
  <si>
    <t>Logical delete</t>
  </si>
  <si>
    <t>Update counter</t>
  </si>
  <si>
    <t>Calculation group name</t>
  </si>
  <si>
    <t>Report name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</si>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</sst>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76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8" fillId="0" borderId="0"/>
    <xf numFmtId="0" fontId="3" fillId="0" borderId="0">
      <alignment vertical="center"/>
    </xf>
    <xf numFmtId="0" fontId="41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48" fillId="0" borderId="0"/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/>
    <xf numFmtId="0" fontId="49" fillId="27" borderId="20" xfId="181" applyFont="1" applyFill="1" applyBorder="1" applyAlignment="1">
      <alignment vertical="top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0" fontId="49" fillId="0" borderId="20" xfId="0" applyFont="1" applyBorder="1" applyAlignment="1"/>
    <xf numFmtId="0" fontId="49" fillId="0" borderId="27" xfId="0" applyFont="1" applyBorder="1" applyAlignment="1" applyProtection="1">
      <alignment vertical="top"/>
      <protection locked="0"/>
    </xf>
    <xf numFmtId="0" fontId="49" fillId="0" borderId="27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8" xfId="0" applyFont="1" applyBorder="1" applyAlignment="1" applyProtection="1">
      <alignment vertical="top"/>
      <protection locked="0"/>
    </xf>
    <xf numFmtId="0" fontId="51" fillId="0" borderId="41" xfId="182" applyFont="1" applyBorder="1" applyAlignment="1">
      <alignment horizontal="left" vertical="center" wrapText="1"/>
    </xf>
    <xf numFmtId="0" fontId="51" fillId="0" borderId="42" xfId="177" applyFont="1" applyBorder="1" applyAlignment="1">
      <alignment horizontal="left" vertical="center" wrapText="1"/>
    </xf>
    <xf numFmtId="0" fontId="51" fillId="0" borderId="43" xfId="177" applyFont="1" applyBorder="1" applyAlignment="1">
      <alignment horizontal="left" vertical="center" wrapText="1"/>
    </xf>
    <xf numFmtId="0" fontId="51" fillId="0" borderId="42" xfId="177" applyFont="1" applyBorder="1" applyAlignment="1">
      <alignment vertical="center" wrapText="1"/>
    </xf>
    <xf numFmtId="0" fontId="51" fillId="0" borderId="43" xfId="177" applyFont="1" applyBorder="1" applyAlignment="1">
      <alignment vertical="center" wrapText="1"/>
    </xf>
    <xf numFmtId="0" fontId="51" fillId="0" borderId="41" xfId="182" applyFont="1" applyBorder="1" applyAlignment="1">
      <alignment vertical="center" wrapText="1"/>
    </xf>
    <xf numFmtId="0" fontId="51" fillId="0" borderId="44" xfId="177" applyFont="1" applyBorder="1" applyAlignment="1">
      <alignment vertical="center" wrapText="1"/>
    </xf>
    <xf numFmtId="0" fontId="52" fillId="28" borderId="45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38" xfId="177" applyFont="1" applyBorder="1" applyAlignment="1">
      <alignment vertical="center" wrapText="1"/>
    </xf>
    <xf numFmtId="177" fontId="51" fillId="0" borderId="46" xfId="182" applyNumberFormat="1" applyFont="1" applyBorder="1" applyAlignment="1">
      <alignment horizontal="center" vertical="center"/>
    </xf>
    <xf numFmtId="177" fontId="51" fillId="0" borderId="42" xfId="177" applyNumberFormat="1" applyFont="1" applyBorder="1" applyAlignment="1">
      <alignment horizontal="center" vertical="center"/>
    </xf>
    <xf numFmtId="177" fontId="51" fillId="0" borderId="43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38" xfId="177" applyFont="1" applyBorder="1" applyAlignment="1">
      <alignment vertical="center"/>
    </xf>
    <xf numFmtId="0" fontId="51" fillId="0" borderId="39" xfId="182" applyFont="1" applyBorder="1" applyAlignment="1">
      <alignment horizontal="left" vertical="center" wrapText="1"/>
    </xf>
    <xf numFmtId="0" fontId="51" fillId="0" borderId="30" xfId="177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0" xfId="177" applyFont="1" applyBorder="1" applyAlignment="1">
      <alignment vertical="center" wrapText="1"/>
    </xf>
    <xf numFmtId="0" fontId="51" fillId="0" borderId="31" xfId="177" applyFont="1" applyBorder="1" applyAlignment="1">
      <alignment vertical="center" wrapText="1"/>
    </xf>
    <xf numFmtId="0" fontId="51" fillId="0" borderId="39" xfId="182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177" fontId="51" fillId="0" borderId="29" xfId="182" applyNumberFormat="1" applyFont="1" applyBorder="1" applyAlignment="1">
      <alignment horizontal="center" vertical="center"/>
    </xf>
    <xf numFmtId="177" fontId="51" fillId="0" borderId="30" xfId="177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0" fontId="50" fillId="28" borderId="32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33" xfId="177" applyFont="1" applyBorder="1" applyAlignment="1">
      <alignment vertical="center"/>
    </xf>
    <xf numFmtId="0" fontId="52" fillId="28" borderId="34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34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6" xfId="177" applyFont="1" applyBorder="1" applyAlignment="1">
      <alignment horizontal="center" vertic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</cellXfs>
  <cellStyles count="37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26" xr:uid="{00000000-0005-0000-0000-0000B2000000}"/>
    <cellStyle name="メモ 6" xfId="279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25" xr:uid="{00000000-0005-0000-0000-0000B8000000}"/>
    <cellStyle name="リンク セル 6" xfId="280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96" xr:uid="{00000000-0005-0000-0000-0000BB000000}"/>
    <cellStyle name="_x001d__x000c_K_x0014__x000d_&gt;V_x0001_&gt;_x0014_n_x001e__x0007__x0001__x0001_ 2 2" xfId="295" xr:uid="{00000000-0005-0000-0000-0000BC000000}"/>
    <cellStyle name="_x001d__x000c_K_x0014__x000d_&gt;V_x0001_&gt;_x0014_n_x001e__x0007__x0001__x0001_ 2 3" xfId="299" xr:uid="{00000000-0005-0000-0000-0000BD000000}"/>
    <cellStyle name="_x001d__x000c_K_x0014__x000d_&gt;V_x0001_&gt;_x0014_n_x001e__x0007__x0001__x0001_ 2 4" xfId="325" xr:uid="{00000000-0005-0000-0000-0000BE000000}"/>
    <cellStyle name="_x001d__x000c_K_x0014__x000d_&gt;V_x0001_&gt;_x0014_n_x001e__x0007__x0001__x0001_ 3" xfId="197" xr:uid="{00000000-0005-0000-0000-0000BF000000}"/>
    <cellStyle name="_x001d__x000c_K_x0014__x000d_&gt;V_x0001_&gt;_x0014_n_x001e__x0007__x0001__x0001_ 3 2" xfId="296" xr:uid="{00000000-0005-0000-0000-0000C0000000}"/>
    <cellStyle name="_x001d__x000c_K_x0014__x000d_&gt;V_x0001_&gt;_x0014_n_x001e__x0007__x0001__x0001_ 3 2 2" xfId="332" xr:uid="{00000000-0005-0000-0000-0000C1000000}"/>
    <cellStyle name="_x001d__x000c_K_x0014__x000d_&gt;V_x0001_&gt;_x0014_n_x001e__x0007__x0001__x0001_ 3 2 3" xfId="328" xr:uid="{00000000-0005-0000-0000-0000C2000000}"/>
    <cellStyle name="_x001d__x000c_K_x0014__x000d_&gt;V_x0001_&gt;_x0014_n_x001e__x0007__x0001__x0001_ 3 3" xfId="302" xr:uid="{00000000-0005-0000-0000-0000C3000000}"/>
    <cellStyle name="_x001d__x000c_K_x0014__x000d_&gt;V_x0001_&gt;_x0014_n_x001e__x0007__x0001__x0001_ 3 3 2" xfId="337" xr:uid="{00000000-0005-0000-0000-0000C4000000}"/>
    <cellStyle name="_x001d__x000c_K_x0014__x000d_&gt;V_x0001_&gt;_x0014_n_x001e__x0007__x0001__x0001_ 3 3 3" xfId="326" xr:uid="{00000000-0005-0000-0000-0000C5000000}"/>
    <cellStyle name="_x001d__x000c_K_x0014__x000d_&gt;V_x0001_&gt;_x0014_n_x001e__x0007__x0001__x0001_ 3 4" xfId="293" xr:uid="{00000000-0005-0000-0000-0000C6000000}"/>
    <cellStyle name="_x001d__x000c_K_x0014__x000d_&gt;V_x0001_&gt;_x0014_n_x001e__x0007__x0001__x0001_ 4" xfId="324" xr:uid="{00000000-0005-0000-0000-0000C7000000}"/>
    <cellStyle name="悪い" xfId="127" builtinId="27" customBuiltin="1"/>
    <cellStyle name="悪い 2" xfId="128" xr:uid="{00000000-0005-0000-0000-0000C9000000}"/>
    <cellStyle name="悪い 3" xfId="129" xr:uid="{00000000-0005-0000-0000-0000CA000000}"/>
    <cellStyle name="悪い 4" xfId="130" xr:uid="{00000000-0005-0000-0000-0000CB000000}"/>
    <cellStyle name="悪い 5" xfId="224" xr:uid="{00000000-0005-0000-0000-0000CC000000}"/>
    <cellStyle name="悪い 6" xfId="281" xr:uid="{00000000-0005-0000-0000-0000CD000000}"/>
    <cellStyle name="計算" xfId="131" builtinId="22" customBuiltin="1"/>
    <cellStyle name="計算 2" xfId="132" xr:uid="{00000000-0005-0000-0000-0000CF000000}"/>
    <cellStyle name="計算 3" xfId="133" xr:uid="{00000000-0005-0000-0000-0000D0000000}"/>
    <cellStyle name="計算 4" xfId="134" xr:uid="{00000000-0005-0000-0000-0000D1000000}"/>
    <cellStyle name="計算 5" xfId="223" xr:uid="{00000000-0005-0000-0000-0000D2000000}"/>
    <cellStyle name="計算 6" xfId="282" xr:uid="{00000000-0005-0000-0000-0000D3000000}"/>
    <cellStyle name="警告文" xfId="135" builtinId="11" customBuiltin="1"/>
    <cellStyle name="警告文 2" xfId="136" xr:uid="{00000000-0005-0000-0000-0000D5000000}"/>
    <cellStyle name="警告文 3" xfId="137" xr:uid="{00000000-0005-0000-0000-0000D6000000}"/>
    <cellStyle name="警告文 4" xfId="138" xr:uid="{00000000-0005-0000-0000-0000D7000000}"/>
    <cellStyle name="警告文 5" xfId="283" xr:uid="{00000000-0005-0000-0000-0000D8000000}"/>
    <cellStyle name="桁区切り 2" xfId="210" xr:uid="{00000000-0005-0000-0000-0000D9000000}"/>
    <cellStyle name="見出し 1" xfId="139" builtinId="16" customBuiltin="1"/>
    <cellStyle name="見出し 1 2" xfId="140" xr:uid="{00000000-0005-0000-0000-0000DB000000}"/>
    <cellStyle name="見出し 1 3" xfId="141" xr:uid="{00000000-0005-0000-0000-0000DC000000}"/>
    <cellStyle name="見出し 1 4" xfId="142" xr:uid="{00000000-0005-0000-0000-0000DD000000}"/>
    <cellStyle name="見出し 1 5" xfId="222" xr:uid="{00000000-0005-0000-0000-0000DE000000}"/>
    <cellStyle name="見出し 1 6" xfId="284" xr:uid="{00000000-0005-0000-0000-0000DF000000}"/>
    <cellStyle name="見出し 2" xfId="143" builtinId="17" customBuiltin="1"/>
    <cellStyle name="見出し 2 2" xfId="144" xr:uid="{00000000-0005-0000-0000-0000E1000000}"/>
    <cellStyle name="見出し 2 3" xfId="145" xr:uid="{00000000-0005-0000-0000-0000E2000000}"/>
    <cellStyle name="見出し 2 4" xfId="146" xr:uid="{00000000-0005-0000-0000-0000E3000000}"/>
    <cellStyle name="見出し 2 5" xfId="221" xr:uid="{00000000-0005-0000-0000-0000E4000000}"/>
    <cellStyle name="見出し 2 6" xfId="285" xr:uid="{00000000-0005-0000-0000-0000E5000000}"/>
    <cellStyle name="見出し 3" xfId="147" builtinId="18" customBuiltin="1"/>
    <cellStyle name="見出し 3 2" xfId="148" xr:uid="{00000000-0005-0000-0000-0000E7000000}"/>
    <cellStyle name="見出し 3 3" xfId="149" xr:uid="{00000000-0005-0000-0000-0000E8000000}"/>
    <cellStyle name="見出し 3 4" xfId="150" xr:uid="{00000000-0005-0000-0000-0000E9000000}"/>
    <cellStyle name="見出し 3 5" xfId="220" xr:uid="{00000000-0005-0000-0000-0000EA000000}"/>
    <cellStyle name="見出し 3 6" xfId="286" xr:uid="{00000000-0005-0000-0000-0000EB000000}"/>
    <cellStyle name="見出し 4" xfId="151" builtinId="19" customBuiltin="1"/>
    <cellStyle name="見出し 4 2" xfId="152" xr:uid="{00000000-0005-0000-0000-0000ED000000}"/>
    <cellStyle name="見出し 4 3" xfId="153" xr:uid="{00000000-0005-0000-0000-0000EE000000}"/>
    <cellStyle name="見出し 4 4" xfId="154" xr:uid="{00000000-0005-0000-0000-0000EF000000}"/>
    <cellStyle name="見出し 4 5" xfId="219" xr:uid="{00000000-0005-0000-0000-0000F0000000}"/>
    <cellStyle name="見出し 4 6" xfId="287" xr:uid="{00000000-0005-0000-0000-0000F1000000}"/>
    <cellStyle name="作業ﾌﾛｰ" xfId="198" xr:uid="{00000000-0005-0000-0000-0000F2000000}"/>
    <cellStyle name="資料" xfId="199" xr:uid="{00000000-0005-0000-0000-0000F3000000}"/>
    <cellStyle name="資料２" xfId="200" xr:uid="{00000000-0005-0000-0000-0000F4000000}"/>
    <cellStyle name="集計" xfId="155" builtinId="25" customBuiltin="1"/>
    <cellStyle name="集計 2" xfId="156" xr:uid="{00000000-0005-0000-0000-0000F6000000}"/>
    <cellStyle name="集計 3" xfId="157" xr:uid="{00000000-0005-0000-0000-0000F7000000}"/>
    <cellStyle name="集計 4" xfId="158" xr:uid="{00000000-0005-0000-0000-0000F8000000}"/>
    <cellStyle name="集計 5" xfId="218" xr:uid="{00000000-0005-0000-0000-0000F9000000}"/>
    <cellStyle name="集計 6" xfId="288" xr:uid="{00000000-0005-0000-0000-0000FA000000}"/>
    <cellStyle name="出力" xfId="159" builtinId="21" customBuiltin="1"/>
    <cellStyle name="出力 2" xfId="160" xr:uid="{00000000-0005-0000-0000-0000FC000000}"/>
    <cellStyle name="出力 3" xfId="161" xr:uid="{00000000-0005-0000-0000-0000FD000000}"/>
    <cellStyle name="出力 4" xfId="162" xr:uid="{00000000-0005-0000-0000-0000FE000000}"/>
    <cellStyle name="出力 5" xfId="217" xr:uid="{00000000-0005-0000-0000-0000FF000000}"/>
    <cellStyle name="出力 6" xfId="289" xr:uid="{00000000-0005-0000-0000-000000010000}"/>
    <cellStyle name="説明文" xfId="163" builtinId="53" customBuiltin="1"/>
    <cellStyle name="説明文 2" xfId="164" xr:uid="{00000000-0005-0000-0000-000002010000}"/>
    <cellStyle name="説明文 3" xfId="165" xr:uid="{00000000-0005-0000-0000-000003010000}"/>
    <cellStyle name="説明文 4" xfId="166" xr:uid="{00000000-0005-0000-0000-000004010000}"/>
    <cellStyle name="説明文 5" xfId="290" xr:uid="{00000000-0005-0000-0000-000005010000}"/>
    <cellStyle name="入力" xfId="167" builtinId="20" customBuiltin="1"/>
    <cellStyle name="入力 2" xfId="168" xr:uid="{00000000-0005-0000-0000-000007010000}"/>
    <cellStyle name="入力 3" xfId="169" xr:uid="{00000000-0005-0000-0000-000008010000}"/>
    <cellStyle name="入力 4" xfId="170" xr:uid="{00000000-0005-0000-0000-000009010000}"/>
    <cellStyle name="入力 5" xfId="216" xr:uid="{00000000-0005-0000-0000-00000A010000}"/>
    <cellStyle name="入力 6" xfId="291" xr:uid="{00000000-0005-0000-0000-00000B010000}"/>
    <cellStyle name="標準" xfId="0" builtinId="0"/>
    <cellStyle name="標準 10" xfId="209" xr:uid="{00000000-0005-0000-0000-00000D010000}"/>
    <cellStyle name="標準 10 2" xfId="298" xr:uid="{00000000-0005-0000-0000-00000E010000}"/>
    <cellStyle name="標準 10 2 2" xfId="319" xr:uid="{00000000-0005-0000-0000-00000F010000}"/>
    <cellStyle name="標準 10 2 2 2" xfId="373" xr:uid="{00000000-0005-0000-0000-000010010000}"/>
    <cellStyle name="標準 10 2 2 3" xfId="351" xr:uid="{00000000-0005-0000-0000-000011010000}"/>
    <cellStyle name="標準 10 2 3" xfId="359" xr:uid="{00000000-0005-0000-0000-000012010000}"/>
    <cellStyle name="標準 10 2 4" xfId="334" xr:uid="{00000000-0005-0000-0000-000013010000}"/>
    <cellStyle name="標準 10 3" xfId="312" xr:uid="{00000000-0005-0000-0000-000014010000}"/>
    <cellStyle name="標準 10 4" xfId="306" xr:uid="{00000000-0005-0000-0000-000015010000}"/>
    <cellStyle name="標準 10 4 2" xfId="365" xr:uid="{00000000-0005-0000-0000-000016010000}"/>
    <cellStyle name="標準 10 4 3" xfId="341" xr:uid="{00000000-0005-0000-0000-000017010000}"/>
    <cellStyle name="標準 10 5" xfId="354" xr:uid="{00000000-0005-0000-0000-000018010000}"/>
    <cellStyle name="標準 11" xfId="213" xr:uid="{00000000-0005-0000-0000-000019010000}"/>
    <cellStyle name="標準 11 2" xfId="300" xr:uid="{00000000-0005-0000-0000-00001A010000}"/>
    <cellStyle name="標準 11 2 2" xfId="320" xr:uid="{00000000-0005-0000-0000-00001B010000}"/>
    <cellStyle name="標準 11 2 2 2" xfId="352" xr:uid="{00000000-0005-0000-0000-00001C010000}"/>
    <cellStyle name="標準 11 2 3" xfId="374" xr:uid="{00000000-0005-0000-0000-00001D010000}"/>
    <cellStyle name="標準 11 2 4" xfId="335" xr:uid="{00000000-0005-0000-0000-00001E010000}"/>
    <cellStyle name="標準 11 3" xfId="315" xr:uid="{00000000-0005-0000-0000-00001F010000}"/>
    <cellStyle name="標準 11 4" xfId="307" xr:uid="{00000000-0005-0000-0000-000020010000}"/>
    <cellStyle name="標準 11 4 2" xfId="366" xr:uid="{00000000-0005-0000-0000-000021010000}"/>
    <cellStyle name="標準 11 4 3" xfId="342" xr:uid="{00000000-0005-0000-0000-000022010000}"/>
    <cellStyle name="標準 11 5" xfId="360" xr:uid="{00000000-0005-0000-0000-000023010000}"/>
    <cellStyle name="標準 12" xfId="211" xr:uid="{00000000-0005-0000-0000-000024010000}"/>
    <cellStyle name="標準 12 2" xfId="301" xr:uid="{00000000-0005-0000-0000-000025010000}"/>
    <cellStyle name="標準 12 2 2" xfId="321" xr:uid="{00000000-0005-0000-0000-000026010000}"/>
    <cellStyle name="標準 12 2 2 2" xfId="353" xr:uid="{00000000-0005-0000-0000-000027010000}"/>
    <cellStyle name="標準 12 2 3" xfId="375" xr:uid="{00000000-0005-0000-0000-000028010000}"/>
    <cellStyle name="標準 12 2 4" xfId="336" xr:uid="{00000000-0005-0000-0000-000029010000}"/>
    <cellStyle name="標準 12 3" xfId="313" xr:uid="{00000000-0005-0000-0000-00002A010000}"/>
    <cellStyle name="標準 12 4" xfId="308" xr:uid="{00000000-0005-0000-0000-00002B010000}"/>
    <cellStyle name="標準 12 4 2" xfId="367" xr:uid="{00000000-0005-0000-0000-00002C010000}"/>
    <cellStyle name="標準 12 4 3" xfId="343" xr:uid="{00000000-0005-0000-0000-00002D010000}"/>
    <cellStyle name="標準 12 5" xfId="361" xr:uid="{00000000-0005-0000-0000-00002E010000}"/>
    <cellStyle name="標準 13" xfId="212" xr:uid="{00000000-0005-0000-0000-00002F010000}"/>
    <cellStyle name="標準 13 2" xfId="297" xr:uid="{00000000-0005-0000-0000-000030010000}"/>
    <cellStyle name="標準 13 2 2" xfId="318" xr:uid="{00000000-0005-0000-0000-000031010000}"/>
    <cellStyle name="標準 13 2 2 2" xfId="350" xr:uid="{00000000-0005-0000-0000-000032010000}"/>
    <cellStyle name="標準 13 2 3" xfId="372" xr:uid="{00000000-0005-0000-0000-000033010000}"/>
    <cellStyle name="標準 13 2 4" xfId="333" xr:uid="{00000000-0005-0000-0000-000034010000}"/>
    <cellStyle name="標準 13 3" xfId="314" xr:uid="{00000000-0005-0000-0000-000035010000}"/>
    <cellStyle name="標準 13 4" xfId="305" xr:uid="{00000000-0005-0000-0000-000036010000}"/>
    <cellStyle name="標準 13 4 2" xfId="364" xr:uid="{00000000-0005-0000-0000-000037010000}"/>
    <cellStyle name="標準 13 4 3" xfId="340" xr:uid="{00000000-0005-0000-0000-000038010000}"/>
    <cellStyle name="標準 13 5" xfId="358" xr:uid="{00000000-0005-0000-0000-000039010000}"/>
    <cellStyle name="標準 14" xfId="203" xr:uid="{00000000-0005-0000-0000-00003A010000}"/>
    <cellStyle name="標準 14 2" xfId="309" xr:uid="{00000000-0005-0000-0000-00003B010000}"/>
    <cellStyle name="標準 14 2 2" xfId="368" xr:uid="{00000000-0005-0000-0000-00003C010000}"/>
    <cellStyle name="標準 14 2 3" xfId="344" xr:uid="{00000000-0005-0000-0000-00003D010000}"/>
    <cellStyle name="標準 14 3" xfId="369" xr:uid="{00000000-0005-0000-0000-00003E010000}"/>
    <cellStyle name="標準 14 4" xfId="356" xr:uid="{00000000-0005-0000-0000-00003F010000}"/>
    <cellStyle name="標準 15" xfId="214" xr:uid="{00000000-0005-0000-0000-000040010000}"/>
    <cellStyle name="標準 16" xfId="208" xr:uid="{00000000-0005-0000-0000-000041010000}"/>
    <cellStyle name="標準 17" xfId="250" xr:uid="{00000000-0005-0000-0000-000042010000}"/>
    <cellStyle name="標準 17 2" xfId="316" xr:uid="{00000000-0005-0000-0000-000043010000}"/>
    <cellStyle name="標準 17 2 2" xfId="347" xr:uid="{00000000-0005-0000-0000-000044010000}"/>
    <cellStyle name="標準 17 3" xfId="370" xr:uid="{00000000-0005-0000-0000-000045010000}"/>
    <cellStyle name="標準 17 4" xfId="322" xr:uid="{00000000-0005-0000-0000-000046010000}"/>
    <cellStyle name="標準 18" xfId="303" xr:uid="{00000000-0005-0000-0000-000047010000}"/>
    <cellStyle name="標準 18 2" xfId="362" xr:uid="{00000000-0005-0000-0000-000048010000}"/>
    <cellStyle name="標準 18 3" xfId="329" xr:uid="{00000000-0005-0000-0000-000049010000}"/>
    <cellStyle name="標準 19" xfId="338" xr:uid="{00000000-0005-0000-0000-00004A010000}"/>
    <cellStyle name="標準 2" xfId="171" xr:uid="{00000000-0005-0000-0000-00004B010000}"/>
    <cellStyle name="標準 2 2" xfId="201" xr:uid="{00000000-0005-0000-0000-00004C010000}"/>
    <cellStyle name="標準 3" xfId="172" xr:uid="{00000000-0005-0000-0000-00004D010000}"/>
    <cellStyle name="標準 3 2" xfId="202" xr:uid="{00000000-0005-0000-0000-00004E010000}"/>
    <cellStyle name="標準 4" xfId="173" xr:uid="{00000000-0005-0000-0000-00004F010000}"/>
    <cellStyle name="標準 5" xfId="174" xr:uid="{00000000-0005-0000-0000-000050010000}"/>
    <cellStyle name="標準 6" xfId="175" xr:uid="{00000000-0005-0000-0000-000051010000}"/>
    <cellStyle name="標準 7" xfId="176" xr:uid="{00000000-0005-0000-0000-000052010000}"/>
    <cellStyle name="標準 8" xfId="204" xr:uid="{00000000-0005-0000-0000-000053010000}"/>
    <cellStyle name="標準 8 2" xfId="294" xr:uid="{00000000-0005-0000-0000-000054010000}"/>
    <cellStyle name="標準 8 2 2" xfId="317" xr:uid="{00000000-0005-0000-0000-000055010000}"/>
    <cellStyle name="標準 8 2 2 2" xfId="371" xr:uid="{00000000-0005-0000-0000-000056010000}"/>
    <cellStyle name="標準 8 2 2 3" xfId="349" xr:uid="{00000000-0005-0000-0000-000057010000}"/>
    <cellStyle name="標準 8 2 3" xfId="357" xr:uid="{00000000-0005-0000-0000-000058010000}"/>
    <cellStyle name="標準 8 2 4" xfId="323" xr:uid="{00000000-0005-0000-0000-000059010000}"/>
    <cellStyle name="標準 8 3" xfId="311" xr:uid="{00000000-0005-0000-0000-00005A010000}"/>
    <cellStyle name="標準 8 3 2" xfId="346" xr:uid="{00000000-0005-0000-0000-00005B010000}"/>
    <cellStyle name="標準 8 3 3" xfId="331" xr:uid="{00000000-0005-0000-0000-00005C010000}"/>
    <cellStyle name="標準 8 4" xfId="304" xr:uid="{00000000-0005-0000-0000-00005D010000}"/>
    <cellStyle name="標準 8 4 2" xfId="363" xr:uid="{00000000-0005-0000-0000-00005E010000}"/>
    <cellStyle name="標準 8 4 3" xfId="339" xr:uid="{00000000-0005-0000-0000-00005F010000}"/>
    <cellStyle name="標準 9" xfId="188" xr:uid="{00000000-0005-0000-0000-000060010000}"/>
    <cellStyle name="標準 9 2" xfId="251" xr:uid="{00000000-0005-0000-0000-000061010000}"/>
    <cellStyle name="標準 9 2 2" xfId="348" xr:uid="{00000000-0005-0000-0000-000062010000}"/>
    <cellStyle name="標準 9 2 3" xfId="327" xr:uid="{00000000-0005-0000-0000-000063010000}"/>
    <cellStyle name="標準 9 3" xfId="310" xr:uid="{00000000-0005-0000-0000-000064010000}"/>
    <cellStyle name="標準 9 3 2" xfId="345" xr:uid="{00000000-0005-0000-0000-000065010000}"/>
    <cellStyle name="標準 9 3 3" xfId="330" xr:uid="{00000000-0005-0000-0000-000066010000}"/>
    <cellStyle name="標準 9 4" xfId="355" xr:uid="{00000000-0005-0000-0000-000067010000}"/>
    <cellStyle name="標準_02_変更来歴例" xfId="177" xr:uid="{00000000-0005-0000-0000-000068010000}"/>
    <cellStyle name="標準_A00200 オーダー状況" xfId="178" xr:uid="{00000000-0005-0000-0000-000069010000}"/>
    <cellStyle name="標準_LogicCommon" xfId="179" xr:uid="{00000000-0005-0000-0000-00006A010000}"/>
    <cellStyle name="標準_Srch01" xfId="180" xr:uid="{00000000-0005-0000-0000-00006B010000}"/>
    <cellStyle name="標準_Srch01_1" xfId="181" xr:uid="{00000000-0005-0000-0000-00006C010000}"/>
    <cellStyle name="標準_変更来歴_1" xfId="182" xr:uid="{00000000-0005-0000-0000-00006D010000}"/>
    <cellStyle name="標準2" xfId="205" xr:uid="{00000000-0005-0000-0000-00006E010000}"/>
    <cellStyle name="標準２" xfId="206" xr:uid="{00000000-0005-0000-0000-00006F010000}"/>
    <cellStyle name="標準2_DAIICH" xfId="207" xr:uid="{00000000-0005-0000-0000-000070010000}"/>
    <cellStyle name="未定義" xfId="183" xr:uid="{00000000-0005-0000-0000-000071010000}"/>
    <cellStyle name="良い" xfId="184" builtinId="26" customBuiltin="1"/>
    <cellStyle name="良い 2" xfId="185" xr:uid="{00000000-0005-0000-0000-000073010000}"/>
    <cellStyle name="良い 3" xfId="186" xr:uid="{00000000-0005-0000-0000-000074010000}"/>
    <cellStyle name="良い 4" xfId="187" xr:uid="{00000000-0005-0000-0000-000075010000}"/>
    <cellStyle name="良い 5" xfId="215" xr:uid="{00000000-0005-0000-0000-000076010000}"/>
    <cellStyle name="良い 6" xfId="292" xr:uid="{00000000-0005-0000-0000-00007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102</v>
      </c>
      <c r="D2" s="7" t="s">
        <v>9</v>
      </c>
      <c r="E2" s="9" t="s">
        <v>123</v>
      </c>
      <c r="F2" s="7" t="s">
        <v>44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108</v>
      </c>
      <c r="D3" s="7" t="s">
        <v>10</v>
      </c>
      <c r="E3" s="9" t="s">
        <v>137</v>
      </c>
      <c r="F3" s="7" t="s">
        <v>45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124</v>
      </c>
      <c r="F4" s="7" t="s">
        <v>5</v>
      </c>
      <c r="G4" s="9" t="s">
        <v>198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16</v>
      </c>
      <c r="B2" s="77"/>
      <c r="C2" s="77"/>
      <c r="D2" s="87" t="s">
        <v>204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MABGL0750</v>
      </c>
      <c r="I2" s="7" t="s">
        <v>154</v>
      </c>
      <c r="J2" s="9" t="s">
        <v>126</v>
      </c>
      <c r="K2" s="7" t="s">
        <v>44</v>
      </c>
      <c r="L2" s="78" t="str">
        <f>IF(LogicCommon!G2="","",LogicCommon!G2)</f>
        <v>MC</v>
      </c>
      <c r="M2" s="5" t="s">
        <v>155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MABGL_CostReportReg</v>
      </c>
      <c r="I3" s="7" t="s">
        <v>30</v>
      </c>
      <c r="J3" s="9" t="s">
        <v>93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156</v>
      </c>
      <c r="P3" s="9" t="s">
        <v>157</v>
      </c>
      <c r="Q3" s="4"/>
      <c r="R3" s="27"/>
      <c r="S3" s="27"/>
      <c r="T3" s="27"/>
      <c r="U3" s="27"/>
    </row>
    <row r="4" spans="1:21" s="11" customFormat="1">
      <c r="A4" s="79" t="s">
        <v>16</v>
      </c>
      <c r="B4" s="80"/>
      <c r="C4" s="80"/>
      <c r="D4" s="4"/>
      <c r="E4" s="7" t="s">
        <v>8</v>
      </c>
      <c r="F4" s="10" t="s">
        <v>153</v>
      </c>
      <c r="G4" s="7" t="s">
        <v>11</v>
      </c>
      <c r="H4" s="78" t="str">
        <f>IF(LogicCommon!E4="","",LogicCommon!E4)</f>
        <v>原価帳票マスタ登録</v>
      </c>
      <c r="I4" s="7" t="s">
        <v>158</v>
      </c>
      <c r="J4" s="9" t="s">
        <v>152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16</v>
      </c>
      <c r="B6" s="80"/>
      <c r="C6" s="80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100</v>
      </c>
      <c r="L7" s="32" t="s">
        <v>112</v>
      </c>
      <c r="M7" s="32" t="s">
        <v>100</v>
      </c>
      <c r="N7" s="32"/>
      <c r="O7" s="32"/>
      <c r="P7" s="33" t="s">
        <v>76</v>
      </c>
      <c r="Q7" s="32"/>
      <c r="R7" s="29"/>
      <c r="S7" s="29"/>
      <c r="T7" s="29"/>
      <c r="U7" s="29"/>
    </row>
    <row r="8" spans="1:21" s="11" customFormat="1" ht="60" customHeight="1">
      <c r="A8" s="51" t="s">
        <v>18</v>
      </c>
      <c r="B8" s="90"/>
      <c r="C8" s="91"/>
      <c r="D8" s="88" t="s">
        <v>205</v>
      </c>
      <c r="E8" s="88" t="s">
        <v>206</v>
      </c>
      <c r="F8" s="86"/>
      <c r="G8" s="88" t="s">
        <v>166</v>
      </c>
      <c r="H8" s="88" t="s">
        <v>207</v>
      </c>
      <c r="I8" s="86"/>
      <c r="J8" s="3"/>
      <c r="K8" s="9" t="s">
        <v>101</v>
      </c>
      <c r="L8" s="9" t="s">
        <v>113</v>
      </c>
      <c r="M8" s="9" t="s">
        <v>109</v>
      </c>
      <c r="N8" s="9"/>
      <c r="O8" s="35"/>
      <c r="P8" s="33" t="s">
        <v>77</v>
      </c>
      <c r="Q8" s="35"/>
      <c r="R8" s="92"/>
      <c r="S8" s="93"/>
      <c r="T8" s="94" t="s">
        <v>208</v>
      </c>
      <c r="U8" s="53"/>
    </row>
    <row r="9" spans="1:21" s="11" customFormat="1" ht="60" customHeight="1">
      <c r="A9" s="9" t="s">
        <v>18</v>
      </c>
      <c r="B9" s="36"/>
      <c r="C9" s="37"/>
      <c r="D9" s="88" t="s">
        <v>209</v>
      </c>
      <c r="E9" s="95" t="s">
        <v>210</v>
      </c>
      <c r="F9" s="88" t="s">
        <v>211</v>
      </c>
      <c r="G9" s="88" t="s">
        <v>212</v>
      </c>
      <c r="H9" s="88" t="s">
        <v>213</v>
      </c>
      <c r="I9" s="96" t="s">
        <v>214</v>
      </c>
      <c r="J9" s="88" t="s">
        <v>215</v>
      </c>
      <c r="K9" s="33"/>
      <c r="L9" s="33"/>
      <c r="M9" s="33"/>
      <c r="N9" s="33"/>
      <c r="O9" s="33"/>
      <c r="P9" s="33"/>
      <c r="Q9" s="33"/>
      <c r="R9" s="94" t="s">
        <v>216</v>
      </c>
      <c r="S9" s="53"/>
      <c r="T9" s="94" t="s">
        <v>217</v>
      </c>
      <c r="U9" s="53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214</v>
      </c>
      <c r="Q10" s="89" t="s">
        <v>215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125</v>
      </c>
      <c r="E11" s="34" t="s">
        <v>74</v>
      </c>
      <c r="F11" s="45"/>
      <c r="G11" s="28" t="s">
        <v>118</v>
      </c>
      <c r="H11" s="46" t="s">
        <v>202</v>
      </c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74"/>
      <c r="U11" s="50"/>
    </row>
    <row r="12" spans="1:21" s="11" customFormat="1">
      <c r="A12" s="9">
        <v>10</v>
      </c>
      <c r="B12" s="9"/>
      <c r="C12" s="9"/>
      <c r="D12" s="9" t="s">
        <v>110</v>
      </c>
      <c r="E12" s="51" t="s">
        <v>111</v>
      </c>
      <c r="F12" s="51"/>
      <c r="G12" s="52" t="s">
        <v>218</v>
      </c>
      <c r="H12" s="52" t="s">
        <v>159</v>
      </c>
      <c r="I12" s="9" t="s">
        <v>33</v>
      </c>
      <c r="J12" s="9"/>
      <c r="K12" s="9" t="s">
        <v>72</v>
      </c>
      <c r="L12" s="9"/>
      <c r="M12" s="9" t="s">
        <v>160</v>
      </c>
      <c r="N12" s="9"/>
      <c r="O12" s="9"/>
      <c r="P12" s="9"/>
      <c r="Q12" s="9"/>
      <c r="R12" s="42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138</v>
      </c>
      <c r="E13" s="51" t="s">
        <v>139</v>
      </c>
      <c r="F13" s="51"/>
      <c r="G13" s="52" t="s">
        <v>219</v>
      </c>
      <c r="H13" s="52" t="s">
        <v>161</v>
      </c>
      <c r="I13" s="9" t="s">
        <v>33</v>
      </c>
      <c r="J13" s="9"/>
      <c r="K13" s="9" t="s">
        <v>72</v>
      </c>
      <c r="L13" s="9"/>
      <c r="M13" s="9"/>
      <c r="N13" s="9"/>
      <c r="O13" s="9"/>
      <c r="P13" s="9"/>
      <c r="Q13" s="9"/>
      <c r="R13" s="42"/>
      <c r="S13" s="53"/>
      <c r="T13" s="146"/>
      <c r="U13" s="147"/>
    </row>
    <row r="14" spans="1:21" s="11" customFormat="1">
      <c r="A14" s="9">
        <v>10</v>
      </c>
      <c r="B14" s="9"/>
      <c r="C14" s="9"/>
      <c r="D14" s="9" t="s">
        <v>46</v>
      </c>
      <c r="E14" s="51" t="s">
        <v>48</v>
      </c>
      <c r="F14" s="51"/>
      <c r="G14" s="52" t="s">
        <v>220</v>
      </c>
      <c r="H14" s="52" t="s">
        <v>162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42"/>
      <c r="S14" s="53"/>
      <c r="T14" s="146"/>
      <c r="U14" s="147"/>
    </row>
    <row r="15" spans="1:21" s="11" customFormat="1">
      <c r="A15" s="9">
        <v>10</v>
      </c>
      <c r="B15" s="9"/>
      <c r="C15" s="9"/>
      <c r="D15" s="9" t="s">
        <v>54</v>
      </c>
      <c r="E15" s="51" t="s">
        <v>55</v>
      </c>
      <c r="F15" s="51"/>
      <c r="G15" s="52" t="s">
        <v>221</v>
      </c>
      <c r="H15" s="52" t="s">
        <v>163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42"/>
      <c r="S15" s="53"/>
      <c r="T15" s="146"/>
      <c r="U15" s="147"/>
    </row>
    <row r="16" spans="1:21" s="11" customFormat="1">
      <c r="A16" s="9">
        <v>10</v>
      </c>
      <c r="B16" s="9"/>
      <c r="C16" s="9"/>
      <c r="D16" s="9" t="s">
        <v>50</v>
      </c>
      <c r="E16" s="51" t="s">
        <v>52</v>
      </c>
      <c r="F16" s="51"/>
      <c r="G16" s="52" t="s">
        <v>222</v>
      </c>
      <c r="H16" s="52" t="s">
        <v>164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46"/>
      <c r="U16" s="147"/>
    </row>
    <row r="17" spans="1:21" s="11" customFormat="1">
      <c r="A17" s="9">
        <v>10</v>
      </c>
      <c r="B17" s="9"/>
      <c r="C17" s="9"/>
      <c r="D17" s="9" t="s">
        <v>82</v>
      </c>
      <c r="E17" s="51" t="s">
        <v>56</v>
      </c>
      <c r="F17" s="51"/>
      <c r="G17" s="52" t="s">
        <v>223</v>
      </c>
      <c r="H17" s="52" t="s">
        <v>58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42"/>
      <c r="S17" s="53"/>
      <c r="T17" s="146"/>
      <c r="U17" s="147"/>
    </row>
    <row r="18" spans="1:21" s="11" customFormat="1">
      <c r="A18" s="9">
        <v>10</v>
      </c>
      <c r="B18" s="9"/>
      <c r="C18" s="9"/>
      <c r="D18" s="9" t="s">
        <v>94</v>
      </c>
      <c r="E18" s="51" t="s">
        <v>95</v>
      </c>
      <c r="F18" s="51"/>
      <c r="G18" s="52" t="s">
        <v>224</v>
      </c>
      <c r="H18" s="52" t="s">
        <v>165</v>
      </c>
      <c r="I18" s="9" t="s">
        <v>33</v>
      </c>
      <c r="J18" s="9"/>
      <c r="K18" s="9"/>
      <c r="L18" s="9"/>
      <c r="M18" s="9"/>
      <c r="N18" s="9"/>
      <c r="O18" s="9"/>
      <c r="P18" s="9"/>
      <c r="Q18" s="9"/>
      <c r="R18" s="42"/>
      <c r="S18" s="53"/>
      <c r="T18" s="146"/>
      <c r="U18" s="147"/>
    </row>
    <row r="19" spans="1:21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79"/>
      <c r="U20" s="56"/>
    </row>
    <row r="21" spans="1:21" s="11" customFormat="1">
      <c r="A21" s="79"/>
      <c r="U21" s="56"/>
    </row>
    <row r="22" spans="1:21" s="11" customFormat="1">
      <c r="A22" s="79"/>
      <c r="U22" s="56"/>
    </row>
    <row r="23" spans="1:21" s="11" customFormat="1">
      <c r="A23" s="8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5:U15"/>
    <mergeCell ref="T16:U16"/>
    <mergeCell ref="T18:U18"/>
    <mergeCell ref="T17:U17"/>
    <mergeCell ref="T12:U12"/>
    <mergeCell ref="T14:U14"/>
    <mergeCell ref="T13:U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</v>
      </c>
      <c r="B2" s="77"/>
      <c r="C2" s="77"/>
      <c r="D2" s="87" t="s">
        <v>204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MABGL0750</v>
      </c>
      <c r="I2" s="7" t="s">
        <v>154</v>
      </c>
      <c r="J2" s="9" t="s">
        <v>128</v>
      </c>
      <c r="K2" s="7" t="s">
        <v>44</v>
      </c>
      <c r="L2" s="78" t="str">
        <f>IF(LogicCommon!G2="","",LogicCommon!G2)</f>
        <v>MC</v>
      </c>
      <c r="M2" s="5" t="s">
        <v>155</v>
      </c>
      <c r="N2" s="28" t="s">
        <v>199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156</v>
      </c>
      <c r="P3" s="9" t="s">
        <v>157</v>
      </c>
      <c r="Q3" s="4"/>
      <c r="R3" s="27"/>
      <c r="S3" s="27"/>
      <c r="T3" s="27"/>
      <c r="U3" s="27"/>
      <c r="V3" s="27"/>
    </row>
    <row r="4" spans="1:22" s="11" customFormat="1">
      <c r="A4" s="79" t="s">
        <v>16</v>
      </c>
      <c r="B4" s="80"/>
      <c r="C4" s="80"/>
      <c r="D4" s="4"/>
      <c r="E4" s="7" t="s">
        <v>8</v>
      </c>
      <c r="F4" s="10" t="s">
        <v>153</v>
      </c>
      <c r="G4" s="7" t="s">
        <v>11</v>
      </c>
      <c r="H4" s="78" t="str">
        <f>IF(LogicCommon!E4="","",LogicCommon!E4)</f>
        <v>原価帳票マスタ登録</v>
      </c>
      <c r="I4" s="7" t="s">
        <v>158</v>
      </c>
      <c r="J4" s="9" t="s">
        <v>150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</v>
      </c>
      <c r="B6" s="80"/>
      <c r="C6" s="80"/>
      <c r="D6" s="4" t="s">
        <v>6</v>
      </c>
      <c r="E6" s="16" t="s">
        <v>149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90</v>
      </c>
      <c r="M7" s="33" t="s">
        <v>76</v>
      </c>
      <c r="N7" s="32" t="s">
        <v>91</v>
      </c>
      <c r="O7" s="33" t="s">
        <v>76</v>
      </c>
      <c r="P7" s="32"/>
      <c r="Q7" s="33" t="s">
        <v>76</v>
      </c>
      <c r="R7" s="32"/>
      <c r="S7" s="29"/>
      <c r="T7" s="29"/>
      <c r="U7" s="29"/>
      <c r="V7" s="29"/>
    </row>
    <row r="8" spans="1:22" s="11" customFormat="1" ht="60" customHeight="1">
      <c r="A8" s="51" t="s">
        <v>18</v>
      </c>
      <c r="B8" s="90"/>
      <c r="C8" s="91"/>
      <c r="D8" s="88" t="s">
        <v>205</v>
      </c>
      <c r="E8" s="88" t="s">
        <v>206</v>
      </c>
      <c r="F8" s="86"/>
      <c r="G8" s="88" t="s">
        <v>166</v>
      </c>
      <c r="H8" s="88" t="s">
        <v>207</v>
      </c>
      <c r="I8" s="86"/>
      <c r="J8" s="3"/>
      <c r="K8" s="33" t="s">
        <v>17</v>
      </c>
      <c r="L8" s="35" t="s">
        <v>203</v>
      </c>
      <c r="M8" s="33" t="s">
        <v>77</v>
      </c>
      <c r="N8" s="35" t="s">
        <v>203</v>
      </c>
      <c r="O8" s="33" t="s">
        <v>77</v>
      </c>
      <c r="P8" s="35"/>
      <c r="Q8" s="33" t="s">
        <v>77</v>
      </c>
      <c r="R8" s="35"/>
      <c r="S8" s="92"/>
      <c r="T8" s="93"/>
      <c r="U8" s="94" t="s">
        <v>208</v>
      </c>
      <c r="V8" s="53"/>
    </row>
    <row r="9" spans="1:22" s="11" customFormat="1" ht="60" customHeight="1">
      <c r="A9" s="9" t="s">
        <v>18</v>
      </c>
      <c r="B9" s="36"/>
      <c r="C9" s="37"/>
      <c r="D9" s="88" t="s">
        <v>209</v>
      </c>
      <c r="E9" s="95" t="s">
        <v>210</v>
      </c>
      <c r="F9" s="88" t="s">
        <v>211</v>
      </c>
      <c r="G9" s="88" t="s">
        <v>212</v>
      </c>
      <c r="H9" s="88" t="s">
        <v>213</v>
      </c>
      <c r="I9" s="96" t="s">
        <v>214</v>
      </c>
      <c r="J9" s="88" t="s">
        <v>215</v>
      </c>
      <c r="K9" s="33"/>
      <c r="L9" s="33"/>
      <c r="M9" s="33"/>
      <c r="N9" s="33"/>
      <c r="O9" s="33"/>
      <c r="P9" s="33"/>
      <c r="Q9" s="33"/>
      <c r="R9" s="33"/>
      <c r="S9" s="94" t="s">
        <v>216</v>
      </c>
      <c r="T9" s="53"/>
      <c r="U9" s="94" t="s">
        <v>217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214</v>
      </c>
      <c r="L10" s="89" t="s">
        <v>215</v>
      </c>
      <c r="M10" s="89" t="s">
        <v>214</v>
      </c>
      <c r="N10" s="89" t="s">
        <v>215</v>
      </c>
      <c r="O10" s="89" t="s">
        <v>214</v>
      </c>
      <c r="P10" s="89" t="s">
        <v>215</v>
      </c>
      <c r="Q10" s="89" t="s">
        <v>214</v>
      </c>
      <c r="R10" s="89" t="s">
        <v>215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127</v>
      </c>
      <c r="E11" s="34" t="s">
        <v>22</v>
      </c>
      <c r="F11" s="45"/>
      <c r="G11" s="28" t="s">
        <v>92</v>
      </c>
      <c r="H11" s="46" t="s">
        <v>167</v>
      </c>
      <c r="I11" s="47"/>
      <c r="J11" s="48"/>
      <c r="K11" s="49" t="s">
        <v>22</v>
      </c>
      <c r="L11" s="49"/>
      <c r="M11" s="49" t="s">
        <v>168</v>
      </c>
      <c r="N11" s="49"/>
      <c r="O11" s="49"/>
      <c r="P11" s="49"/>
      <c r="Q11" s="49"/>
      <c r="R11" s="49"/>
      <c r="S11" s="38"/>
      <c r="T11" s="39"/>
      <c r="U11" s="74"/>
      <c r="V11" s="50"/>
    </row>
    <row r="12" spans="1:22" s="11" customFormat="1">
      <c r="A12" s="9">
        <v>10</v>
      </c>
      <c r="B12" s="9"/>
      <c r="C12" s="9"/>
      <c r="D12" s="9" t="s">
        <v>110</v>
      </c>
      <c r="E12" s="51" t="s">
        <v>111</v>
      </c>
      <c r="F12" s="51"/>
      <c r="G12" s="52" t="s">
        <v>218</v>
      </c>
      <c r="H12" s="52" t="s">
        <v>159</v>
      </c>
      <c r="I12" s="9" t="s">
        <v>33</v>
      </c>
      <c r="J12" s="9"/>
      <c r="K12" s="9" t="s">
        <v>33</v>
      </c>
      <c r="L12" s="9"/>
      <c r="M12" s="9" t="s">
        <v>72</v>
      </c>
      <c r="N12" s="9"/>
      <c r="O12" s="9"/>
      <c r="P12" s="9"/>
      <c r="Q12" s="9"/>
      <c r="R12" s="9"/>
      <c r="S12" s="42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138</v>
      </c>
      <c r="E13" s="51" t="s">
        <v>139</v>
      </c>
      <c r="F13" s="51"/>
      <c r="G13" s="52" t="s">
        <v>219</v>
      </c>
      <c r="H13" s="52" t="s">
        <v>161</v>
      </c>
      <c r="I13" s="9" t="s">
        <v>33</v>
      </c>
      <c r="J13" s="9"/>
      <c r="K13" s="9" t="s">
        <v>33</v>
      </c>
      <c r="L13" s="9"/>
      <c r="M13" s="9"/>
      <c r="N13" s="9"/>
      <c r="O13" s="9"/>
      <c r="P13" s="9"/>
      <c r="Q13" s="9"/>
      <c r="R13" s="9"/>
      <c r="S13" s="42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46</v>
      </c>
      <c r="E14" s="51" t="s">
        <v>48</v>
      </c>
      <c r="F14" s="51"/>
      <c r="G14" s="52" t="s">
        <v>220</v>
      </c>
      <c r="H14" s="52" t="s">
        <v>162</v>
      </c>
      <c r="I14" s="9" t="s">
        <v>33</v>
      </c>
      <c r="J14" s="9"/>
      <c r="K14" s="9" t="s">
        <v>33</v>
      </c>
      <c r="L14" s="9"/>
      <c r="M14" s="9"/>
      <c r="N14" s="9"/>
      <c r="O14" s="9"/>
      <c r="P14" s="9"/>
      <c r="Q14" s="9"/>
      <c r="R14" s="9"/>
      <c r="S14" s="4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54</v>
      </c>
      <c r="E15" s="51" t="s">
        <v>55</v>
      </c>
      <c r="F15" s="51"/>
      <c r="G15" s="52" t="s">
        <v>221</v>
      </c>
      <c r="H15" s="52" t="s">
        <v>163</v>
      </c>
      <c r="I15" s="9" t="s">
        <v>33</v>
      </c>
      <c r="J15" s="9"/>
      <c r="K15" s="9" t="s">
        <v>33</v>
      </c>
      <c r="L15" s="9"/>
      <c r="M15" s="9"/>
      <c r="N15" s="9"/>
      <c r="O15" s="9"/>
      <c r="P15" s="9"/>
      <c r="Q15" s="9"/>
      <c r="R15" s="9"/>
      <c r="S15" s="4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50</v>
      </c>
      <c r="E16" s="51" t="s">
        <v>52</v>
      </c>
      <c r="F16" s="51"/>
      <c r="G16" s="52" t="s">
        <v>222</v>
      </c>
      <c r="H16" s="52" t="s">
        <v>164</v>
      </c>
      <c r="I16" s="9" t="s">
        <v>33</v>
      </c>
      <c r="J16" s="9"/>
      <c r="K16" s="9" t="s">
        <v>33</v>
      </c>
      <c r="L16" s="9"/>
      <c r="M16" s="9"/>
      <c r="N16" s="9"/>
      <c r="O16" s="9"/>
      <c r="P16" s="9"/>
      <c r="Q16" s="9"/>
      <c r="R16" s="9"/>
      <c r="S16" s="4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82</v>
      </c>
      <c r="E17" s="51" t="s">
        <v>56</v>
      </c>
      <c r="F17" s="51"/>
      <c r="G17" s="52" t="s">
        <v>223</v>
      </c>
      <c r="H17" s="52" t="s">
        <v>58</v>
      </c>
      <c r="I17" s="9" t="s">
        <v>33</v>
      </c>
      <c r="J17" s="9"/>
      <c r="K17" s="9" t="s">
        <v>33</v>
      </c>
      <c r="L17" s="9"/>
      <c r="M17" s="9"/>
      <c r="N17" s="9"/>
      <c r="O17" s="9"/>
      <c r="P17" s="9"/>
      <c r="Q17" s="9"/>
      <c r="R17" s="9"/>
      <c r="S17" s="4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88</v>
      </c>
      <c r="E18" s="51" t="s">
        <v>89</v>
      </c>
      <c r="F18" s="51"/>
      <c r="G18" s="52" t="s">
        <v>224</v>
      </c>
      <c r="H18" s="52" t="s">
        <v>87</v>
      </c>
      <c r="I18" s="9" t="s">
        <v>33</v>
      </c>
      <c r="J18" s="9"/>
      <c r="K18" s="9" t="s">
        <v>33</v>
      </c>
      <c r="L18" s="9"/>
      <c r="M18" s="9"/>
      <c r="N18" s="9"/>
      <c r="O18" s="9"/>
      <c r="P18" s="9"/>
      <c r="Q18" s="9"/>
      <c r="R18" s="9"/>
      <c r="S18" s="42"/>
      <c r="T18" s="53"/>
      <c r="U18" s="146"/>
      <c r="V18" s="147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9"/>
      <c r="V20" s="56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8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2:V12"/>
    <mergeCell ref="U16:V16"/>
    <mergeCell ref="U17:V17"/>
    <mergeCell ref="U18:V18"/>
    <mergeCell ref="U14:V14"/>
    <mergeCell ref="U13:V13"/>
    <mergeCell ref="U15:V1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6" t="s">
        <v>16</v>
      </c>
      <c r="B2" s="77"/>
      <c r="C2" s="77"/>
      <c r="D2" s="87" t="s">
        <v>204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MABGL0750</v>
      </c>
      <c r="I2" s="7" t="s">
        <v>154</v>
      </c>
      <c r="J2" s="9" t="s">
        <v>130</v>
      </c>
      <c r="K2" s="7" t="s">
        <v>44</v>
      </c>
      <c r="L2" s="78" t="str">
        <f>IF(LogicCommon!G2="","",LogicCommon!G2)</f>
        <v>MC</v>
      </c>
      <c r="M2" s="5" t="s">
        <v>155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MABGL_CostReportReg</v>
      </c>
      <c r="I3" s="7" t="s">
        <v>30</v>
      </c>
      <c r="J3" s="9" t="s">
        <v>93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156</v>
      </c>
      <c r="P3" s="9" t="s">
        <v>157</v>
      </c>
      <c r="Q3" s="4"/>
      <c r="R3" s="27"/>
      <c r="S3" s="27"/>
      <c r="T3" s="27"/>
      <c r="U3" s="27"/>
    </row>
    <row r="4" spans="1:21" s="11" customFormat="1">
      <c r="A4" s="79" t="s">
        <v>16</v>
      </c>
      <c r="B4" s="80"/>
      <c r="C4" s="80"/>
      <c r="D4" s="4"/>
      <c r="E4" s="7" t="s">
        <v>8</v>
      </c>
      <c r="F4" s="10" t="s">
        <v>153</v>
      </c>
      <c r="G4" s="7" t="s">
        <v>11</v>
      </c>
      <c r="H4" s="78" t="str">
        <f>IF(LogicCommon!E4="","",LogicCommon!E4)</f>
        <v>原価帳票マスタ登録</v>
      </c>
      <c r="I4" s="7" t="s">
        <v>158</v>
      </c>
      <c r="J4" s="9" t="s">
        <v>148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9" t="s">
        <v>16</v>
      </c>
      <c r="B6" s="80"/>
      <c r="C6" s="80"/>
      <c r="D6" s="4" t="s">
        <v>6</v>
      </c>
      <c r="E6" s="16" t="s">
        <v>147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 t="s">
        <v>35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100</v>
      </c>
      <c r="L7" s="32"/>
      <c r="M7" s="32"/>
      <c r="N7" s="32"/>
      <c r="O7" s="32"/>
      <c r="P7" s="33" t="s">
        <v>76</v>
      </c>
      <c r="Q7" s="32"/>
      <c r="R7" s="29"/>
      <c r="S7" s="29"/>
      <c r="T7" s="29"/>
      <c r="U7" s="29"/>
    </row>
    <row r="8" spans="1:21" s="11" customFormat="1" ht="60" customHeight="1">
      <c r="A8" s="51" t="s">
        <v>18</v>
      </c>
      <c r="B8" s="90"/>
      <c r="C8" s="91"/>
      <c r="D8" s="88" t="s">
        <v>205</v>
      </c>
      <c r="E8" s="88" t="s">
        <v>206</v>
      </c>
      <c r="F8" s="86"/>
      <c r="G8" s="88" t="s">
        <v>166</v>
      </c>
      <c r="H8" s="88" t="s">
        <v>207</v>
      </c>
      <c r="I8" s="86"/>
      <c r="J8" s="3"/>
      <c r="K8" s="9" t="s">
        <v>101</v>
      </c>
      <c r="L8" s="9"/>
      <c r="M8" s="9"/>
      <c r="N8" s="9"/>
      <c r="O8" s="35"/>
      <c r="P8" s="33" t="s">
        <v>77</v>
      </c>
      <c r="Q8" s="35"/>
      <c r="R8" s="92"/>
      <c r="S8" s="93"/>
      <c r="T8" s="94" t="s">
        <v>208</v>
      </c>
      <c r="U8" s="53"/>
    </row>
    <row r="9" spans="1:21" s="11" customFormat="1" ht="60" customHeight="1">
      <c r="A9" s="9" t="s">
        <v>18</v>
      </c>
      <c r="B9" s="36"/>
      <c r="C9" s="37"/>
      <c r="D9" s="88" t="s">
        <v>209</v>
      </c>
      <c r="E9" s="95" t="s">
        <v>210</v>
      </c>
      <c r="F9" s="88" t="s">
        <v>211</v>
      </c>
      <c r="G9" s="88" t="s">
        <v>212</v>
      </c>
      <c r="H9" s="88" t="s">
        <v>213</v>
      </c>
      <c r="I9" s="96" t="s">
        <v>214</v>
      </c>
      <c r="J9" s="88" t="s">
        <v>215</v>
      </c>
      <c r="K9" s="33"/>
      <c r="L9" s="33"/>
      <c r="M9" s="33"/>
      <c r="N9" s="33"/>
      <c r="O9" s="33"/>
      <c r="P9" s="33"/>
      <c r="Q9" s="33"/>
      <c r="R9" s="94" t="s">
        <v>216</v>
      </c>
      <c r="S9" s="53"/>
      <c r="T9" s="94" t="s">
        <v>217</v>
      </c>
      <c r="U9" s="53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9" t="s">
        <v>214</v>
      </c>
      <c r="Q10" s="89" t="s">
        <v>215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129</v>
      </c>
      <c r="E11" s="34" t="s">
        <v>74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8"/>
      <c r="S11" s="39"/>
      <c r="T11" s="74"/>
      <c r="U11" s="50"/>
    </row>
    <row r="12" spans="1:21" s="11" customFormat="1">
      <c r="A12" s="9">
        <v>10</v>
      </c>
      <c r="B12" s="9"/>
      <c r="C12" s="9"/>
      <c r="D12" s="9" t="s">
        <v>110</v>
      </c>
      <c r="E12" s="51" t="s">
        <v>111</v>
      </c>
      <c r="F12" s="51"/>
      <c r="G12" s="52" t="s">
        <v>218</v>
      </c>
      <c r="H12" s="52" t="s">
        <v>159</v>
      </c>
      <c r="I12" s="9" t="s">
        <v>33</v>
      </c>
      <c r="J12" s="9"/>
      <c r="K12" s="9" t="s">
        <v>72</v>
      </c>
      <c r="L12" s="9"/>
      <c r="M12" s="9"/>
      <c r="N12" s="9"/>
      <c r="O12" s="9"/>
      <c r="P12" s="9"/>
      <c r="Q12" s="9"/>
      <c r="R12" s="42"/>
      <c r="S12" s="53"/>
      <c r="T12" s="146"/>
      <c r="U12" s="147"/>
    </row>
    <row r="13" spans="1:21" s="11" customFormat="1">
      <c r="A13" s="9">
        <v>10</v>
      </c>
      <c r="B13" s="9"/>
      <c r="C13" s="9"/>
      <c r="D13" s="9" t="s">
        <v>138</v>
      </c>
      <c r="E13" s="51" t="s">
        <v>139</v>
      </c>
      <c r="F13" s="51"/>
      <c r="G13" s="52" t="s">
        <v>219</v>
      </c>
      <c r="H13" s="52" t="s">
        <v>161</v>
      </c>
      <c r="I13" s="9" t="s">
        <v>33</v>
      </c>
      <c r="J13" s="9"/>
      <c r="K13" s="9" t="s">
        <v>72</v>
      </c>
      <c r="L13" s="9"/>
      <c r="M13" s="9"/>
      <c r="N13" s="9"/>
      <c r="O13" s="9"/>
      <c r="P13" s="9"/>
      <c r="Q13" s="9"/>
      <c r="R13" s="42"/>
      <c r="S13" s="53"/>
      <c r="T13" s="146"/>
      <c r="U13" s="147"/>
    </row>
    <row r="14" spans="1:21" s="11" customFormat="1">
      <c r="A14" s="9">
        <v>10</v>
      </c>
      <c r="B14" s="9"/>
      <c r="C14" s="9"/>
      <c r="D14" s="9" t="s">
        <v>88</v>
      </c>
      <c r="E14" s="51" t="s">
        <v>89</v>
      </c>
      <c r="F14" s="51"/>
      <c r="G14" s="52" t="s">
        <v>224</v>
      </c>
      <c r="H14" s="52" t="s">
        <v>165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42"/>
      <c r="S14" s="53"/>
      <c r="T14" s="146"/>
      <c r="U14" s="147"/>
    </row>
    <row r="15" spans="1:21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9"/>
      <c r="U16" s="56"/>
    </row>
    <row r="17" spans="1:21" s="11" customFormat="1">
      <c r="A17" s="79"/>
      <c r="U17" s="56"/>
    </row>
    <row r="18" spans="1:21" s="11" customFormat="1">
      <c r="A18" s="79"/>
      <c r="U18" s="56"/>
    </row>
    <row r="19" spans="1:21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</v>
      </c>
      <c r="B2" s="77"/>
      <c r="C2" s="77"/>
      <c r="D2" s="87" t="s">
        <v>204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MABGL0750</v>
      </c>
      <c r="I2" s="7" t="s">
        <v>154</v>
      </c>
      <c r="J2" s="9" t="s">
        <v>132</v>
      </c>
      <c r="K2" s="7" t="s">
        <v>44</v>
      </c>
      <c r="L2" s="78" t="str">
        <f>IF(LogicCommon!G2="","",LogicCommon!G2)</f>
        <v>MC</v>
      </c>
      <c r="M2" s="5" t="s">
        <v>155</v>
      </c>
      <c r="N2" s="28" t="s">
        <v>200</v>
      </c>
      <c r="O2" s="7"/>
      <c r="P2" s="7"/>
      <c r="Q2" s="4"/>
      <c r="R2" s="27"/>
    </row>
    <row r="3" spans="1:18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156</v>
      </c>
      <c r="P3" s="9" t="s">
        <v>157</v>
      </c>
      <c r="Q3" s="4"/>
      <c r="R3" s="27"/>
    </row>
    <row r="4" spans="1:18" s="11" customFormat="1">
      <c r="A4" s="79" t="s">
        <v>16</v>
      </c>
      <c r="B4" s="80"/>
      <c r="C4" s="80"/>
      <c r="D4" s="4"/>
      <c r="E4" s="7" t="s">
        <v>8</v>
      </c>
      <c r="F4" s="10" t="s">
        <v>153</v>
      </c>
      <c r="G4" s="7" t="s">
        <v>11</v>
      </c>
      <c r="H4" s="78" t="str">
        <f>IF(LogicCommon!E4="","",LogicCommon!E4)</f>
        <v>原価帳票マスタ登録</v>
      </c>
      <c r="I4" s="7" t="s">
        <v>158</v>
      </c>
      <c r="J4" s="9" t="s">
        <v>146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</v>
      </c>
      <c r="B6" s="80"/>
      <c r="C6" s="80"/>
      <c r="D6" s="4" t="s">
        <v>6</v>
      </c>
      <c r="E6" s="16" t="s">
        <v>145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78</v>
      </c>
      <c r="M7" s="33" t="s">
        <v>38</v>
      </c>
      <c r="N7" s="32"/>
      <c r="O7" s="29"/>
      <c r="P7" s="29"/>
      <c r="Q7" s="29"/>
      <c r="R7" s="29"/>
    </row>
    <row r="8" spans="1:18" s="11" customFormat="1" ht="60" customHeight="1">
      <c r="A8" s="51" t="s">
        <v>18</v>
      </c>
      <c r="B8" s="90"/>
      <c r="C8" s="91"/>
      <c r="D8" s="88" t="s">
        <v>205</v>
      </c>
      <c r="E8" s="88" t="s">
        <v>206</v>
      </c>
      <c r="F8" s="86"/>
      <c r="G8" s="88" t="s">
        <v>166</v>
      </c>
      <c r="H8" s="88" t="s">
        <v>207</v>
      </c>
      <c r="I8" s="86"/>
      <c r="J8" s="3"/>
      <c r="K8" s="33" t="s">
        <v>17</v>
      </c>
      <c r="L8" s="35" t="s">
        <v>203</v>
      </c>
      <c r="M8" s="33" t="s">
        <v>17</v>
      </c>
      <c r="N8" s="35"/>
      <c r="O8" s="92"/>
      <c r="P8" s="93"/>
      <c r="Q8" s="94" t="s">
        <v>208</v>
      </c>
      <c r="R8" s="53"/>
    </row>
    <row r="9" spans="1:18" s="11" customFormat="1" ht="60" customHeight="1">
      <c r="A9" s="9" t="s">
        <v>18</v>
      </c>
      <c r="B9" s="36"/>
      <c r="C9" s="37"/>
      <c r="D9" s="88" t="s">
        <v>209</v>
      </c>
      <c r="E9" s="95" t="s">
        <v>210</v>
      </c>
      <c r="F9" s="88" t="s">
        <v>211</v>
      </c>
      <c r="G9" s="88" t="s">
        <v>212</v>
      </c>
      <c r="H9" s="88" t="s">
        <v>213</v>
      </c>
      <c r="I9" s="96" t="s">
        <v>214</v>
      </c>
      <c r="J9" s="88" t="s">
        <v>215</v>
      </c>
      <c r="K9" s="33"/>
      <c r="L9" s="33"/>
      <c r="M9" s="33"/>
      <c r="N9" s="33"/>
      <c r="O9" s="94" t="s">
        <v>216</v>
      </c>
      <c r="P9" s="53"/>
      <c r="Q9" s="94" t="s">
        <v>217</v>
      </c>
      <c r="R9" s="53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214</v>
      </c>
      <c r="L10" s="89" t="s">
        <v>215</v>
      </c>
      <c r="M10" s="89" t="s">
        <v>214</v>
      </c>
      <c r="N10" s="89" t="s">
        <v>215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131</v>
      </c>
      <c r="E11" s="34" t="s">
        <v>74</v>
      </c>
      <c r="F11" s="45"/>
      <c r="G11" s="28" t="s">
        <v>92</v>
      </c>
      <c r="H11" s="46" t="s">
        <v>169</v>
      </c>
      <c r="I11" s="47"/>
      <c r="J11" s="48"/>
      <c r="K11" s="49" t="s">
        <v>168</v>
      </c>
      <c r="L11" s="49"/>
      <c r="M11" s="49"/>
      <c r="N11" s="49"/>
      <c r="O11" s="38"/>
      <c r="P11" s="39"/>
      <c r="Q11" s="74"/>
      <c r="R11" s="50"/>
    </row>
    <row r="12" spans="1:18" s="11" customFormat="1">
      <c r="A12" s="9">
        <v>10</v>
      </c>
      <c r="B12" s="9"/>
      <c r="C12" s="9"/>
      <c r="D12" s="9" t="s">
        <v>110</v>
      </c>
      <c r="E12" s="51" t="s">
        <v>111</v>
      </c>
      <c r="F12" s="51"/>
      <c r="G12" s="52" t="s">
        <v>218</v>
      </c>
      <c r="H12" s="52" t="s">
        <v>159</v>
      </c>
      <c r="I12" s="9" t="s">
        <v>33</v>
      </c>
      <c r="J12" s="9"/>
      <c r="K12" s="9" t="s">
        <v>72</v>
      </c>
      <c r="L12" s="9"/>
      <c r="M12" s="9"/>
      <c r="N12" s="9"/>
      <c r="O12" s="42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138</v>
      </c>
      <c r="E13" s="51" t="s">
        <v>139</v>
      </c>
      <c r="F13" s="51"/>
      <c r="G13" s="52" t="s">
        <v>219</v>
      </c>
      <c r="H13" s="52" t="s">
        <v>161</v>
      </c>
      <c r="I13" s="9" t="s">
        <v>33</v>
      </c>
      <c r="J13" s="9"/>
      <c r="K13" s="9" t="s">
        <v>72</v>
      </c>
      <c r="L13" s="9"/>
      <c r="M13" s="9"/>
      <c r="N13" s="9"/>
      <c r="O13" s="42"/>
      <c r="P13" s="53"/>
      <c r="Q13" s="146"/>
      <c r="R13" s="147"/>
    </row>
    <row r="14" spans="1:18" s="11" customFormat="1">
      <c r="A14" s="9">
        <v>10</v>
      </c>
      <c r="B14" s="9"/>
      <c r="C14" s="9"/>
      <c r="D14" s="9" t="s">
        <v>88</v>
      </c>
      <c r="E14" s="51" t="s">
        <v>89</v>
      </c>
      <c r="F14" s="51"/>
      <c r="G14" s="52" t="s">
        <v>224</v>
      </c>
      <c r="H14" s="52" t="s">
        <v>87</v>
      </c>
      <c r="I14" s="9" t="s">
        <v>33</v>
      </c>
      <c r="J14" s="9"/>
      <c r="K14" s="9" t="s">
        <v>33</v>
      </c>
      <c r="L14" s="9"/>
      <c r="M14" s="9"/>
      <c r="N14" s="9"/>
      <c r="O14" s="44"/>
      <c r="P14" s="39"/>
      <c r="Q14" s="74"/>
      <c r="R14" s="50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8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2">
    <mergeCell ref="Q12:R12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1"/>
  <sheetViews>
    <sheetView topLeftCell="A10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16</v>
      </c>
      <c r="B2" s="77"/>
      <c r="C2" s="77"/>
      <c r="D2" s="87" t="s">
        <v>204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MABGL0750</v>
      </c>
      <c r="I2" s="7" t="s">
        <v>154</v>
      </c>
      <c r="J2" s="9" t="s">
        <v>106</v>
      </c>
      <c r="K2" s="7" t="s">
        <v>44</v>
      </c>
      <c r="L2" s="78" t="str">
        <f>IF(LogicCommon!G2="","",LogicCommon!G2)</f>
        <v>MC</v>
      </c>
      <c r="M2" s="5" t="s">
        <v>155</v>
      </c>
      <c r="N2" s="28" t="s">
        <v>201</v>
      </c>
      <c r="O2" s="7"/>
      <c r="P2" s="7"/>
      <c r="Q2" s="4"/>
      <c r="R2" s="4"/>
      <c r="S2" s="4"/>
    </row>
    <row r="3" spans="1:19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156</v>
      </c>
      <c r="P3" s="9" t="s">
        <v>157</v>
      </c>
      <c r="Q3" s="4"/>
      <c r="R3" s="4"/>
      <c r="S3" s="4"/>
    </row>
    <row r="4" spans="1:19" s="11" customFormat="1">
      <c r="A4" s="79" t="s">
        <v>16</v>
      </c>
      <c r="B4" s="80"/>
      <c r="C4" s="80"/>
      <c r="D4" s="4"/>
      <c r="E4" s="7" t="s">
        <v>8</v>
      </c>
      <c r="F4" s="10" t="s">
        <v>153</v>
      </c>
      <c r="G4" s="7" t="s">
        <v>11</v>
      </c>
      <c r="H4" s="78" t="str">
        <f>IF(LogicCommon!E4="","",LogicCommon!E4)</f>
        <v>原価帳票マスタ登録</v>
      </c>
      <c r="I4" s="7" t="s">
        <v>158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16</v>
      </c>
      <c r="B6" s="80"/>
      <c r="C6" s="80"/>
      <c r="D6" s="4" t="s">
        <v>6</v>
      </c>
      <c r="E6" s="16" t="s">
        <v>144</v>
      </c>
      <c r="F6" s="16"/>
      <c r="G6" s="16"/>
      <c r="H6" s="16"/>
      <c r="I6" s="16"/>
      <c r="J6" s="16"/>
      <c r="K6" s="16"/>
      <c r="L6" s="86"/>
      <c r="M6" s="19" t="s">
        <v>35</v>
      </c>
      <c r="N6" s="19"/>
      <c r="O6" s="19" t="s">
        <v>35</v>
      </c>
      <c r="P6" s="19"/>
      <c r="Q6" s="19"/>
      <c r="R6" s="4"/>
      <c r="S6" s="4"/>
    </row>
    <row r="7" spans="1:19" s="11" customFormat="1">
      <c r="A7" s="30" t="s">
        <v>36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2" t="s">
        <v>103</v>
      </c>
      <c r="L7" s="33" t="s">
        <v>38</v>
      </c>
      <c r="M7" s="32" t="s">
        <v>39</v>
      </c>
      <c r="N7" s="33" t="s">
        <v>38</v>
      </c>
      <c r="O7" s="32"/>
      <c r="P7" s="29"/>
      <c r="Q7" s="29"/>
      <c r="R7" s="29"/>
      <c r="S7" s="29"/>
    </row>
    <row r="8" spans="1:19" s="11" customFormat="1" ht="60" customHeight="1">
      <c r="A8" s="51" t="s">
        <v>18</v>
      </c>
      <c r="B8" s="90"/>
      <c r="C8" s="91"/>
      <c r="D8" s="88" t="s">
        <v>205</v>
      </c>
      <c r="E8" s="88" t="s">
        <v>206</v>
      </c>
      <c r="F8" s="86"/>
      <c r="G8" s="88" t="s">
        <v>166</v>
      </c>
      <c r="H8" s="88" t="s">
        <v>207</v>
      </c>
      <c r="I8" s="86"/>
      <c r="J8" s="3"/>
      <c r="K8" s="35" t="s">
        <v>104</v>
      </c>
      <c r="L8" s="33" t="s">
        <v>17</v>
      </c>
      <c r="M8" s="35" t="s">
        <v>203</v>
      </c>
      <c r="N8" s="33" t="s">
        <v>17</v>
      </c>
      <c r="O8" s="35"/>
      <c r="P8" s="92"/>
      <c r="Q8" s="93"/>
      <c r="R8" s="94" t="s">
        <v>208</v>
      </c>
      <c r="S8" s="53"/>
    </row>
    <row r="9" spans="1:19" s="11" customFormat="1" ht="60" customHeight="1">
      <c r="A9" s="9" t="s">
        <v>18</v>
      </c>
      <c r="B9" s="36"/>
      <c r="C9" s="37"/>
      <c r="D9" s="88" t="s">
        <v>209</v>
      </c>
      <c r="E9" s="95" t="s">
        <v>210</v>
      </c>
      <c r="F9" s="88" t="s">
        <v>211</v>
      </c>
      <c r="G9" s="88" t="s">
        <v>212</v>
      </c>
      <c r="H9" s="88" t="s">
        <v>213</v>
      </c>
      <c r="I9" s="96" t="s">
        <v>214</v>
      </c>
      <c r="J9" s="88" t="s">
        <v>215</v>
      </c>
      <c r="K9" s="97"/>
      <c r="L9" s="33"/>
      <c r="M9" s="33"/>
      <c r="N9" s="33"/>
      <c r="O9" s="33"/>
      <c r="P9" s="94" t="s">
        <v>216</v>
      </c>
      <c r="Q9" s="53"/>
      <c r="R9" s="94" t="s">
        <v>217</v>
      </c>
      <c r="S9" s="53"/>
    </row>
    <row r="10" spans="1:19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9" t="s">
        <v>214</v>
      </c>
      <c r="M10" s="89" t="s">
        <v>215</v>
      </c>
      <c r="N10" s="89" t="s">
        <v>214</v>
      </c>
      <c r="O10" s="89" t="s">
        <v>215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20</v>
      </c>
      <c r="E11" s="34" t="s">
        <v>21</v>
      </c>
      <c r="F11" s="45"/>
      <c r="G11" s="28"/>
      <c r="H11" s="46"/>
      <c r="I11" s="47"/>
      <c r="J11" s="48"/>
      <c r="K11" s="58"/>
      <c r="L11" s="49" t="s">
        <v>21</v>
      </c>
      <c r="M11" s="49"/>
      <c r="N11" s="49"/>
      <c r="O11" s="49"/>
      <c r="P11" s="38"/>
      <c r="Q11" s="39"/>
      <c r="R11" s="74"/>
      <c r="S11" s="50"/>
    </row>
    <row r="12" spans="1:19" s="11" customFormat="1">
      <c r="A12" s="9">
        <v>10</v>
      </c>
      <c r="B12" s="9"/>
      <c r="C12" s="9"/>
      <c r="D12" s="9" t="s">
        <v>110</v>
      </c>
      <c r="E12" s="51" t="s">
        <v>111</v>
      </c>
      <c r="F12" s="51"/>
      <c r="G12" s="52" t="s">
        <v>218</v>
      </c>
      <c r="H12" s="52" t="s">
        <v>159</v>
      </c>
      <c r="I12" s="9" t="s">
        <v>33</v>
      </c>
      <c r="J12" s="9"/>
      <c r="K12" s="9"/>
      <c r="L12" s="9"/>
      <c r="M12" s="9"/>
      <c r="N12" s="9"/>
      <c r="O12" s="9"/>
      <c r="P12" s="59"/>
      <c r="Q12" s="53"/>
      <c r="R12" s="146"/>
      <c r="S12" s="147"/>
    </row>
    <row r="13" spans="1:19" s="11" customFormat="1">
      <c r="A13" s="9">
        <v>10</v>
      </c>
      <c r="B13" s="9"/>
      <c r="C13" s="9"/>
      <c r="D13" s="9" t="s">
        <v>114</v>
      </c>
      <c r="E13" s="51" t="s">
        <v>115</v>
      </c>
      <c r="F13" s="51"/>
      <c r="G13" s="52" t="s">
        <v>225</v>
      </c>
      <c r="H13" s="52" t="s">
        <v>170</v>
      </c>
      <c r="I13" s="9" t="s">
        <v>33</v>
      </c>
      <c r="J13" s="9"/>
      <c r="K13" s="9"/>
      <c r="L13" s="9"/>
      <c r="M13" s="9"/>
      <c r="N13" s="9"/>
      <c r="O13" s="9"/>
      <c r="P13" s="59"/>
      <c r="Q13" s="53"/>
      <c r="R13" s="146"/>
      <c r="S13" s="147"/>
    </row>
    <row r="14" spans="1:19" s="11" customFormat="1">
      <c r="A14" s="9">
        <v>10</v>
      </c>
      <c r="B14" s="9"/>
      <c r="C14" s="9"/>
      <c r="D14" s="9" t="s">
        <v>138</v>
      </c>
      <c r="E14" s="51" t="s">
        <v>139</v>
      </c>
      <c r="F14" s="51"/>
      <c r="G14" s="52" t="s">
        <v>219</v>
      </c>
      <c r="H14" s="52" t="s">
        <v>171</v>
      </c>
      <c r="I14" s="9" t="s">
        <v>33</v>
      </c>
      <c r="J14" s="9"/>
      <c r="K14" s="9"/>
      <c r="L14" s="9"/>
      <c r="M14" s="9"/>
      <c r="N14" s="9"/>
      <c r="O14" s="9"/>
      <c r="P14" s="59"/>
      <c r="Q14" s="53"/>
      <c r="R14" s="146"/>
      <c r="S14" s="147"/>
    </row>
    <row r="15" spans="1:19" s="11" customFormat="1">
      <c r="A15" s="9">
        <v>10</v>
      </c>
      <c r="B15" s="9"/>
      <c r="C15" s="9"/>
      <c r="D15" s="9" t="s">
        <v>141</v>
      </c>
      <c r="E15" s="51" t="s">
        <v>140</v>
      </c>
      <c r="F15" s="51"/>
      <c r="G15" s="52" t="s">
        <v>226</v>
      </c>
      <c r="H15" s="52" t="s">
        <v>172</v>
      </c>
      <c r="I15" s="9" t="s">
        <v>33</v>
      </c>
      <c r="J15" s="9"/>
      <c r="K15" s="9"/>
      <c r="L15" s="9"/>
      <c r="M15" s="9"/>
      <c r="N15" s="9"/>
      <c r="O15" s="9"/>
      <c r="P15" s="59"/>
      <c r="Q15" s="53"/>
      <c r="R15" s="146"/>
      <c r="S15" s="147"/>
    </row>
    <row r="16" spans="1:19" s="11" customFormat="1" ht="26">
      <c r="A16" s="9">
        <v>10</v>
      </c>
      <c r="B16" s="9"/>
      <c r="C16" s="9"/>
      <c r="D16" s="9" t="s">
        <v>80</v>
      </c>
      <c r="E16" s="51" t="s">
        <v>69</v>
      </c>
      <c r="F16" s="51"/>
      <c r="G16" s="52" t="s">
        <v>227</v>
      </c>
      <c r="H16" s="52" t="s">
        <v>173</v>
      </c>
      <c r="I16" s="9" t="s">
        <v>33</v>
      </c>
      <c r="J16" s="9"/>
      <c r="K16" s="9"/>
      <c r="L16" s="9"/>
      <c r="M16" s="9"/>
      <c r="N16" s="9"/>
      <c r="O16" s="9"/>
      <c r="P16" s="59"/>
      <c r="Q16" s="53"/>
      <c r="R16" s="146"/>
      <c r="S16" s="147"/>
    </row>
    <row r="17" spans="1:19" s="11" customFormat="1" ht="26">
      <c r="A17" s="9">
        <v>10</v>
      </c>
      <c r="B17" s="9"/>
      <c r="C17" s="9"/>
      <c r="D17" s="9" t="s">
        <v>81</v>
      </c>
      <c r="E17" s="51" t="s">
        <v>57</v>
      </c>
      <c r="F17" s="51"/>
      <c r="G17" s="52" t="s">
        <v>228</v>
      </c>
      <c r="H17" s="52" t="s">
        <v>70</v>
      </c>
      <c r="I17" s="9" t="s">
        <v>33</v>
      </c>
      <c r="J17" s="9"/>
      <c r="K17" s="9"/>
      <c r="L17" s="9"/>
      <c r="M17" s="9"/>
      <c r="N17" s="9"/>
      <c r="O17" s="9"/>
      <c r="P17" s="60"/>
      <c r="Q17" s="61"/>
      <c r="R17" s="148"/>
      <c r="S17" s="147"/>
    </row>
    <row r="18" spans="1:19" s="11" customFormat="1">
      <c r="A18" s="9">
        <v>10</v>
      </c>
      <c r="B18" s="9"/>
      <c r="C18" s="9"/>
      <c r="D18" s="9" t="s">
        <v>47</v>
      </c>
      <c r="E18" s="51" t="s">
        <v>49</v>
      </c>
      <c r="F18" s="51"/>
      <c r="G18" s="52" t="s">
        <v>220</v>
      </c>
      <c r="H18" s="52" t="s">
        <v>162</v>
      </c>
      <c r="I18" s="9" t="s">
        <v>33</v>
      </c>
      <c r="J18" s="9"/>
      <c r="K18" s="9"/>
      <c r="L18" s="9"/>
      <c r="M18" s="9"/>
      <c r="N18" s="9"/>
      <c r="O18" s="9"/>
      <c r="P18" s="59"/>
      <c r="Q18" s="53"/>
      <c r="R18" s="146"/>
      <c r="S18" s="147"/>
    </row>
    <row r="19" spans="1:19" s="11" customFormat="1">
      <c r="A19" s="9">
        <v>10</v>
      </c>
      <c r="B19" s="9"/>
      <c r="C19" s="9"/>
      <c r="D19" s="9" t="s">
        <v>187</v>
      </c>
      <c r="E19" s="51" t="s">
        <v>188</v>
      </c>
      <c r="F19" s="51"/>
      <c r="G19" s="52" t="s">
        <v>221</v>
      </c>
      <c r="H19" s="52" t="s">
        <v>163</v>
      </c>
      <c r="I19" s="9" t="s">
        <v>33</v>
      </c>
      <c r="J19" s="9"/>
      <c r="K19" s="9"/>
      <c r="L19" s="9"/>
      <c r="M19" s="9"/>
      <c r="N19" s="9"/>
      <c r="O19" s="9"/>
      <c r="P19" s="60"/>
      <c r="Q19" s="61"/>
      <c r="R19" s="148"/>
      <c r="S19" s="147"/>
    </row>
    <row r="20" spans="1:19" s="11" customFormat="1">
      <c r="A20" s="9">
        <v>10</v>
      </c>
      <c r="B20" s="9"/>
      <c r="C20" s="9"/>
      <c r="D20" s="9" t="s">
        <v>51</v>
      </c>
      <c r="E20" s="51" t="s">
        <v>53</v>
      </c>
      <c r="F20" s="51"/>
      <c r="G20" s="52" t="s">
        <v>222</v>
      </c>
      <c r="H20" s="52" t="s">
        <v>164</v>
      </c>
      <c r="I20" s="9" t="s">
        <v>33</v>
      </c>
      <c r="J20" s="9"/>
      <c r="K20" s="9"/>
      <c r="L20" s="9"/>
      <c r="M20" s="9"/>
      <c r="N20" s="9"/>
      <c r="O20" s="9"/>
      <c r="P20" s="60"/>
      <c r="Q20" s="61"/>
      <c r="R20" s="148"/>
      <c r="S20" s="147"/>
    </row>
    <row r="21" spans="1:19" s="11" customFormat="1">
      <c r="A21" s="79"/>
      <c r="S21" s="56"/>
    </row>
    <row r="22" spans="1:19" s="11" customFormat="1">
      <c r="A22" s="9">
        <v>20</v>
      </c>
      <c r="B22" s="36" t="s">
        <v>0</v>
      </c>
      <c r="C22" s="37"/>
      <c r="D22" s="28" t="s">
        <v>189</v>
      </c>
      <c r="E22" s="34" t="s">
        <v>34</v>
      </c>
      <c r="F22" s="62"/>
      <c r="G22" s="28"/>
      <c r="H22" s="46"/>
      <c r="I22" s="63"/>
      <c r="J22" s="64"/>
      <c r="K22" s="64"/>
      <c r="L22" s="49"/>
      <c r="M22" s="49" t="s">
        <v>22</v>
      </c>
      <c r="N22" s="49"/>
      <c r="O22" s="49"/>
      <c r="P22" s="38"/>
      <c r="Q22" s="39"/>
      <c r="R22" s="74"/>
      <c r="S22" s="50"/>
    </row>
    <row r="23" spans="1:19" s="11" customFormat="1">
      <c r="A23" s="9">
        <v>20</v>
      </c>
      <c r="B23" s="9"/>
      <c r="C23" s="9"/>
      <c r="D23" s="9" t="s">
        <v>82</v>
      </c>
      <c r="E23" s="51" t="s">
        <v>57</v>
      </c>
      <c r="F23" s="51"/>
      <c r="G23" s="52" t="s">
        <v>223</v>
      </c>
      <c r="H23" s="52" t="s">
        <v>58</v>
      </c>
      <c r="I23" s="9"/>
      <c r="J23" s="9" t="s">
        <v>33</v>
      </c>
      <c r="K23" s="9"/>
      <c r="L23" s="9"/>
      <c r="M23" s="9" t="s">
        <v>33</v>
      </c>
      <c r="N23" s="9"/>
      <c r="O23" s="9"/>
      <c r="P23" s="59"/>
      <c r="Q23" s="53"/>
      <c r="R23" s="146"/>
      <c r="S23" s="147"/>
    </row>
    <row r="24" spans="1:19" s="11" customFormat="1">
      <c r="A24" s="9">
        <v>20</v>
      </c>
      <c r="B24" s="9"/>
      <c r="C24" s="9"/>
      <c r="D24" s="9" t="s">
        <v>116</v>
      </c>
      <c r="E24" s="51" t="s">
        <v>111</v>
      </c>
      <c r="F24" s="51"/>
      <c r="G24" s="52" t="s">
        <v>218</v>
      </c>
      <c r="H24" s="52" t="s">
        <v>174</v>
      </c>
      <c r="I24" s="9"/>
      <c r="J24" s="9" t="s">
        <v>33</v>
      </c>
      <c r="K24" s="9"/>
      <c r="L24" s="9"/>
      <c r="M24" s="9" t="s">
        <v>33</v>
      </c>
      <c r="N24" s="9"/>
      <c r="O24" s="9"/>
      <c r="P24" s="59"/>
      <c r="Q24" s="53"/>
      <c r="R24" s="146"/>
      <c r="S24" s="147"/>
    </row>
    <row r="25" spans="1:19" s="11" customFormat="1">
      <c r="A25" s="9">
        <v>20</v>
      </c>
      <c r="B25" s="9"/>
      <c r="C25" s="9"/>
      <c r="D25" s="9" t="s">
        <v>117</v>
      </c>
      <c r="E25" s="51" t="s">
        <v>115</v>
      </c>
      <c r="F25" s="51"/>
      <c r="G25" s="52" t="s">
        <v>225</v>
      </c>
      <c r="H25" s="52" t="s">
        <v>175</v>
      </c>
      <c r="I25" s="9"/>
      <c r="J25" s="9" t="s">
        <v>33</v>
      </c>
      <c r="K25" s="9"/>
      <c r="L25" s="9"/>
      <c r="M25" s="9" t="s">
        <v>33</v>
      </c>
      <c r="N25" s="9"/>
      <c r="O25" s="9"/>
      <c r="P25" s="59"/>
      <c r="Q25" s="53"/>
      <c r="R25" s="146"/>
      <c r="S25" s="147"/>
    </row>
    <row r="26" spans="1:19" s="11" customFormat="1">
      <c r="A26" s="9">
        <v>20</v>
      </c>
      <c r="B26" s="9"/>
      <c r="C26" s="9"/>
      <c r="D26" s="9" t="s">
        <v>138</v>
      </c>
      <c r="E26" s="51" t="s">
        <v>139</v>
      </c>
      <c r="F26" s="51"/>
      <c r="G26" s="52" t="s">
        <v>219</v>
      </c>
      <c r="H26" s="52" t="s">
        <v>171</v>
      </c>
      <c r="I26" s="9"/>
      <c r="J26" s="9" t="s">
        <v>33</v>
      </c>
      <c r="K26" s="9"/>
      <c r="L26" s="9"/>
      <c r="M26" s="9" t="s">
        <v>33</v>
      </c>
      <c r="N26" s="9"/>
      <c r="O26" s="9"/>
      <c r="P26" s="59"/>
      <c r="Q26" s="53"/>
      <c r="R26" s="146"/>
      <c r="S26" s="147"/>
    </row>
    <row r="27" spans="1:19" s="11" customFormat="1">
      <c r="A27" s="9">
        <v>20</v>
      </c>
      <c r="B27" s="9"/>
      <c r="C27" s="9"/>
      <c r="D27" s="9" t="s">
        <v>141</v>
      </c>
      <c r="E27" s="51" t="s">
        <v>140</v>
      </c>
      <c r="F27" s="51"/>
      <c r="G27" s="52" t="s">
        <v>226</v>
      </c>
      <c r="H27" s="52" t="s">
        <v>172</v>
      </c>
      <c r="I27" s="9"/>
      <c r="J27" s="9" t="s">
        <v>33</v>
      </c>
      <c r="K27" s="9"/>
      <c r="L27" s="9"/>
      <c r="M27" s="9" t="s">
        <v>33</v>
      </c>
      <c r="N27" s="9"/>
      <c r="O27" s="9"/>
      <c r="P27" s="59"/>
      <c r="Q27" s="53"/>
      <c r="R27" s="146"/>
      <c r="S27" s="147"/>
    </row>
    <row r="28" spans="1:19" s="11" customFormat="1">
      <c r="A28" s="9">
        <v>20</v>
      </c>
      <c r="B28" s="9"/>
      <c r="C28" s="9"/>
      <c r="D28" s="9" t="s">
        <v>46</v>
      </c>
      <c r="E28" s="51" t="s">
        <v>48</v>
      </c>
      <c r="F28" s="51"/>
      <c r="G28" s="52" t="s">
        <v>220</v>
      </c>
      <c r="H28" s="52" t="s">
        <v>162</v>
      </c>
      <c r="I28" s="9"/>
      <c r="J28" s="9" t="s">
        <v>33</v>
      </c>
      <c r="K28" s="9"/>
      <c r="L28" s="9"/>
      <c r="M28" s="9" t="s">
        <v>33</v>
      </c>
      <c r="N28" s="9"/>
      <c r="O28" s="9"/>
      <c r="P28" s="59"/>
      <c r="Q28" s="53"/>
      <c r="R28" s="146"/>
      <c r="S28" s="147"/>
    </row>
    <row r="29" spans="1:19" s="11" customFormat="1">
      <c r="A29" s="9">
        <v>20</v>
      </c>
      <c r="B29" s="9"/>
      <c r="C29" s="9"/>
      <c r="D29" s="9" t="s">
        <v>54</v>
      </c>
      <c r="E29" s="51" t="s">
        <v>55</v>
      </c>
      <c r="F29" s="51"/>
      <c r="G29" s="52" t="s">
        <v>221</v>
      </c>
      <c r="H29" s="52" t="s">
        <v>163</v>
      </c>
      <c r="I29" s="9"/>
      <c r="J29" s="9" t="s">
        <v>33</v>
      </c>
      <c r="K29" s="9"/>
      <c r="L29" s="9"/>
      <c r="M29" s="9" t="s">
        <v>33</v>
      </c>
      <c r="N29" s="9"/>
      <c r="O29" s="9"/>
      <c r="P29" s="59"/>
      <c r="Q29" s="53"/>
      <c r="R29" s="146"/>
      <c r="S29" s="147"/>
    </row>
    <row r="30" spans="1:19" s="11" customFormat="1">
      <c r="A30" s="9">
        <v>20</v>
      </c>
      <c r="B30" s="9"/>
      <c r="C30" s="9"/>
      <c r="D30" s="9" t="s">
        <v>50</v>
      </c>
      <c r="E30" s="51" t="s">
        <v>52</v>
      </c>
      <c r="F30" s="51"/>
      <c r="G30" s="52" t="s">
        <v>222</v>
      </c>
      <c r="H30" s="52" t="s">
        <v>164</v>
      </c>
      <c r="I30" s="9"/>
      <c r="J30" s="9" t="s">
        <v>33</v>
      </c>
      <c r="K30" s="9"/>
      <c r="L30" s="9"/>
      <c r="M30" s="9" t="s">
        <v>33</v>
      </c>
      <c r="N30" s="9"/>
      <c r="O30" s="9"/>
      <c r="P30" s="59"/>
      <c r="Q30" s="53"/>
      <c r="R30" s="146"/>
      <c r="S30" s="147"/>
    </row>
    <row r="31" spans="1:19" s="11" customFormat="1">
      <c r="A31" s="9">
        <v>20</v>
      </c>
      <c r="B31" s="9"/>
      <c r="C31" s="9"/>
      <c r="D31" s="9" t="s">
        <v>190</v>
      </c>
      <c r="E31" s="51" t="s">
        <v>121</v>
      </c>
      <c r="F31" s="51"/>
      <c r="G31" s="52" t="s">
        <v>229</v>
      </c>
      <c r="H31" s="52" t="s">
        <v>176</v>
      </c>
      <c r="I31" s="9"/>
      <c r="J31" s="9" t="s">
        <v>33</v>
      </c>
      <c r="K31" s="9"/>
      <c r="L31" s="9"/>
      <c r="M31" s="9" t="s">
        <v>33</v>
      </c>
      <c r="N31" s="9"/>
      <c r="O31" s="9"/>
      <c r="P31" s="59"/>
      <c r="Q31" s="53"/>
      <c r="R31" s="146"/>
      <c r="S31" s="147"/>
    </row>
    <row r="32" spans="1:19" s="11" customFormat="1">
      <c r="A32" s="9">
        <v>20</v>
      </c>
      <c r="B32" s="9"/>
      <c r="C32" s="9"/>
      <c r="D32" s="9" t="s">
        <v>40</v>
      </c>
      <c r="E32" s="51" t="s">
        <v>122</v>
      </c>
      <c r="F32" s="51"/>
      <c r="G32" s="52" t="s">
        <v>230</v>
      </c>
      <c r="H32" s="52" t="s">
        <v>177</v>
      </c>
      <c r="I32" s="9"/>
      <c r="J32" s="9" t="s">
        <v>33</v>
      </c>
      <c r="K32" s="9"/>
      <c r="L32" s="9"/>
      <c r="M32" s="9" t="s">
        <v>33</v>
      </c>
      <c r="N32" s="9"/>
      <c r="O32" s="9"/>
      <c r="P32" s="59"/>
      <c r="Q32" s="53"/>
      <c r="R32" s="146"/>
      <c r="S32" s="147"/>
    </row>
    <row r="33" spans="1:19" s="11" customFormat="1">
      <c r="A33" s="9">
        <v>20</v>
      </c>
      <c r="B33" s="9"/>
      <c r="C33" s="9"/>
      <c r="D33" s="9" t="s">
        <v>14</v>
      </c>
      <c r="E33" s="51" t="s">
        <v>64</v>
      </c>
      <c r="F33" s="51"/>
      <c r="G33" s="52" t="s">
        <v>231</v>
      </c>
      <c r="H33" s="52" t="s">
        <v>178</v>
      </c>
      <c r="I33" s="9"/>
      <c r="J33" s="9" t="s">
        <v>33</v>
      </c>
      <c r="K33" s="9"/>
      <c r="L33" s="9"/>
      <c r="M33" s="9" t="s">
        <v>33</v>
      </c>
      <c r="N33" s="9"/>
      <c r="O33" s="9"/>
      <c r="P33" s="59"/>
      <c r="Q33" s="53"/>
      <c r="R33" s="146"/>
      <c r="S33" s="147"/>
    </row>
    <row r="34" spans="1:19" s="11" customFormat="1">
      <c r="A34" s="9">
        <v>20</v>
      </c>
      <c r="B34" s="9"/>
      <c r="C34" s="9"/>
      <c r="D34" s="9" t="s">
        <v>59</v>
      </c>
      <c r="E34" s="51" t="s">
        <v>119</v>
      </c>
      <c r="F34" s="51"/>
      <c r="G34" s="52" t="s">
        <v>232</v>
      </c>
      <c r="H34" s="52" t="s">
        <v>60</v>
      </c>
      <c r="I34" s="9"/>
      <c r="J34" s="9" t="s">
        <v>33</v>
      </c>
      <c r="K34" s="9"/>
      <c r="L34" s="9"/>
      <c r="M34" s="9" t="s">
        <v>33</v>
      </c>
      <c r="N34" s="9"/>
      <c r="O34" s="9"/>
      <c r="P34" s="59"/>
      <c r="Q34" s="53"/>
      <c r="R34" s="146"/>
      <c r="S34" s="147"/>
    </row>
    <row r="35" spans="1:19" s="11" customFormat="1">
      <c r="A35" s="9">
        <v>20</v>
      </c>
      <c r="B35" s="9"/>
      <c r="C35" s="9"/>
      <c r="D35" s="9" t="s">
        <v>65</v>
      </c>
      <c r="E35" s="51" t="s">
        <v>120</v>
      </c>
      <c r="F35" s="51"/>
      <c r="G35" s="52" t="s">
        <v>233</v>
      </c>
      <c r="H35" s="52" t="s">
        <v>67</v>
      </c>
      <c r="I35" s="9"/>
      <c r="J35" s="9" t="s">
        <v>33</v>
      </c>
      <c r="K35" s="9"/>
      <c r="L35" s="9"/>
      <c r="M35" s="9"/>
      <c r="N35" s="9"/>
      <c r="O35" s="9"/>
      <c r="P35" s="59"/>
      <c r="Q35" s="53"/>
      <c r="R35" s="146"/>
      <c r="S35" s="147"/>
    </row>
    <row r="36" spans="1:19" s="11" customFormat="1">
      <c r="A36" s="9">
        <v>20</v>
      </c>
      <c r="B36" s="9"/>
      <c r="C36" s="9"/>
      <c r="D36" s="9" t="s">
        <v>86</v>
      </c>
      <c r="E36" s="51" t="s">
        <v>89</v>
      </c>
      <c r="F36" s="51"/>
      <c r="G36" s="52" t="s">
        <v>224</v>
      </c>
      <c r="H36" s="52" t="s">
        <v>87</v>
      </c>
      <c r="I36" s="9"/>
      <c r="J36" s="9" t="s">
        <v>33</v>
      </c>
      <c r="K36" s="9"/>
      <c r="L36" s="9"/>
      <c r="M36" s="9" t="s">
        <v>33</v>
      </c>
      <c r="N36" s="9"/>
      <c r="O36" s="9"/>
      <c r="P36" s="59"/>
      <c r="Q36" s="53"/>
      <c r="R36" s="146"/>
      <c r="S36" s="147"/>
    </row>
    <row r="37" spans="1:19" s="11" customFormat="1">
      <c r="A37" s="9">
        <v>20</v>
      </c>
      <c r="B37" s="9"/>
      <c r="C37" s="9"/>
      <c r="D37" s="9" t="s">
        <v>191</v>
      </c>
      <c r="E37" s="51" t="s">
        <v>121</v>
      </c>
      <c r="F37" s="51"/>
      <c r="G37" s="52" t="s">
        <v>234</v>
      </c>
      <c r="H37" s="52" t="s">
        <v>179</v>
      </c>
      <c r="I37" s="9"/>
      <c r="J37" s="9" t="s">
        <v>33</v>
      </c>
      <c r="K37" s="9"/>
      <c r="L37" s="9"/>
      <c r="M37" s="9" t="s">
        <v>33</v>
      </c>
      <c r="N37" s="9"/>
      <c r="O37" s="9"/>
      <c r="P37" s="59"/>
      <c r="Q37" s="53"/>
      <c r="R37" s="146"/>
      <c r="S37" s="147"/>
    </row>
    <row r="38" spans="1:19" s="11" customFormat="1">
      <c r="A38" s="9">
        <v>20</v>
      </c>
      <c r="B38" s="9"/>
      <c r="C38" s="9"/>
      <c r="D38" s="9" t="s">
        <v>41</v>
      </c>
      <c r="E38" s="51" t="s">
        <v>122</v>
      </c>
      <c r="F38" s="51"/>
      <c r="G38" s="52" t="s">
        <v>235</v>
      </c>
      <c r="H38" s="52" t="s">
        <v>180</v>
      </c>
      <c r="I38" s="9"/>
      <c r="J38" s="9" t="s">
        <v>33</v>
      </c>
      <c r="K38" s="9"/>
      <c r="L38" s="9"/>
      <c r="M38" s="9" t="s">
        <v>33</v>
      </c>
      <c r="N38" s="9"/>
      <c r="O38" s="9"/>
      <c r="P38" s="59"/>
      <c r="Q38" s="53"/>
      <c r="R38" s="146"/>
      <c r="S38" s="147"/>
    </row>
    <row r="39" spans="1:19" s="11" customFormat="1">
      <c r="A39" s="9">
        <v>20</v>
      </c>
      <c r="B39" s="9"/>
      <c r="C39" s="9"/>
      <c r="D39" s="9" t="s">
        <v>15</v>
      </c>
      <c r="E39" s="51" t="s">
        <v>64</v>
      </c>
      <c r="F39" s="51"/>
      <c r="G39" s="52" t="s">
        <v>236</v>
      </c>
      <c r="H39" s="52" t="s">
        <v>181</v>
      </c>
      <c r="I39" s="9"/>
      <c r="J39" s="9" t="s">
        <v>33</v>
      </c>
      <c r="K39" s="9"/>
      <c r="L39" s="9"/>
      <c r="M39" s="9" t="s">
        <v>33</v>
      </c>
      <c r="N39" s="9"/>
      <c r="O39" s="9"/>
      <c r="P39" s="59"/>
      <c r="Q39" s="53"/>
      <c r="R39" s="146"/>
      <c r="S39" s="147"/>
    </row>
    <row r="40" spans="1:19" s="11" customFormat="1">
      <c r="A40" s="9">
        <v>20</v>
      </c>
      <c r="B40" s="9"/>
      <c r="C40" s="9"/>
      <c r="D40" s="9" t="s">
        <v>61</v>
      </c>
      <c r="E40" s="51" t="s">
        <v>119</v>
      </c>
      <c r="F40" s="51"/>
      <c r="G40" s="52" t="s">
        <v>237</v>
      </c>
      <c r="H40" s="52" t="s">
        <v>62</v>
      </c>
      <c r="I40" s="9"/>
      <c r="J40" s="9" t="s">
        <v>33</v>
      </c>
      <c r="K40" s="9"/>
      <c r="L40" s="9"/>
      <c r="M40" s="9" t="s">
        <v>33</v>
      </c>
      <c r="N40" s="9"/>
      <c r="O40" s="9"/>
      <c r="P40" s="59"/>
      <c r="Q40" s="53"/>
      <c r="R40" s="146"/>
      <c r="S40" s="147"/>
    </row>
    <row r="41" spans="1:19" s="11" customFormat="1">
      <c r="A41" s="9">
        <v>20</v>
      </c>
      <c r="B41" s="9"/>
      <c r="C41" s="9"/>
      <c r="D41" s="9" t="s">
        <v>66</v>
      </c>
      <c r="E41" s="51" t="s">
        <v>120</v>
      </c>
      <c r="F41" s="51"/>
      <c r="G41" s="52" t="s">
        <v>238</v>
      </c>
      <c r="H41" s="52" t="s">
        <v>182</v>
      </c>
      <c r="I41" s="9"/>
      <c r="J41" s="9" t="s">
        <v>33</v>
      </c>
      <c r="K41" s="9"/>
      <c r="L41" s="9"/>
      <c r="M41" s="9"/>
      <c r="N41" s="9"/>
      <c r="O41" s="9"/>
      <c r="P41" s="59"/>
      <c r="Q41" s="53"/>
      <c r="R41" s="146"/>
      <c r="S41" s="147"/>
    </row>
    <row r="42" spans="1:19" s="11" customFormat="1">
      <c r="A42" s="9">
        <v>20</v>
      </c>
      <c r="B42" s="9"/>
      <c r="C42" s="9"/>
      <c r="D42" s="9" t="s">
        <v>68</v>
      </c>
      <c r="E42" s="51" t="s">
        <v>63</v>
      </c>
      <c r="F42" s="51"/>
      <c r="G42" s="52" t="s">
        <v>239</v>
      </c>
      <c r="H42" s="52" t="s">
        <v>183</v>
      </c>
      <c r="I42" s="9"/>
      <c r="J42" s="9" t="s">
        <v>33</v>
      </c>
      <c r="K42" s="9"/>
      <c r="L42" s="9"/>
      <c r="M42" s="9" t="s">
        <v>33</v>
      </c>
      <c r="N42" s="9"/>
      <c r="O42" s="9"/>
      <c r="P42" s="59"/>
      <c r="Q42" s="53"/>
      <c r="R42" s="146"/>
      <c r="S42" s="147"/>
    </row>
    <row r="43" spans="1:19" s="11" customFormat="1">
      <c r="A43" s="9">
        <v>20</v>
      </c>
      <c r="B43" s="9"/>
      <c r="C43" s="9"/>
      <c r="D43" s="9" t="s">
        <v>83</v>
      </c>
      <c r="E43" s="51" t="s">
        <v>121</v>
      </c>
      <c r="F43" s="51"/>
      <c r="G43" s="52" t="s">
        <v>240</v>
      </c>
      <c r="H43" s="52" t="s">
        <v>184</v>
      </c>
      <c r="I43" s="9"/>
      <c r="J43" s="9" t="s">
        <v>33</v>
      </c>
      <c r="K43" s="9"/>
      <c r="L43" s="9"/>
      <c r="M43" s="9" t="s">
        <v>33</v>
      </c>
      <c r="N43" s="9"/>
      <c r="O43" s="9"/>
      <c r="P43" s="59"/>
      <c r="Q43" s="53"/>
      <c r="R43" s="146"/>
      <c r="S43" s="147"/>
    </row>
    <row r="44" spans="1:19" s="11" customFormat="1">
      <c r="A44" s="9">
        <v>20</v>
      </c>
      <c r="B44" s="9"/>
      <c r="C44" s="9"/>
      <c r="D44" s="9" t="s">
        <v>84</v>
      </c>
      <c r="E44" s="51" t="s">
        <v>122</v>
      </c>
      <c r="F44" s="51"/>
      <c r="G44" s="52" t="s">
        <v>241</v>
      </c>
      <c r="H44" s="52" t="s">
        <v>185</v>
      </c>
      <c r="I44" s="9"/>
      <c r="J44" s="9" t="s">
        <v>33</v>
      </c>
      <c r="K44" s="9"/>
      <c r="L44" s="9"/>
      <c r="M44" s="9" t="s">
        <v>33</v>
      </c>
      <c r="N44" s="9"/>
      <c r="O44" s="9"/>
      <c r="P44" s="59"/>
      <c r="Q44" s="53"/>
      <c r="R44" s="146"/>
      <c r="S44" s="147"/>
    </row>
    <row r="45" spans="1:19" s="11" customFormat="1">
      <c r="A45" s="9">
        <v>20</v>
      </c>
      <c r="B45" s="9"/>
      <c r="C45" s="9"/>
      <c r="D45" s="9" t="s">
        <v>85</v>
      </c>
      <c r="E45" s="51" t="s">
        <v>64</v>
      </c>
      <c r="F45" s="51"/>
      <c r="G45" s="52" t="s">
        <v>242</v>
      </c>
      <c r="H45" s="52" t="s">
        <v>186</v>
      </c>
      <c r="I45" s="9"/>
      <c r="J45" s="9" t="s">
        <v>33</v>
      </c>
      <c r="K45" s="9"/>
      <c r="L45" s="9"/>
      <c r="M45" s="9" t="s">
        <v>33</v>
      </c>
      <c r="N45" s="9"/>
      <c r="O45" s="9"/>
      <c r="P45" s="59"/>
      <c r="Q45" s="53"/>
      <c r="R45" s="146"/>
      <c r="S45" s="147"/>
    </row>
    <row r="46" spans="1:19" s="11" customFormat="1">
      <c r="A46" s="65"/>
      <c r="B46" s="30"/>
      <c r="C46" s="30"/>
      <c r="D46" s="66" t="s">
        <v>4</v>
      </c>
      <c r="E46" s="31"/>
      <c r="F46" s="67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68"/>
    </row>
    <row r="47" spans="1:19" s="11" customFormat="1">
      <c r="A47" s="79"/>
      <c r="S47" s="56"/>
    </row>
    <row r="48" spans="1:19" s="11" customFormat="1">
      <c r="A48" s="79"/>
      <c r="S48" s="56"/>
    </row>
    <row r="49" spans="1:19" s="11" customFormat="1">
      <c r="A49" s="79"/>
      <c r="S49" s="56"/>
    </row>
    <row r="50" spans="1:19" s="11" customFormat="1">
      <c r="A50" s="79"/>
      <c r="S50" s="56"/>
    </row>
    <row r="51" spans="1:19" s="11" customFormat="1">
      <c r="A51" s="84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20"/>
    </row>
  </sheetData>
  <mergeCells count="32">
    <mergeCell ref="R45:S45"/>
    <mergeCell ref="R42:S42"/>
    <mergeCell ref="R38:S38"/>
    <mergeCell ref="R44:S44"/>
    <mergeCell ref="R34:S34"/>
    <mergeCell ref="R43:S43"/>
    <mergeCell ref="R37:S37"/>
    <mergeCell ref="R41:S41"/>
    <mergeCell ref="R40:S40"/>
    <mergeCell ref="R39:S39"/>
    <mergeCell ref="R29:S29"/>
    <mergeCell ref="R20:S20"/>
    <mergeCell ref="R26:S26"/>
    <mergeCell ref="R27:S27"/>
    <mergeCell ref="R24:S24"/>
    <mergeCell ref="R25:S25"/>
    <mergeCell ref="R12:S12"/>
    <mergeCell ref="R13:S13"/>
    <mergeCell ref="R14:S14"/>
    <mergeCell ref="R15:S15"/>
    <mergeCell ref="R36:S36"/>
    <mergeCell ref="R35:S35"/>
    <mergeCell ref="R31:S31"/>
    <mergeCell ref="R28:S28"/>
    <mergeCell ref="R33:S33"/>
    <mergeCell ref="R16:S16"/>
    <mergeCell ref="R19:S19"/>
    <mergeCell ref="R23:S23"/>
    <mergeCell ref="R17:S17"/>
    <mergeCell ref="R30:S30"/>
    <mergeCell ref="R32:S32"/>
    <mergeCell ref="R18:S18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3"/>
  <sheetViews>
    <sheetView topLeftCell="O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6" t="s">
        <v>16</v>
      </c>
      <c r="B2" s="77"/>
      <c r="C2" s="77"/>
      <c r="D2" s="87" t="s">
        <v>204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MABGL0750</v>
      </c>
      <c r="I2" s="7" t="s">
        <v>154</v>
      </c>
      <c r="J2" s="9" t="s">
        <v>107</v>
      </c>
      <c r="K2" s="7" t="s">
        <v>44</v>
      </c>
      <c r="L2" s="78" t="str">
        <f>IF(LogicCommon!G2="","",LogicCommon!G2)</f>
        <v>MC</v>
      </c>
      <c r="M2" s="5" t="s">
        <v>155</v>
      </c>
      <c r="N2" s="28" t="s">
        <v>199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156</v>
      </c>
      <c r="P3" s="9" t="s">
        <v>157</v>
      </c>
      <c r="Q3" s="4"/>
      <c r="R3" s="27"/>
      <c r="S3" s="27"/>
      <c r="T3" s="27"/>
      <c r="U3" s="27"/>
      <c r="V3" s="27"/>
    </row>
    <row r="4" spans="1:22" s="11" customFormat="1">
      <c r="A4" s="79" t="s">
        <v>16</v>
      </c>
      <c r="B4" s="80"/>
      <c r="C4" s="80"/>
      <c r="D4" s="4"/>
      <c r="E4" s="7" t="s">
        <v>8</v>
      </c>
      <c r="F4" s="10" t="s">
        <v>153</v>
      </c>
      <c r="G4" s="7" t="s">
        <v>11</v>
      </c>
      <c r="H4" s="78" t="str">
        <f>IF(LogicCommon!E4="","",LogicCommon!E4)</f>
        <v>原価帳票マスタ登録</v>
      </c>
      <c r="I4" s="7" t="s">
        <v>158</v>
      </c>
      <c r="J4" s="9" t="s">
        <v>73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9" t="s">
        <v>16</v>
      </c>
      <c r="B6" s="80"/>
      <c r="C6" s="80"/>
      <c r="D6" s="4" t="s">
        <v>6</v>
      </c>
      <c r="E6" s="16" t="s">
        <v>143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 t="s">
        <v>35</v>
      </c>
      <c r="Q6" s="19"/>
      <c r="R6" s="3" t="s">
        <v>35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96</v>
      </c>
      <c r="M7" s="33" t="s">
        <v>76</v>
      </c>
      <c r="N7" s="32" t="s">
        <v>97</v>
      </c>
      <c r="O7" s="33" t="s">
        <v>76</v>
      </c>
      <c r="P7" s="32"/>
      <c r="Q7" s="33" t="s">
        <v>76</v>
      </c>
      <c r="R7" s="32"/>
      <c r="S7" s="29"/>
      <c r="T7" s="29"/>
      <c r="U7" s="29"/>
      <c r="V7" s="29"/>
    </row>
    <row r="8" spans="1:22" s="11" customFormat="1" ht="60" customHeight="1">
      <c r="A8" s="51" t="s">
        <v>18</v>
      </c>
      <c r="B8" s="90"/>
      <c r="C8" s="91"/>
      <c r="D8" s="88" t="s">
        <v>205</v>
      </c>
      <c r="E8" s="88" t="s">
        <v>206</v>
      </c>
      <c r="F8" s="86"/>
      <c r="G8" s="88" t="s">
        <v>166</v>
      </c>
      <c r="H8" s="88" t="s">
        <v>207</v>
      </c>
      <c r="I8" s="86"/>
      <c r="J8" s="3"/>
      <c r="K8" s="33" t="s">
        <v>17</v>
      </c>
      <c r="L8" s="35" t="s">
        <v>133</v>
      </c>
      <c r="M8" s="33" t="s">
        <v>77</v>
      </c>
      <c r="N8" s="35" t="s">
        <v>134</v>
      </c>
      <c r="O8" s="33" t="s">
        <v>77</v>
      </c>
      <c r="P8" s="35"/>
      <c r="Q8" s="33" t="s">
        <v>77</v>
      </c>
      <c r="R8" s="35"/>
      <c r="S8" s="92"/>
      <c r="T8" s="93"/>
      <c r="U8" s="94" t="s">
        <v>208</v>
      </c>
      <c r="V8" s="53"/>
    </row>
    <row r="9" spans="1:22" s="11" customFormat="1" ht="60" customHeight="1">
      <c r="A9" s="9" t="s">
        <v>18</v>
      </c>
      <c r="B9" s="36"/>
      <c r="C9" s="37"/>
      <c r="D9" s="88" t="s">
        <v>209</v>
      </c>
      <c r="E9" s="95" t="s">
        <v>210</v>
      </c>
      <c r="F9" s="88" t="s">
        <v>211</v>
      </c>
      <c r="G9" s="88" t="s">
        <v>212</v>
      </c>
      <c r="H9" s="88" t="s">
        <v>213</v>
      </c>
      <c r="I9" s="96" t="s">
        <v>214</v>
      </c>
      <c r="J9" s="88" t="s">
        <v>215</v>
      </c>
      <c r="K9" s="33"/>
      <c r="L9" s="33"/>
      <c r="M9" s="33"/>
      <c r="N9" s="33"/>
      <c r="O9" s="33"/>
      <c r="P9" s="33"/>
      <c r="Q9" s="33"/>
      <c r="R9" s="33"/>
      <c r="S9" s="94" t="s">
        <v>216</v>
      </c>
      <c r="T9" s="53"/>
      <c r="U9" s="94" t="s">
        <v>217</v>
      </c>
      <c r="V9" s="53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214</v>
      </c>
      <c r="L10" s="89" t="s">
        <v>215</v>
      </c>
      <c r="M10" s="89" t="s">
        <v>214</v>
      </c>
      <c r="N10" s="89" t="s">
        <v>215</v>
      </c>
      <c r="O10" s="89" t="s">
        <v>214</v>
      </c>
      <c r="P10" s="89" t="s">
        <v>215</v>
      </c>
      <c r="Q10" s="89" t="s">
        <v>214</v>
      </c>
      <c r="R10" s="89" t="s">
        <v>215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75</v>
      </c>
      <c r="E11" s="34" t="s">
        <v>22</v>
      </c>
      <c r="F11" s="45"/>
      <c r="G11" s="28" t="s">
        <v>92</v>
      </c>
      <c r="H11" s="46" t="s">
        <v>192</v>
      </c>
      <c r="I11" s="47"/>
      <c r="J11" s="48"/>
      <c r="K11" s="49" t="s">
        <v>193</v>
      </c>
      <c r="L11" s="49"/>
      <c r="M11" s="49" t="s">
        <v>194</v>
      </c>
      <c r="N11" s="49"/>
      <c r="O11" s="49"/>
      <c r="P11" s="49"/>
      <c r="Q11" s="49"/>
      <c r="R11" s="49"/>
      <c r="S11" s="38"/>
      <c r="T11" s="39"/>
      <c r="U11" s="74"/>
      <c r="V11" s="50"/>
    </row>
    <row r="12" spans="1:22" s="11" customFormat="1">
      <c r="A12" s="9">
        <v>10</v>
      </c>
      <c r="B12" s="9"/>
      <c r="C12" s="9"/>
      <c r="D12" s="9" t="s">
        <v>110</v>
      </c>
      <c r="E12" s="51" t="s">
        <v>111</v>
      </c>
      <c r="F12" s="51"/>
      <c r="G12" s="52" t="s">
        <v>218</v>
      </c>
      <c r="H12" s="52" t="s">
        <v>159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42"/>
      <c r="T12" s="53"/>
      <c r="U12" s="146"/>
      <c r="V12" s="147"/>
    </row>
    <row r="13" spans="1:22" s="11" customFormat="1">
      <c r="A13" s="9">
        <v>10</v>
      </c>
      <c r="B13" s="9"/>
      <c r="C13" s="9"/>
      <c r="D13" s="9" t="s">
        <v>138</v>
      </c>
      <c r="E13" s="51" t="s">
        <v>139</v>
      </c>
      <c r="F13" s="51"/>
      <c r="G13" s="52" t="s">
        <v>219</v>
      </c>
      <c r="H13" s="52" t="s">
        <v>161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42"/>
      <c r="T13" s="53"/>
      <c r="U13" s="146"/>
      <c r="V13" s="147"/>
    </row>
    <row r="14" spans="1:22" s="11" customFormat="1">
      <c r="A14" s="9">
        <v>10</v>
      </c>
      <c r="B14" s="9"/>
      <c r="C14" s="9"/>
      <c r="D14" s="9" t="s">
        <v>46</v>
      </c>
      <c r="E14" s="51" t="s">
        <v>48</v>
      </c>
      <c r="F14" s="51"/>
      <c r="G14" s="52" t="s">
        <v>220</v>
      </c>
      <c r="H14" s="52" t="s">
        <v>162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42"/>
      <c r="T14" s="53"/>
      <c r="U14" s="146"/>
      <c r="V14" s="147"/>
    </row>
    <row r="15" spans="1:22" s="11" customFormat="1">
      <c r="A15" s="9">
        <v>10</v>
      </c>
      <c r="B15" s="9"/>
      <c r="C15" s="9"/>
      <c r="D15" s="9" t="s">
        <v>54</v>
      </c>
      <c r="E15" s="51" t="s">
        <v>55</v>
      </c>
      <c r="F15" s="51"/>
      <c r="G15" s="52" t="s">
        <v>221</v>
      </c>
      <c r="H15" s="52" t="s">
        <v>163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42"/>
      <c r="T15" s="53"/>
      <c r="U15" s="146"/>
      <c r="V15" s="147"/>
    </row>
    <row r="16" spans="1:22" s="11" customFormat="1">
      <c r="A16" s="9">
        <v>10</v>
      </c>
      <c r="B16" s="9"/>
      <c r="C16" s="9"/>
      <c r="D16" s="9" t="s">
        <v>50</v>
      </c>
      <c r="E16" s="51" t="s">
        <v>52</v>
      </c>
      <c r="F16" s="51"/>
      <c r="G16" s="52" t="s">
        <v>222</v>
      </c>
      <c r="H16" s="52" t="s">
        <v>164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42"/>
      <c r="T16" s="53"/>
      <c r="U16" s="146"/>
      <c r="V16" s="147"/>
    </row>
    <row r="17" spans="1:22" s="11" customFormat="1">
      <c r="A17" s="9">
        <v>10</v>
      </c>
      <c r="B17" s="9"/>
      <c r="C17" s="9"/>
      <c r="D17" s="9" t="s">
        <v>82</v>
      </c>
      <c r="E17" s="51" t="s">
        <v>56</v>
      </c>
      <c r="F17" s="51"/>
      <c r="G17" s="52" t="s">
        <v>223</v>
      </c>
      <c r="H17" s="52" t="s">
        <v>58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42"/>
      <c r="T17" s="53"/>
      <c r="U17" s="146"/>
      <c r="V17" s="147"/>
    </row>
    <row r="18" spans="1:22" s="11" customFormat="1">
      <c r="A18" s="9">
        <v>10</v>
      </c>
      <c r="B18" s="9"/>
      <c r="C18" s="9"/>
      <c r="D18" s="9" t="s">
        <v>88</v>
      </c>
      <c r="E18" s="51" t="s">
        <v>89</v>
      </c>
      <c r="F18" s="51"/>
      <c r="G18" s="52" t="s">
        <v>224</v>
      </c>
      <c r="H18" s="52" t="s">
        <v>87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42"/>
      <c r="T18" s="53"/>
      <c r="U18" s="146"/>
      <c r="V18" s="147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79"/>
      <c r="V20" s="56"/>
    </row>
    <row r="21" spans="1:22" s="11" customFormat="1">
      <c r="A21" s="79"/>
      <c r="V21" s="56"/>
    </row>
    <row r="22" spans="1:22" s="11" customFormat="1">
      <c r="A22" s="79"/>
      <c r="V22" s="56"/>
    </row>
    <row r="23" spans="1:22" s="11" customFormat="1">
      <c r="A23" s="8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2:V12"/>
    <mergeCell ref="U13:V13"/>
    <mergeCell ref="U18:V18"/>
    <mergeCell ref="U16:V16"/>
    <mergeCell ref="U15:V15"/>
    <mergeCell ref="U14:V14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8"/>
  <sheetViews>
    <sheetView topLeftCell="J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</v>
      </c>
      <c r="B2" s="77"/>
      <c r="C2" s="77"/>
      <c r="D2" s="87" t="s">
        <v>204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MABGL0750</v>
      </c>
      <c r="I2" s="7" t="s">
        <v>154</v>
      </c>
      <c r="J2" s="9" t="s">
        <v>105</v>
      </c>
      <c r="K2" s="7" t="s">
        <v>44</v>
      </c>
      <c r="L2" s="78" t="str">
        <f>IF(LogicCommon!G2="","",LogicCommon!G2)</f>
        <v>MC</v>
      </c>
      <c r="M2" s="5" t="s">
        <v>155</v>
      </c>
      <c r="N2" s="28" t="s">
        <v>200</v>
      </c>
      <c r="O2" s="7"/>
      <c r="P2" s="7"/>
      <c r="Q2" s="4"/>
      <c r="R2" s="27"/>
    </row>
    <row r="3" spans="1:18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MABG</v>
      </c>
      <c r="G3" s="7" t="s">
        <v>10</v>
      </c>
      <c r="H3" s="78" t="str">
        <f>IF(LogicCommon!E3="","",LogicCommon!E3)</f>
        <v>MABGL_CostReportReg</v>
      </c>
      <c r="I3" s="7" t="s">
        <v>30</v>
      </c>
      <c r="J3" s="9" t="s">
        <v>31</v>
      </c>
      <c r="K3" s="7" t="s">
        <v>45</v>
      </c>
      <c r="L3" s="78" t="str">
        <f>IF(LogicCommon!G3="","",LogicCommon!G3)</f>
        <v/>
      </c>
      <c r="M3" s="82" t="s">
        <v>32</v>
      </c>
      <c r="N3" s="7"/>
      <c r="O3" s="7" t="s">
        <v>156</v>
      </c>
      <c r="P3" s="9" t="s">
        <v>157</v>
      </c>
      <c r="Q3" s="4"/>
      <c r="R3" s="27"/>
    </row>
    <row r="4" spans="1:18" s="11" customFormat="1">
      <c r="A4" s="79" t="s">
        <v>16</v>
      </c>
      <c r="B4" s="80"/>
      <c r="C4" s="80"/>
      <c r="D4" s="4"/>
      <c r="E4" s="7" t="s">
        <v>8</v>
      </c>
      <c r="F4" s="10" t="s">
        <v>153</v>
      </c>
      <c r="G4" s="7" t="s">
        <v>11</v>
      </c>
      <c r="H4" s="78" t="str">
        <f>IF(LogicCommon!E4="","",LogicCommon!E4)</f>
        <v>原価帳票マスタ登録</v>
      </c>
      <c r="I4" s="7" t="s">
        <v>158</v>
      </c>
      <c r="J4" s="9" t="s">
        <v>71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</v>
      </c>
      <c r="B5" s="75"/>
      <c r="C5" s="75"/>
      <c r="D5" s="26"/>
      <c r="E5" s="7" t="s">
        <v>23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</v>
      </c>
      <c r="B6" s="80"/>
      <c r="C6" s="80"/>
      <c r="D6" s="4" t="s">
        <v>6</v>
      </c>
      <c r="E6" s="16" t="s">
        <v>142</v>
      </c>
      <c r="F6" s="16"/>
      <c r="G6" s="16"/>
      <c r="H6" s="16"/>
      <c r="I6" s="16"/>
      <c r="J6" s="16"/>
      <c r="K6" s="16"/>
      <c r="L6" s="86" t="s">
        <v>35</v>
      </c>
      <c r="M6" s="19"/>
      <c r="N6" s="19" t="s">
        <v>35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98</v>
      </c>
      <c r="M7" s="33" t="s">
        <v>38</v>
      </c>
      <c r="N7" s="32" t="s">
        <v>99</v>
      </c>
      <c r="O7" s="29"/>
      <c r="P7" s="29"/>
      <c r="Q7" s="29"/>
      <c r="R7" s="29"/>
    </row>
    <row r="8" spans="1:18" s="11" customFormat="1" ht="60" customHeight="1">
      <c r="A8" s="51" t="s">
        <v>18</v>
      </c>
      <c r="B8" s="90"/>
      <c r="C8" s="91"/>
      <c r="D8" s="88" t="s">
        <v>205</v>
      </c>
      <c r="E8" s="88" t="s">
        <v>206</v>
      </c>
      <c r="F8" s="86"/>
      <c r="G8" s="88" t="s">
        <v>166</v>
      </c>
      <c r="H8" s="88" t="s">
        <v>207</v>
      </c>
      <c r="I8" s="86"/>
      <c r="J8" s="3"/>
      <c r="K8" s="33" t="s">
        <v>17</v>
      </c>
      <c r="L8" s="35" t="s">
        <v>135</v>
      </c>
      <c r="M8" s="33" t="s">
        <v>17</v>
      </c>
      <c r="N8" s="35" t="s">
        <v>136</v>
      </c>
      <c r="O8" s="92"/>
      <c r="P8" s="93"/>
      <c r="Q8" s="94" t="s">
        <v>208</v>
      </c>
      <c r="R8" s="53"/>
    </row>
    <row r="9" spans="1:18" s="11" customFormat="1" ht="60" customHeight="1">
      <c r="A9" s="9" t="s">
        <v>18</v>
      </c>
      <c r="B9" s="36"/>
      <c r="C9" s="37"/>
      <c r="D9" s="88" t="s">
        <v>209</v>
      </c>
      <c r="E9" s="95" t="s">
        <v>210</v>
      </c>
      <c r="F9" s="88" t="s">
        <v>211</v>
      </c>
      <c r="G9" s="88" t="s">
        <v>212</v>
      </c>
      <c r="H9" s="88" t="s">
        <v>213</v>
      </c>
      <c r="I9" s="96" t="s">
        <v>214</v>
      </c>
      <c r="J9" s="88" t="s">
        <v>215</v>
      </c>
      <c r="K9" s="33"/>
      <c r="L9" s="33"/>
      <c r="M9" s="33"/>
      <c r="N9" s="33"/>
      <c r="O9" s="94" t="s">
        <v>216</v>
      </c>
      <c r="P9" s="53"/>
      <c r="Q9" s="94" t="s">
        <v>217</v>
      </c>
      <c r="R9" s="53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214</v>
      </c>
      <c r="L10" s="89" t="s">
        <v>215</v>
      </c>
      <c r="M10" s="89" t="s">
        <v>214</v>
      </c>
      <c r="N10" s="89" t="s">
        <v>215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79</v>
      </c>
      <c r="E11" s="34" t="s">
        <v>22</v>
      </c>
      <c r="F11" s="45"/>
      <c r="G11" s="28" t="s">
        <v>92</v>
      </c>
      <c r="H11" s="46" t="s">
        <v>195</v>
      </c>
      <c r="I11" s="47"/>
      <c r="J11" s="48"/>
      <c r="K11" s="49" t="s">
        <v>196</v>
      </c>
      <c r="L11" s="49"/>
      <c r="M11" s="49" t="s">
        <v>197</v>
      </c>
      <c r="N11" s="49"/>
      <c r="O11" s="38"/>
      <c r="P11" s="39"/>
      <c r="Q11" s="74"/>
      <c r="R11" s="50"/>
    </row>
    <row r="12" spans="1:18" s="11" customFormat="1">
      <c r="A12" s="9">
        <v>10</v>
      </c>
      <c r="B12" s="9"/>
      <c r="C12" s="9"/>
      <c r="D12" s="9" t="s">
        <v>110</v>
      </c>
      <c r="E12" s="51" t="s">
        <v>111</v>
      </c>
      <c r="F12" s="51"/>
      <c r="G12" s="52" t="s">
        <v>218</v>
      </c>
      <c r="H12" s="52" t="s">
        <v>159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42"/>
      <c r="P12" s="53"/>
      <c r="Q12" s="146"/>
      <c r="R12" s="147"/>
    </row>
    <row r="13" spans="1:18" s="11" customFormat="1">
      <c r="A13" s="9">
        <v>10</v>
      </c>
      <c r="B13" s="9"/>
      <c r="C13" s="9"/>
      <c r="D13" s="9" t="s">
        <v>138</v>
      </c>
      <c r="E13" s="51" t="s">
        <v>139</v>
      </c>
      <c r="F13" s="51"/>
      <c r="G13" s="52" t="s">
        <v>219</v>
      </c>
      <c r="H13" s="52" t="s">
        <v>161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42"/>
      <c r="P13" s="53"/>
      <c r="Q13" s="146"/>
      <c r="R13" s="147"/>
    </row>
    <row r="14" spans="1:18" s="11" customFormat="1">
      <c r="A14" s="9">
        <v>10</v>
      </c>
      <c r="B14" s="9"/>
      <c r="C14" s="9"/>
      <c r="D14" s="9" t="s">
        <v>88</v>
      </c>
      <c r="E14" s="51" t="s">
        <v>89</v>
      </c>
      <c r="F14" s="51"/>
      <c r="G14" s="52" t="s">
        <v>224</v>
      </c>
      <c r="H14" s="52" t="s">
        <v>87</v>
      </c>
      <c r="I14" s="9" t="s">
        <v>72</v>
      </c>
      <c r="J14" s="9"/>
      <c r="K14" s="9" t="s">
        <v>72</v>
      </c>
      <c r="L14" s="9"/>
      <c r="M14" s="9" t="s">
        <v>72</v>
      </c>
      <c r="N14" s="9"/>
      <c r="O14" s="44"/>
      <c r="P14" s="39"/>
      <c r="Q14" s="74"/>
      <c r="R14" s="50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6"/>
    </row>
    <row r="17" spans="1:18" s="11" customFormat="1">
      <c r="A17" s="79"/>
      <c r="R17" s="56"/>
    </row>
    <row r="18" spans="1:18" s="11" customFormat="1">
      <c r="A18" s="79"/>
      <c r="R18" s="56"/>
    </row>
    <row r="19" spans="1:18" s="11" customFormat="1">
      <c r="A19" s="79"/>
      <c r="R19" s="56"/>
    </row>
    <row r="20" spans="1:18" s="11" customFormat="1">
      <c r="A20" s="79"/>
      <c r="R20" s="56"/>
    </row>
    <row r="21" spans="1:18" s="11" customFormat="1">
      <c r="A21" s="79"/>
      <c r="R21" s="56"/>
    </row>
    <row r="22" spans="1:18" s="11" customFormat="1">
      <c r="A22" s="79"/>
      <c r="R22" s="56"/>
    </row>
    <row r="23" spans="1:18" s="11" customFormat="1">
      <c r="A23" s="79"/>
      <c r="R23" s="56"/>
    </row>
    <row r="24" spans="1:18" s="11" customFormat="1">
      <c r="A24" s="79"/>
      <c r="R24" s="56"/>
    </row>
    <row r="25" spans="1:18" s="11" customFormat="1">
      <c r="A25" s="79"/>
      <c r="R25" s="56"/>
    </row>
    <row r="26" spans="1:18" s="11" customFormat="1">
      <c r="A26" s="79"/>
      <c r="R26" s="56"/>
    </row>
    <row r="27" spans="1:18" s="11" customFormat="1">
      <c r="A27" s="79"/>
      <c r="R27" s="56"/>
    </row>
    <row r="28" spans="1:18" s="11" customFormat="1">
      <c r="A28" s="8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mergeCells count="2">
    <mergeCell ref="Q12:R12"/>
    <mergeCell ref="Q13:R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7" t="s">
        <v>24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5" t="s">
        <v>25</v>
      </c>
      <c r="B3" s="106"/>
      <c r="C3" s="106"/>
      <c r="D3" s="106"/>
      <c r="E3" s="106"/>
      <c r="F3" s="106"/>
      <c r="G3" s="107"/>
      <c r="H3" s="140" t="s">
        <v>26</v>
      </c>
      <c r="I3" s="106"/>
      <c r="J3" s="106"/>
      <c r="K3" s="106"/>
      <c r="L3" s="106"/>
      <c r="M3" s="106"/>
      <c r="N3" s="107"/>
      <c r="O3" s="140" t="s">
        <v>27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28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29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243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244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CostReport_UpdChk01</vt:lpstr>
      <vt:lpstr>CostReport_Upd01</vt:lpstr>
      <vt:lpstr>CostReport_DelChk01</vt:lpstr>
      <vt:lpstr>CostReport_Del01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2026-03-27T05:44:28Z</dcterms:modified>
  <cp:category/>
</cp:coreProperties>
</file>