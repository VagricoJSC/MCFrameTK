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3B676A08-A2AF-4A52-A9F0-F0F5F65834BA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CostAcOut_UpdChk01" sheetId="18" r:id="rId2"/>
    <sheet name="CostAcOut_Upd01" sheetId="15" r:id="rId3"/>
    <sheet name="CostAcOut_DelChk01" sheetId="21" r:id="rId4"/>
    <sheet name="CostAcOut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L3" i="22"/>
  <c r="L2" i="22"/>
  <c r="H4" i="22"/>
  <c r="H3" i="22"/>
  <c r="H2" i="22"/>
  <c r="F3" i="22"/>
  <c r="F2" i="22"/>
  <c r="D3" i="22"/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<sst xmlns="http://schemas.openxmlformats.org/spreadsheetml/2006/main" count="1297" uniqueCount="311">
  <si>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</si>
  <si>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</si>
  <si>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</si>
  <si>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</si>
  <si>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</si>
  <si>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</si>
  <si>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</si>
  <si>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</si>
  <si>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</si>
  <si>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</si>
  <si>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</si>
  <si>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</si>
  <si>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</si>
  <si>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</si>
  <si>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</si>
  <si>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</si>
  <si>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*</t>
    <phoneticPr fontId="5"/>
  </si>
  <si>
    <t>ACType :</t>
    <phoneticPr fontId="5"/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</si>
  <si>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</si>
  <si>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</si>
  <si>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</si>
  <si>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</si>
  <si>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</si>
  <si>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</si>
  <si>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</si>
  <si>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</si>
  <si>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</si>
  <si>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</si>
  <si>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</si>
  <si>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</si>
  <si>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Srch01</t>
    <phoneticPr fontId="5"/>
  </si>
  <si>
    <t>@</t>
    <phoneticPr fontId="5"/>
  </si>
  <si>
    <t>ReportID :</t>
    <phoneticPr fontId="5"/>
  </si>
  <si>
    <t>Upd01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</si>
  <si>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</si>
  <si>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</si>
  <si>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</si>
  <si>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</si>
  <si>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</si>
  <si>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</si>
  <si>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</si>
  <si>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</si>
  <si>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</si>
  <si>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</si>
  <si>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</si>
  <si>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</si>
  <si>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MA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</si>
  <si>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</si>
  <si>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</si>
  <si>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</si>
  <si>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</si>
  <si>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</si>
  <si>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</si>
  <si>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</si>
  <si>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</si>
  <si>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</si>
  <si>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</si>
  <si>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</si>
  <si>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</si>
  <si>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</si>
  <si>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</si>
  <si>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</si>
  <si>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</si>
  <si>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ins_func_nm</t>
    <phoneticPr fontId="5"/>
  </si>
  <si>
    <t>upd_func_nm</t>
    <phoneticPr fontId="5"/>
  </si>
  <si>
    <t>upd_srv_req_no</t>
    <phoneticPr fontId="5"/>
  </si>
  <si>
    <t>#MA.FLG</t>
    <phoneticPr fontId="5"/>
  </si>
  <si>
    <t>Del01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</si>
  <si>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</si>
  <si>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</si>
  <si>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</si>
  <si>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</si>
  <si>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</si>
  <si>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</si>
  <si>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</si>
  <si>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</si>
  <si>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</si>
  <si>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</si>
  <si>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</si>
  <si>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</si>
  <si>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</si>
  <si>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</si>
  <si>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</si>
  <si>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upd_cntr</t>
  </si>
  <si>
    <t>#MA.UPD_CNT</t>
  </si>
  <si>
    <t>UPDATE.updMaster</t>
    <phoneticPr fontId="5"/>
  </si>
  <si>
    <t>MAIN.chkMaster</t>
    <phoneticPr fontId="42"/>
  </si>
  <si>
    <t>$share$</t>
  </si>
  <si>
    <t>@</t>
  </si>
  <si>
    <t>K</t>
  </si>
  <si>
    <t>REQUIRED</t>
  </si>
  <si>
    <t>upd_cntr</t>
    <phoneticPr fontId="42"/>
  </si>
  <si>
    <t>#MA.UPD_CNT</t>
    <phoneticPr fontId="42"/>
  </si>
  <si>
    <t>CALL_OPE01.chk01</t>
    <phoneticPr fontId="5"/>
  </si>
  <si>
    <t>CALL_OPE01.upd01</t>
    <phoneticPr fontId="5"/>
  </si>
  <si>
    <t>CALL_OPE01.chk01</t>
    <phoneticPr fontId="42"/>
  </si>
  <si>
    <t>CALL_OPE01.del01</t>
    <phoneticPr fontId="42"/>
  </si>
  <si>
    <t>st_dt</t>
  </si>
  <si>
    <t>end_dt</t>
  </si>
  <si>
    <t>E</t>
    <phoneticPr fontId="42"/>
  </si>
  <si>
    <t>st_dt_fr</t>
    <phoneticPr fontId="5"/>
  </si>
  <si>
    <t>end_dt_fr</t>
    <phoneticPr fontId="5"/>
  </si>
  <si>
    <t>end_dt_to</t>
    <phoneticPr fontId="5"/>
  </si>
  <si>
    <t>st_dt_to</t>
    <phoneticPr fontId="5"/>
  </si>
  <si>
    <t>#MA.DT</t>
  </si>
  <si>
    <t>#MA.DT</t>
    <phoneticPr fontId="5"/>
  </si>
  <si>
    <t>E</t>
    <phoneticPr fontId="5"/>
  </si>
  <si>
    <t>st_dt_key</t>
    <phoneticPr fontId="42"/>
  </si>
  <si>
    <t>$super$</t>
  </si>
  <si>
    <t>K</t>
    <phoneticPr fontId="42"/>
  </si>
  <si>
    <t>LIST_LOGIC</t>
    <phoneticPr fontId="42"/>
  </si>
  <si>
    <t>原価会計連携対象外マスタ登録</t>
  </si>
  <si>
    <t>MABGL0710</t>
  </si>
  <si>
    <t>MABG</t>
  </si>
  <si>
    <t>MABGL_CostAcOutReg</t>
  </si>
  <si>
    <t>CostAcOut_UpdChk01</t>
  </si>
  <si>
    <t>CostAcOut_UpdChk01_Dtl</t>
  </si>
  <si>
    <t>CostAcOut_Upd01</t>
  </si>
  <si>
    <t>CostAcOut_Upd01_Dtl</t>
  </si>
  <si>
    <t>CostAcOut_DelChk01</t>
  </si>
  <si>
    <t>CostAcOut_DelChk01_Dtl</t>
  </si>
  <si>
    <t>CostAcOut_Del01</t>
  </si>
  <si>
    <t>CostAcOut_Del01_Dtl</t>
  </si>
  <si>
    <t>OPE.MA.MABGL0710.CostAcOut_UpdChk01</t>
  </si>
  <si>
    <t>OPE.MA.MABGL0710.CostAcOut_Upd01</t>
  </si>
  <si>
    <t>OPE.MA.MABGL0710.CostAcOut_DelChk01</t>
  </si>
  <si>
    <t>OPE.MA.MABGL0710.CostAcOut_Del01</t>
  </si>
  <si>
    <t>calc_grp_cd</t>
  </si>
  <si>
    <t>ac_slip_typ</t>
  </si>
  <si>
    <t>itm_jnl_cd</t>
  </si>
  <si>
    <t>#MA.CALC_GRP_CD</t>
  </si>
  <si>
    <t>#MA.AC_SLIP_TYP</t>
  </si>
  <si>
    <t>#MA.ITM_JNL_CD</t>
  </si>
  <si>
    <t>K</t>
    <phoneticPr fontId="42"/>
  </si>
  <si>
    <t>CONST</t>
    <phoneticPr fontId="42"/>
  </si>
  <si>
    <t>MAC_AC_SLIP_TYP</t>
    <phoneticPr fontId="42"/>
  </si>
  <si>
    <t>calc_grp_cd</t>
    <phoneticPr fontId="5"/>
  </si>
  <si>
    <t>calc_grp_nm</t>
    <phoneticPr fontId="5"/>
  </si>
  <si>
    <t>ac_slip_typ_nm</t>
    <phoneticPr fontId="5"/>
  </si>
  <si>
    <t>itm_jnl_cd</t>
    <phoneticPr fontId="5"/>
  </si>
  <si>
    <t>itm_jnl_nm</t>
    <phoneticPr fontId="5"/>
  </si>
  <si>
    <t>#MA.CALC_GRP_NM</t>
  </si>
  <si>
    <t>#MA.AC_SLIP_TYP_NM</t>
  </si>
  <si>
    <t>#MA.ITM_JNL_NM</t>
    <phoneticPr fontId="5"/>
  </si>
  <si>
    <t>CONST</t>
  </si>
  <si>
    <t>MA.MAUAL0010.CalcGrp</t>
    <phoneticPr fontId="42"/>
  </si>
  <si>
    <t>K</t>
    <phoneticPr fontId="42"/>
  </si>
  <si>
    <t>E1:BF</t>
    <phoneticPr fontId="42"/>
  </si>
  <si>
    <t>BEFORE_AFTER</t>
    <phoneticPr fontId="42"/>
  </si>
  <si>
    <t>#MA.FUNC_ID</t>
  </si>
  <si>
    <t>#MA.FUNC_NM</t>
  </si>
  <si>
    <t>#MA.FCM_USR_ID</t>
  </si>
  <si>
    <t>#MA.FCM_USR_NM</t>
  </si>
  <si>
    <t>Sprt01</t>
    <phoneticPr fontId="42"/>
  </si>
  <si>
    <t>補正</t>
    <phoneticPr fontId="5"/>
  </si>
  <si>
    <t>UPDATE.updMaster</t>
    <phoneticPr fontId="42"/>
  </si>
  <si>
    <t>TargetName</t>
    <phoneticPr fontId="5"/>
  </si>
  <si>
    <t>#</t>
    <phoneticPr fontId="5"/>
  </si>
  <si>
    <t>Sprt01_Dtl</t>
    <phoneticPr fontId="42"/>
  </si>
  <si>
    <t>st_dt_key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</si>
  <si>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</si>
  <si>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</si>
  <si>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</si>
  <si>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</si>
  <si>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</si>
  <si>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</si>
  <si>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</si>
  <si>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</si>
  <si>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</si>
  <si>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MA.MAUAL0010.AcSlipTypInCostSlipJnl</t>
    <phoneticPr fontId="42"/>
  </si>
  <si>
    <t>LIST_IN_BASE</t>
  </si>
  <si>
    <t>not_stk_or_calc_stk_flg</t>
    <phoneticPr fontId="5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</si>
  <si>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</si>
  <si>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</si>
  <si>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重複期間の補正を行う</t>
  </si>
  <si>
    <t>検索処理を行う</t>
    <rPh sb="0" eb="2">
      <t>ケンサク</t>
    </rPh>
    <rPh sb="2" eb="4">
      <t>ショリ</t>
    </rPh>
    <rPh sb="5" eb="6">
      <t>オコナ</t>
    </rPh>
    <phoneticPr fontId="5"/>
  </si>
  <si>
    <t>原価会計連携対象外マスタを削除する</t>
    <rPh sb="13" eb="15">
      <t>サクジョ</t>
    </rPh>
    <phoneticPr fontId="3"/>
  </si>
  <si>
    <t>削除処理</t>
    <rPh sb="0" eb="2">
      <t>サクジョ</t>
    </rPh>
    <rPh sb="2" eb="4">
      <t>ショリ</t>
    </rPh>
    <phoneticPr fontId="3"/>
  </si>
  <si>
    <t>原価会計連携対象外マスタを削除する前のチェックを行う</t>
    <rPh sb="13" eb="15">
      <t>サクジョ</t>
    </rPh>
    <rPh sb="17" eb="18">
      <t>マエ</t>
    </rPh>
    <rPh sb="24" eb="25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</si>
  <si>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</si>
  <si>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原価会計連携対象外マスタを登録する</t>
    <rPh sb="13" eb="15">
      <t>トウロク</t>
    </rPh>
    <phoneticPr fontId="3"/>
  </si>
  <si>
    <t>登録処理</t>
    <rPh sb="0" eb="2">
      <t>トウロク</t>
    </rPh>
    <rPh sb="2" eb="4">
      <t>ショリ</t>
    </rPh>
    <phoneticPr fontId="3"/>
  </si>
  <si>
    <t>原価会計連携対象外マスタを登録する前のチェックを行う</t>
    <rPh sb="13" eb="15">
      <t>トウロク</t>
    </rPh>
    <rPh sb="17" eb="18">
      <t>マエ</t>
    </rPh>
    <rPh sb="24" eb="25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</si>
  <si>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</si>
  <si>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</si>
  <si>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</si>
  <si>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</si>
  <si>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</si>
  <si>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</si>
  <si>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</si>
  <si>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</si>
  <si>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適用開始日_[更新前]</t>
    <phoneticPr fontId="42"/>
  </si>
  <si>
    <t>計算グループＣＤ</t>
    <phoneticPr fontId="5"/>
  </si>
  <si>
    <t>会計伝票区分</t>
    <phoneticPr fontId="5"/>
  </si>
  <si>
    <t>品目仕訳ＣＤ</t>
    <phoneticPr fontId="5"/>
  </si>
  <si>
    <t>MA.MAUAL0010.ItmJnl</t>
    <phoneticPr fontId="42"/>
  </si>
  <si>
    <t>適用開始日</t>
    <phoneticPr fontId="42"/>
  </si>
  <si>
    <t>適用終了日</t>
    <phoneticPr fontId="5"/>
  </si>
  <si>
    <t>E1:AF</t>
    <phoneticPr fontId="42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</si>
  <si>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</si>
  <si>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</si>
  <si>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</si>
  <si>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</si>
  <si>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42"/>
  </si>
  <si>
    <t>super/share</t>
    <phoneticPr fontId="5"/>
  </si>
  <si>
    <t>LIST_IN</t>
  </si>
  <si>
    <t>st_dt</t>
    <phoneticPr fontId="42"/>
  </si>
  <si>
    <t>MA.MABGL0710.CostAcOut_UpdChk01.CostAcOut_UpdChk01_Dtl</t>
    <phoneticPr fontId="5"/>
  </si>
  <si>
    <t>L</t>
    <phoneticPr fontId="42"/>
  </si>
  <si>
    <t>st_dt</t>
    <phoneticPr fontId="42"/>
  </si>
  <si>
    <t>MA.MABGL0710.CostAcOut_DelChk01.CostAcOut_DelChk01_Dtl</t>
    <phoneticPr fontId="5"/>
  </si>
  <si>
    <t>更新カウンタ</t>
    <phoneticPr fontId="5"/>
  </si>
  <si>
    <t>計算グループＣＤ</t>
    <phoneticPr fontId="6"/>
  </si>
  <si>
    <t>計算グループ名</t>
    <phoneticPr fontId="6"/>
  </si>
  <si>
    <t>会計伝票区分</t>
    <phoneticPr fontId="6"/>
  </si>
  <si>
    <t>品目仕訳名</t>
    <phoneticPr fontId="5"/>
  </si>
  <si>
    <t>適用開始日ＦＲＯＭ</t>
    <phoneticPr fontId="5"/>
  </si>
  <si>
    <t>適用開始日ＴＯ</t>
    <phoneticPr fontId="5"/>
  </si>
  <si>
    <t>適用終了日ＦＲＯＭ</t>
    <phoneticPr fontId="5"/>
  </si>
  <si>
    <t>適用終了日ＴＯ</t>
    <phoneticPr fontId="5"/>
  </si>
  <si>
    <t>論理削除ＦＬＧ（オフ）</t>
    <phoneticPr fontId="5"/>
  </si>
  <si>
    <t>論理削除ＦＬＧ（オン）</t>
    <phoneticPr fontId="5"/>
  </si>
  <si>
    <t>会計伝票区分名</t>
    <phoneticPr fontId="6"/>
  </si>
  <si>
    <t>適用開始日</t>
    <phoneticPr fontId="5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</si>
  <si>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</si>
  <si>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</si>
  <si>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</si>
  <si>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</si>
  <si>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</si>
  <si>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</si>
  <si>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</si>
  <si>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</si>
  <si>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</si>
  <si>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</si>
  <si>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</si>
  <si>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</si>
  <si>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</si>
  <si>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</si>
  <si>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ac_slip_typ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</si>
  <si>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</si>
  <si>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</si>
  <si>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</si>
  <si>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</si>
  <si>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</si>
  <si>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適用開始日_[変更前]</t>
    <phoneticPr fontId="5"/>
  </si>
  <si>
    <t>ac_slip_typ</t>
    <phoneticPr fontId="5"/>
  </si>
  <si>
    <t>MA.MABGL0710.CostAcOut_Upd01.CostAcOut_Upd01_Dtl</t>
    <phoneticPr fontId="5"/>
  </si>
  <si>
    <t>CostAcOut_UpdChk01_Dtl</t>
    <phoneticPr fontId="5"/>
  </si>
  <si>
    <t>CostAcOut_Upd01_Dtl</t>
    <phoneticPr fontId="5"/>
  </si>
  <si>
    <t>MA.MABGL0710.CostAcOut_Del01.CostAcOut_Del01_Dtl</t>
    <phoneticPr fontId="5"/>
  </si>
  <si>
    <t>CostAcOut_DelChk01_Dtl</t>
    <phoneticPr fontId="5"/>
  </si>
  <si>
    <t>CostAcOut_Del01_Dtl</t>
    <phoneticPr fontId="5"/>
  </si>
  <si>
    <t>MA.MAUDL5010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</si>
  <si>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</si>
  <si>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</si>
  <si>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</si>
  <si>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"mcframe.serverMAUD.MAUDL6010.MAUDL_RLStEndDupChecker"</t>
    <phoneticPr fontId="5"/>
  </si>
  <si>
    <t>DBC:MA.MAM_COST_AC_OUT</t>
    <phoneticPr fontId="5"/>
  </si>
  <si>
    <t>DBC.MA.MAM_COST_AC_OUT</t>
    <phoneticPr fontId="5"/>
  </si>
  <si>
    <t>true</t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</si>
  <si>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</si>
  <si>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</si>
  <si>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</si>
  <si>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</si>
  <si>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</si>
  <si>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</si>
  <si>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</si>
  <si>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</si>
  <si>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</si>
  <si>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</si>
  <si>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</si>
  <si>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</si>
  <si>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</si>
  <si>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</si>
  <si>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Application start date_[Before update]</t>
  </si>
  <si>
    <t>Calculation group cd.</t>
  </si>
  <si>
    <t>Accounting slip type</t>
  </si>
  <si>
    <t>Item journal cd.</t>
  </si>
  <si>
    <t>Application start date</t>
  </si>
  <si>
    <t>Application end date</t>
  </si>
  <si>
    <t>Memo 1</t>
  </si>
  <si>
    <t>Memo 2</t>
  </si>
  <si>
    <t>Memo 3</t>
  </si>
  <si>
    <t>Logical delete</t>
  </si>
  <si>
    <t>Update counter</t>
  </si>
  <si>
    <t>Calculation group name</t>
  </si>
  <si>
    <t>Item journal name</t>
  </si>
  <si>
    <t>Application start date FROM</t>
  </si>
  <si>
    <t>Application start date TO</t>
  </si>
  <si>
    <t>Application end date FROM</t>
  </si>
  <si>
    <t>Application end date TO</t>
  </si>
  <si>
    <t>Logical delete flg. (Off)</t>
  </si>
  <si>
    <t>Logical delete flg. (On)</t>
  </si>
  <si>
    <t>Accounting slip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</si>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</sst>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69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3" fillId="0" borderId="0"/>
    <xf numFmtId="0" fontId="41" fillId="0" borderId="0"/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43" fillId="0" borderId="0"/>
    <xf numFmtId="0" fontId="7" fillId="0" borderId="0"/>
    <xf numFmtId="0" fontId="7" fillId="0" borderId="0" applyNumberFormat="0"/>
    <xf numFmtId="0" fontId="44" fillId="0" borderId="0" applyBorder="0" applyAlignment="0"/>
    <xf numFmtId="0" fontId="34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38" fontId="34" fillId="0" borderId="0" applyFont="0" applyFill="0" applyBorder="0" applyAlignment="0" applyProtection="0"/>
    <xf numFmtId="0" fontId="3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1" fillId="0" borderId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41" fillId="0" borderId="0"/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41" fillId="0" borderId="0"/>
    <xf numFmtId="0" fontId="1" fillId="0" borderId="0">
      <alignment vertical="center"/>
    </xf>
    <xf numFmtId="0" fontId="43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27" borderId="20" xfId="0" applyFont="1" applyFill="1" applyBorder="1" applyAlignment="1"/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48" xfId="0" applyFont="1" applyBorder="1" applyAlignment="1" applyProtection="1">
      <alignment vertical="top"/>
      <protection locked="0"/>
    </xf>
    <xf numFmtId="0" fontId="49" fillId="0" borderId="20" xfId="0" applyFont="1" applyBorder="1" applyAlignment="1"/>
    <xf numFmtId="0" fontId="49" fillId="0" borderId="2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3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49" fontId="49" fillId="27" borderId="20" xfId="0" quotePrefix="1" applyNumberFormat="1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7" xfId="0" applyFont="1" applyBorder="1" applyAlignment="1" applyProtection="1">
      <alignment vertical="top"/>
      <protection locked="0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29" xfId="177" applyFont="1" applyBorder="1" applyAlignment="1">
      <alignment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29" xfId="177" applyFont="1" applyBorder="1" applyAlignment="1">
      <alignment vertical="center"/>
    </xf>
    <xf numFmtId="0" fontId="51" fillId="0" borderId="30" xfId="182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2" xfId="177" applyFont="1" applyBorder="1" applyAlignment="1">
      <alignment horizontal="left" vertical="center" wrapText="1"/>
    </xf>
    <xf numFmtId="0" fontId="51" fillId="0" borderId="31" xfId="177" applyFont="1" applyBorder="1" applyAlignment="1">
      <alignment vertical="center" wrapText="1"/>
    </xf>
    <xf numFmtId="0" fontId="51" fillId="0" borderId="32" xfId="177" applyFont="1" applyBorder="1" applyAlignment="1">
      <alignment vertical="center" wrapText="1"/>
    </xf>
    <xf numFmtId="0" fontId="51" fillId="0" borderId="30" xfId="182" applyFont="1" applyBorder="1" applyAlignment="1">
      <alignment vertical="center" wrapText="1"/>
    </xf>
    <xf numFmtId="0" fontId="51" fillId="0" borderId="33" xfId="177" applyFont="1" applyBorder="1" applyAlignment="1">
      <alignment vertical="center" wrapText="1"/>
    </xf>
    <xf numFmtId="0" fontId="52" fillId="28" borderId="34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177" fontId="51" fillId="0" borderId="36" xfId="182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177" fontId="51" fillId="0" borderId="32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177" fontId="51" fillId="0" borderId="42" xfId="182" applyNumberFormat="1" applyFont="1" applyBorder="1" applyAlignment="1">
      <alignment horizontal="center" vertical="center"/>
    </xf>
    <xf numFmtId="177" fontId="51" fillId="0" borderId="39" xfId="177" applyNumberFormat="1" applyFont="1" applyBorder="1" applyAlignment="1">
      <alignment horizontal="center" vertical="center"/>
    </xf>
    <xf numFmtId="177" fontId="51" fillId="0" borderId="40" xfId="177" applyNumberFormat="1" applyFont="1" applyBorder="1" applyAlignment="1">
      <alignment horizontal="center" vertical="center"/>
    </xf>
    <xf numFmtId="0" fontId="50" fillId="28" borderId="43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44" xfId="177" applyFont="1" applyBorder="1" applyAlignment="1">
      <alignment vertical="center"/>
    </xf>
    <xf numFmtId="0" fontId="52" fillId="28" borderId="45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45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46" xfId="177" applyFont="1" applyBorder="1" applyAlignment="1">
      <alignment horizontal="center" vertical="center"/>
    </xf>
    <xf numFmtId="0" fontId="51" fillId="0" borderId="38" xfId="182" applyFont="1" applyBorder="1" applyAlignment="1">
      <alignment horizontal="left" vertical="center" wrapText="1"/>
    </xf>
    <xf numFmtId="0" fontId="51" fillId="0" borderId="39" xfId="177" applyFont="1" applyBorder="1" applyAlignment="1">
      <alignment horizontal="left" vertical="center" wrapText="1"/>
    </xf>
    <xf numFmtId="0" fontId="51" fillId="0" borderId="40" xfId="177" applyFont="1" applyBorder="1" applyAlignment="1">
      <alignment horizontal="left" vertical="center" wrapText="1"/>
    </xf>
    <xf numFmtId="0" fontId="51" fillId="0" borderId="39" xfId="177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38" xfId="182" applyFont="1" applyBorder="1" applyAlignment="1">
      <alignment vertical="center" wrapText="1"/>
    </xf>
    <xf numFmtId="0" fontId="51" fillId="0" borderId="41" xfId="177" applyFont="1" applyBorder="1" applyAlignment="1">
      <alignment vertical="center" wrapText="1"/>
    </xf>
  </cellXfs>
  <cellStyles count="36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53" xr:uid="{00000000-0005-0000-0000-000006000000}"/>
    <cellStyle name="20% - アクセント 1 6" xfId="211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54" xr:uid="{00000000-0005-0000-0000-00000C000000}"/>
    <cellStyle name="20% - アクセント 2 6" xfId="212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55" xr:uid="{00000000-0005-0000-0000-000012000000}"/>
    <cellStyle name="20% - アクセント 3 6" xfId="213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56" xr:uid="{00000000-0005-0000-0000-000018000000}"/>
    <cellStyle name="20% - アクセント 4 6" xfId="214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15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57" xr:uid="{00000000-0005-0000-0000-000023000000}"/>
    <cellStyle name="20% - アクセント 6 6" xfId="216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58" xr:uid="{00000000-0005-0000-0000-000029000000}"/>
    <cellStyle name="40% - アクセント 1 6" xfId="217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18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59" xr:uid="{00000000-0005-0000-0000-000034000000}"/>
    <cellStyle name="40% - アクセント 3 6" xfId="219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60" xr:uid="{00000000-0005-0000-0000-00003A000000}"/>
    <cellStyle name="40% - アクセント 4 6" xfId="220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61" xr:uid="{00000000-0005-0000-0000-000040000000}"/>
    <cellStyle name="40% - アクセント 5 6" xfId="221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62" xr:uid="{00000000-0005-0000-0000-000046000000}"/>
    <cellStyle name="40% - アクセント 6 6" xfId="222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63" xr:uid="{00000000-0005-0000-0000-00004C000000}"/>
    <cellStyle name="60% - アクセント 1 6" xfId="223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64" xr:uid="{00000000-0005-0000-0000-000052000000}"/>
    <cellStyle name="60% - アクセント 2 6" xfId="224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65" xr:uid="{00000000-0005-0000-0000-000058000000}"/>
    <cellStyle name="60% - アクセント 3 6" xfId="225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66" xr:uid="{00000000-0005-0000-0000-00005E000000}"/>
    <cellStyle name="60% - アクセント 4 6" xfId="226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67" xr:uid="{00000000-0005-0000-0000-000064000000}"/>
    <cellStyle name="60% - アクセント 5 6" xfId="227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68" xr:uid="{00000000-0005-0000-0000-00006A000000}"/>
    <cellStyle name="60% - アクセント 6 6" xfId="228" xr:uid="{00000000-0005-0000-0000-00006B000000}"/>
    <cellStyle name="Calc Currency (0)" xfId="75" xr:uid="{00000000-0005-0000-0000-00006C000000}"/>
    <cellStyle name="Comma [0]" xfId="191" xr:uid="{00000000-0005-0000-0000-00006D000000}"/>
    <cellStyle name="Comma [0] 2" xfId="192" xr:uid="{00000000-0005-0000-0000-00006E000000}"/>
    <cellStyle name="Currency [0]" xfId="193" xr:uid="{00000000-0005-0000-0000-00006F000000}"/>
    <cellStyle name="Grey" xfId="194" xr:uid="{00000000-0005-0000-0000-000070000000}"/>
    <cellStyle name="Header1" xfId="76" xr:uid="{00000000-0005-0000-0000-000071000000}"/>
    <cellStyle name="Header2" xfId="77" xr:uid="{00000000-0005-0000-0000-000072000000}"/>
    <cellStyle name="Input [yellow]" xfId="195" xr:uid="{00000000-0005-0000-0000-000073000000}"/>
    <cellStyle name="Normal - Style1" xfId="196" xr:uid="{00000000-0005-0000-0000-000074000000}"/>
    <cellStyle name="Normal_#18-Internet" xfId="78" xr:uid="{00000000-0005-0000-0000-000075000000}"/>
    <cellStyle name="Percent [2]" xfId="197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69" xr:uid="{00000000-0005-0000-0000-00007E000000}"/>
    <cellStyle name="アクセント 1 6" xfId="229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70" xr:uid="{00000000-0005-0000-0000-000084000000}"/>
    <cellStyle name="アクセント 2 6" xfId="230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71" xr:uid="{00000000-0005-0000-0000-00008A000000}"/>
    <cellStyle name="アクセント 3 6" xfId="231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72" xr:uid="{00000000-0005-0000-0000-000090000000}"/>
    <cellStyle name="アクセント 4 6" xfId="232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33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73" xr:uid="{00000000-0005-0000-0000-00009B000000}"/>
    <cellStyle name="アクセント 6 6" xfId="234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74" xr:uid="{00000000-0005-0000-0000-0000A1000000}"/>
    <cellStyle name="タイトル 6" xfId="235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36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75" xr:uid="{00000000-0005-0000-0000-0000AC000000}"/>
    <cellStyle name="どちらでもない 6" xfId="237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76" xr:uid="{00000000-0005-0000-0000-0000B2000000}"/>
    <cellStyle name="メモ 6" xfId="238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77" xr:uid="{00000000-0005-0000-0000-0000B8000000}"/>
    <cellStyle name="リンク セル 6" xfId="239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89" xr:uid="{00000000-0005-0000-0000-0000BB000000}"/>
    <cellStyle name="_x001d__x000c_K_x0014__x000d_&gt;V_x0001_&gt;_x0014_n_x001e__x0007__x0001__x0001_ 2 2" xfId="198" xr:uid="{00000000-0005-0000-0000-0000BC000000}"/>
    <cellStyle name="_x001d__x000c_K_x0014__x000d_&gt;V_x0001_&gt;_x0014_n_x001e__x0007__x0001__x0001_ 2 3" xfId="292" xr:uid="{00000000-0005-0000-0000-0000BD000000}"/>
    <cellStyle name="_x001d__x000c_K_x0014__x000d_&gt;V_x0001_&gt;_x0014_n_x001e__x0007__x0001__x0001_ 3" xfId="188" xr:uid="{00000000-0005-0000-0000-0000BE000000}"/>
    <cellStyle name="_x001d__x000c_K_x0014__x000d_&gt;V_x0001_&gt;_x0014_n_x001e__x0007__x0001__x0001_ 3 2" xfId="289" xr:uid="{00000000-0005-0000-0000-0000BF000000}"/>
    <cellStyle name="_x001d__x000c_K_x0014__x000d_&gt;V_x0001_&gt;_x0014_n_x001e__x0007__x0001__x0001_ 3 2 2" xfId="326" xr:uid="{00000000-0005-0000-0000-0000C0000000}"/>
    <cellStyle name="_x001d__x000c_K_x0014__x000d_&gt;V_x0001_&gt;_x0014_n_x001e__x0007__x0001__x0001_ 3 2 3" xfId="322" xr:uid="{00000000-0005-0000-0000-0000C1000000}"/>
    <cellStyle name="_x001d__x000c_K_x0014__x000d_&gt;V_x0001_&gt;_x0014_n_x001e__x0007__x0001__x0001_ 3 3" xfId="295" xr:uid="{00000000-0005-0000-0000-0000C2000000}"/>
    <cellStyle name="_x001d__x000c_K_x0014__x000d_&gt;V_x0001_&gt;_x0014_n_x001e__x0007__x0001__x0001_ 3 3 2" xfId="331" xr:uid="{00000000-0005-0000-0000-0000C3000000}"/>
    <cellStyle name="_x001d__x000c_K_x0014__x000d_&gt;V_x0001_&gt;_x0014_n_x001e__x0007__x0001__x0001_ 3 3 3" xfId="320" xr:uid="{00000000-0005-0000-0000-0000C4000000}"/>
    <cellStyle name="_x001d__x000c_K_x0014__x000d_&gt;V_x0001_&gt;_x0014_n_x001e__x0007__x0001__x0001_ 3 4" xfId="252" xr:uid="{00000000-0005-0000-0000-0000C5000000}"/>
    <cellStyle name="悪い" xfId="127" builtinId="27" customBuiltin="1"/>
    <cellStyle name="悪い 2" xfId="128" xr:uid="{00000000-0005-0000-0000-0000C7000000}"/>
    <cellStyle name="悪い 3" xfId="129" xr:uid="{00000000-0005-0000-0000-0000C8000000}"/>
    <cellStyle name="悪い 4" xfId="130" xr:uid="{00000000-0005-0000-0000-0000C9000000}"/>
    <cellStyle name="悪い 5" xfId="278" xr:uid="{00000000-0005-0000-0000-0000CA000000}"/>
    <cellStyle name="悪い 6" xfId="240" xr:uid="{00000000-0005-0000-0000-0000CB000000}"/>
    <cellStyle name="計算" xfId="131" builtinId="22" customBuiltin="1"/>
    <cellStyle name="計算 2" xfId="132" xr:uid="{00000000-0005-0000-0000-0000CD000000}"/>
    <cellStyle name="計算 3" xfId="133" xr:uid="{00000000-0005-0000-0000-0000CE000000}"/>
    <cellStyle name="計算 4" xfId="134" xr:uid="{00000000-0005-0000-0000-0000CF000000}"/>
    <cellStyle name="計算 5" xfId="279" xr:uid="{00000000-0005-0000-0000-0000D0000000}"/>
    <cellStyle name="計算 6" xfId="241" xr:uid="{00000000-0005-0000-0000-0000D1000000}"/>
    <cellStyle name="警告文" xfId="135" builtinId="11" customBuiltin="1"/>
    <cellStyle name="警告文 2" xfId="136" xr:uid="{00000000-0005-0000-0000-0000D3000000}"/>
    <cellStyle name="警告文 3" xfId="137" xr:uid="{00000000-0005-0000-0000-0000D4000000}"/>
    <cellStyle name="警告文 4" xfId="138" xr:uid="{00000000-0005-0000-0000-0000D5000000}"/>
    <cellStyle name="警告文 5" xfId="242" xr:uid="{00000000-0005-0000-0000-0000D6000000}"/>
    <cellStyle name="桁区切り 2" xfId="208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80" xr:uid="{00000000-0005-0000-0000-0000DC000000}"/>
    <cellStyle name="見出し 1 6" xfId="243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81" xr:uid="{00000000-0005-0000-0000-0000E2000000}"/>
    <cellStyle name="見出し 2 6" xfId="244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82" xr:uid="{00000000-0005-0000-0000-0000E8000000}"/>
    <cellStyle name="見出し 3 6" xfId="245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83" xr:uid="{00000000-0005-0000-0000-0000EE000000}"/>
    <cellStyle name="見出し 4 6" xfId="246" xr:uid="{00000000-0005-0000-0000-0000EF000000}"/>
    <cellStyle name="作業ﾌﾛｰ" xfId="199" xr:uid="{00000000-0005-0000-0000-0000F0000000}"/>
    <cellStyle name="資料" xfId="200" xr:uid="{00000000-0005-0000-0000-0000F1000000}"/>
    <cellStyle name="資料２" xfId="201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84" xr:uid="{00000000-0005-0000-0000-0000F7000000}"/>
    <cellStyle name="集計 6" xfId="247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85" xr:uid="{00000000-0005-0000-0000-0000FD000000}"/>
    <cellStyle name="出力 6" xfId="248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249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86" xr:uid="{00000000-0005-0000-0000-000008010000}"/>
    <cellStyle name="入力 6" xfId="250" xr:uid="{00000000-0005-0000-0000-000009010000}"/>
    <cellStyle name="標準" xfId="0" builtinId="0"/>
    <cellStyle name="標準 10" xfId="291" xr:uid="{00000000-0005-0000-0000-00000B010000}"/>
    <cellStyle name="標準 10 2" xfId="315" xr:uid="{00000000-0005-0000-0000-00000C010000}"/>
    <cellStyle name="標準 10 2 2" xfId="345" xr:uid="{00000000-0005-0000-0000-00000D010000}"/>
    <cellStyle name="標準 10 2 2 2" xfId="366" xr:uid="{00000000-0005-0000-0000-00000E010000}"/>
    <cellStyle name="標準 10 2 3" xfId="353" xr:uid="{00000000-0005-0000-0000-00000F010000}"/>
    <cellStyle name="標準 10 2 4" xfId="328" xr:uid="{00000000-0005-0000-0000-000010010000}"/>
    <cellStyle name="標準 10 3" xfId="307" xr:uid="{00000000-0005-0000-0000-000011010000}"/>
    <cellStyle name="標準 10 4" xfId="299" xr:uid="{00000000-0005-0000-0000-000012010000}"/>
    <cellStyle name="標準 10 4 2" xfId="359" xr:uid="{00000000-0005-0000-0000-000013010000}"/>
    <cellStyle name="標準 10 4 3" xfId="335" xr:uid="{00000000-0005-0000-0000-000014010000}"/>
    <cellStyle name="標準 10 5" xfId="348" xr:uid="{00000000-0005-0000-0000-000015010000}"/>
    <cellStyle name="標準 10 6" xfId="318" xr:uid="{00000000-0005-0000-0000-000016010000}"/>
    <cellStyle name="標準 11" xfId="293" xr:uid="{00000000-0005-0000-0000-000017010000}"/>
    <cellStyle name="標準 11 2" xfId="316" xr:uid="{00000000-0005-0000-0000-000018010000}"/>
    <cellStyle name="標準 11 2 2" xfId="367" xr:uid="{00000000-0005-0000-0000-000019010000}"/>
    <cellStyle name="標準 11 2 3" xfId="346" xr:uid="{00000000-0005-0000-0000-00001A010000}"/>
    <cellStyle name="標準 11 3" xfId="310" xr:uid="{00000000-0005-0000-0000-00001B010000}"/>
    <cellStyle name="標準 11 4" xfId="300" xr:uid="{00000000-0005-0000-0000-00001C010000}"/>
    <cellStyle name="標準 11 4 2" xfId="360" xr:uid="{00000000-0005-0000-0000-00001D010000}"/>
    <cellStyle name="標準 11 4 3" xfId="336" xr:uid="{00000000-0005-0000-0000-00001E010000}"/>
    <cellStyle name="標準 11 5" xfId="354" xr:uid="{00000000-0005-0000-0000-00001F010000}"/>
    <cellStyle name="標準 11 6" xfId="329" xr:uid="{00000000-0005-0000-0000-000020010000}"/>
    <cellStyle name="標準 12" xfId="294" xr:uid="{00000000-0005-0000-0000-000021010000}"/>
    <cellStyle name="標準 12 2" xfId="317" xr:uid="{00000000-0005-0000-0000-000022010000}"/>
    <cellStyle name="標準 12 2 2" xfId="368" xr:uid="{00000000-0005-0000-0000-000023010000}"/>
    <cellStyle name="標準 12 2 3" xfId="347" xr:uid="{00000000-0005-0000-0000-000024010000}"/>
    <cellStyle name="標準 12 3" xfId="308" xr:uid="{00000000-0005-0000-0000-000025010000}"/>
    <cellStyle name="標準 12 4" xfId="301" xr:uid="{00000000-0005-0000-0000-000026010000}"/>
    <cellStyle name="標準 12 4 2" xfId="361" xr:uid="{00000000-0005-0000-0000-000027010000}"/>
    <cellStyle name="標準 12 4 3" xfId="337" xr:uid="{00000000-0005-0000-0000-000028010000}"/>
    <cellStyle name="標準 12 5" xfId="355" xr:uid="{00000000-0005-0000-0000-000029010000}"/>
    <cellStyle name="標準 12 6" xfId="330" xr:uid="{00000000-0005-0000-0000-00002A010000}"/>
    <cellStyle name="標準 13" xfId="290" xr:uid="{00000000-0005-0000-0000-00002B010000}"/>
    <cellStyle name="標準 13 2" xfId="314" xr:uid="{00000000-0005-0000-0000-00002C010000}"/>
    <cellStyle name="標準 13 2 2" xfId="365" xr:uid="{00000000-0005-0000-0000-00002D010000}"/>
    <cellStyle name="標準 13 2 3" xfId="344" xr:uid="{00000000-0005-0000-0000-00002E010000}"/>
    <cellStyle name="標準 13 3" xfId="309" xr:uid="{00000000-0005-0000-0000-00002F010000}"/>
    <cellStyle name="標準 13 4" xfId="298" xr:uid="{00000000-0005-0000-0000-000030010000}"/>
    <cellStyle name="標準 13 4 2" xfId="358" xr:uid="{00000000-0005-0000-0000-000031010000}"/>
    <cellStyle name="標準 13 4 3" xfId="334" xr:uid="{00000000-0005-0000-0000-000032010000}"/>
    <cellStyle name="標準 13 5" xfId="352" xr:uid="{00000000-0005-0000-0000-000033010000}"/>
    <cellStyle name="標準 13 6" xfId="327" xr:uid="{00000000-0005-0000-0000-000034010000}"/>
    <cellStyle name="標準 14" xfId="209" xr:uid="{00000000-0005-0000-0000-000035010000}"/>
    <cellStyle name="標準 14 2" xfId="302" xr:uid="{00000000-0005-0000-0000-000036010000}"/>
    <cellStyle name="標準 14 2 2" xfId="362" xr:uid="{00000000-0005-0000-0000-000037010000}"/>
    <cellStyle name="標準 14 2 3" xfId="338" xr:uid="{00000000-0005-0000-0000-000038010000}"/>
    <cellStyle name="標準 14 3" xfId="304" xr:uid="{00000000-0005-0000-0000-000039010000}"/>
    <cellStyle name="標準 14 4" xfId="350" xr:uid="{00000000-0005-0000-0000-00003A010000}"/>
    <cellStyle name="標準 14 5" xfId="323" xr:uid="{00000000-0005-0000-0000-00003B010000}"/>
    <cellStyle name="標準 15" xfId="311" xr:uid="{00000000-0005-0000-0000-00003C010000}"/>
    <cellStyle name="標準 16" xfId="306" xr:uid="{00000000-0005-0000-0000-00003D010000}"/>
    <cellStyle name="標準 17" xfId="312" xr:uid="{00000000-0005-0000-0000-00003E010000}"/>
    <cellStyle name="標準 17 2" xfId="363" xr:uid="{00000000-0005-0000-0000-00003F010000}"/>
    <cellStyle name="標準 17 3" xfId="341" xr:uid="{00000000-0005-0000-0000-000040010000}"/>
    <cellStyle name="標準 18" xfId="296" xr:uid="{00000000-0005-0000-0000-000041010000}"/>
    <cellStyle name="標準 18 2" xfId="356" xr:uid="{00000000-0005-0000-0000-000042010000}"/>
    <cellStyle name="標準 18 3" xfId="332" xr:uid="{00000000-0005-0000-0000-000043010000}"/>
    <cellStyle name="標準 2" xfId="171" xr:uid="{00000000-0005-0000-0000-000044010000}"/>
    <cellStyle name="標準 2 2" xfId="202" xr:uid="{00000000-0005-0000-0000-000045010000}"/>
    <cellStyle name="標準 3" xfId="172" xr:uid="{00000000-0005-0000-0000-000046010000}"/>
    <cellStyle name="標準 3 2" xfId="203" xr:uid="{00000000-0005-0000-0000-000047010000}"/>
    <cellStyle name="標準 4" xfId="173" xr:uid="{00000000-0005-0000-0000-000048010000}"/>
    <cellStyle name="標準 5" xfId="174" xr:uid="{00000000-0005-0000-0000-000049010000}"/>
    <cellStyle name="標準 6" xfId="175" xr:uid="{00000000-0005-0000-0000-00004A010000}"/>
    <cellStyle name="標準 7" xfId="176" xr:uid="{00000000-0005-0000-0000-00004B010000}"/>
    <cellStyle name="標準 8" xfId="204" xr:uid="{00000000-0005-0000-0000-00004C010000}"/>
    <cellStyle name="標準 8 2" xfId="288" xr:uid="{00000000-0005-0000-0000-00004D010000}"/>
    <cellStyle name="標準 8 2 2" xfId="313" xr:uid="{00000000-0005-0000-0000-00004E010000}"/>
    <cellStyle name="標準 8 2 2 2" xfId="364" xr:uid="{00000000-0005-0000-0000-00004F010000}"/>
    <cellStyle name="標準 8 2 2 3" xfId="343" xr:uid="{00000000-0005-0000-0000-000050010000}"/>
    <cellStyle name="標準 8 2 3" xfId="351" xr:uid="{00000000-0005-0000-0000-000051010000}"/>
    <cellStyle name="標準 8 2 4" xfId="319" xr:uid="{00000000-0005-0000-0000-000052010000}"/>
    <cellStyle name="標準 8 3" xfId="305" xr:uid="{00000000-0005-0000-0000-000053010000}"/>
    <cellStyle name="標準 8 3 2" xfId="340" xr:uid="{00000000-0005-0000-0000-000054010000}"/>
    <cellStyle name="標準 8 3 3" xfId="325" xr:uid="{00000000-0005-0000-0000-000055010000}"/>
    <cellStyle name="標準 8 4" xfId="297" xr:uid="{00000000-0005-0000-0000-000056010000}"/>
    <cellStyle name="標準 8 4 2" xfId="357" xr:uid="{00000000-0005-0000-0000-000057010000}"/>
    <cellStyle name="標準 8 4 3" xfId="333" xr:uid="{00000000-0005-0000-0000-000058010000}"/>
    <cellStyle name="標準 9" xfId="190" xr:uid="{00000000-0005-0000-0000-000059010000}"/>
    <cellStyle name="標準 9 2" xfId="210" xr:uid="{00000000-0005-0000-0000-00005A010000}"/>
    <cellStyle name="標準 9 2 2" xfId="342" xr:uid="{00000000-0005-0000-0000-00005B010000}"/>
    <cellStyle name="標準 9 2 3" xfId="321" xr:uid="{00000000-0005-0000-0000-00005C010000}"/>
    <cellStyle name="標準 9 3" xfId="303" xr:uid="{00000000-0005-0000-0000-00005D010000}"/>
    <cellStyle name="標準 9 3 2" xfId="339" xr:uid="{00000000-0005-0000-0000-00005E010000}"/>
    <cellStyle name="標準 9 3 3" xfId="324" xr:uid="{00000000-0005-0000-0000-00005F010000}"/>
    <cellStyle name="標準 9 4" xfId="349" xr:uid="{00000000-0005-0000-0000-000060010000}"/>
    <cellStyle name="標準_02_変更来歴例" xfId="177" xr:uid="{00000000-0005-0000-0000-000061010000}"/>
    <cellStyle name="標準_A00200 オーダー状況" xfId="178" xr:uid="{00000000-0005-0000-0000-000062010000}"/>
    <cellStyle name="標準_LogicCommon" xfId="179" xr:uid="{00000000-0005-0000-0000-000063010000}"/>
    <cellStyle name="標準_Srch01" xfId="180" xr:uid="{00000000-0005-0000-0000-000064010000}"/>
    <cellStyle name="標準_Srch01_1" xfId="181" xr:uid="{00000000-0005-0000-0000-000065010000}"/>
    <cellStyle name="標準_変更来歴_1" xfId="182" xr:uid="{00000000-0005-0000-0000-000066010000}"/>
    <cellStyle name="標準2" xfId="205" xr:uid="{00000000-0005-0000-0000-000067010000}"/>
    <cellStyle name="標準２" xfId="206" xr:uid="{00000000-0005-0000-0000-000068010000}"/>
    <cellStyle name="標準2_DAIICH" xfId="207" xr:uid="{00000000-0005-0000-0000-000069010000}"/>
    <cellStyle name="未定義" xfId="183" xr:uid="{00000000-0005-0000-0000-00006A010000}"/>
    <cellStyle name="良い" xfId="184" builtinId="26" customBuiltin="1"/>
    <cellStyle name="良い 2" xfId="185" xr:uid="{00000000-0005-0000-0000-00006C010000}"/>
    <cellStyle name="良い 3" xfId="186" xr:uid="{00000000-0005-0000-0000-00006D010000}"/>
    <cellStyle name="良い 4" xfId="187" xr:uid="{00000000-0005-0000-0000-00006E010000}"/>
    <cellStyle name="良い 5" xfId="287" xr:uid="{00000000-0005-0000-0000-00006F010000}"/>
    <cellStyle name="良い 6" xfId="251" xr:uid="{00000000-0005-0000-0000-00007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46</v>
      </c>
      <c r="D2" s="7" t="s">
        <v>9</v>
      </c>
      <c r="E2" s="9" t="s">
        <v>112</v>
      </c>
      <c r="F2" s="7" t="s">
        <v>44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113</v>
      </c>
      <c r="D3" s="7" t="s">
        <v>10</v>
      </c>
      <c r="E3" s="9" t="s">
        <v>114</v>
      </c>
      <c r="F3" s="7" t="s">
        <v>45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111</v>
      </c>
      <c r="F4" s="7" t="s">
        <v>5</v>
      </c>
      <c r="G4" s="9" t="s">
        <v>252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8" t="s">
        <v>16</v>
      </c>
      <c r="B2" s="79"/>
      <c r="C2" s="79"/>
      <c r="D2" s="90" t="s">
        <v>260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MABGL0710</v>
      </c>
      <c r="I2" s="7" t="s">
        <v>185</v>
      </c>
      <c r="J2" s="9" t="s">
        <v>115</v>
      </c>
      <c r="K2" s="7" t="s">
        <v>44</v>
      </c>
      <c r="L2" s="80" t="str">
        <f>IF(LogicCommon!G2="","",LogicCommon!G2)</f>
        <v>MC</v>
      </c>
      <c r="M2" s="5" t="s">
        <v>186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MABGL_CostAcOutReg</v>
      </c>
      <c r="I3" s="7" t="s">
        <v>187</v>
      </c>
      <c r="J3" s="9" t="s">
        <v>88</v>
      </c>
      <c r="K3" s="7" t="s">
        <v>45</v>
      </c>
      <c r="L3" s="80" t="str">
        <f>IF(LogicCommon!G3="","",LogicCommon!G3)</f>
        <v/>
      </c>
      <c r="M3" s="84" t="s">
        <v>32</v>
      </c>
      <c r="N3" s="7"/>
      <c r="O3" s="7" t="s">
        <v>188</v>
      </c>
      <c r="P3" s="9" t="s">
        <v>189</v>
      </c>
      <c r="Q3" s="4"/>
      <c r="R3" s="4"/>
      <c r="S3" s="27"/>
      <c r="T3" s="27"/>
      <c r="U3" s="27"/>
      <c r="V3" s="27"/>
      <c r="W3" s="27"/>
    </row>
    <row r="4" spans="1:23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原価会計連携対象外マスタ登録</v>
      </c>
      <c r="I4" s="7" t="s">
        <v>190</v>
      </c>
      <c r="J4" s="9" t="s">
        <v>183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81" t="s">
        <v>16</v>
      </c>
      <c r="B6" s="82"/>
      <c r="C6" s="82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/>
      <c r="R6" s="3"/>
      <c r="S6" s="3" t="s">
        <v>35</v>
      </c>
      <c r="T6" s="4"/>
      <c r="U6" s="29"/>
      <c r="V6" s="29"/>
      <c r="W6" s="27"/>
    </row>
    <row r="7" spans="1:23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89</v>
      </c>
      <c r="L7" s="32" t="s">
        <v>133</v>
      </c>
      <c r="M7" s="32" t="s">
        <v>109</v>
      </c>
      <c r="N7" s="32" t="s">
        <v>146</v>
      </c>
      <c r="O7" s="9" t="s">
        <v>89</v>
      </c>
      <c r="P7" s="9" t="s">
        <v>89</v>
      </c>
      <c r="Q7" s="32"/>
      <c r="R7" s="33" t="s">
        <v>72</v>
      </c>
      <c r="S7" s="32"/>
      <c r="T7" s="29"/>
      <c r="U7" s="29"/>
      <c r="V7" s="29"/>
      <c r="W7" s="29"/>
    </row>
    <row r="8" spans="1:23" s="11" customFormat="1" ht="60" customHeight="1">
      <c r="A8" s="50" t="s">
        <v>19</v>
      </c>
      <c r="B8" s="93"/>
      <c r="C8" s="94"/>
      <c r="D8" s="91" t="s">
        <v>261</v>
      </c>
      <c r="E8" s="91" t="s">
        <v>262</v>
      </c>
      <c r="F8" s="88"/>
      <c r="G8" s="91" t="s">
        <v>204</v>
      </c>
      <c r="H8" s="91" t="s">
        <v>263</v>
      </c>
      <c r="I8" s="88"/>
      <c r="J8" s="3"/>
      <c r="K8" s="34" t="s">
        <v>90</v>
      </c>
      <c r="L8" s="34" t="s">
        <v>134</v>
      </c>
      <c r="M8" s="34" t="s">
        <v>110</v>
      </c>
      <c r="N8" s="34" t="s">
        <v>148</v>
      </c>
      <c r="O8" s="9" t="s">
        <v>205</v>
      </c>
      <c r="P8" s="9" t="s">
        <v>170</v>
      </c>
      <c r="Q8" s="34"/>
      <c r="R8" s="33" t="s">
        <v>73</v>
      </c>
      <c r="S8" s="34"/>
      <c r="T8" s="95"/>
      <c r="U8" s="96"/>
      <c r="V8" s="97" t="s">
        <v>272</v>
      </c>
      <c r="W8" s="52"/>
    </row>
    <row r="9" spans="1:23" s="11" customFormat="1" ht="60" customHeight="1">
      <c r="A9" s="9" t="s">
        <v>19</v>
      </c>
      <c r="B9" s="37"/>
      <c r="C9" s="38"/>
      <c r="D9" s="91" t="s">
        <v>264</v>
      </c>
      <c r="E9" s="98" t="s">
        <v>265</v>
      </c>
      <c r="F9" s="91" t="s">
        <v>266</v>
      </c>
      <c r="G9" s="91" t="s">
        <v>267</v>
      </c>
      <c r="H9" s="91" t="s">
        <v>268</v>
      </c>
      <c r="I9" s="99" t="s">
        <v>269</v>
      </c>
      <c r="J9" s="91" t="s">
        <v>270</v>
      </c>
      <c r="K9" s="33"/>
      <c r="L9" s="33"/>
      <c r="M9" s="33"/>
      <c r="N9" s="33"/>
      <c r="O9" s="33"/>
      <c r="P9" s="33"/>
      <c r="Q9" s="33"/>
      <c r="R9" s="33"/>
      <c r="S9" s="33"/>
      <c r="T9" s="97" t="s">
        <v>271</v>
      </c>
      <c r="U9" s="52"/>
      <c r="V9" s="97" t="s">
        <v>273</v>
      </c>
      <c r="W9" s="52"/>
    </row>
    <row r="10" spans="1:23" s="11" customFormat="1" ht="5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92" t="s">
        <v>269</v>
      </c>
      <c r="S10" s="92" t="s">
        <v>270</v>
      </c>
      <c r="T10" s="42"/>
      <c r="U10" s="42"/>
      <c r="V10" s="43"/>
      <c r="W10" s="36"/>
    </row>
    <row r="11" spans="1:23" s="11" customFormat="1">
      <c r="A11" s="9">
        <v>10</v>
      </c>
      <c r="B11" s="37" t="s">
        <v>0</v>
      </c>
      <c r="C11" s="38"/>
      <c r="D11" s="28" t="s">
        <v>116</v>
      </c>
      <c r="E11" s="44" t="s">
        <v>70</v>
      </c>
      <c r="F11" s="45"/>
      <c r="G11" s="28" t="s">
        <v>108</v>
      </c>
      <c r="H11" s="46" t="s">
        <v>257</v>
      </c>
      <c r="I11" s="47"/>
      <c r="J11" s="48"/>
      <c r="K11" s="9"/>
      <c r="L11" s="9"/>
      <c r="M11" s="9"/>
      <c r="N11" s="9"/>
      <c r="O11" s="9"/>
      <c r="P11" s="9"/>
      <c r="Q11" s="9"/>
      <c r="R11" s="49"/>
      <c r="S11" s="49"/>
      <c r="T11" s="35"/>
      <c r="U11" s="36"/>
      <c r="V11" s="74"/>
      <c r="W11" s="76"/>
    </row>
    <row r="12" spans="1:23" s="11" customFormat="1" ht="26">
      <c r="A12" s="9">
        <v>10</v>
      </c>
      <c r="B12" s="9"/>
      <c r="C12" s="9"/>
      <c r="D12" s="9" t="s">
        <v>107</v>
      </c>
      <c r="E12" s="50" t="s">
        <v>104</v>
      </c>
      <c r="F12" s="50"/>
      <c r="G12" s="51" t="s">
        <v>274</v>
      </c>
      <c r="H12" s="51" t="s">
        <v>191</v>
      </c>
      <c r="I12" s="9" t="s">
        <v>106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41"/>
      <c r="U12" s="52"/>
      <c r="V12" s="101"/>
      <c r="W12" s="102"/>
    </row>
    <row r="13" spans="1:23" s="11" customFormat="1">
      <c r="A13" s="9">
        <v>10</v>
      </c>
      <c r="B13" s="9"/>
      <c r="C13" s="9"/>
      <c r="D13" s="9" t="s">
        <v>127</v>
      </c>
      <c r="E13" s="50" t="s">
        <v>130</v>
      </c>
      <c r="F13" s="50"/>
      <c r="G13" s="51" t="s">
        <v>275</v>
      </c>
      <c r="H13" s="51" t="s">
        <v>192</v>
      </c>
      <c r="I13" s="9" t="s">
        <v>99</v>
      </c>
      <c r="J13" s="9"/>
      <c r="K13" s="9" t="s">
        <v>99</v>
      </c>
      <c r="L13" s="9"/>
      <c r="M13" s="9" t="s">
        <v>145</v>
      </c>
      <c r="N13" s="9"/>
      <c r="O13" s="89" t="s">
        <v>259</v>
      </c>
      <c r="P13" s="9" t="s">
        <v>171</v>
      </c>
      <c r="Q13" s="9"/>
      <c r="R13" s="9"/>
      <c r="S13" s="9"/>
      <c r="T13" s="41"/>
      <c r="U13" s="52"/>
      <c r="V13" s="101"/>
      <c r="W13" s="102"/>
    </row>
    <row r="14" spans="1:23" s="11" customFormat="1">
      <c r="A14" s="9">
        <v>10</v>
      </c>
      <c r="B14" s="9"/>
      <c r="C14" s="9"/>
      <c r="D14" s="9" t="s">
        <v>128</v>
      </c>
      <c r="E14" s="50" t="s">
        <v>131</v>
      </c>
      <c r="F14" s="50"/>
      <c r="G14" s="51" t="s">
        <v>276</v>
      </c>
      <c r="H14" s="51" t="s">
        <v>193</v>
      </c>
      <c r="I14" s="9" t="s">
        <v>106</v>
      </c>
      <c r="J14" s="9"/>
      <c r="K14" s="9" t="s">
        <v>99</v>
      </c>
      <c r="L14" s="9"/>
      <c r="M14" s="9" t="s">
        <v>169</v>
      </c>
      <c r="N14" s="9"/>
      <c r="O14" s="9" t="s">
        <v>136</v>
      </c>
      <c r="P14" s="9" t="s">
        <v>136</v>
      </c>
      <c r="Q14" s="9"/>
      <c r="R14" s="9"/>
      <c r="S14" s="9"/>
      <c r="T14" s="41"/>
      <c r="U14" s="52"/>
      <c r="V14" s="101"/>
      <c r="W14" s="102"/>
    </row>
    <row r="15" spans="1:23" s="11" customFormat="1">
      <c r="A15" s="9">
        <v>10</v>
      </c>
      <c r="B15" s="9"/>
      <c r="C15" s="9"/>
      <c r="D15" s="9" t="s">
        <v>129</v>
      </c>
      <c r="E15" s="50" t="s">
        <v>132</v>
      </c>
      <c r="F15" s="50"/>
      <c r="G15" s="51" t="s">
        <v>277</v>
      </c>
      <c r="H15" s="51" t="s">
        <v>194</v>
      </c>
      <c r="I15" s="9" t="s">
        <v>99</v>
      </c>
      <c r="J15" s="9"/>
      <c r="K15" s="9" t="s">
        <v>99</v>
      </c>
      <c r="L15" s="9"/>
      <c r="M15" s="9" t="s">
        <v>195</v>
      </c>
      <c r="N15" s="9"/>
      <c r="O15" s="9"/>
      <c r="P15" s="9"/>
      <c r="Q15" s="9"/>
      <c r="R15" s="9"/>
      <c r="S15" s="9"/>
      <c r="T15" s="41"/>
      <c r="U15" s="52"/>
      <c r="V15" s="101"/>
      <c r="W15" s="102"/>
    </row>
    <row r="16" spans="1:23" s="11" customFormat="1">
      <c r="A16" s="9">
        <v>10</v>
      </c>
      <c r="B16" s="9"/>
      <c r="C16" s="9"/>
      <c r="D16" s="9" t="s">
        <v>206</v>
      </c>
      <c r="E16" s="50" t="s">
        <v>104</v>
      </c>
      <c r="F16" s="50"/>
      <c r="G16" s="51" t="s">
        <v>278</v>
      </c>
      <c r="H16" s="51" t="s">
        <v>196</v>
      </c>
      <c r="I16" s="9" t="s">
        <v>106</v>
      </c>
      <c r="J16" s="9"/>
      <c r="K16" s="9" t="s">
        <v>99</v>
      </c>
      <c r="L16" s="9"/>
      <c r="M16" s="9"/>
      <c r="N16" s="9" t="s">
        <v>147</v>
      </c>
      <c r="O16" s="9"/>
      <c r="P16" s="9"/>
      <c r="Q16" s="9"/>
      <c r="R16" s="9"/>
      <c r="S16" s="9"/>
      <c r="T16" s="41"/>
      <c r="U16" s="52"/>
      <c r="V16" s="101"/>
      <c r="W16" s="102"/>
    </row>
    <row r="17" spans="1:23" s="11" customFormat="1">
      <c r="A17" s="9">
        <v>10</v>
      </c>
      <c r="B17" s="9"/>
      <c r="C17" s="9"/>
      <c r="D17" s="9" t="s">
        <v>98</v>
      </c>
      <c r="E17" s="50" t="s">
        <v>104</v>
      </c>
      <c r="F17" s="50"/>
      <c r="G17" s="51" t="s">
        <v>279</v>
      </c>
      <c r="H17" s="51" t="s">
        <v>197</v>
      </c>
      <c r="I17" s="9" t="s">
        <v>106</v>
      </c>
      <c r="J17" s="9"/>
      <c r="K17" s="9" t="s">
        <v>99</v>
      </c>
      <c r="L17" s="9"/>
      <c r="M17" s="9"/>
      <c r="N17" s="9" t="s">
        <v>198</v>
      </c>
      <c r="O17" s="9"/>
      <c r="P17" s="9"/>
      <c r="Q17" s="9"/>
      <c r="R17" s="9"/>
      <c r="S17" s="9"/>
      <c r="T17" s="41"/>
      <c r="U17" s="52"/>
      <c r="V17" s="101"/>
      <c r="W17" s="102"/>
    </row>
    <row r="18" spans="1:23" s="11" customFormat="1">
      <c r="A18" s="9">
        <v>10</v>
      </c>
      <c r="B18" s="9"/>
      <c r="C18" s="9"/>
      <c r="D18" s="9" t="s">
        <v>47</v>
      </c>
      <c r="E18" s="50" t="s">
        <v>49</v>
      </c>
      <c r="F18" s="50"/>
      <c r="G18" s="51" t="s">
        <v>280</v>
      </c>
      <c r="H18" s="51" t="s">
        <v>199</v>
      </c>
      <c r="I18" s="9" t="s">
        <v>106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1"/>
      <c r="U18" s="52"/>
      <c r="V18" s="101"/>
      <c r="W18" s="102"/>
    </row>
    <row r="19" spans="1:23" s="11" customFormat="1">
      <c r="A19" s="9">
        <v>10</v>
      </c>
      <c r="B19" s="9"/>
      <c r="C19" s="9"/>
      <c r="D19" s="9" t="s">
        <v>55</v>
      </c>
      <c r="E19" s="50" t="s">
        <v>56</v>
      </c>
      <c r="F19" s="50"/>
      <c r="G19" s="51" t="s">
        <v>281</v>
      </c>
      <c r="H19" s="51" t="s">
        <v>200</v>
      </c>
      <c r="I19" s="9" t="s">
        <v>106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41"/>
      <c r="U19" s="52"/>
      <c r="V19" s="101"/>
      <c r="W19" s="102"/>
    </row>
    <row r="20" spans="1:23" s="11" customFormat="1">
      <c r="A20" s="9">
        <v>10</v>
      </c>
      <c r="B20" s="9"/>
      <c r="C20" s="9"/>
      <c r="D20" s="9" t="s">
        <v>51</v>
      </c>
      <c r="E20" s="50" t="s">
        <v>53</v>
      </c>
      <c r="F20" s="50"/>
      <c r="G20" s="51" t="s">
        <v>282</v>
      </c>
      <c r="H20" s="51" t="s">
        <v>201</v>
      </c>
      <c r="I20" s="9" t="s">
        <v>106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1"/>
      <c r="U20" s="52"/>
      <c r="V20" s="101"/>
      <c r="W20" s="102"/>
    </row>
    <row r="21" spans="1:23" s="11" customFormat="1">
      <c r="A21" s="9">
        <v>10</v>
      </c>
      <c r="B21" s="9"/>
      <c r="C21" s="9"/>
      <c r="D21" s="9" t="s">
        <v>78</v>
      </c>
      <c r="E21" s="50" t="s">
        <v>57</v>
      </c>
      <c r="F21" s="50"/>
      <c r="G21" s="51" t="s">
        <v>283</v>
      </c>
      <c r="H21" s="51" t="s">
        <v>202</v>
      </c>
      <c r="I21" s="9" t="s">
        <v>106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1"/>
      <c r="U21" s="52"/>
      <c r="V21" s="101"/>
      <c r="W21" s="102"/>
    </row>
    <row r="22" spans="1:23" s="11" customFormat="1">
      <c r="A22" s="9">
        <v>10</v>
      </c>
      <c r="B22" s="9"/>
      <c r="C22" s="9"/>
      <c r="D22" s="9" t="s">
        <v>91</v>
      </c>
      <c r="E22" s="50" t="s">
        <v>92</v>
      </c>
      <c r="F22" s="50"/>
      <c r="G22" s="51" t="s">
        <v>284</v>
      </c>
      <c r="H22" s="51" t="s">
        <v>203</v>
      </c>
      <c r="I22" s="9" t="s">
        <v>106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1"/>
      <c r="U22" s="52"/>
      <c r="V22" s="101"/>
      <c r="W22" s="102"/>
    </row>
    <row r="23" spans="1:23" s="11" customFormat="1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4"/>
      <c r="U23" s="4"/>
      <c r="V23" s="6"/>
      <c r="W23" s="23"/>
    </row>
    <row r="24" spans="1:23" s="11" customFormat="1">
      <c r="A24" s="81"/>
      <c r="W24" s="55"/>
    </row>
    <row r="25" spans="1:23" s="11" customFormat="1">
      <c r="A25" s="81"/>
      <c r="W25" s="55"/>
    </row>
    <row r="26" spans="1:23" s="11" customFormat="1">
      <c r="A26" s="81"/>
      <c r="W26" s="55"/>
    </row>
    <row r="27" spans="1:23" s="11" customFormat="1">
      <c r="A27" s="86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20"/>
    </row>
  </sheetData>
  <dataConsolidate/>
  <mergeCells count="11">
    <mergeCell ref="V12:W12"/>
    <mergeCell ref="V13:W13"/>
    <mergeCell ref="V18:W18"/>
    <mergeCell ref="V19:W19"/>
    <mergeCell ref="V20:W20"/>
    <mergeCell ref="V22:W22"/>
    <mergeCell ref="V15:W15"/>
    <mergeCell ref="V14:W14"/>
    <mergeCell ref="V21:W21"/>
    <mergeCell ref="V17:W17"/>
    <mergeCell ref="V16:W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16</v>
      </c>
      <c r="B2" s="79"/>
      <c r="C2" s="79"/>
      <c r="D2" s="90" t="s">
        <v>260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MABGL0710</v>
      </c>
      <c r="I2" s="7" t="s">
        <v>185</v>
      </c>
      <c r="J2" s="9" t="s">
        <v>117</v>
      </c>
      <c r="K2" s="7" t="s">
        <v>44</v>
      </c>
      <c r="L2" s="80" t="str">
        <f>IF(LogicCommon!G2="","",LogicCommon!G2)</f>
        <v>MC</v>
      </c>
      <c r="M2" s="5" t="s">
        <v>186</v>
      </c>
      <c r="N2" s="28" t="s">
        <v>253</v>
      </c>
      <c r="O2" s="7"/>
      <c r="P2" s="7"/>
      <c r="Q2" s="4"/>
      <c r="R2" s="27"/>
    </row>
    <row r="3" spans="1:18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MABGL_CostAcOutReg</v>
      </c>
      <c r="I3" s="7" t="s">
        <v>187</v>
      </c>
      <c r="J3" s="9" t="s">
        <v>31</v>
      </c>
      <c r="K3" s="7" t="s">
        <v>45</v>
      </c>
      <c r="L3" s="80" t="str">
        <f>IF(LogicCommon!G3="","",LogicCommon!G3)</f>
        <v/>
      </c>
      <c r="M3" s="84" t="s">
        <v>32</v>
      </c>
      <c r="N3" s="7"/>
      <c r="O3" s="7" t="s">
        <v>188</v>
      </c>
      <c r="P3" s="9" t="s">
        <v>189</v>
      </c>
      <c r="Q3" s="4"/>
      <c r="R3" s="27"/>
    </row>
    <row r="4" spans="1:18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原価会計連携対象外マスタ登録</v>
      </c>
      <c r="I4" s="7" t="s">
        <v>190</v>
      </c>
      <c r="J4" s="9" t="s">
        <v>181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16</v>
      </c>
      <c r="B6" s="82"/>
      <c r="C6" s="82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8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85</v>
      </c>
      <c r="M7" s="33" t="s">
        <v>72</v>
      </c>
      <c r="N7" s="32" t="s">
        <v>86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3"/>
      <c r="C8" s="94"/>
      <c r="D8" s="91" t="s">
        <v>261</v>
      </c>
      <c r="E8" s="91" t="s">
        <v>262</v>
      </c>
      <c r="F8" s="88"/>
      <c r="G8" s="91" t="s">
        <v>204</v>
      </c>
      <c r="H8" s="91" t="s">
        <v>263</v>
      </c>
      <c r="I8" s="88"/>
      <c r="J8" s="3"/>
      <c r="K8" s="33" t="s">
        <v>18</v>
      </c>
      <c r="L8" s="34" t="s">
        <v>258</v>
      </c>
      <c r="M8" s="33" t="s">
        <v>73</v>
      </c>
      <c r="N8" s="34" t="s">
        <v>258</v>
      </c>
      <c r="O8" s="95"/>
      <c r="P8" s="96"/>
      <c r="Q8" s="97" t="s">
        <v>272</v>
      </c>
      <c r="R8" s="52"/>
    </row>
    <row r="9" spans="1:18" s="11" customFormat="1" ht="60" customHeight="1">
      <c r="A9" s="9" t="s">
        <v>19</v>
      </c>
      <c r="B9" s="37"/>
      <c r="C9" s="38"/>
      <c r="D9" s="91" t="s">
        <v>264</v>
      </c>
      <c r="E9" s="98" t="s">
        <v>265</v>
      </c>
      <c r="F9" s="91" t="s">
        <v>266</v>
      </c>
      <c r="G9" s="91" t="s">
        <v>267</v>
      </c>
      <c r="H9" s="91" t="s">
        <v>268</v>
      </c>
      <c r="I9" s="99" t="s">
        <v>269</v>
      </c>
      <c r="J9" s="91" t="s">
        <v>270</v>
      </c>
      <c r="K9" s="33"/>
      <c r="L9" s="33"/>
      <c r="M9" s="33"/>
      <c r="N9" s="33"/>
      <c r="O9" s="97" t="s">
        <v>271</v>
      </c>
      <c r="P9" s="52"/>
      <c r="Q9" s="97" t="s">
        <v>273</v>
      </c>
      <c r="R9" s="52"/>
    </row>
    <row r="10" spans="1:18" s="11" customFormat="1" ht="5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92" t="s">
        <v>269</v>
      </c>
      <c r="L10" s="92" t="s">
        <v>270</v>
      </c>
      <c r="M10" s="92" t="s">
        <v>269</v>
      </c>
      <c r="N10" s="92" t="s">
        <v>270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118</v>
      </c>
      <c r="E11" s="44" t="s">
        <v>23</v>
      </c>
      <c r="F11" s="45"/>
      <c r="G11" s="28" t="s">
        <v>87</v>
      </c>
      <c r="H11" s="46" t="s">
        <v>207</v>
      </c>
      <c r="I11" s="47"/>
      <c r="J11" s="48"/>
      <c r="K11" s="49" t="s">
        <v>23</v>
      </c>
      <c r="L11" s="49"/>
      <c r="M11" s="49" t="s">
        <v>208</v>
      </c>
      <c r="N11" s="49"/>
      <c r="O11" s="35"/>
      <c r="P11" s="36"/>
      <c r="Q11" s="74"/>
      <c r="R11" s="76"/>
    </row>
    <row r="12" spans="1:18" s="11" customFormat="1" ht="26">
      <c r="A12" s="9">
        <v>10</v>
      </c>
      <c r="B12" s="9"/>
      <c r="C12" s="9"/>
      <c r="D12" s="9" t="s">
        <v>107</v>
      </c>
      <c r="E12" s="50" t="s">
        <v>104</v>
      </c>
      <c r="F12" s="50"/>
      <c r="G12" s="51" t="s">
        <v>274</v>
      </c>
      <c r="H12" s="51" t="s">
        <v>191</v>
      </c>
      <c r="I12" s="9" t="s">
        <v>99</v>
      </c>
      <c r="J12" s="9"/>
      <c r="K12" s="9"/>
      <c r="L12" s="9"/>
      <c r="M12" s="9"/>
      <c r="N12" s="9"/>
      <c r="O12" s="41"/>
      <c r="P12" s="52"/>
      <c r="Q12" s="101"/>
      <c r="R12" s="102"/>
    </row>
    <row r="13" spans="1:18" s="11" customFormat="1">
      <c r="A13" s="9">
        <v>10</v>
      </c>
      <c r="B13" s="9"/>
      <c r="C13" s="9"/>
      <c r="D13" s="9" t="s">
        <v>127</v>
      </c>
      <c r="E13" s="50" t="s">
        <v>130</v>
      </c>
      <c r="F13" s="50"/>
      <c r="G13" s="51" t="s">
        <v>275</v>
      </c>
      <c r="H13" s="51" t="s">
        <v>192</v>
      </c>
      <c r="I13" s="9" t="s">
        <v>99</v>
      </c>
      <c r="J13" s="9"/>
      <c r="K13" s="9" t="s">
        <v>99</v>
      </c>
      <c r="L13" s="9"/>
      <c r="M13" s="9" t="s">
        <v>99</v>
      </c>
      <c r="N13" s="9"/>
      <c r="O13" s="41"/>
      <c r="P13" s="52"/>
      <c r="Q13" s="101"/>
      <c r="R13" s="102"/>
    </row>
    <row r="14" spans="1:18" s="11" customFormat="1">
      <c r="A14" s="9">
        <v>10</v>
      </c>
      <c r="B14" s="9"/>
      <c r="C14" s="9"/>
      <c r="D14" s="9" t="s">
        <v>128</v>
      </c>
      <c r="E14" s="50" t="s">
        <v>131</v>
      </c>
      <c r="F14" s="50"/>
      <c r="G14" s="51" t="s">
        <v>276</v>
      </c>
      <c r="H14" s="51" t="s">
        <v>193</v>
      </c>
      <c r="I14" s="9" t="s">
        <v>99</v>
      </c>
      <c r="J14" s="9"/>
      <c r="K14" s="9" t="s">
        <v>99</v>
      </c>
      <c r="L14" s="9"/>
      <c r="M14" s="9" t="s">
        <v>99</v>
      </c>
      <c r="N14" s="9"/>
      <c r="O14" s="41"/>
      <c r="P14" s="52"/>
      <c r="Q14" s="74"/>
      <c r="R14" s="75"/>
    </row>
    <row r="15" spans="1:18" s="11" customFormat="1">
      <c r="A15" s="9">
        <v>10</v>
      </c>
      <c r="B15" s="9"/>
      <c r="C15" s="9"/>
      <c r="D15" s="9" t="s">
        <v>129</v>
      </c>
      <c r="E15" s="50" t="s">
        <v>132</v>
      </c>
      <c r="F15" s="50"/>
      <c r="G15" s="51" t="s">
        <v>277</v>
      </c>
      <c r="H15" s="51" t="s">
        <v>194</v>
      </c>
      <c r="I15" s="9" t="s">
        <v>99</v>
      </c>
      <c r="J15" s="9"/>
      <c r="K15" s="9" t="s">
        <v>99</v>
      </c>
      <c r="L15" s="9"/>
      <c r="M15" s="9" t="s">
        <v>99</v>
      </c>
      <c r="N15" s="9"/>
      <c r="O15" s="41"/>
      <c r="P15" s="52"/>
      <c r="Q15" s="101"/>
      <c r="R15" s="102"/>
    </row>
    <row r="16" spans="1:18" s="11" customFormat="1">
      <c r="A16" s="9">
        <v>10</v>
      </c>
      <c r="B16" s="9"/>
      <c r="C16" s="9"/>
      <c r="D16" s="9" t="s">
        <v>209</v>
      </c>
      <c r="E16" s="50" t="s">
        <v>104</v>
      </c>
      <c r="F16" s="50"/>
      <c r="G16" s="51" t="s">
        <v>278</v>
      </c>
      <c r="H16" s="51" t="s">
        <v>196</v>
      </c>
      <c r="I16" s="9" t="s">
        <v>99</v>
      </c>
      <c r="J16" s="9"/>
      <c r="K16" s="9" t="s">
        <v>99</v>
      </c>
      <c r="L16" s="9"/>
      <c r="M16" s="9" t="s">
        <v>99</v>
      </c>
      <c r="N16" s="9"/>
      <c r="O16" s="41"/>
      <c r="P16" s="52"/>
      <c r="Q16" s="101"/>
      <c r="R16" s="102"/>
    </row>
    <row r="17" spans="1:18" s="11" customFormat="1">
      <c r="A17" s="9">
        <v>10</v>
      </c>
      <c r="B17" s="9"/>
      <c r="C17" s="9"/>
      <c r="D17" s="9" t="s">
        <v>98</v>
      </c>
      <c r="E17" s="50" t="s">
        <v>104</v>
      </c>
      <c r="F17" s="50"/>
      <c r="G17" s="51" t="s">
        <v>279</v>
      </c>
      <c r="H17" s="51" t="s">
        <v>197</v>
      </c>
      <c r="I17" s="9" t="s">
        <v>106</v>
      </c>
      <c r="J17" s="9"/>
      <c r="K17" s="9" t="s">
        <v>99</v>
      </c>
      <c r="L17" s="9"/>
      <c r="M17" s="9"/>
      <c r="N17" s="9"/>
      <c r="O17" s="41"/>
      <c r="P17" s="52"/>
      <c r="Q17" s="101"/>
      <c r="R17" s="102"/>
    </row>
    <row r="18" spans="1:18" s="11" customFormat="1">
      <c r="A18" s="9">
        <v>10</v>
      </c>
      <c r="B18" s="9"/>
      <c r="C18" s="9"/>
      <c r="D18" s="9" t="s">
        <v>47</v>
      </c>
      <c r="E18" s="50" t="s">
        <v>49</v>
      </c>
      <c r="F18" s="50"/>
      <c r="G18" s="51" t="s">
        <v>280</v>
      </c>
      <c r="H18" s="51" t="s">
        <v>199</v>
      </c>
      <c r="I18" s="9" t="s">
        <v>106</v>
      </c>
      <c r="J18" s="9"/>
      <c r="K18" s="9" t="s">
        <v>106</v>
      </c>
      <c r="L18" s="9"/>
      <c r="M18" s="9"/>
      <c r="N18" s="9"/>
      <c r="O18" s="41"/>
      <c r="P18" s="52"/>
      <c r="Q18" s="101"/>
      <c r="R18" s="102"/>
    </row>
    <row r="19" spans="1:18" s="11" customFormat="1">
      <c r="A19" s="9">
        <v>10</v>
      </c>
      <c r="B19" s="9"/>
      <c r="C19" s="9"/>
      <c r="D19" s="9" t="s">
        <v>55</v>
      </c>
      <c r="E19" s="50" t="s">
        <v>56</v>
      </c>
      <c r="F19" s="50"/>
      <c r="G19" s="51" t="s">
        <v>281</v>
      </c>
      <c r="H19" s="51" t="s">
        <v>200</v>
      </c>
      <c r="I19" s="9" t="s">
        <v>106</v>
      </c>
      <c r="J19" s="9"/>
      <c r="K19" s="9" t="s">
        <v>106</v>
      </c>
      <c r="L19" s="9"/>
      <c r="M19" s="9"/>
      <c r="N19" s="9"/>
      <c r="O19" s="41"/>
      <c r="P19" s="52"/>
      <c r="Q19" s="101"/>
      <c r="R19" s="102"/>
    </row>
    <row r="20" spans="1:18" s="11" customFormat="1">
      <c r="A20" s="9">
        <v>10</v>
      </c>
      <c r="B20" s="9"/>
      <c r="C20" s="9"/>
      <c r="D20" s="9" t="s">
        <v>51</v>
      </c>
      <c r="E20" s="50" t="s">
        <v>53</v>
      </c>
      <c r="F20" s="50"/>
      <c r="G20" s="51" t="s">
        <v>282</v>
      </c>
      <c r="H20" s="51" t="s">
        <v>201</v>
      </c>
      <c r="I20" s="9" t="s">
        <v>106</v>
      </c>
      <c r="J20" s="9"/>
      <c r="K20" s="9" t="s">
        <v>106</v>
      </c>
      <c r="L20" s="9"/>
      <c r="M20" s="9"/>
      <c r="N20" s="9"/>
      <c r="O20" s="41"/>
      <c r="P20" s="52"/>
      <c r="Q20" s="101"/>
      <c r="R20" s="102"/>
    </row>
    <row r="21" spans="1:18" s="11" customFormat="1">
      <c r="A21" s="9">
        <v>10</v>
      </c>
      <c r="B21" s="9"/>
      <c r="C21" s="9"/>
      <c r="D21" s="9" t="s">
        <v>78</v>
      </c>
      <c r="E21" s="50" t="s">
        <v>57</v>
      </c>
      <c r="F21" s="50"/>
      <c r="G21" s="51" t="s">
        <v>283</v>
      </c>
      <c r="H21" s="51" t="s">
        <v>202</v>
      </c>
      <c r="I21" s="9" t="s">
        <v>106</v>
      </c>
      <c r="J21" s="9"/>
      <c r="K21" s="9" t="s">
        <v>106</v>
      </c>
      <c r="L21" s="9"/>
      <c r="M21" s="9"/>
      <c r="N21" s="9"/>
      <c r="O21" s="41"/>
      <c r="P21" s="52"/>
      <c r="Q21" s="101"/>
      <c r="R21" s="102"/>
    </row>
    <row r="22" spans="1:18" s="11" customFormat="1">
      <c r="A22" s="9">
        <v>10</v>
      </c>
      <c r="B22" s="9"/>
      <c r="C22" s="9"/>
      <c r="D22" s="9" t="s">
        <v>91</v>
      </c>
      <c r="E22" s="50" t="s">
        <v>92</v>
      </c>
      <c r="F22" s="50"/>
      <c r="G22" s="51" t="s">
        <v>284</v>
      </c>
      <c r="H22" s="51" t="s">
        <v>203</v>
      </c>
      <c r="I22" s="9" t="s">
        <v>106</v>
      </c>
      <c r="J22" s="9"/>
      <c r="K22" s="9" t="s">
        <v>106</v>
      </c>
      <c r="L22" s="9"/>
      <c r="M22" s="9"/>
      <c r="N22" s="9"/>
      <c r="O22" s="41"/>
      <c r="P22" s="52"/>
      <c r="Q22" s="101"/>
      <c r="R22" s="102"/>
    </row>
    <row r="23" spans="1:18" s="11" customFormat="1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10">
    <mergeCell ref="Q12:R12"/>
    <mergeCell ref="Q19:R19"/>
    <mergeCell ref="Q20:R20"/>
    <mergeCell ref="Q21:R21"/>
    <mergeCell ref="Q22:R22"/>
    <mergeCell ref="Q13:R13"/>
    <mergeCell ref="Q15:R15"/>
    <mergeCell ref="Q16:R16"/>
    <mergeCell ref="Q17:R17"/>
    <mergeCell ref="Q18:R1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16</v>
      </c>
      <c r="B2" s="79"/>
      <c r="C2" s="79"/>
      <c r="D2" s="90" t="s">
        <v>260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MABGL0710</v>
      </c>
      <c r="I2" s="7" t="s">
        <v>185</v>
      </c>
      <c r="J2" s="9" t="s">
        <v>119</v>
      </c>
      <c r="K2" s="7" t="s">
        <v>44</v>
      </c>
      <c r="L2" s="80" t="str">
        <f>IF(LogicCommon!G2="","",LogicCommon!G2)</f>
        <v>MC</v>
      </c>
      <c r="M2" s="5" t="s">
        <v>186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MABGL_CostAcOutReg</v>
      </c>
      <c r="I3" s="7" t="s">
        <v>187</v>
      </c>
      <c r="J3" s="9" t="s">
        <v>88</v>
      </c>
      <c r="K3" s="7" t="s">
        <v>45</v>
      </c>
      <c r="L3" s="80" t="str">
        <f>IF(LogicCommon!G3="","",LogicCommon!G3)</f>
        <v/>
      </c>
      <c r="M3" s="84" t="s">
        <v>32</v>
      </c>
      <c r="N3" s="7"/>
      <c r="O3" s="7" t="s">
        <v>188</v>
      </c>
      <c r="P3" s="9" t="s">
        <v>189</v>
      </c>
      <c r="Q3" s="4"/>
      <c r="R3" s="27"/>
      <c r="S3" s="27"/>
      <c r="T3" s="27"/>
      <c r="U3" s="27"/>
    </row>
    <row r="4" spans="1:21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原価会計連携対象外マスタ登録</v>
      </c>
      <c r="I4" s="7" t="s">
        <v>190</v>
      </c>
      <c r="J4" s="9" t="s">
        <v>179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16</v>
      </c>
      <c r="B6" s="82"/>
      <c r="C6" s="82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89</v>
      </c>
      <c r="L7" s="32"/>
      <c r="M7" s="32"/>
      <c r="N7" s="32"/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50" t="s">
        <v>19</v>
      </c>
      <c r="B8" s="93"/>
      <c r="C8" s="94"/>
      <c r="D8" s="91" t="s">
        <v>261</v>
      </c>
      <c r="E8" s="91" t="s">
        <v>262</v>
      </c>
      <c r="F8" s="88"/>
      <c r="G8" s="91" t="s">
        <v>204</v>
      </c>
      <c r="H8" s="91" t="s">
        <v>263</v>
      </c>
      <c r="I8" s="88"/>
      <c r="J8" s="3"/>
      <c r="K8" s="34" t="s">
        <v>90</v>
      </c>
      <c r="L8" s="34"/>
      <c r="M8" s="34"/>
      <c r="N8" s="34"/>
      <c r="O8" s="34"/>
      <c r="P8" s="33" t="s">
        <v>73</v>
      </c>
      <c r="Q8" s="34"/>
      <c r="R8" s="95"/>
      <c r="S8" s="96"/>
      <c r="T8" s="97" t="s">
        <v>272</v>
      </c>
      <c r="U8" s="52"/>
    </row>
    <row r="9" spans="1:21" s="11" customFormat="1" ht="60" customHeight="1">
      <c r="A9" s="9" t="s">
        <v>19</v>
      </c>
      <c r="B9" s="37"/>
      <c r="C9" s="38"/>
      <c r="D9" s="91" t="s">
        <v>264</v>
      </c>
      <c r="E9" s="98" t="s">
        <v>265</v>
      </c>
      <c r="F9" s="91" t="s">
        <v>266</v>
      </c>
      <c r="G9" s="91" t="s">
        <v>267</v>
      </c>
      <c r="H9" s="91" t="s">
        <v>268</v>
      </c>
      <c r="I9" s="99" t="s">
        <v>269</v>
      </c>
      <c r="J9" s="91" t="s">
        <v>270</v>
      </c>
      <c r="K9" s="33"/>
      <c r="L9" s="33"/>
      <c r="M9" s="33"/>
      <c r="N9" s="33"/>
      <c r="O9" s="33"/>
      <c r="P9" s="33"/>
      <c r="Q9" s="33"/>
      <c r="R9" s="97" t="s">
        <v>271</v>
      </c>
      <c r="S9" s="52"/>
      <c r="T9" s="97" t="s">
        <v>273</v>
      </c>
      <c r="U9" s="52"/>
    </row>
    <row r="10" spans="1:21" s="11" customFormat="1" ht="39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92" t="s">
        <v>269</v>
      </c>
      <c r="Q10" s="92" t="s">
        <v>270</v>
      </c>
      <c r="R10" s="42"/>
      <c r="S10" s="42"/>
      <c r="T10" s="43"/>
      <c r="U10" s="36"/>
    </row>
    <row r="11" spans="1:21" s="11" customFormat="1">
      <c r="A11" s="9">
        <v>10</v>
      </c>
      <c r="B11" s="37" t="s">
        <v>0</v>
      </c>
      <c r="C11" s="38"/>
      <c r="D11" s="28" t="s">
        <v>120</v>
      </c>
      <c r="E11" s="44" t="s">
        <v>70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5"/>
      <c r="S11" s="36"/>
      <c r="T11" s="74"/>
      <c r="U11" s="76"/>
    </row>
    <row r="12" spans="1:21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275</v>
      </c>
      <c r="H12" s="51" t="s">
        <v>192</v>
      </c>
      <c r="I12" s="9" t="s">
        <v>99</v>
      </c>
      <c r="J12" s="9"/>
      <c r="K12" s="9" t="s">
        <v>99</v>
      </c>
      <c r="L12" s="9"/>
      <c r="M12" s="9"/>
      <c r="N12" s="9"/>
      <c r="O12" s="9"/>
      <c r="P12" s="9"/>
      <c r="Q12" s="9"/>
      <c r="R12" s="41"/>
      <c r="S12" s="52"/>
      <c r="T12" s="101"/>
      <c r="U12" s="102"/>
    </row>
    <row r="13" spans="1:21" s="11" customFormat="1">
      <c r="A13" s="9">
        <v>10</v>
      </c>
      <c r="B13" s="9"/>
      <c r="C13" s="9"/>
      <c r="D13" s="9" t="s">
        <v>128</v>
      </c>
      <c r="E13" s="50" t="s">
        <v>131</v>
      </c>
      <c r="F13" s="50"/>
      <c r="G13" s="51" t="s">
        <v>276</v>
      </c>
      <c r="H13" s="51" t="s">
        <v>193</v>
      </c>
      <c r="I13" s="9" t="s">
        <v>99</v>
      </c>
      <c r="J13" s="9"/>
      <c r="K13" s="9" t="s">
        <v>99</v>
      </c>
      <c r="L13" s="9"/>
      <c r="M13" s="9"/>
      <c r="N13" s="9"/>
      <c r="O13" s="9"/>
      <c r="P13" s="9"/>
      <c r="Q13" s="9"/>
      <c r="R13" s="41"/>
      <c r="S13" s="52"/>
      <c r="T13" s="101"/>
      <c r="U13" s="102"/>
    </row>
    <row r="14" spans="1:21" s="11" customFormat="1">
      <c r="A14" s="9">
        <v>10</v>
      </c>
      <c r="B14" s="9"/>
      <c r="C14" s="9"/>
      <c r="D14" s="9" t="s">
        <v>129</v>
      </c>
      <c r="E14" s="50" t="s">
        <v>132</v>
      </c>
      <c r="F14" s="50"/>
      <c r="G14" s="51" t="s">
        <v>277</v>
      </c>
      <c r="H14" s="51" t="s">
        <v>194</v>
      </c>
      <c r="I14" s="9" t="s">
        <v>99</v>
      </c>
      <c r="J14" s="9"/>
      <c r="K14" s="9" t="s">
        <v>99</v>
      </c>
      <c r="L14" s="9"/>
      <c r="M14" s="9"/>
      <c r="N14" s="9"/>
      <c r="O14" s="9"/>
      <c r="P14" s="9"/>
      <c r="Q14" s="9"/>
      <c r="R14" s="41"/>
      <c r="S14" s="52"/>
      <c r="T14" s="101"/>
      <c r="U14" s="102"/>
    </row>
    <row r="15" spans="1:21" s="11" customFormat="1">
      <c r="A15" s="9">
        <v>10</v>
      </c>
      <c r="B15" s="9"/>
      <c r="C15" s="9"/>
      <c r="D15" s="9" t="s">
        <v>209</v>
      </c>
      <c r="E15" s="50" t="s">
        <v>104</v>
      </c>
      <c r="F15" s="50"/>
      <c r="G15" s="51" t="s">
        <v>278</v>
      </c>
      <c r="H15" s="51" t="s">
        <v>196</v>
      </c>
      <c r="I15" s="9" t="s">
        <v>99</v>
      </c>
      <c r="J15" s="9"/>
      <c r="K15" s="9" t="s">
        <v>99</v>
      </c>
      <c r="L15" s="9"/>
      <c r="M15" s="9"/>
      <c r="N15" s="9"/>
      <c r="O15" s="9"/>
      <c r="P15" s="9"/>
      <c r="Q15" s="9"/>
      <c r="R15" s="41"/>
      <c r="S15" s="52"/>
      <c r="T15" s="101"/>
      <c r="U15" s="102"/>
    </row>
    <row r="16" spans="1:21" s="11" customFormat="1">
      <c r="A16" s="9">
        <v>10</v>
      </c>
      <c r="B16" s="9"/>
      <c r="C16" s="9"/>
      <c r="D16" s="9" t="s">
        <v>83</v>
      </c>
      <c r="E16" s="50" t="s">
        <v>84</v>
      </c>
      <c r="F16" s="50"/>
      <c r="G16" s="51" t="s">
        <v>284</v>
      </c>
      <c r="H16" s="51" t="s">
        <v>203</v>
      </c>
      <c r="I16" s="9" t="s">
        <v>106</v>
      </c>
      <c r="J16" s="9"/>
      <c r="K16" s="9"/>
      <c r="L16" s="9"/>
      <c r="M16" s="9"/>
      <c r="N16" s="9"/>
      <c r="O16" s="9"/>
      <c r="P16" s="9"/>
      <c r="Q16" s="9"/>
      <c r="R16" s="41"/>
      <c r="S16" s="52"/>
      <c r="T16" s="101"/>
      <c r="U16" s="102"/>
    </row>
    <row r="17" spans="1:21" s="11" customFormat="1">
      <c r="A17" s="53"/>
      <c r="B17" s="54"/>
      <c r="C17" s="54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4"/>
      <c r="S17" s="4"/>
      <c r="T17" s="6"/>
      <c r="U17" s="23"/>
    </row>
    <row r="18" spans="1:21" s="11" customFormat="1">
      <c r="A18" s="81"/>
      <c r="U18" s="55"/>
    </row>
    <row r="19" spans="1:21" s="11" customFormat="1">
      <c r="A19" s="81"/>
      <c r="U19" s="55"/>
    </row>
    <row r="20" spans="1:21" s="11" customFormat="1">
      <c r="A20" s="81"/>
      <c r="U20" s="55"/>
    </row>
    <row r="21" spans="1:21" s="11" customFormat="1">
      <c r="A21" s="86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</row>
  </sheetData>
  <dataConsolidate/>
  <mergeCells count="5">
    <mergeCell ref="T16:U16"/>
    <mergeCell ref="T12:U12"/>
    <mergeCell ref="T14:U14"/>
    <mergeCell ref="T15:U15"/>
    <mergeCell ref="T13:U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3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8" t="s">
        <v>16</v>
      </c>
      <c r="B2" s="79"/>
      <c r="C2" s="79"/>
      <c r="D2" s="90" t="s">
        <v>260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MABGL0710</v>
      </c>
      <c r="I2" s="7" t="s">
        <v>185</v>
      </c>
      <c r="J2" s="9" t="s">
        <v>121</v>
      </c>
      <c r="K2" s="7" t="s">
        <v>44</v>
      </c>
      <c r="L2" s="80" t="str">
        <f>IF(LogicCommon!G2="","",LogicCommon!G2)</f>
        <v>MC</v>
      </c>
      <c r="M2" s="5" t="s">
        <v>186</v>
      </c>
      <c r="N2" s="28" t="s">
        <v>254</v>
      </c>
      <c r="O2" s="7"/>
      <c r="P2" s="7"/>
    </row>
    <row r="3" spans="1:16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MABGL_CostAcOutReg</v>
      </c>
      <c r="I3" s="7" t="s">
        <v>187</v>
      </c>
      <c r="J3" s="9" t="s">
        <v>31</v>
      </c>
      <c r="K3" s="7" t="s">
        <v>45</v>
      </c>
      <c r="L3" s="80" t="str">
        <f>IF(LogicCommon!G3="","",LogicCommon!G3)</f>
        <v/>
      </c>
      <c r="M3" s="84" t="s">
        <v>32</v>
      </c>
      <c r="N3" s="7"/>
      <c r="O3" s="7" t="s">
        <v>188</v>
      </c>
      <c r="P3" s="9" t="s">
        <v>189</v>
      </c>
    </row>
    <row r="4" spans="1:16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原価会計連携対象外マスタ登録</v>
      </c>
      <c r="I4" s="7" t="s">
        <v>190</v>
      </c>
      <c r="J4" s="9" t="s">
        <v>177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</row>
    <row r="5" spans="1:16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</row>
    <row r="6" spans="1:16" s="11" customFormat="1">
      <c r="A6" s="81" t="s">
        <v>16</v>
      </c>
      <c r="B6" s="82"/>
      <c r="C6" s="82"/>
      <c r="D6" s="4" t="s">
        <v>6</v>
      </c>
      <c r="E6" s="16" t="s">
        <v>176</v>
      </c>
      <c r="F6" s="16"/>
      <c r="G6" s="16"/>
      <c r="H6" s="16"/>
      <c r="I6" s="16"/>
      <c r="J6" s="16"/>
      <c r="K6" s="16"/>
      <c r="L6" s="88" t="s">
        <v>35</v>
      </c>
      <c r="M6" s="19"/>
      <c r="N6" s="19"/>
      <c r="O6" s="19"/>
      <c r="P6" s="19"/>
    </row>
    <row r="7" spans="1:16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74</v>
      </c>
      <c r="M7" s="29"/>
      <c r="N7" s="29"/>
      <c r="O7" s="29"/>
      <c r="P7" s="29"/>
    </row>
    <row r="8" spans="1:16" s="11" customFormat="1" ht="60" customHeight="1">
      <c r="A8" s="50" t="s">
        <v>19</v>
      </c>
      <c r="B8" s="93"/>
      <c r="C8" s="94"/>
      <c r="D8" s="91" t="s">
        <v>261</v>
      </c>
      <c r="E8" s="91" t="s">
        <v>262</v>
      </c>
      <c r="F8" s="88"/>
      <c r="G8" s="91" t="s">
        <v>204</v>
      </c>
      <c r="H8" s="91" t="s">
        <v>263</v>
      </c>
      <c r="I8" s="88"/>
      <c r="J8" s="3"/>
      <c r="K8" s="33" t="s">
        <v>18</v>
      </c>
      <c r="L8" s="34" t="s">
        <v>258</v>
      </c>
      <c r="M8" s="95"/>
      <c r="N8" s="96"/>
      <c r="O8" s="97" t="s">
        <v>272</v>
      </c>
      <c r="P8" s="52"/>
    </row>
    <row r="9" spans="1:16" s="11" customFormat="1" ht="60" customHeight="1">
      <c r="A9" s="9" t="s">
        <v>19</v>
      </c>
      <c r="B9" s="37"/>
      <c r="C9" s="38"/>
      <c r="D9" s="91" t="s">
        <v>264</v>
      </c>
      <c r="E9" s="98" t="s">
        <v>265</v>
      </c>
      <c r="F9" s="91" t="s">
        <v>266</v>
      </c>
      <c r="G9" s="91" t="s">
        <v>267</v>
      </c>
      <c r="H9" s="91" t="s">
        <v>268</v>
      </c>
      <c r="I9" s="99" t="s">
        <v>269</v>
      </c>
      <c r="J9" s="91" t="s">
        <v>270</v>
      </c>
      <c r="K9" s="33"/>
      <c r="L9" s="33"/>
      <c r="M9" s="97" t="s">
        <v>271</v>
      </c>
      <c r="N9" s="52"/>
      <c r="O9" s="97" t="s">
        <v>273</v>
      </c>
      <c r="P9" s="52"/>
    </row>
    <row r="10" spans="1:16" s="11" customFormat="1" ht="39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92" t="s">
        <v>269</v>
      </c>
      <c r="L10" s="92" t="s">
        <v>270</v>
      </c>
      <c r="M10" s="42"/>
      <c r="N10" s="42"/>
      <c r="O10" s="43"/>
      <c r="P10" s="36"/>
    </row>
    <row r="11" spans="1:16" s="11" customFormat="1">
      <c r="A11" s="9">
        <v>10</v>
      </c>
      <c r="B11" s="37" t="s">
        <v>0</v>
      </c>
      <c r="C11" s="38"/>
      <c r="D11" s="28" t="s">
        <v>122</v>
      </c>
      <c r="E11" s="44" t="s">
        <v>70</v>
      </c>
      <c r="F11" s="45"/>
      <c r="G11" s="28" t="s">
        <v>87</v>
      </c>
      <c r="H11" s="46" t="s">
        <v>210</v>
      </c>
      <c r="I11" s="47"/>
      <c r="J11" s="48"/>
      <c r="K11" s="49" t="s">
        <v>208</v>
      </c>
      <c r="L11" s="49"/>
      <c r="M11" s="35"/>
      <c r="N11" s="36"/>
      <c r="O11" s="74"/>
      <c r="P11" s="76"/>
    </row>
    <row r="12" spans="1:16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275</v>
      </c>
      <c r="H12" s="51" t="s">
        <v>192</v>
      </c>
      <c r="I12" s="9" t="s">
        <v>99</v>
      </c>
      <c r="J12" s="9"/>
      <c r="K12" s="9" t="s">
        <v>99</v>
      </c>
      <c r="L12" s="9"/>
      <c r="M12" s="43"/>
      <c r="N12" s="36"/>
      <c r="O12" s="74"/>
      <c r="P12" s="76"/>
    </row>
    <row r="13" spans="1:16" s="11" customFormat="1">
      <c r="A13" s="9">
        <v>10</v>
      </c>
      <c r="B13" s="9"/>
      <c r="C13" s="9"/>
      <c r="D13" s="9" t="s">
        <v>128</v>
      </c>
      <c r="E13" s="50" t="s">
        <v>131</v>
      </c>
      <c r="F13" s="50"/>
      <c r="G13" s="51" t="s">
        <v>276</v>
      </c>
      <c r="H13" s="51" t="s">
        <v>193</v>
      </c>
      <c r="I13" s="9" t="s">
        <v>99</v>
      </c>
      <c r="J13" s="9"/>
      <c r="K13" s="9" t="s">
        <v>99</v>
      </c>
      <c r="L13" s="9"/>
      <c r="M13" s="43"/>
      <c r="N13" s="36"/>
      <c r="O13" s="74"/>
      <c r="P13" s="76"/>
    </row>
    <row r="14" spans="1:16" s="11" customFormat="1">
      <c r="A14" s="9">
        <v>10</v>
      </c>
      <c r="B14" s="9"/>
      <c r="C14" s="9"/>
      <c r="D14" s="9" t="s">
        <v>129</v>
      </c>
      <c r="E14" s="50" t="s">
        <v>132</v>
      </c>
      <c r="F14" s="50"/>
      <c r="G14" s="51" t="s">
        <v>277</v>
      </c>
      <c r="H14" s="51" t="s">
        <v>194</v>
      </c>
      <c r="I14" s="9" t="s">
        <v>99</v>
      </c>
      <c r="J14" s="9"/>
      <c r="K14" s="9" t="s">
        <v>99</v>
      </c>
      <c r="L14" s="9"/>
      <c r="M14" s="43"/>
      <c r="N14" s="36"/>
      <c r="O14" s="74"/>
      <c r="P14" s="76"/>
    </row>
    <row r="15" spans="1:16" s="11" customFormat="1">
      <c r="A15" s="9">
        <v>10</v>
      </c>
      <c r="B15" s="9"/>
      <c r="C15" s="9"/>
      <c r="D15" s="9" t="s">
        <v>209</v>
      </c>
      <c r="E15" s="50" t="s">
        <v>104</v>
      </c>
      <c r="F15" s="50"/>
      <c r="G15" s="51" t="s">
        <v>278</v>
      </c>
      <c r="H15" s="51" t="s">
        <v>196</v>
      </c>
      <c r="I15" s="9" t="s">
        <v>99</v>
      </c>
      <c r="J15" s="9"/>
      <c r="K15" s="9" t="s">
        <v>99</v>
      </c>
      <c r="L15" s="9"/>
      <c r="M15" s="43"/>
      <c r="N15" s="36"/>
      <c r="O15" s="74"/>
      <c r="P15" s="76"/>
    </row>
    <row r="16" spans="1:16" s="11" customFormat="1">
      <c r="A16" s="9">
        <v>10</v>
      </c>
      <c r="B16" s="9"/>
      <c r="C16" s="9"/>
      <c r="D16" s="9" t="s">
        <v>83</v>
      </c>
      <c r="E16" s="50" t="s">
        <v>84</v>
      </c>
      <c r="F16" s="50"/>
      <c r="G16" s="51" t="s">
        <v>284</v>
      </c>
      <c r="H16" s="51" t="s">
        <v>211</v>
      </c>
      <c r="I16" s="9" t="s">
        <v>106</v>
      </c>
      <c r="J16" s="9"/>
      <c r="K16" s="9" t="s">
        <v>106</v>
      </c>
      <c r="L16" s="9"/>
      <c r="M16" s="43"/>
      <c r="N16" s="36"/>
      <c r="O16" s="74"/>
      <c r="P16" s="76"/>
    </row>
    <row r="17" spans="1:16" s="11" customFormat="1">
      <c r="A17" s="53"/>
      <c r="B17" s="54"/>
      <c r="C17" s="54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4"/>
      <c r="N17" s="4"/>
      <c r="O17" s="6"/>
      <c r="P17" s="23"/>
    </row>
    <row r="18" spans="1:16" s="11" customFormat="1">
      <c r="A18" s="81"/>
      <c r="P18" s="55"/>
    </row>
    <row r="19" spans="1:16" s="11" customFormat="1">
      <c r="A19" s="81"/>
      <c r="P19" s="55"/>
    </row>
    <row r="20" spans="1:16" s="11" customFormat="1">
      <c r="A20" s="81"/>
      <c r="P20" s="55"/>
    </row>
    <row r="21" spans="1:16" s="11" customFormat="1">
      <c r="A21" s="81"/>
      <c r="P21" s="55"/>
    </row>
    <row r="22" spans="1:16" s="11" customFormat="1">
      <c r="A22" s="81"/>
      <c r="P22" s="55"/>
    </row>
    <row r="23" spans="1:16" s="11" customFormat="1">
      <c r="A23" s="81"/>
      <c r="P23" s="55"/>
    </row>
    <row r="24" spans="1:16" s="11" customFormat="1">
      <c r="A24" s="81"/>
      <c r="P24" s="55"/>
    </row>
    <row r="25" spans="1:16" s="11" customFormat="1">
      <c r="A25" s="81"/>
      <c r="P25" s="55"/>
    </row>
    <row r="26" spans="1:16" s="11" customFormat="1">
      <c r="A26" s="81"/>
      <c r="P26" s="55"/>
    </row>
    <row r="27" spans="1:16" s="11" customFormat="1">
      <c r="A27" s="81"/>
      <c r="P27" s="55"/>
    </row>
    <row r="28" spans="1:16" s="11" customFormat="1">
      <c r="A28" s="81"/>
      <c r="P28" s="55"/>
    </row>
    <row r="29" spans="1:16" s="11" customFormat="1">
      <c r="A29" s="81"/>
      <c r="P29" s="55"/>
    </row>
    <row r="30" spans="1:16" s="11" customFormat="1">
      <c r="A30" s="81"/>
      <c r="P30" s="55"/>
    </row>
    <row r="31" spans="1:16" s="11" customFormat="1">
      <c r="A31" s="81"/>
      <c r="P31" s="55"/>
    </row>
    <row r="32" spans="1:16" s="11" customFormat="1">
      <c r="A32" s="81"/>
      <c r="P32" s="55"/>
    </row>
    <row r="33" spans="1:16" s="11" customFormat="1">
      <c r="A33" s="8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</row>
  </sheetData>
  <dataConsolidate/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16</v>
      </c>
      <c r="B2" s="79"/>
      <c r="C2" s="79"/>
      <c r="D2" s="90" t="s">
        <v>260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MABGL0710</v>
      </c>
      <c r="I2" s="7" t="s">
        <v>185</v>
      </c>
      <c r="J2" s="9" t="s">
        <v>30</v>
      </c>
      <c r="K2" s="7" t="s">
        <v>44</v>
      </c>
      <c r="L2" s="80" t="str">
        <f>IF(LogicCommon!G2="","",LogicCommon!G2)</f>
        <v>MC</v>
      </c>
      <c r="M2" s="5" t="s">
        <v>186</v>
      </c>
      <c r="N2" s="28" t="s">
        <v>255</v>
      </c>
      <c r="O2" s="7"/>
      <c r="P2" s="7"/>
      <c r="Q2" s="4"/>
    </row>
    <row r="3" spans="1:17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MABGL_CostAcOutReg</v>
      </c>
      <c r="I3" s="7" t="s">
        <v>187</v>
      </c>
      <c r="J3" s="9" t="s">
        <v>31</v>
      </c>
      <c r="K3" s="7" t="s">
        <v>45</v>
      </c>
      <c r="L3" s="80" t="str">
        <f>IF(LogicCommon!G3="","",LogicCommon!G3)</f>
        <v/>
      </c>
      <c r="M3" s="84" t="s">
        <v>32</v>
      </c>
      <c r="N3" s="7"/>
      <c r="O3" s="7" t="s">
        <v>188</v>
      </c>
      <c r="P3" s="9" t="s">
        <v>189</v>
      </c>
      <c r="Q3" s="4"/>
    </row>
    <row r="4" spans="1:17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原価会計連携対象外マスタ登録</v>
      </c>
      <c r="I4" s="7" t="s">
        <v>190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16</v>
      </c>
      <c r="B6" s="82"/>
      <c r="C6" s="82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8" t="s">
        <v>35</v>
      </c>
      <c r="M6" s="19" t="s">
        <v>35</v>
      </c>
      <c r="N6" s="19"/>
      <c r="O6" s="19"/>
      <c r="P6" s="19"/>
      <c r="Q6" s="19"/>
    </row>
    <row r="7" spans="1:17" s="11" customFormat="1">
      <c r="A7" s="30" t="s">
        <v>36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89</v>
      </c>
      <c r="L7" s="33" t="s">
        <v>38</v>
      </c>
      <c r="M7" s="32" t="s">
        <v>39</v>
      </c>
      <c r="N7" s="29"/>
      <c r="O7" s="29"/>
      <c r="P7" s="29"/>
      <c r="Q7" s="29"/>
    </row>
    <row r="8" spans="1:17" s="11" customFormat="1" ht="60" customHeight="1">
      <c r="A8" s="50" t="s">
        <v>19</v>
      </c>
      <c r="B8" s="93"/>
      <c r="C8" s="94"/>
      <c r="D8" s="91" t="s">
        <v>261</v>
      </c>
      <c r="E8" s="91" t="s">
        <v>262</v>
      </c>
      <c r="F8" s="88"/>
      <c r="G8" s="91" t="s">
        <v>204</v>
      </c>
      <c r="H8" s="91" t="s">
        <v>263</v>
      </c>
      <c r="I8" s="88"/>
      <c r="J8" s="3"/>
      <c r="K8" s="34" t="s">
        <v>144</v>
      </c>
      <c r="L8" s="33" t="s">
        <v>18</v>
      </c>
      <c r="M8" s="34" t="s">
        <v>258</v>
      </c>
      <c r="N8" s="95"/>
      <c r="O8" s="96"/>
      <c r="P8" s="97" t="s">
        <v>272</v>
      </c>
      <c r="Q8" s="52"/>
    </row>
    <row r="9" spans="1:17" s="11" customFormat="1" ht="60" customHeight="1">
      <c r="A9" s="9" t="s">
        <v>19</v>
      </c>
      <c r="B9" s="37"/>
      <c r="C9" s="38"/>
      <c r="D9" s="91" t="s">
        <v>264</v>
      </c>
      <c r="E9" s="98" t="s">
        <v>265</v>
      </c>
      <c r="F9" s="91" t="s">
        <v>266</v>
      </c>
      <c r="G9" s="91" t="s">
        <v>267</v>
      </c>
      <c r="H9" s="91" t="s">
        <v>268</v>
      </c>
      <c r="I9" s="99" t="s">
        <v>269</v>
      </c>
      <c r="J9" s="91" t="s">
        <v>270</v>
      </c>
      <c r="K9" s="100"/>
      <c r="L9" s="33"/>
      <c r="M9" s="33"/>
      <c r="N9" s="97" t="s">
        <v>271</v>
      </c>
      <c r="O9" s="52"/>
      <c r="P9" s="97" t="s">
        <v>273</v>
      </c>
      <c r="Q9" s="52"/>
    </row>
    <row r="10" spans="1:17" s="11" customFormat="1" ht="39">
      <c r="A10" s="39" t="s">
        <v>20</v>
      </c>
      <c r="B10" s="40"/>
      <c r="C10" s="40"/>
      <c r="D10" s="41"/>
      <c r="E10" s="42"/>
      <c r="F10" s="42"/>
      <c r="G10" s="43"/>
      <c r="H10" s="43"/>
      <c r="I10" s="42"/>
      <c r="J10" s="42"/>
      <c r="K10" s="56"/>
      <c r="L10" s="92" t="s">
        <v>269</v>
      </c>
      <c r="M10" s="92" t="s">
        <v>270</v>
      </c>
      <c r="N10" s="42"/>
      <c r="O10" s="42"/>
      <c r="P10" s="43"/>
      <c r="Q10" s="36"/>
    </row>
    <row r="11" spans="1:17" s="11" customFormat="1">
      <c r="A11" s="9">
        <v>10</v>
      </c>
      <c r="B11" s="37" t="s">
        <v>0</v>
      </c>
      <c r="C11" s="38"/>
      <c r="D11" s="28" t="s">
        <v>21</v>
      </c>
      <c r="E11" s="44" t="s">
        <v>22</v>
      </c>
      <c r="F11" s="45"/>
      <c r="G11" s="28"/>
      <c r="H11" s="46"/>
      <c r="I11" s="47"/>
      <c r="J11" s="48"/>
      <c r="K11" s="57"/>
      <c r="L11" s="49" t="s">
        <v>22</v>
      </c>
      <c r="M11" s="49"/>
      <c r="N11" s="35"/>
      <c r="O11" s="36"/>
      <c r="P11" s="74"/>
      <c r="Q11" s="76"/>
    </row>
    <row r="12" spans="1:17" s="11" customFormat="1">
      <c r="A12" s="9">
        <v>10</v>
      </c>
      <c r="B12" s="9"/>
      <c r="C12" s="9"/>
      <c r="D12" s="9" t="s">
        <v>136</v>
      </c>
      <c r="E12" s="50" t="s">
        <v>130</v>
      </c>
      <c r="F12" s="50"/>
      <c r="G12" s="51" t="s">
        <v>275</v>
      </c>
      <c r="H12" s="51" t="s">
        <v>212</v>
      </c>
      <c r="I12" s="9" t="s">
        <v>106</v>
      </c>
      <c r="J12" s="9"/>
      <c r="K12" s="9"/>
      <c r="L12" s="9"/>
      <c r="M12" s="9"/>
      <c r="N12" s="41"/>
      <c r="O12" s="52"/>
      <c r="P12" s="101"/>
      <c r="Q12" s="102"/>
    </row>
    <row r="13" spans="1:17" s="11" customFormat="1">
      <c r="A13" s="9">
        <v>10</v>
      </c>
      <c r="B13" s="9"/>
      <c r="C13" s="9"/>
      <c r="D13" s="9" t="s">
        <v>137</v>
      </c>
      <c r="E13" s="50" t="s">
        <v>141</v>
      </c>
      <c r="F13" s="50"/>
      <c r="G13" s="51" t="s">
        <v>285</v>
      </c>
      <c r="H13" s="51" t="s">
        <v>213</v>
      </c>
      <c r="I13" s="9" t="s">
        <v>106</v>
      </c>
      <c r="J13" s="9"/>
      <c r="K13" s="9"/>
      <c r="L13" s="9"/>
      <c r="M13" s="9"/>
      <c r="N13" s="41"/>
      <c r="O13" s="52"/>
      <c r="P13" s="101"/>
      <c r="Q13" s="102"/>
    </row>
    <row r="14" spans="1:17" s="11" customFormat="1">
      <c r="A14" s="9">
        <v>10</v>
      </c>
      <c r="B14" s="9"/>
      <c r="C14" s="9"/>
      <c r="D14" s="9" t="s">
        <v>238</v>
      </c>
      <c r="E14" s="50" t="s">
        <v>131</v>
      </c>
      <c r="F14" s="50"/>
      <c r="G14" s="51" t="s">
        <v>276</v>
      </c>
      <c r="H14" s="51" t="s">
        <v>214</v>
      </c>
      <c r="I14" s="9" t="s">
        <v>106</v>
      </c>
      <c r="J14" s="9"/>
      <c r="K14" s="9"/>
      <c r="L14" s="9"/>
      <c r="M14" s="9"/>
      <c r="N14" s="41"/>
      <c r="O14" s="52"/>
      <c r="P14" s="101"/>
      <c r="Q14" s="102"/>
    </row>
    <row r="15" spans="1:17" s="11" customFormat="1">
      <c r="A15" s="9">
        <v>10</v>
      </c>
      <c r="B15" s="9"/>
      <c r="C15" s="9"/>
      <c r="D15" s="9" t="s">
        <v>139</v>
      </c>
      <c r="E15" s="50" t="s">
        <v>132</v>
      </c>
      <c r="F15" s="50"/>
      <c r="G15" s="51" t="s">
        <v>277</v>
      </c>
      <c r="H15" s="51" t="s">
        <v>194</v>
      </c>
      <c r="I15" s="9" t="s">
        <v>106</v>
      </c>
      <c r="J15" s="9"/>
      <c r="K15" s="9"/>
      <c r="L15" s="9"/>
      <c r="M15" s="9"/>
      <c r="N15" s="41"/>
      <c r="O15" s="52"/>
      <c r="P15" s="101"/>
      <c r="Q15" s="102"/>
    </row>
    <row r="16" spans="1:17" s="11" customFormat="1">
      <c r="A16" s="9">
        <v>10</v>
      </c>
      <c r="B16" s="9"/>
      <c r="C16" s="9"/>
      <c r="D16" s="9" t="s">
        <v>140</v>
      </c>
      <c r="E16" s="50" t="s">
        <v>143</v>
      </c>
      <c r="F16" s="50"/>
      <c r="G16" s="51" t="s">
        <v>286</v>
      </c>
      <c r="H16" s="51" t="s">
        <v>215</v>
      </c>
      <c r="I16" s="9" t="s">
        <v>106</v>
      </c>
      <c r="J16" s="9"/>
      <c r="K16" s="9"/>
      <c r="L16" s="9"/>
      <c r="M16" s="9"/>
      <c r="N16" s="41"/>
      <c r="O16" s="52"/>
      <c r="P16" s="101"/>
      <c r="Q16" s="102"/>
    </row>
    <row r="17" spans="1:17" s="11" customFormat="1">
      <c r="A17" s="9">
        <v>10</v>
      </c>
      <c r="B17" s="9"/>
      <c r="C17" s="9"/>
      <c r="D17" s="9" t="s">
        <v>100</v>
      </c>
      <c r="E17" s="50" t="s">
        <v>105</v>
      </c>
      <c r="F17" s="50"/>
      <c r="G17" s="51" t="s">
        <v>287</v>
      </c>
      <c r="H17" s="51" t="s">
        <v>216</v>
      </c>
      <c r="I17" s="9" t="s">
        <v>106</v>
      </c>
      <c r="J17" s="9"/>
      <c r="K17" s="9"/>
      <c r="L17" s="9"/>
      <c r="M17" s="9"/>
      <c r="N17" s="41"/>
      <c r="O17" s="52"/>
      <c r="P17" s="101"/>
      <c r="Q17" s="102"/>
    </row>
    <row r="18" spans="1:17" s="11" customFormat="1">
      <c r="A18" s="9">
        <v>10</v>
      </c>
      <c r="B18" s="9"/>
      <c r="C18" s="9"/>
      <c r="D18" s="9" t="s">
        <v>103</v>
      </c>
      <c r="E18" s="50" t="s">
        <v>105</v>
      </c>
      <c r="F18" s="50"/>
      <c r="G18" s="51" t="s">
        <v>288</v>
      </c>
      <c r="H18" s="51" t="s">
        <v>217</v>
      </c>
      <c r="I18" s="9" t="s">
        <v>106</v>
      </c>
      <c r="J18" s="9"/>
      <c r="K18" s="9"/>
      <c r="L18" s="9"/>
      <c r="M18" s="9"/>
      <c r="N18" s="41"/>
      <c r="O18" s="52"/>
      <c r="P18" s="101"/>
      <c r="Q18" s="102"/>
    </row>
    <row r="19" spans="1:17" s="11" customFormat="1">
      <c r="A19" s="9">
        <v>10</v>
      </c>
      <c r="B19" s="9"/>
      <c r="C19" s="9"/>
      <c r="D19" s="9" t="s">
        <v>101</v>
      </c>
      <c r="E19" s="50" t="s">
        <v>105</v>
      </c>
      <c r="F19" s="50"/>
      <c r="G19" s="51" t="s">
        <v>289</v>
      </c>
      <c r="H19" s="51" t="s">
        <v>218</v>
      </c>
      <c r="I19" s="9" t="s">
        <v>106</v>
      </c>
      <c r="J19" s="9"/>
      <c r="K19" s="9"/>
      <c r="L19" s="9"/>
      <c r="M19" s="9"/>
      <c r="N19" s="41"/>
      <c r="O19" s="52"/>
      <c r="P19" s="101"/>
      <c r="Q19" s="102"/>
    </row>
    <row r="20" spans="1:17" s="11" customFormat="1">
      <c r="A20" s="9">
        <v>10</v>
      </c>
      <c r="B20" s="9"/>
      <c r="C20" s="9"/>
      <c r="D20" s="9" t="s">
        <v>102</v>
      </c>
      <c r="E20" s="50" t="s">
        <v>105</v>
      </c>
      <c r="F20" s="50"/>
      <c r="G20" s="51" t="s">
        <v>290</v>
      </c>
      <c r="H20" s="51" t="s">
        <v>219</v>
      </c>
      <c r="I20" s="9" t="s">
        <v>106</v>
      </c>
      <c r="J20" s="9"/>
      <c r="K20" s="9"/>
      <c r="L20" s="9"/>
      <c r="M20" s="9"/>
      <c r="N20" s="41"/>
      <c r="O20" s="52"/>
      <c r="P20" s="101"/>
      <c r="Q20" s="102"/>
    </row>
    <row r="21" spans="1:17" s="11" customFormat="1" ht="26">
      <c r="A21" s="9">
        <v>10</v>
      </c>
      <c r="B21" s="9"/>
      <c r="C21" s="9"/>
      <c r="D21" s="9" t="s">
        <v>76</v>
      </c>
      <c r="E21" s="50" t="s">
        <v>66</v>
      </c>
      <c r="F21" s="50"/>
      <c r="G21" s="51" t="s">
        <v>291</v>
      </c>
      <c r="H21" s="51" t="s">
        <v>220</v>
      </c>
      <c r="I21" s="9" t="s">
        <v>106</v>
      </c>
      <c r="J21" s="9"/>
      <c r="K21" s="9"/>
      <c r="L21" s="9"/>
      <c r="M21" s="9"/>
      <c r="N21" s="41"/>
      <c r="O21" s="52"/>
      <c r="P21" s="101"/>
      <c r="Q21" s="102"/>
    </row>
    <row r="22" spans="1:17" s="11" customFormat="1" ht="26">
      <c r="A22" s="9">
        <v>10</v>
      </c>
      <c r="B22" s="9"/>
      <c r="C22" s="9"/>
      <c r="D22" s="9" t="s">
        <v>77</v>
      </c>
      <c r="E22" s="50" t="s">
        <v>58</v>
      </c>
      <c r="F22" s="50"/>
      <c r="G22" s="51" t="s">
        <v>292</v>
      </c>
      <c r="H22" s="51" t="s">
        <v>221</v>
      </c>
      <c r="I22" s="9" t="s">
        <v>106</v>
      </c>
      <c r="J22" s="9"/>
      <c r="K22" s="9"/>
      <c r="L22" s="9"/>
      <c r="M22" s="9"/>
      <c r="N22" s="58"/>
      <c r="O22" s="59"/>
      <c r="P22" s="103"/>
      <c r="Q22" s="102"/>
    </row>
    <row r="23" spans="1:17" s="11" customFormat="1">
      <c r="A23" s="9">
        <v>10</v>
      </c>
      <c r="B23" s="9"/>
      <c r="C23" s="9"/>
      <c r="D23" s="9" t="s">
        <v>48</v>
      </c>
      <c r="E23" s="50" t="s">
        <v>50</v>
      </c>
      <c r="F23" s="50"/>
      <c r="G23" s="51" t="s">
        <v>280</v>
      </c>
      <c r="H23" s="51" t="s">
        <v>199</v>
      </c>
      <c r="I23" s="9" t="s">
        <v>106</v>
      </c>
      <c r="J23" s="9"/>
      <c r="K23" s="9"/>
      <c r="L23" s="9"/>
      <c r="M23" s="9"/>
      <c r="N23" s="41"/>
      <c r="O23" s="52"/>
      <c r="P23" s="101"/>
      <c r="Q23" s="102"/>
    </row>
    <row r="24" spans="1:17" s="11" customFormat="1">
      <c r="A24" s="9">
        <v>10</v>
      </c>
      <c r="B24" s="9"/>
      <c r="C24" s="9"/>
      <c r="D24" s="9" t="s">
        <v>239</v>
      </c>
      <c r="E24" s="50" t="s">
        <v>240</v>
      </c>
      <c r="F24" s="50"/>
      <c r="G24" s="51" t="s">
        <v>281</v>
      </c>
      <c r="H24" s="51" t="s">
        <v>200</v>
      </c>
      <c r="I24" s="9" t="s">
        <v>106</v>
      </c>
      <c r="J24" s="9"/>
      <c r="K24" s="9"/>
      <c r="L24" s="9"/>
      <c r="M24" s="9"/>
      <c r="N24" s="58"/>
      <c r="O24" s="59"/>
      <c r="P24" s="103"/>
      <c r="Q24" s="102"/>
    </row>
    <row r="25" spans="1:17" s="11" customFormat="1">
      <c r="A25" s="9">
        <v>10</v>
      </c>
      <c r="B25" s="9"/>
      <c r="C25" s="9"/>
      <c r="D25" s="9" t="s">
        <v>52</v>
      </c>
      <c r="E25" s="50" t="s">
        <v>54</v>
      </c>
      <c r="F25" s="50"/>
      <c r="G25" s="51" t="s">
        <v>282</v>
      </c>
      <c r="H25" s="51" t="s">
        <v>201</v>
      </c>
      <c r="I25" s="9" t="s">
        <v>106</v>
      </c>
      <c r="J25" s="9"/>
      <c r="K25" s="9"/>
      <c r="L25" s="9"/>
      <c r="M25" s="9"/>
      <c r="N25" s="58"/>
      <c r="O25" s="59"/>
      <c r="P25" s="103"/>
      <c r="Q25" s="102"/>
    </row>
    <row r="26" spans="1:17" s="11" customFormat="1">
      <c r="A26" s="81"/>
      <c r="Q26" s="55"/>
    </row>
    <row r="27" spans="1:17" s="11" customFormat="1">
      <c r="A27" s="9">
        <v>20</v>
      </c>
      <c r="B27" s="37" t="s">
        <v>0</v>
      </c>
      <c r="C27" s="38"/>
      <c r="D27" s="28" t="s">
        <v>241</v>
      </c>
      <c r="E27" s="44" t="s">
        <v>34</v>
      </c>
      <c r="F27" s="60"/>
      <c r="G27" s="28"/>
      <c r="H27" s="46"/>
      <c r="I27" s="61"/>
      <c r="J27" s="62"/>
      <c r="K27" s="62"/>
      <c r="L27" s="49"/>
      <c r="M27" s="49" t="s">
        <v>23</v>
      </c>
      <c r="N27" s="35"/>
      <c r="O27" s="36"/>
      <c r="P27" s="74"/>
      <c r="Q27" s="76"/>
    </row>
    <row r="28" spans="1:17" s="11" customFormat="1">
      <c r="A28" s="9">
        <v>20</v>
      </c>
      <c r="B28" s="9"/>
      <c r="C28" s="9"/>
      <c r="D28" s="9" t="s">
        <v>78</v>
      </c>
      <c r="E28" s="50" t="s">
        <v>58</v>
      </c>
      <c r="F28" s="50"/>
      <c r="G28" s="51" t="s">
        <v>283</v>
      </c>
      <c r="H28" s="51" t="s">
        <v>202</v>
      </c>
      <c r="I28" s="9"/>
      <c r="J28" s="9" t="s">
        <v>106</v>
      </c>
      <c r="K28" s="9"/>
      <c r="L28" s="9"/>
      <c r="M28" s="9" t="s">
        <v>106</v>
      </c>
      <c r="N28" s="41"/>
      <c r="O28" s="52"/>
      <c r="P28" s="101"/>
      <c r="Q28" s="102"/>
    </row>
    <row r="29" spans="1:17" s="11" customFormat="1">
      <c r="A29" s="9">
        <v>20</v>
      </c>
      <c r="B29" s="9"/>
      <c r="C29" s="9"/>
      <c r="D29" s="9" t="s">
        <v>136</v>
      </c>
      <c r="E29" s="50" t="s">
        <v>130</v>
      </c>
      <c r="F29" s="50"/>
      <c r="G29" s="51" t="s">
        <v>275</v>
      </c>
      <c r="H29" s="51" t="s">
        <v>212</v>
      </c>
      <c r="I29" s="9"/>
      <c r="J29" s="9" t="s">
        <v>106</v>
      </c>
      <c r="K29" s="9"/>
      <c r="L29" s="9"/>
      <c r="M29" s="9" t="s">
        <v>106</v>
      </c>
      <c r="N29" s="41"/>
      <c r="O29" s="52"/>
      <c r="P29" s="101"/>
      <c r="Q29" s="102"/>
    </row>
    <row r="30" spans="1:17" s="11" customFormat="1">
      <c r="A30" s="9">
        <v>20</v>
      </c>
      <c r="B30" s="9"/>
      <c r="C30" s="9"/>
      <c r="D30" s="9" t="s">
        <v>137</v>
      </c>
      <c r="E30" s="50" t="s">
        <v>141</v>
      </c>
      <c r="F30" s="50"/>
      <c r="G30" s="51" t="s">
        <v>285</v>
      </c>
      <c r="H30" s="51" t="s">
        <v>213</v>
      </c>
      <c r="I30" s="9"/>
      <c r="J30" s="9" t="s">
        <v>106</v>
      </c>
      <c r="K30" s="9"/>
      <c r="L30" s="9"/>
      <c r="M30" s="9" t="s">
        <v>106</v>
      </c>
      <c r="N30" s="41"/>
      <c r="O30" s="52"/>
      <c r="P30" s="101"/>
      <c r="Q30" s="104"/>
    </row>
    <row r="31" spans="1:17" s="11" customFormat="1">
      <c r="A31" s="9">
        <v>20</v>
      </c>
      <c r="B31" s="9"/>
      <c r="C31" s="9"/>
      <c r="D31" s="9" t="s">
        <v>238</v>
      </c>
      <c r="E31" s="50" t="s">
        <v>131</v>
      </c>
      <c r="F31" s="50"/>
      <c r="G31" s="51" t="s">
        <v>276</v>
      </c>
      <c r="H31" s="51" t="s">
        <v>214</v>
      </c>
      <c r="I31" s="9"/>
      <c r="J31" s="9" t="s">
        <v>106</v>
      </c>
      <c r="K31" s="9" t="s">
        <v>135</v>
      </c>
      <c r="L31" s="9"/>
      <c r="M31" s="9" t="s">
        <v>106</v>
      </c>
      <c r="N31" s="41"/>
      <c r="O31" s="52"/>
      <c r="P31" s="101"/>
      <c r="Q31" s="102"/>
    </row>
    <row r="32" spans="1:17" s="11" customFormat="1">
      <c r="A32" s="9">
        <v>20</v>
      </c>
      <c r="B32" s="9"/>
      <c r="C32" s="9"/>
      <c r="D32" s="9" t="s">
        <v>138</v>
      </c>
      <c r="E32" s="50" t="s">
        <v>142</v>
      </c>
      <c r="F32" s="50"/>
      <c r="G32" s="51" t="s">
        <v>293</v>
      </c>
      <c r="H32" s="51" t="s">
        <v>222</v>
      </c>
      <c r="I32" s="9"/>
      <c r="J32" s="9" t="s">
        <v>106</v>
      </c>
      <c r="K32" s="9"/>
      <c r="L32" s="9"/>
      <c r="M32" s="9"/>
      <c r="N32" s="41"/>
      <c r="O32" s="52"/>
      <c r="P32" s="101"/>
      <c r="Q32" s="104"/>
    </row>
    <row r="33" spans="1:17" s="11" customFormat="1">
      <c r="A33" s="9">
        <v>20</v>
      </c>
      <c r="B33" s="9"/>
      <c r="C33" s="9"/>
      <c r="D33" s="9" t="s">
        <v>139</v>
      </c>
      <c r="E33" s="50" t="s">
        <v>132</v>
      </c>
      <c r="F33" s="50"/>
      <c r="G33" s="51" t="s">
        <v>277</v>
      </c>
      <c r="H33" s="51" t="s">
        <v>194</v>
      </c>
      <c r="I33" s="9"/>
      <c r="J33" s="9" t="s">
        <v>106</v>
      </c>
      <c r="K33" s="9"/>
      <c r="L33" s="9"/>
      <c r="M33" s="9" t="s">
        <v>106</v>
      </c>
      <c r="N33" s="41"/>
      <c r="O33" s="52"/>
      <c r="P33" s="101"/>
      <c r="Q33" s="102"/>
    </row>
    <row r="34" spans="1:17" s="11" customFormat="1">
      <c r="A34" s="9">
        <v>20</v>
      </c>
      <c r="B34" s="9"/>
      <c r="C34" s="9"/>
      <c r="D34" s="9" t="s">
        <v>140</v>
      </c>
      <c r="E34" s="50" t="s">
        <v>143</v>
      </c>
      <c r="F34" s="50"/>
      <c r="G34" s="51" t="s">
        <v>286</v>
      </c>
      <c r="H34" s="51" t="s">
        <v>215</v>
      </c>
      <c r="I34" s="9"/>
      <c r="J34" s="9" t="s">
        <v>106</v>
      </c>
      <c r="K34" s="9"/>
      <c r="L34" s="9"/>
      <c r="M34" s="9" t="s">
        <v>106</v>
      </c>
      <c r="N34" s="41"/>
      <c r="O34" s="52"/>
      <c r="P34" s="101"/>
      <c r="Q34" s="104"/>
    </row>
    <row r="35" spans="1:17" s="11" customFormat="1">
      <c r="A35" s="9">
        <v>20</v>
      </c>
      <c r="B35" s="9"/>
      <c r="C35" s="9"/>
      <c r="D35" s="9" t="s">
        <v>97</v>
      </c>
      <c r="E35" s="50" t="s">
        <v>104</v>
      </c>
      <c r="F35" s="50"/>
      <c r="G35" s="51" t="s">
        <v>278</v>
      </c>
      <c r="H35" s="51" t="s">
        <v>223</v>
      </c>
      <c r="I35" s="9"/>
      <c r="J35" s="9" t="s">
        <v>106</v>
      </c>
      <c r="K35" s="9"/>
      <c r="L35" s="9"/>
      <c r="M35" s="9" t="s">
        <v>106</v>
      </c>
      <c r="N35" s="41"/>
      <c r="O35" s="52"/>
      <c r="P35" s="101"/>
      <c r="Q35" s="102"/>
    </row>
    <row r="36" spans="1:17" s="11" customFormat="1">
      <c r="A36" s="9">
        <v>20</v>
      </c>
      <c r="B36" s="9"/>
      <c r="C36" s="9"/>
      <c r="D36" s="9" t="s">
        <v>98</v>
      </c>
      <c r="E36" s="50" t="s">
        <v>104</v>
      </c>
      <c r="F36" s="50"/>
      <c r="G36" s="51" t="s">
        <v>279</v>
      </c>
      <c r="H36" s="51" t="s">
        <v>197</v>
      </c>
      <c r="I36" s="9"/>
      <c r="J36" s="9" t="s">
        <v>106</v>
      </c>
      <c r="K36" s="9"/>
      <c r="L36" s="9"/>
      <c r="M36" s="9" t="s">
        <v>106</v>
      </c>
      <c r="N36" s="41"/>
      <c r="O36" s="52"/>
      <c r="P36" s="101"/>
      <c r="Q36" s="102"/>
    </row>
    <row r="37" spans="1:17" s="11" customFormat="1">
      <c r="A37" s="9">
        <v>20</v>
      </c>
      <c r="B37" s="9"/>
      <c r="C37" s="9"/>
      <c r="D37" s="9" t="s">
        <v>47</v>
      </c>
      <c r="E37" s="50" t="s">
        <v>49</v>
      </c>
      <c r="F37" s="50"/>
      <c r="G37" s="51" t="s">
        <v>280</v>
      </c>
      <c r="H37" s="51" t="s">
        <v>199</v>
      </c>
      <c r="I37" s="9"/>
      <c r="J37" s="9" t="s">
        <v>106</v>
      </c>
      <c r="K37" s="9"/>
      <c r="L37" s="9"/>
      <c r="M37" s="9" t="s">
        <v>106</v>
      </c>
      <c r="N37" s="41"/>
      <c r="O37" s="52"/>
      <c r="P37" s="101"/>
      <c r="Q37" s="102"/>
    </row>
    <row r="38" spans="1:17" s="11" customFormat="1">
      <c r="A38" s="9">
        <v>20</v>
      </c>
      <c r="B38" s="9"/>
      <c r="C38" s="9"/>
      <c r="D38" s="9" t="s">
        <v>55</v>
      </c>
      <c r="E38" s="50" t="s">
        <v>56</v>
      </c>
      <c r="F38" s="50"/>
      <c r="G38" s="51" t="s">
        <v>281</v>
      </c>
      <c r="H38" s="51" t="s">
        <v>200</v>
      </c>
      <c r="I38" s="9"/>
      <c r="J38" s="9" t="s">
        <v>106</v>
      </c>
      <c r="K38" s="9"/>
      <c r="L38" s="9"/>
      <c r="M38" s="9" t="s">
        <v>106</v>
      </c>
      <c r="N38" s="41"/>
      <c r="O38" s="52"/>
      <c r="P38" s="101"/>
      <c r="Q38" s="102"/>
    </row>
    <row r="39" spans="1:17" s="11" customFormat="1">
      <c r="A39" s="9">
        <v>20</v>
      </c>
      <c r="B39" s="9"/>
      <c r="C39" s="9"/>
      <c r="D39" s="9" t="s">
        <v>51</v>
      </c>
      <c r="E39" s="50" t="s">
        <v>53</v>
      </c>
      <c r="F39" s="50"/>
      <c r="G39" s="51" t="s">
        <v>282</v>
      </c>
      <c r="H39" s="51" t="s">
        <v>201</v>
      </c>
      <c r="I39" s="9"/>
      <c r="J39" s="9" t="s">
        <v>106</v>
      </c>
      <c r="K39" s="9"/>
      <c r="L39" s="9"/>
      <c r="M39" s="9" t="s">
        <v>106</v>
      </c>
      <c r="N39" s="41"/>
      <c r="O39" s="52"/>
      <c r="P39" s="101"/>
      <c r="Q39" s="102"/>
    </row>
    <row r="40" spans="1:17" s="11" customFormat="1">
      <c r="A40" s="9">
        <v>20</v>
      </c>
      <c r="B40" s="9"/>
      <c r="C40" s="9"/>
      <c r="D40" s="9" t="s">
        <v>242</v>
      </c>
      <c r="E40" s="50" t="s">
        <v>151</v>
      </c>
      <c r="F40" s="50"/>
      <c r="G40" s="51" t="s">
        <v>294</v>
      </c>
      <c r="H40" s="51" t="s">
        <v>224</v>
      </c>
      <c r="I40" s="9"/>
      <c r="J40" s="9" t="s">
        <v>106</v>
      </c>
      <c r="K40" s="9"/>
      <c r="L40" s="9"/>
      <c r="M40" s="9" t="s">
        <v>106</v>
      </c>
      <c r="N40" s="41"/>
      <c r="O40" s="52"/>
      <c r="P40" s="101"/>
      <c r="Q40" s="102"/>
    </row>
    <row r="41" spans="1:17" s="11" customFormat="1">
      <c r="A41" s="9">
        <v>20</v>
      </c>
      <c r="B41" s="9"/>
      <c r="C41" s="9"/>
      <c r="D41" s="9" t="s">
        <v>40</v>
      </c>
      <c r="E41" s="50" t="s">
        <v>152</v>
      </c>
      <c r="F41" s="50"/>
      <c r="G41" s="51" t="s">
        <v>295</v>
      </c>
      <c r="H41" s="51" t="s">
        <v>225</v>
      </c>
      <c r="I41" s="9"/>
      <c r="J41" s="9" t="s">
        <v>106</v>
      </c>
      <c r="K41" s="9"/>
      <c r="L41" s="9"/>
      <c r="M41" s="9" t="s">
        <v>106</v>
      </c>
      <c r="N41" s="41"/>
      <c r="O41" s="52"/>
      <c r="P41" s="101"/>
      <c r="Q41" s="102"/>
    </row>
    <row r="42" spans="1:17" s="11" customFormat="1">
      <c r="A42" s="9">
        <v>20</v>
      </c>
      <c r="B42" s="9"/>
      <c r="C42" s="9"/>
      <c r="D42" s="9" t="s">
        <v>14</v>
      </c>
      <c r="E42" s="50" t="s">
        <v>62</v>
      </c>
      <c r="F42" s="50"/>
      <c r="G42" s="51" t="s">
        <v>296</v>
      </c>
      <c r="H42" s="51" t="s">
        <v>226</v>
      </c>
      <c r="I42" s="9"/>
      <c r="J42" s="9" t="s">
        <v>106</v>
      </c>
      <c r="K42" s="9"/>
      <c r="L42" s="9"/>
      <c r="M42" s="9" t="s">
        <v>106</v>
      </c>
      <c r="N42" s="41"/>
      <c r="O42" s="52"/>
      <c r="P42" s="101"/>
      <c r="Q42" s="102"/>
    </row>
    <row r="43" spans="1:17" s="11" customFormat="1">
      <c r="A43" s="9">
        <v>20</v>
      </c>
      <c r="B43" s="9"/>
      <c r="C43" s="9"/>
      <c r="D43" s="9" t="s">
        <v>59</v>
      </c>
      <c r="E43" s="50" t="s">
        <v>149</v>
      </c>
      <c r="F43" s="50"/>
      <c r="G43" s="51" t="s">
        <v>297</v>
      </c>
      <c r="H43" s="51" t="s">
        <v>227</v>
      </c>
      <c r="I43" s="9"/>
      <c r="J43" s="9" t="s">
        <v>106</v>
      </c>
      <c r="K43" s="9"/>
      <c r="L43" s="9"/>
      <c r="M43" s="9" t="s">
        <v>106</v>
      </c>
      <c r="N43" s="41"/>
      <c r="O43" s="52"/>
      <c r="P43" s="101"/>
      <c r="Q43" s="102"/>
    </row>
    <row r="44" spans="1:17" s="11" customFormat="1">
      <c r="A44" s="9">
        <v>20</v>
      </c>
      <c r="B44" s="9"/>
      <c r="C44" s="9"/>
      <c r="D44" s="9" t="s">
        <v>63</v>
      </c>
      <c r="E44" s="50" t="s">
        <v>150</v>
      </c>
      <c r="F44" s="50"/>
      <c r="G44" s="51" t="s">
        <v>298</v>
      </c>
      <c r="H44" s="51" t="s">
        <v>228</v>
      </c>
      <c r="I44" s="9"/>
      <c r="J44" s="9" t="s">
        <v>106</v>
      </c>
      <c r="K44" s="9"/>
      <c r="L44" s="9"/>
      <c r="M44" s="9"/>
      <c r="N44" s="41"/>
      <c r="O44" s="52"/>
      <c r="P44" s="101"/>
      <c r="Q44" s="102"/>
    </row>
    <row r="45" spans="1:17" s="11" customFormat="1">
      <c r="A45" s="9">
        <v>20</v>
      </c>
      <c r="B45" s="9"/>
      <c r="C45" s="9"/>
      <c r="D45" s="9" t="s">
        <v>82</v>
      </c>
      <c r="E45" s="50" t="s">
        <v>84</v>
      </c>
      <c r="F45" s="50"/>
      <c r="G45" s="51" t="s">
        <v>284</v>
      </c>
      <c r="H45" s="51" t="s">
        <v>211</v>
      </c>
      <c r="I45" s="9"/>
      <c r="J45" s="9" t="s">
        <v>106</v>
      </c>
      <c r="K45" s="9"/>
      <c r="L45" s="9"/>
      <c r="M45" s="9" t="s">
        <v>106</v>
      </c>
      <c r="N45" s="41"/>
      <c r="O45" s="52"/>
      <c r="P45" s="101"/>
      <c r="Q45" s="102"/>
    </row>
    <row r="46" spans="1:17" s="11" customFormat="1">
      <c r="A46" s="9">
        <v>20</v>
      </c>
      <c r="B46" s="9"/>
      <c r="C46" s="9"/>
      <c r="D46" s="9" t="s">
        <v>243</v>
      </c>
      <c r="E46" s="50" t="s">
        <v>151</v>
      </c>
      <c r="F46" s="50"/>
      <c r="G46" s="51" t="s">
        <v>299</v>
      </c>
      <c r="H46" s="51" t="s">
        <v>229</v>
      </c>
      <c r="I46" s="9"/>
      <c r="J46" s="9" t="s">
        <v>106</v>
      </c>
      <c r="K46" s="9"/>
      <c r="L46" s="9"/>
      <c r="M46" s="9" t="s">
        <v>106</v>
      </c>
      <c r="N46" s="41"/>
      <c r="O46" s="52"/>
      <c r="P46" s="101"/>
      <c r="Q46" s="102"/>
    </row>
    <row r="47" spans="1:17" s="11" customFormat="1">
      <c r="A47" s="9">
        <v>20</v>
      </c>
      <c r="B47" s="9"/>
      <c r="C47" s="9"/>
      <c r="D47" s="9" t="s">
        <v>41</v>
      </c>
      <c r="E47" s="50" t="s">
        <v>152</v>
      </c>
      <c r="F47" s="50"/>
      <c r="G47" s="51" t="s">
        <v>300</v>
      </c>
      <c r="H47" s="51" t="s">
        <v>230</v>
      </c>
      <c r="I47" s="9"/>
      <c r="J47" s="9" t="s">
        <v>106</v>
      </c>
      <c r="K47" s="9"/>
      <c r="L47" s="9"/>
      <c r="M47" s="9" t="s">
        <v>106</v>
      </c>
      <c r="N47" s="41"/>
      <c r="O47" s="52"/>
      <c r="P47" s="101"/>
      <c r="Q47" s="102"/>
    </row>
    <row r="48" spans="1:17" s="11" customFormat="1">
      <c r="A48" s="9">
        <v>20</v>
      </c>
      <c r="B48" s="9"/>
      <c r="C48" s="9"/>
      <c r="D48" s="9" t="s">
        <v>15</v>
      </c>
      <c r="E48" s="50" t="s">
        <v>62</v>
      </c>
      <c r="F48" s="50"/>
      <c r="G48" s="51" t="s">
        <v>301</v>
      </c>
      <c r="H48" s="51" t="s">
        <v>231</v>
      </c>
      <c r="I48" s="9"/>
      <c r="J48" s="9" t="s">
        <v>106</v>
      </c>
      <c r="K48" s="9"/>
      <c r="L48" s="9"/>
      <c r="M48" s="9" t="s">
        <v>106</v>
      </c>
      <c r="N48" s="41"/>
      <c r="O48" s="52"/>
      <c r="P48" s="101"/>
      <c r="Q48" s="102"/>
    </row>
    <row r="49" spans="1:17" s="11" customFormat="1">
      <c r="A49" s="9">
        <v>20</v>
      </c>
      <c r="B49" s="9"/>
      <c r="C49" s="9"/>
      <c r="D49" s="9" t="s">
        <v>60</v>
      </c>
      <c r="E49" s="50" t="s">
        <v>149</v>
      </c>
      <c r="F49" s="50"/>
      <c r="G49" s="51" t="s">
        <v>302</v>
      </c>
      <c r="H49" s="51" t="s">
        <v>232</v>
      </c>
      <c r="I49" s="9"/>
      <c r="J49" s="9" t="s">
        <v>106</v>
      </c>
      <c r="K49" s="9"/>
      <c r="L49" s="9"/>
      <c r="M49" s="9" t="s">
        <v>106</v>
      </c>
      <c r="N49" s="41"/>
      <c r="O49" s="52"/>
      <c r="P49" s="101"/>
      <c r="Q49" s="102"/>
    </row>
    <row r="50" spans="1:17" s="11" customFormat="1">
      <c r="A50" s="9">
        <v>20</v>
      </c>
      <c r="B50" s="9"/>
      <c r="C50" s="9"/>
      <c r="D50" s="9" t="s">
        <v>64</v>
      </c>
      <c r="E50" s="50" t="s">
        <v>150</v>
      </c>
      <c r="F50" s="50"/>
      <c r="G50" s="51" t="s">
        <v>303</v>
      </c>
      <c r="H50" s="51" t="s">
        <v>233</v>
      </c>
      <c r="I50" s="9"/>
      <c r="J50" s="9" t="s">
        <v>106</v>
      </c>
      <c r="K50" s="9"/>
      <c r="L50" s="9"/>
      <c r="M50" s="9"/>
      <c r="N50" s="41"/>
      <c r="O50" s="52"/>
      <c r="P50" s="101"/>
      <c r="Q50" s="102"/>
    </row>
    <row r="51" spans="1:17" s="11" customFormat="1">
      <c r="A51" s="9">
        <v>20</v>
      </c>
      <c r="B51" s="9"/>
      <c r="C51" s="9"/>
      <c r="D51" s="9" t="s">
        <v>65</v>
      </c>
      <c r="E51" s="50" t="s">
        <v>61</v>
      </c>
      <c r="F51" s="50"/>
      <c r="G51" s="51" t="s">
        <v>304</v>
      </c>
      <c r="H51" s="51" t="s">
        <v>234</v>
      </c>
      <c r="I51" s="9"/>
      <c r="J51" s="9" t="s">
        <v>106</v>
      </c>
      <c r="K51" s="9"/>
      <c r="L51" s="9"/>
      <c r="M51" s="9" t="s">
        <v>106</v>
      </c>
      <c r="N51" s="41"/>
      <c r="O51" s="52"/>
      <c r="P51" s="101"/>
      <c r="Q51" s="102"/>
    </row>
    <row r="52" spans="1:17" s="11" customFormat="1">
      <c r="A52" s="9">
        <v>20</v>
      </c>
      <c r="B52" s="9"/>
      <c r="C52" s="9"/>
      <c r="D52" s="9" t="s">
        <v>79</v>
      </c>
      <c r="E52" s="50" t="s">
        <v>151</v>
      </c>
      <c r="F52" s="50"/>
      <c r="G52" s="51" t="s">
        <v>305</v>
      </c>
      <c r="H52" s="51" t="s">
        <v>235</v>
      </c>
      <c r="I52" s="9"/>
      <c r="J52" s="9" t="s">
        <v>106</v>
      </c>
      <c r="K52" s="9"/>
      <c r="L52" s="9"/>
      <c r="M52" s="9" t="s">
        <v>106</v>
      </c>
      <c r="N52" s="41"/>
      <c r="O52" s="52"/>
      <c r="P52" s="101"/>
      <c r="Q52" s="102"/>
    </row>
    <row r="53" spans="1:17" s="11" customFormat="1">
      <c r="A53" s="9">
        <v>20</v>
      </c>
      <c r="B53" s="9"/>
      <c r="C53" s="9"/>
      <c r="D53" s="9" t="s">
        <v>80</v>
      </c>
      <c r="E53" s="50" t="s">
        <v>152</v>
      </c>
      <c r="F53" s="50"/>
      <c r="G53" s="51" t="s">
        <v>306</v>
      </c>
      <c r="H53" s="51" t="s">
        <v>236</v>
      </c>
      <c r="I53" s="9"/>
      <c r="J53" s="9" t="s">
        <v>106</v>
      </c>
      <c r="K53" s="9"/>
      <c r="L53" s="9"/>
      <c r="M53" s="9" t="s">
        <v>106</v>
      </c>
      <c r="N53" s="41"/>
      <c r="O53" s="52"/>
      <c r="P53" s="101"/>
      <c r="Q53" s="102"/>
    </row>
    <row r="54" spans="1:17" s="11" customFormat="1">
      <c r="A54" s="9">
        <v>20</v>
      </c>
      <c r="B54" s="9"/>
      <c r="C54" s="9"/>
      <c r="D54" s="9" t="s">
        <v>81</v>
      </c>
      <c r="E54" s="50" t="s">
        <v>62</v>
      </c>
      <c r="F54" s="50"/>
      <c r="G54" s="51" t="s">
        <v>307</v>
      </c>
      <c r="H54" s="51" t="s">
        <v>237</v>
      </c>
      <c r="I54" s="9"/>
      <c r="J54" s="9" t="s">
        <v>106</v>
      </c>
      <c r="K54" s="9"/>
      <c r="L54" s="9"/>
      <c r="M54" s="9" t="s">
        <v>106</v>
      </c>
      <c r="N54" s="41"/>
      <c r="O54" s="52"/>
      <c r="P54" s="101"/>
      <c r="Q54" s="102"/>
    </row>
    <row r="55" spans="1:17" s="11" customFormat="1">
      <c r="A55" s="63"/>
      <c r="B55" s="30"/>
      <c r="C55" s="30"/>
      <c r="D55" s="64" t="s">
        <v>4</v>
      </c>
      <c r="E55" s="31"/>
      <c r="F55" s="65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66"/>
    </row>
    <row r="56" spans="1:17" s="11" customFormat="1">
      <c r="A56" s="81"/>
      <c r="Q56" s="55"/>
    </row>
    <row r="57" spans="1:17" s="11" customFormat="1">
      <c r="A57" s="81"/>
      <c r="Q57" s="55"/>
    </row>
    <row r="58" spans="1:17" s="11" customFormat="1">
      <c r="A58" s="81"/>
      <c r="Q58" s="55"/>
    </row>
    <row r="59" spans="1:17" s="11" customFormat="1">
      <c r="A59" s="81"/>
      <c r="Q59" s="55"/>
    </row>
    <row r="60" spans="1:17" s="11" customFormat="1">
      <c r="A60" s="81"/>
      <c r="Q60" s="55"/>
    </row>
    <row r="61" spans="1:17" s="11" customFormat="1">
      <c r="A61" s="81"/>
      <c r="Q61" s="55"/>
    </row>
    <row r="62" spans="1:17" s="11" customFormat="1">
      <c r="A62" s="81"/>
      <c r="Q62" s="55"/>
    </row>
    <row r="63" spans="1:17" s="11" customFormat="1">
      <c r="A63" s="81"/>
      <c r="Q63" s="55"/>
    </row>
    <row r="64" spans="1:17" s="11" customFormat="1">
      <c r="A64" s="81"/>
      <c r="Q64" s="55"/>
    </row>
    <row r="65" spans="1:17" s="11" customFormat="1">
      <c r="A65" s="81"/>
      <c r="Q65" s="55"/>
    </row>
    <row r="66" spans="1:17" s="11" customFormat="1">
      <c r="A66" s="86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20"/>
    </row>
  </sheetData>
  <mergeCells count="41">
    <mergeCell ref="P12:Q12"/>
    <mergeCell ref="P13:Q13"/>
    <mergeCell ref="P18:Q18"/>
    <mergeCell ref="P19:Q19"/>
    <mergeCell ref="P17:Q17"/>
    <mergeCell ref="P14:Q14"/>
    <mergeCell ref="P16:Q16"/>
    <mergeCell ref="P15:Q15"/>
    <mergeCell ref="P48:Q48"/>
    <mergeCell ref="P54:Q54"/>
    <mergeCell ref="P42:Q42"/>
    <mergeCell ref="P51:Q51"/>
    <mergeCell ref="P47:Q47"/>
    <mergeCell ref="P53:Q53"/>
    <mergeCell ref="P50:Q50"/>
    <mergeCell ref="P49:Q49"/>
    <mergeCell ref="P44:Q44"/>
    <mergeCell ref="P45:Q45"/>
    <mergeCell ref="P52:Q52"/>
    <mergeCell ref="P46:Q46"/>
    <mergeCell ref="P43:Q43"/>
    <mergeCell ref="P41:Q41"/>
    <mergeCell ref="P40:Q40"/>
    <mergeCell ref="P37:Q37"/>
    <mergeCell ref="P33:Q33"/>
    <mergeCell ref="P39:Q39"/>
    <mergeCell ref="P35:Q35"/>
    <mergeCell ref="P36:Q36"/>
    <mergeCell ref="P20:Q20"/>
    <mergeCell ref="P23:Q23"/>
    <mergeCell ref="P38:Q38"/>
    <mergeCell ref="P25:Q25"/>
    <mergeCell ref="P21:Q21"/>
    <mergeCell ref="P22:Q22"/>
    <mergeCell ref="P24:Q24"/>
    <mergeCell ref="P28:Q28"/>
    <mergeCell ref="P32:Q32"/>
    <mergeCell ref="P29:Q29"/>
    <mergeCell ref="P30:Q30"/>
    <mergeCell ref="P31:Q31"/>
    <mergeCell ref="P34:Q34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4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0.81640625" style="29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9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</row>
    <row r="2" spans="1:19" s="11" customFormat="1" ht="40" customHeight="1">
      <c r="A2" s="78" t="s">
        <v>16</v>
      </c>
      <c r="B2" s="79"/>
      <c r="C2" s="79"/>
      <c r="D2" s="90" t="s">
        <v>260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MABGL0710</v>
      </c>
      <c r="I2" s="7" t="s">
        <v>185</v>
      </c>
      <c r="J2" s="9" t="s">
        <v>153</v>
      </c>
      <c r="K2" s="7" t="s">
        <v>44</v>
      </c>
      <c r="L2" s="80" t="str">
        <f>IF(LogicCommon!G2="","",LogicCommon!G2)</f>
        <v>MC</v>
      </c>
      <c r="M2" s="5" t="s">
        <v>186</v>
      </c>
      <c r="N2" s="28" t="s">
        <v>256</v>
      </c>
      <c r="O2" s="7"/>
      <c r="P2" s="7"/>
      <c r="Q2" s="4"/>
      <c r="R2" s="27"/>
      <c r="S2" s="4"/>
    </row>
    <row r="3" spans="1:19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MABGL_CostAcOutReg</v>
      </c>
      <c r="I3" s="7" t="s">
        <v>187</v>
      </c>
      <c r="J3" s="9" t="s">
        <v>31</v>
      </c>
      <c r="K3" s="7" t="s">
        <v>45</v>
      </c>
      <c r="L3" s="80" t="str">
        <f>IF(LogicCommon!G3="","",LogicCommon!G3)</f>
        <v/>
      </c>
      <c r="M3" s="84" t="s">
        <v>32</v>
      </c>
      <c r="N3" s="7"/>
      <c r="O3" s="7" t="s">
        <v>188</v>
      </c>
      <c r="P3" s="9" t="s">
        <v>189</v>
      </c>
      <c r="Q3" s="4"/>
      <c r="R3" s="27"/>
      <c r="S3" s="4"/>
    </row>
    <row r="4" spans="1:19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原価会計連携対象外マスタ登録</v>
      </c>
      <c r="I4" s="7" t="s">
        <v>190</v>
      </c>
      <c r="J4" s="9" t="s">
        <v>154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4"/>
    </row>
    <row r="5" spans="1:19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4"/>
    </row>
    <row r="6" spans="1:19" s="11" customFormat="1">
      <c r="A6" s="81" t="s">
        <v>16</v>
      </c>
      <c r="B6" s="82"/>
      <c r="C6" s="82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8"/>
      <c r="M6" s="19" t="s">
        <v>35</v>
      </c>
      <c r="N6" s="19"/>
      <c r="O6" s="19" t="s">
        <v>35</v>
      </c>
      <c r="P6" s="19"/>
      <c r="Q6" s="19"/>
      <c r="R6" s="27"/>
      <c r="S6" s="27"/>
    </row>
    <row r="7" spans="1:19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89</v>
      </c>
      <c r="L7" s="33" t="s">
        <v>38</v>
      </c>
      <c r="M7" s="32" t="s">
        <v>155</v>
      </c>
      <c r="N7" s="33" t="s">
        <v>72</v>
      </c>
      <c r="O7" s="32"/>
      <c r="P7" s="29"/>
      <c r="Q7" s="29"/>
      <c r="R7" s="29"/>
      <c r="S7" s="29"/>
    </row>
    <row r="8" spans="1:19" s="11" customFormat="1" ht="60" customHeight="1">
      <c r="A8" s="50" t="s">
        <v>19</v>
      </c>
      <c r="B8" s="93"/>
      <c r="C8" s="94"/>
      <c r="D8" s="91" t="s">
        <v>261</v>
      </c>
      <c r="E8" s="91" t="s">
        <v>262</v>
      </c>
      <c r="F8" s="88"/>
      <c r="G8" s="91" t="s">
        <v>204</v>
      </c>
      <c r="H8" s="91" t="s">
        <v>263</v>
      </c>
      <c r="I8" s="88"/>
      <c r="J8" s="3"/>
      <c r="K8" s="9" t="s">
        <v>144</v>
      </c>
      <c r="L8" s="33" t="s">
        <v>156</v>
      </c>
      <c r="M8" s="34" t="s">
        <v>258</v>
      </c>
      <c r="N8" s="33" t="s">
        <v>73</v>
      </c>
      <c r="O8" s="34"/>
      <c r="P8" s="95"/>
      <c r="Q8" s="96"/>
      <c r="R8" s="97" t="s">
        <v>272</v>
      </c>
      <c r="S8" s="52"/>
    </row>
    <row r="9" spans="1:19" s="11" customFormat="1" ht="60" customHeight="1">
      <c r="A9" s="9" t="s">
        <v>19</v>
      </c>
      <c r="B9" s="37"/>
      <c r="C9" s="38"/>
      <c r="D9" s="91" t="s">
        <v>264</v>
      </c>
      <c r="E9" s="98" t="s">
        <v>265</v>
      </c>
      <c r="F9" s="91" t="s">
        <v>266</v>
      </c>
      <c r="G9" s="91" t="s">
        <v>267</v>
      </c>
      <c r="H9" s="91" t="s">
        <v>268</v>
      </c>
      <c r="I9" s="99" t="s">
        <v>269</v>
      </c>
      <c r="J9" s="91" t="s">
        <v>270</v>
      </c>
      <c r="K9" s="33"/>
      <c r="L9" s="33"/>
      <c r="M9" s="33"/>
      <c r="N9" s="33"/>
      <c r="O9" s="33"/>
      <c r="P9" s="97" t="s">
        <v>271</v>
      </c>
      <c r="Q9" s="52"/>
      <c r="R9" s="97" t="s">
        <v>273</v>
      </c>
      <c r="S9" s="52"/>
    </row>
    <row r="10" spans="1:19" s="11" customFormat="1" ht="52">
      <c r="A10" s="39" t="s">
        <v>157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92" t="s">
        <v>269</v>
      </c>
      <c r="M10" s="92" t="s">
        <v>270</v>
      </c>
      <c r="N10" s="92" t="s">
        <v>269</v>
      </c>
      <c r="O10" s="92" t="s">
        <v>270</v>
      </c>
      <c r="P10" s="42"/>
      <c r="Q10" s="42"/>
      <c r="R10" s="43"/>
      <c r="S10" s="36"/>
    </row>
    <row r="11" spans="1:19" s="11" customFormat="1">
      <c r="A11" s="9">
        <v>10</v>
      </c>
      <c r="B11" s="37" t="s">
        <v>0</v>
      </c>
      <c r="C11" s="38"/>
      <c r="D11" s="28" t="s">
        <v>158</v>
      </c>
      <c r="E11" s="44" t="s">
        <v>70</v>
      </c>
      <c r="F11" s="45"/>
      <c r="G11" s="28"/>
      <c r="H11" s="46"/>
      <c r="I11" s="47"/>
      <c r="J11" s="48"/>
      <c r="K11" s="49"/>
      <c r="L11" s="49" t="s">
        <v>208</v>
      </c>
      <c r="M11" s="49"/>
      <c r="N11" s="49"/>
      <c r="O11" s="49"/>
      <c r="P11" s="35"/>
      <c r="Q11" s="36"/>
      <c r="R11" s="74"/>
      <c r="S11" s="76"/>
    </row>
    <row r="12" spans="1:19" s="11" customFormat="1" ht="26">
      <c r="A12" s="9">
        <v>10</v>
      </c>
      <c r="B12" s="9"/>
      <c r="C12" s="9"/>
      <c r="D12" s="9" t="s">
        <v>159</v>
      </c>
      <c r="E12" s="50" t="s">
        <v>104</v>
      </c>
      <c r="F12" s="50"/>
      <c r="G12" s="51" t="s">
        <v>308</v>
      </c>
      <c r="H12" s="51" t="s">
        <v>244</v>
      </c>
      <c r="I12" s="9" t="s">
        <v>106</v>
      </c>
      <c r="J12" s="9" t="s">
        <v>99</v>
      </c>
      <c r="K12" s="9"/>
      <c r="L12" s="9"/>
      <c r="M12" s="9"/>
      <c r="N12" s="9"/>
      <c r="O12" s="9"/>
      <c r="P12" s="67"/>
      <c r="Q12" s="52"/>
      <c r="R12" s="101"/>
      <c r="S12" s="102"/>
    </row>
    <row r="13" spans="1:19" s="11" customFormat="1">
      <c r="A13" s="9">
        <v>10</v>
      </c>
      <c r="B13" s="9"/>
      <c r="C13" s="9"/>
      <c r="D13" s="9" t="s">
        <v>78</v>
      </c>
      <c r="E13" s="50" t="s">
        <v>57</v>
      </c>
      <c r="F13" s="50"/>
      <c r="G13" s="51" t="s">
        <v>283</v>
      </c>
      <c r="H13" s="51" t="s">
        <v>202</v>
      </c>
      <c r="I13" s="9" t="s">
        <v>99</v>
      </c>
      <c r="J13" s="9" t="s">
        <v>106</v>
      </c>
      <c r="K13" s="9"/>
      <c r="L13" s="9" t="s">
        <v>99</v>
      </c>
      <c r="M13" s="9"/>
      <c r="N13" s="9"/>
      <c r="O13" s="9"/>
      <c r="P13" s="67"/>
      <c r="Q13" s="52"/>
      <c r="R13" s="101"/>
      <c r="S13" s="102"/>
    </row>
    <row r="14" spans="1:19" s="11" customFormat="1">
      <c r="A14" s="9">
        <v>10</v>
      </c>
      <c r="B14" s="9"/>
      <c r="C14" s="9"/>
      <c r="D14" s="9" t="s">
        <v>136</v>
      </c>
      <c r="E14" s="50" t="s">
        <v>130</v>
      </c>
      <c r="F14" s="50"/>
      <c r="G14" s="51" t="s">
        <v>275</v>
      </c>
      <c r="H14" s="51" t="s">
        <v>212</v>
      </c>
      <c r="I14" s="9" t="s">
        <v>99</v>
      </c>
      <c r="J14" s="9" t="s">
        <v>106</v>
      </c>
      <c r="K14" s="9"/>
      <c r="L14" s="9" t="s">
        <v>99</v>
      </c>
      <c r="M14" s="9"/>
      <c r="N14" s="9"/>
      <c r="O14" s="9"/>
      <c r="P14" s="67"/>
      <c r="Q14" s="52"/>
      <c r="R14" s="101"/>
      <c r="S14" s="102"/>
    </row>
    <row r="15" spans="1:19" s="11" customFormat="1">
      <c r="A15" s="9">
        <v>10</v>
      </c>
      <c r="B15" s="9"/>
      <c r="C15" s="9"/>
      <c r="D15" s="9" t="s">
        <v>137</v>
      </c>
      <c r="E15" s="50" t="s">
        <v>141</v>
      </c>
      <c r="F15" s="50"/>
      <c r="G15" s="51" t="s">
        <v>285</v>
      </c>
      <c r="H15" s="51" t="s">
        <v>213</v>
      </c>
      <c r="I15" s="9" t="s">
        <v>99</v>
      </c>
      <c r="J15" s="9" t="s">
        <v>106</v>
      </c>
      <c r="K15" s="9"/>
      <c r="L15" s="9" t="s">
        <v>99</v>
      </c>
      <c r="M15" s="9"/>
      <c r="N15" s="9"/>
      <c r="O15" s="9"/>
      <c r="P15" s="67"/>
      <c r="Q15" s="52"/>
      <c r="R15" s="101"/>
      <c r="S15" s="102"/>
    </row>
    <row r="16" spans="1:19" s="11" customFormat="1">
      <c r="A16" s="9">
        <v>10</v>
      </c>
      <c r="B16" s="9"/>
      <c r="C16" s="9"/>
      <c r="D16" s="9" t="s">
        <v>245</v>
      </c>
      <c r="E16" s="50" t="s">
        <v>131</v>
      </c>
      <c r="F16" s="50"/>
      <c r="G16" s="51" t="s">
        <v>276</v>
      </c>
      <c r="H16" s="51" t="s">
        <v>214</v>
      </c>
      <c r="I16" s="9" t="s">
        <v>99</v>
      </c>
      <c r="J16" s="9" t="s">
        <v>99</v>
      </c>
      <c r="K16" s="9" t="s">
        <v>135</v>
      </c>
      <c r="L16" s="9" t="s">
        <v>99</v>
      </c>
      <c r="M16" s="9"/>
      <c r="N16" s="9"/>
      <c r="O16" s="9"/>
      <c r="P16" s="67"/>
      <c r="Q16" s="52"/>
      <c r="R16" s="101"/>
      <c r="S16" s="102"/>
    </row>
    <row r="17" spans="1:19" s="11" customFormat="1">
      <c r="A17" s="9">
        <v>10</v>
      </c>
      <c r="B17" s="9"/>
      <c r="C17" s="9"/>
      <c r="D17" s="9" t="s">
        <v>138</v>
      </c>
      <c r="E17" s="50" t="s">
        <v>142</v>
      </c>
      <c r="F17" s="50"/>
      <c r="G17" s="51" t="s">
        <v>293</v>
      </c>
      <c r="H17" s="51" t="s">
        <v>222</v>
      </c>
      <c r="I17" s="9"/>
      <c r="J17" s="9" t="s">
        <v>106</v>
      </c>
      <c r="K17" s="9"/>
      <c r="L17" s="9"/>
      <c r="M17" s="9"/>
      <c r="N17" s="9"/>
      <c r="O17" s="9"/>
      <c r="P17" s="67"/>
      <c r="Q17" s="52"/>
      <c r="R17" s="101"/>
      <c r="S17" s="102"/>
    </row>
    <row r="18" spans="1:19" s="11" customFormat="1">
      <c r="A18" s="9">
        <v>10</v>
      </c>
      <c r="B18" s="9"/>
      <c r="C18" s="9"/>
      <c r="D18" s="9" t="s">
        <v>139</v>
      </c>
      <c r="E18" s="50" t="s">
        <v>132</v>
      </c>
      <c r="F18" s="50"/>
      <c r="G18" s="51" t="s">
        <v>277</v>
      </c>
      <c r="H18" s="51" t="s">
        <v>194</v>
      </c>
      <c r="I18" s="9" t="s">
        <v>99</v>
      </c>
      <c r="J18" s="9" t="s">
        <v>106</v>
      </c>
      <c r="K18" s="9"/>
      <c r="L18" s="9" t="s">
        <v>99</v>
      </c>
      <c r="M18" s="9"/>
      <c r="N18" s="9"/>
      <c r="O18" s="9"/>
      <c r="P18" s="67"/>
      <c r="Q18" s="52"/>
      <c r="R18" s="101"/>
      <c r="S18" s="102"/>
    </row>
    <row r="19" spans="1:19" s="11" customFormat="1">
      <c r="A19" s="9">
        <v>10</v>
      </c>
      <c r="B19" s="9"/>
      <c r="C19" s="9"/>
      <c r="D19" s="9" t="s">
        <v>140</v>
      </c>
      <c r="E19" s="50" t="s">
        <v>143</v>
      </c>
      <c r="F19" s="50"/>
      <c r="G19" s="51" t="s">
        <v>286</v>
      </c>
      <c r="H19" s="51" t="s">
        <v>215</v>
      </c>
      <c r="I19" s="9" t="s">
        <v>99</v>
      </c>
      <c r="J19" s="9" t="s">
        <v>106</v>
      </c>
      <c r="K19" s="9"/>
      <c r="L19" s="9" t="s">
        <v>99</v>
      </c>
      <c r="M19" s="9"/>
      <c r="N19" s="9"/>
      <c r="O19" s="9"/>
      <c r="P19" s="67"/>
      <c r="Q19" s="52"/>
      <c r="R19" s="101"/>
      <c r="S19" s="102"/>
    </row>
    <row r="20" spans="1:19" s="11" customFormat="1">
      <c r="A20" s="9">
        <v>10</v>
      </c>
      <c r="B20" s="9"/>
      <c r="C20" s="9"/>
      <c r="D20" s="9" t="s">
        <v>97</v>
      </c>
      <c r="E20" s="50" t="s">
        <v>104</v>
      </c>
      <c r="F20" s="50"/>
      <c r="G20" s="51" t="s">
        <v>278</v>
      </c>
      <c r="H20" s="51" t="s">
        <v>223</v>
      </c>
      <c r="I20" s="9" t="s">
        <v>99</v>
      </c>
      <c r="J20" s="9" t="s">
        <v>106</v>
      </c>
      <c r="K20" s="9"/>
      <c r="L20" s="9" t="s">
        <v>99</v>
      </c>
      <c r="M20" s="9"/>
      <c r="N20" s="9"/>
      <c r="O20" s="9"/>
      <c r="P20" s="67"/>
      <c r="Q20" s="52"/>
      <c r="R20" s="101"/>
      <c r="S20" s="102"/>
    </row>
    <row r="21" spans="1:19" s="11" customFormat="1">
      <c r="A21" s="9">
        <v>10</v>
      </c>
      <c r="B21" s="9"/>
      <c r="C21" s="9"/>
      <c r="D21" s="9" t="s">
        <v>98</v>
      </c>
      <c r="E21" s="50" t="s">
        <v>104</v>
      </c>
      <c r="F21" s="50"/>
      <c r="G21" s="51" t="s">
        <v>279</v>
      </c>
      <c r="H21" s="51" t="s">
        <v>197</v>
      </c>
      <c r="I21" s="9" t="s">
        <v>99</v>
      </c>
      <c r="J21" s="9" t="s">
        <v>106</v>
      </c>
      <c r="K21" s="9"/>
      <c r="L21" s="9" t="s">
        <v>99</v>
      </c>
      <c r="M21" s="9"/>
      <c r="N21" s="9"/>
      <c r="O21" s="9"/>
      <c r="P21" s="67"/>
      <c r="Q21" s="52"/>
      <c r="R21" s="101"/>
      <c r="S21" s="102"/>
    </row>
    <row r="22" spans="1:19" s="11" customFormat="1">
      <c r="A22" s="9">
        <v>10</v>
      </c>
      <c r="B22" s="9"/>
      <c r="C22" s="9"/>
      <c r="D22" s="9" t="s">
        <v>47</v>
      </c>
      <c r="E22" s="50" t="s">
        <v>49</v>
      </c>
      <c r="F22" s="50"/>
      <c r="G22" s="51" t="s">
        <v>280</v>
      </c>
      <c r="H22" s="51" t="s">
        <v>199</v>
      </c>
      <c r="I22" s="9" t="s">
        <v>99</v>
      </c>
      <c r="J22" s="9" t="s">
        <v>106</v>
      </c>
      <c r="K22" s="9"/>
      <c r="L22" s="9" t="s">
        <v>99</v>
      </c>
      <c r="M22" s="9"/>
      <c r="N22" s="9"/>
      <c r="O22" s="9"/>
      <c r="P22" s="67"/>
      <c r="Q22" s="52"/>
      <c r="R22" s="74"/>
      <c r="S22" s="75"/>
    </row>
    <row r="23" spans="1:19" s="11" customFormat="1">
      <c r="A23" s="9">
        <v>10</v>
      </c>
      <c r="B23" s="9"/>
      <c r="C23" s="9"/>
      <c r="D23" s="9" t="s">
        <v>55</v>
      </c>
      <c r="E23" s="50" t="s">
        <v>56</v>
      </c>
      <c r="F23" s="50"/>
      <c r="G23" s="51" t="s">
        <v>281</v>
      </c>
      <c r="H23" s="51" t="s">
        <v>200</v>
      </c>
      <c r="I23" s="9" t="s">
        <v>99</v>
      </c>
      <c r="J23" s="9" t="s">
        <v>106</v>
      </c>
      <c r="K23" s="9"/>
      <c r="L23" s="9" t="s">
        <v>99</v>
      </c>
      <c r="M23" s="9"/>
      <c r="N23" s="9"/>
      <c r="O23" s="9"/>
      <c r="P23" s="67"/>
      <c r="Q23" s="52"/>
      <c r="R23" s="74"/>
      <c r="S23" s="75"/>
    </row>
    <row r="24" spans="1:19" s="11" customFormat="1">
      <c r="A24" s="9">
        <v>10</v>
      </c>
      <c r="B24" s="9"/>
      <c r="C24" s="9"/>
      <c r="D24" s="9" t="s">
        <v>51</v>
      </c>
      <c r="E24" s="50" t="s">
        <v>53</v>
      </c>
      <c r="F24" s="50"/>
      <c r="G24" s="51" t="s">
        <v>282</v>
      </c>
      <c r="H24" s="51" t="s">
        <v>201</v>
      </c>
      <c r="I24" s="9" t="s">
        <v>99</v>
      </c>
      <c r="J24" s="9" t="s">
        <v>106</v>
      </c>
      <c r="K24" s="9"/>
      <c r="L24" s="9" t="s">
        <v>99</v>
      </c>
      <c r="M24" s="9"/>
      <c r="N24" s="9"/>
      <c r="O24" s="9"/>
      <c r="P24" s="67"/>
      <c r="Q24" s="52"/>
      <c r="R24" s="74"/>
      <c r="S24" s="75"/>
    </row>
    <row r="25" spans="1:19" s="11" customFormat="1">
      <c r="A25" s="9">
        <v>10</v>
      </c>
      <c r="B25" s="9"/>
      <c r="C25" s="9"/>
      <c r="D25" s="9" t="s">
        <v>160</v>
      </c>
      <c r="E25" s="50" t="s">
        <v>151</v>
      </c>
      <c r="F25" s="50"/>
      <c r="G25" s="51" t="s">
        <v>294</v>
      </c>
      <c r="H25" s="51" t="s">
        <v>224</v>
      </c>
      <c r="I25" s="9"/>
      <c r="J25" s="9" t="s">
        <v>106</v>
      </c>
      <c r="K25" s="9"/>
      <c r="L25" s="9"/>
      <c r="M25" s="9"/>
      <c r="N25" s="9"/>
      <c r="O25" s="9"/>
      <c r="P25" s="67"/>
      <c r="Q25" s="52"/>
      <c r="R25" s="101"/>
      <c r="S25" s="102"/>
    </row>
    <row r="26" spans="1:19" s="11" customFormat="1">
      <c r="A26" s="9">
        <v>10</v>
      </c>
      <c r="B26" s="9"/>
      <c r="C26" s="9"/>
      <c r="D26" s="9" t="s">
        <v>161</v>
      </c>
      <c r="E26" s="50" t="s">
        <v>152</v>
      </c>
      <c r="F26" s="50"/>
      <c r="G26" s="51" t="s">
        <v>295</v>
      </c>
      <c r="H26" s="51" t="s">
        <v>225</v>
      </c>
      <c r="I26" s="9"/>
      <c r="J26" s="9" t="s">
        <v>106</v>
      </c>
      <c r="K26" s="9"/>
      <c r="L26" s="9"/>
      <c r="M26" s="9"/>
      <c r="N26" s="9"/>
      <c r="O26" s="9"/>
      <c r="P26" s="67"/>
      <c r="Q26" s="52"/>
      <c r="R26" s="101"/>
      <c r="S26" s="102"/>
    </row>
    <row r="27" spans="1:19" s="11" customFormat="1">
      <c r="A27" s="9">
        <v>10</v>
      </c>
      <c r="B27" s="9"/>
      <c r="C27" s="9"/>
      <c r="D27" s="9" t="s">
        <v>14</v>
      </c>
      <c r="E27" s="50" t="s">
        <v>62</v>
      </c>
      <c r="F27" s="50"/>
      <c r="G27" s="51" t="s">
        <v>296</v>
      </c>
      <c r="H27" s="51" t="s">
        <v>226</v>
      </c>
      <c r="I27" s="9"/>
      <c r="J27" s="9" t="s">
        <v>106</v>
      </c>
      <c r="K27" s="9"/>
      <c r="L27" s="9"/>
      <c r="M27" s="9"/>
      <c r="N27" s="9"/>
      <c r="O27" s="9"/>
      <c r="P27" s="67"/>
      <c r="Q27" s="52"/>
      <c r="R27" s="101"/>
      <c r="S27" s="102"/>
    </row>
    <row r="28" spans="1:19" s="11" customFormat="1">
      <c r="A28" s="9">
        <v>10</v>
      </c>
      <c r="B28" s="9"/>
      <c r="C28" s="9"/>
      <c r="D28" s="9" t="s">
        <v>162</v>
      </c>
      <c r="E28" s="50" t="s">
        <v>149</v>
      </c>
      <c r="F28" s="50"/>
      <c r="G28" s="51" t="s">
        <v>297</v>
      </c>
      <c r="H28" s="51" t="s">
        <v>227</v>
      </c>
      <c r="I28" s="9"/>
      <c r="J28" s="9" t="s">
        <v>106</v>
      </c>
      <c r="K28" s="9"/>
      <c r="L28" s="9"/>
      <c r="M28" s="9"/>
      <c r="N28" s="9"/>
      <c r="O28" s="9"/>
      <c r="P28" s="67"/>
      <c r="Q28" s="52"/>
      <c r="R28" s="101"/>
      <c r="S28" s="102"/>
    </row>
    <row r="29" spans="1:19" s="11" customFormat="1">
      <c r="A29" s="9">
        <v>10</v>
      </c>
      <c r="B29" s="9"/>
      <c r="C29" s="9"/>
      <c r="D29" s="9" t="s">
        <v>163</v>
      </c>
      <c r="E29" s="50" t="s">
        <v>150</v>
      </c>
      <c r="F29" s="50"/>
      <c r="G29" s="51" t="s">
        <v>298</v>
      </c>
      <c r="H29" s="51" t="s">
        <v>228</v>
      </c>
      <c r="I29" s="9"/>
      <c r="J29" s="9" t="s">
        <v>106</v>
      </c>
      <c r="K29" s="9"/>
      <c r="L29" s="9"/>
      <c r="M29" s="9"/>
      <c r="N29" s="9"/>
      <c r="O29" s="9"/>
      <c r="P29" s="67"/>
      <c r="Q29" s="52"/>
      <c r="R29" s="101"/>
      <c r="S29" s="102"/>
    </row>
    <row r="30" spans="1:19" s="11" customFormat="1">
      <c r="A30" s="9">
        <v>10</v>
      </c>
      <c r="B30" s="9"/>
      <c r="C30" s="9"/>
      <c r="D30" s="9" t="s">
        <v>83</v>
      </c>
      <c r="E30" s="50" t="s">
        <v>84</v>
      </c>
      <c r="F30" s="50"/>
      <c r="G30" s="51" t="s">
        <v>284</v>
      </c>
      <c r="H30" s="51" t="s">
        <v>211</v>
      </c>
      <c r="I30" s="9" t="s">
        <v>99</v>
      </c>
      <c r="J30" s="9" t="s">
        <v>106</v>
      </c>
      <c r="K30" s="9"/>
      <c r="L30" s="9" t="s">
        <v>99</v>
      </c>
      <c r="M30" s="9"/>
      <c r="N30" s="9"/>
      <c r="O30" s="9"/>
      <c r="P30" s="67"/>
      <c r="Q30" s="52"/>
      <c r="R30" s="101"/>
      <c r="S30" s="102"/>
    </row>
    <row r="31" spans="1:19" s="11" customFormat="1">
      <c r="A31" s="9">
        <v>10</v>
      </c>
      <c r="B31" s="9"/>
      <c r="C31" s="9"/>
      <c r="D31" s="9" t="s">
        <v>164</v>
      </c>
      <c r="E31" s="50" t="s">
        <v>151</v>
      </c>
      <c r="F31" s="50"/>
      <c r="G31" s="51" t="s">
        <v>299</v>
      </c>
      <c r="H31" s="51" t="s">
        <v>229</v>
      </c>
      <c r="I31" s="9"/>
      <c r="J31" s="9" t="s">
        <v>106</v>
      </c>
      <c r="K31" s="9"/>
      <c r="L31" s="9"/>
      <c r="M31" s="9"/>
      <c r="N31" s="9"/>
      <c r="O31" s="9"/>
      <c r="P31" s="67"/>
      <c r="Q31" s="52"/>
      <c r="R31" s="101"/>
      <c r="S31" s="102"/>
    </row>
    <row r="32" spans="1:19" s="11" customFormat="1">
      <c r="A32" s="9">
        <v>10</v>
      </c>
      <c r="B32" s="9"/>
      <c r="C32" s="9"/>
      <c r="D32" s="9" t="s">
        <v>165</v>
      </c>
      <c r="E32" s="50" t="s">
        <v>152</v>
      </c>
      <c r="F32" s="50"/>
      <c r="G32" s="51" t="s">
        <v>300</v>
      </c>
      <c r="H32" s="51" t="s">
        <v>230</v>
      </c>
      <c r="I32" s="9"/>
      <c r="J32" s="9" t="s">
        <v>106</v>
      </c>
      <c r="K32" s="9"/>
      <c r="L32" s="9"/>
      <c r="M32" s="9"/>
      <c r="N32" s="9"/>
      <c r="O32" s="9"/>
      <c r="P32" s="67"/>
      <c r="Q32" s="52"/>
      <c r="R32" s="101"/>
      <c r="S32" s="102"/>
    </row>
    <row r="33" spans="1:19" s="11" customFormat="1">
      <c r="A33" s="9">
        <v>10</v>
      </c>
      <c r="B33" s="9"/>
      <c r="C33" s="9"/>
      <c r="D33" s="9" t="s">
        <v>15</v>
      </c>
      <c r="E33" s="50" t="s">
        <v>62</v>
      </c>
      <c r="F33" s="50"/>
      <c r="G33" s="51" t="s">
        <v>301</v>
      </c>
      <c r="H33" s="51" t="s">
        <v>231</v>
      </c>
      <c r="I33" s="9"/>
      <c r="J33" s="9" t="s">
        <v>106</v>
      </c>
      <c r="K33" s="9"/>
      <c r="L33" s="9"/>
      <c r="M33" s="9"/>
      <c r="N33" s="9"/>
      <c r="O33" s="9"/>
      <c r="P33" s="67"/>
      <c r="Q33" s="52"/>
      <c r="R33" s="101"/>
      <c r="S33" s="102"/>
    </row>
    <row r="34" spans="1:19" s="11" customFormat="1">
      <c r="A34" s="9">
        <v>10</v>
      </c>
      <c r="B34" s="9"/>
      <c r="C34" s="9"/>
      <c r="D34" s="9" t="s">
        <v>166</v>
      </c>
      <c r="E34" s="50" t="s">
        <v>149</v>
      </c>
      <c r="F34" s="50"/>
      <c r="G34" s="51" t="s">
        <v>302</v>
      </c>
      <c r="H34" s="51" t="s">
        <v>232</v>
      </c>
      <c r="I34" s="9"/>
      <c r="J34" s="9" t="s">
        <v>106</v>
      </c>
      <c r="K34" s="9"/>
      <c r="L34" s="9"/>
      <c r="M34" s="9"/>
      <c r="N34" s="9"/>
      <c r="O34" s="9"/>
      <c r="P34" s="67"/>
      <c r="Q34" s="52"/>
      <c r="R34" s="101"/>
      <c r="S34" s="102"/>
    </row>
    <row r="35" spans="1:19" s="11" customFormat="1">
      <c r="A35" s="9">
        <v>10</v>
      </c>
      <c r="B35" s="9"/>
      <c r="C35" s="9"/>
      <c r="D35" s="9" t="s">
        <v>167</v>
      </c>
      <c r="E35" s="50" t="s">
        <v>150</v>
      </c>
      <c r="F35" s="50"/>
      <c r="G35" s="51" t="s">
        <v>303</v>
      </c>
      <c r="H35" s="51" t="s">
        <v>233</v>
      </c>
      <c r="I35" s="9"/>
      <c r="J35" s="9" t="s">
        <v>106</v>
      </c>
      <c r="K35" s="9"/>
      <c r="L35" s="9"/>
      <c r="M35" s="9"/>
      <c r="N35" s="9"/>
      <c r="O35" s="9"/>
      <c r="P35" s="67"/>
      <c r="Q35" s="52"/>
      <c r="R35" s="101"/>
      <c r="S35" s="102"/>
    </row>
    <row r="36" spans="1:19" s="11" customFormat="1">
      <c r="A36" s="9">
        <v>10</v>
      </c>
      <c r="B36" s="9"/>
      <c r="C36" s="9"/>
      <c r="D36" s="9" t="s">
        <v>168</v>
      </c>
      <c r="E36" s="50" t="s">
        <v>61</v>
      </c>
      <c r="F36" s="50"/>
      <c r="G36" s="51" t="s">
        <v>304</v>
      </c>
      <c r="H36" s="51" t="s">
        <v>234</v>
      </c>
      <c r="I36" s="9"/>
      <c r="J36" s="9" t="s">
        <v>106</v>
      </c>
      <c r="K36" s="9"/>
      <c r="L36" s="9"/>
      <c r="M36" s="9"/>
      <c r="N36" s="9"/>
      <c r="O36" s="9"/>
      <c r="P36" s="67"/>
      <c r="Q36" s="52"/>
      <c r="R36" s="101"/>
      <c r="S36" s="102"/>
    </row>
    <row r="37" spans="1:19" s="11" customFormat="1">
      <c r="A37" s="9">
        <v>10</v>
      </c>
      <c r="B37" s="9"/>
      <c r="C37" s="9"/>
      <c r="D37" s="9" t="s">
        <v>79</v>
      </c>
      <c r="E37" s="50" t="s">
        <v>151</v>
      </c>
      <c r="F37" s="50"/>
      <c r="G37" s="51" t="s">
        <v>305</v>
      </c>
      <c r="H37" s="51" t="s">
        <v>235</v>
      </c>
      <c r="I37" s="9"/>
      <c r="J37" s="9" t="s">
        <v>106</v>
      </c>
      <c r="K37" s="9"/>
      <c r="L37" s="9"/>
      <c r="M37" s="9"/>
      <c r="N37" s="9"/>
      <c r="O37" s="9"/>
      <c r="P37" s="67"/>
      <c r="Q37" s="52"/>
      <c r="R37" s="101"/>
      <c r="S37" s="102"/>
    </row>
    <row r="38" spans="1:19" s="11" customFormat="1">
      <c r="A38" s="9">
        <v>10</v>
      </c>
      <c r="B38" s="9"/>
      <c r="C38" s="9"/>
      <c r="D38" s="9" t="s">
        <v>80</v>
      </c>
      <c r="E38" s="50" t="s">
        <v>152</v>
      </c>
      <c r="F38" s="50"/>
      <c r="G38" s="51" t="s">
        <v>306</v>
      </c>
      <c r="H38" s="51" t="s">
        <v>236</v>
      </c>
      <c r="I38" s="9"/>
      <c r="J38" s="9" t="s">
        <v>106</v>
      </c>
      <c r="K38" s="9"/>
      <c r="L38" s="9"/>
      <c r="M38" s="9"/>
      <c r="N38" s="9"/>
      <c r="O38" s="9"/>
      <c r="P38" s="67"/>
      <c r="Q38" s="52"/>
      <c r="R38" s="101"/>
      <c r="S38" s="102"/>
    </row>
    <row r="39" spans="1:19" s="11" customFormat="1">
      <c r="A39" s="9">
        <v>10</v>
      </c>
      <c r="B39" s="9"/>
      <c r="C39" s="9"/>
      <c r="D39" s="9" t="s">
        <v>81</v>
      </c>
      <c r="E39" s="50" t="s">
        <v>62</v>
      </c>
      <c r="F39" s="50"/>
      <c r="G39" s="51" t="s">
        <v>307</v>
      </c>
      <c r="H39" s="51" t="s">
        <v>237</v>
      </c>
      <c r="I39" s="9"/>
      <c r="J39" s="9" t="s">
        <v>106</v>
      </c>
      <c r="K39" s="9"/>
      <c r="L39" s="9"/>
      <c r="M39" s="9"/>
      <c r="N39" s="9"/>
      <c r="O39" s="9"/>
      <c r="P39" s="67"/>
      <c r="Q39" s="52"/>
      <c r="R39" s="101"/>
      <c r="S39" s="102"/>
    </row>
    <row r="40" spans="1:19" s="11" customFormat="1">
      <c r="A40" s="53"/>
      <c r="B40" s="54"/>
      <c r="C40" s="54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68"/>
    </row>
    <row r="41" spans="1:19" s="11" customFormat="1">
      <c r="A41" s="81"/>
      <c r="S41" s="55"/>
    </row>
    <row r="42" spans="1:19" s="11" customFormat="1">
      <c r="A42" s="81"/>
      <c r="S42" s="55"/>
    </row>
    <row r="43" spans="1:19" s="11" customFormat="1">
      <c r="A43" s="81"/>
      <c r="S43" s="55"/>
    </row>
    <row r="44" spans="1:19" s="11" customFormat="1">
      <c r="A44" s="86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</row>
  </sheetData>
  <dataConsolidate/>
  <mergeCells count="25">
    <mergeCell ref="R17:S17"/>
    <mergeCell ref="R12:S12"/>
    <mergeCell ref="R13:S13"/>
    <mergeCell ref="R14:S14"/>
    <mergeCell ref="R15:S15"/>
    <mergeCell ref="R16:S16"/>
    <mergeCell ref="R31:S31"/>
    <mergeCell ref="R18:S18"/>
    <mergeCell ref="R19:S19"/>
    <mergeCell ref="R20:S20"/>
    <mergeCell ref="R21:S21"/>
    <mergeCell ref="R25:S25"/>
    <mergeCell ref="R26:S26"/>
    <mergeCell ref="R27:S27"/>
    <mergeCell ref="R28:S28"/>
    <mergeCell ref="R29:S29"/>
    <mergeCell ref="R30:S30"/>
    <mergeCell ref="R38:S38"/>
    <mergeCell ref="R39:S39"/>
    <mergeCell ref="R32:S32"/>
    <mergeCell ref="R33:S33"/>
    <mergeCell ref="R34:S34"/>
    <mergeCell ref="R35:S35"/>
    <mergeCell ref="R36:S36"/>
    <mergeCell ref="R37:S37"/>
  </mergeCells>
  <phoneticPr fontId="5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R3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16</v>
      </c>
      <c r="B2" s="79"/>
      <c r="C2" s="79"/>
      <c r="D2" s="90" t="s">
        <v>260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MABGL0710</v>
      </c>
      <c r="I2" s="7" t="s">
        <v>185</v>
      </c>
      <c r="J2" s="9" t="s">
        <v>33</v>
      </c>
      <c r="K2" s="7" t="s">
        <v>44</v>
      </c>
      <c r="L2" s="80" t="str">
        <f>IF(LogicCommon!G2="","",LogicCommon!G2)</f>
        <v>MC</v>
      </c>
      <c r="M2" s="5" t="s">
        <v>186</v>
      </c>
      <c r="N2" s="28" t="s">
        <v>253</v>
      </c>
      <c r="O2" s="7"/>
      <c r="P2" s="7"/>
      <c r="Q2" s="4"/>
      <c r="R2" s="27"/>
    </row>
    <row r="3" spans="1:18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MABGL_CostAcOutReg</v>
      </c>
      <c r="I3" s="7" t="s">
        <v>187</v>
      </c>
      <c r="J3" s="9" t="s">
        <v>31</v>
      </c>
      <c r="K3" s="7" t="s">
        <v>45</v>
      </c>
      <c r="L3" s="80" t="str">
        <f>IF(LogicCommon!G3="","",LogicCommon!G3)</f>
        <v/>
      </c>
      <c r="M3" s="84" t="s">
        <v>32</v>
      </c>
      <c r="N3" s="7"/>
      <c r="O3" s="7" t="s">
        <v>188</v>
      </c>
      <c r="P3" s="9" t="s">
        <v>189</v>
      </c>
      <c r="Q3" s="4"/>
      <c r="R3" s="27"/>
    </row>
    <row r="4" spans="1:18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原価会計連携対象外マスタ登録</v>
      </c>
      <c r="I4" s="7" t="s">
        <v>190</v>
      </c>
      <c r="J4" s="9" t="s">
        <v>69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16</v>
      </c>
      <c r="B6" s="82"/>
      <c r="C6" s="82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8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93</v>
      </c>
      <c r="M7" s="33" t="s">
        <v>72</v>
      </c>
      <c r="N7" s="32" t="s">
        <v>94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3"/>
      <c r="C8" s="94"/>
      <c r="D8" s="91" t="s">
        <v>261</v>
      </c>
      <c r="E8" s="91" t="s">
        <v>262</v>
      </c>
      <c r="F8" s="88"/>
      <c r="G8" s="91" t="s">
        <v>204</v>
      </c>
      <c r="H8" s="91" t="s">
        <v>263</v>
      </c>
      <c r="I8" s="88"/>
      <c r="J8" s="3"/>
      <c r="K8" s="33" t="s">
        <v>18</v>
      </c>
      <c r="L8" s="34" t="s">
        <v>123</v>
      </c>
      <c r="M8" s="33" t="s">
        <v>73</v>
      </c>
      <c r="N8" s="34" t="s">
        <v>124</v>
      </c>
      <c r="O8" s="95"/>
      <c r="P8" s="96"/>
      <c r="Q8" s="97" t="s">
        <v>272</v>
      </c>
      <c r="R8" s="52"/>
    </row>
    <row r="9" spans="1:18" s="11" customFormat="1" ht="60" customHeight="1">
      <c r="A9" s="9" t="s">
        <v>19</v>
      </c>
      <c r="B9" s="37"/>
      <c r="C9" s="38"/>
      <c r="D9" s="91" t="s">
        <v>264</v>
      </c>
      <c r="E9" s="98" t="s">
        <v>265</v>
      </c>
      <c r="F9" s="91" t="s">
        <v>266</v>
      </c>
      <c r="G9" s="91" t="s">
        <v>267</v>
      </c>
      <c r="H9" s="91" t="s">
        <v>268</v>
      </c>
      <c r="I9" s="99" t="s">
        <v>269</v>
      </c>
      <c r="J9" s="91" t="s">
        <v>270</v>
      </c>
      <c r="K9" s="33"/>
      <c r="L9" s="33"/>
      <c r="M9" s="33"/>
      <c r="N9" s="33"/>
      <c r="O9" s="97" t="s">
        <v>271</v>
      </c>
      <c r="P9" s="52"/>
      <c r="Q9" s="97" t="s">
        <v>273</v>
      </c>
      <c r="R9" s="52"/>
    </row>
    <row r="10" spans="1:18" s="11" customFormat="1" ht="39">
      <c r="A10" s="39" t="s">
        <v>20</v>
      </c>
      <c r="B10" s="40"/>
      <c r="C10" s="40"/>
      <c r="D10" s="41"/>
      <c r="E10" s="42"/>
      <c r="F10" s="42"/>
      <c r="G10" s="43"/>
      <c r="H10" s="43"/>
      <c r="I10" s="42"/>
      <c r="J10" s="42"/>
      <c r="K10" s="92" t="s">
        <v>269</v>
      </c>
      <c r="L10" s="92" t="s">
        <v>270</v>
      </c>
      <c r="M10" s="92" t="s">
        <v>269</v>
      </c>
      <c r="N10" s="92" t="s">
        <v>270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71</v>
      </c>
      <c r="E11" s="44" t="s">
        <v>23</v>
      </c>
      <c r="F11" s="45"/>
      <c r="G11" s="28" t="s">
        <v>87</v>
      </c>
      <c r="H11" s="46" t="s">
        <v>246</v>
      </c>
      <c r="I11" s="47"/>
      <c r="J11" s="48"/>
      <c r="K11" s="49" t="s">
        <v>247</v>
      </c>
      <c r="L11" s="49"/>
      <c r="M11" s="49" t="s">
        <v>248</v>
      </c>
      <c r="N11" s="49"/>
      <c r="O11" s="35"/>
      <c r="P11" s="36"/>
      <c r="Q11" s="74"/>
      <c r="R11" s="76"/>
    </row>
    <row r="12" spans="1:18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275</v>
      </c>
      <c r="H12" s="51" t="s">
        <v>192</v>
      </c>
      <c r="I12" s="9" t="s">
        <v>106</v>
      </c>
      <c r="J12" s="9"/>
      <c r="K12" s="9" t="s">
        <v>106</v>
      </c>
      <c r="L12" s="9"/>
      <c r="M12" s="9" t="s">
        <v>106</v>
      </c>
      <c r="N12" s="9"/>
      <c r="O12" s="41"/>
      <c r="P12" s="52"/>
      <c r="Q12" s="101"/>
      <c r="R12" s="102"/>
    </row>
    <row r="13" spans="1:18" s="11" customFormat="1">
      <c r="A13" s="9">
        <v>10</v>
      </c>
      <c r="B13" s="9"/>
      <c r="C13" s="9"/>
      <c r="D13" s="9" t="s">
        <v>128</v>
      </c>
      <c r="E13" s="50" t="s">
        <v>131</v>
      </c>
      <c r="F13" s="50"/>
      <c r="G13" s="51" t="s">
        <v>276</v>
      </c>
      <c r="H13" s="51" t="s">
        <v>193</v>
      </c>
      <c r="I13" s="9" t="s">
        <v>106</v>
      </c>
      <c r="J13" s="9"/>
      <c r="K13" s="9" t="s">
        <v>106</v>
      </c>
      <c r="L13" s="9"/>
      <c r="M13" s="9" t="s">
        <v>106</v>
      </c>
      <c r="N13" s="9"/>
      <c r="O13" s="41"/>
      <c r="P13" s="52"/>
      <c r="Q13" s="101"/>
      <c r="R13" s="102"/>
    </row>
    <row r="14" spans="1:18" s="11" customFormat="1">
      <c r="A14" s="9">
        <v>10</v>
      </c>
      <c r="B14" s="9"/>
      <c r="C14" s="9"/>
      <c r="D14" s="9" t="s">
        <v>129</v>
      </c>
      <c r="E14" s="50" t="s">
        <v>132</v>
      </c>
      <c r="F14" s="50"/>
      <c r="G14" s="51" t="s">
        <v>277</v>
      </c>
      <c r="H14" s="51" t="s">
        <v>194</v>
      </c>
      <c r="I14" s="9" t="s">
        <v>106</v>
      </c>
      <c r="J14" s="9"/>
      <c r="K14" s="9" t="s">
        <v>106</v>
      </c>
      <c r="L14" s="9"/>
      <c r="M14" s="9" t="s">
        <v>106</v>
      </c>
      <c r="N14" s="9"/>
      <c r="O14" s="41"/>
      <c r="P14" s="52"/>
      <c r="Q14" s="101"/>
      <c r="R14" s="102"/>
    </row>
    <row r="15" spans="1:18" s="11" customFormat="1" ht="26">
      <c r="A15" s="9">
        <v>10</v>
      </c>
      <c r="B15" s="9"/>
      <c r="C15" s="9"/>
      <c r="D15" s="9" t="s">
        <v>107</v>
      </c>
      <c r="E15" s="50" t="s">
        <v>104</v>
      </c>
      <c r="F15" s="50"/>
      <c r="G15" s="51" t="s">
        <v>274</v>
      </c>
      <c r="H15" s="51" t="s">
        <v>191</v>
      </c>
      <c r="I15" s="9" t="s">
        <v>106</v>
      </c>
      <c r="J15" s="9"/>
      <c r="K15" s="9" t="s">
        <v>106</v>
      </c>
      <c r="L15" s="9"/>
      <c r="M15" s="9" t="s">
        <v>106</v>
      </c>
      <c r="N15" s="9"/>
      <c r="O15" s="41"/>
      <c r="P15" s="52"/>
      <c r="Q15" s="101"/>
      <c r="R15" s="102"/>
    </row>
    <row r="16" spans="1:18" s="11" customFormat="1">
      <c r="A16" s="9">
        <v>10</v>
      </c>
      <c r="B16" s="9"/>
      <c r="C16" s="9"/>
      <c r="D16" s="9" t="s">
        <v>209</v>
      </c>
      <c r="E16" s="50" t="s">
        <v>104</v>
      </c>
      <c r="F16" s="50"/>
      <c r="G16" s="51" t="s">
        <v>278</v>
      </c>
      <c r="H16" s="51" t="s">
        <v>196</v>
      </c>
      <c r="I16" s="9" t="s">
        <v>106</v>
      </c>
      <c r="J16" s="9"/>
      <c r="K16" s="9" t="s">
        <v>106</v>
      </c>
      <c r="L16" s="9"/>
      <c r="M16" s="9" t="s">
        <v>106</v>
      </c>
      <c r="N16" s="9"/>
      <c r="O16" s="41"/>
      <c r="P16" s="52"/>
      <c r="Q16" s="101"/>
      <c r="R16" s="102"/>
    </row>
    <row r="17" spans="1:18" s="11" customFormat="1">
      <c r="A17" s="9">
        <v>10</v>
      </c>
      <c r="B17" s="9"/>
      <c r="C17" s="9"/>
      <c r="D17" s="9" t="s">
        <v>98</v>
      </c>
      <c r="E17" s="50" t="s">
        <v>104</v>
      </c>
      <c r="F17" s="50"/>
      <c r="G17" s="51" t="s">
        <v>279</v>
      </c>
      <c r="H17" s="51" t="s">
        <v>197</v>
      </c>
      <c r="I17" s="9" t="s">
        <v>106</v>
      </c>
      <c r="J17" s="9"/>
      <c r="K17" s="9" t="s">
        <v>106</v>
      </c>
      <c r="L17" s="9"/>
      <c r="M17" s="9" t="s">
        <v>106</v>
      </c>
      <c r="N17" s="9"/>
      <c r="O17" s="41"/>
      <c r="P17" s="52"/>
      <c r="Q17" s="101"/>
      <c r="R17" s="102"/>
    </row>
    <row r="18" spans="1:18" s="11" customFormat="1">
      <c r="A18" s="9">
        <v>10</v>
      </c>
      <c r="B18" s="9"/>
      <c r="C18" s="9"/>
      <c r="D18" s="9" t="s">
        <v>47</v>
      </c>
      <c r="E18" s="50" t="s">
        <v>49</v>
      </c>
      <c r="F18" s="50"/>
      <c r="G18" s="51" t="s">
        <v>280</v>
      </c>
      <c r="H18" s="51" t="s">
        <v>199</v>
      </c>
      <c r="I18" s="9" t="s">
        <v>106</v>
      </c>
      <c r="J18" s="9"/>
      <c r="K18" s="9" t="s">
        <v>106</v>
      </c>
      <c r="L18" s="9"/>
      <c r="M18" s="9" t="s">
        <v>106</v>
      </c>
      <c r="N18" s="9"/>
      <c r="O18" s="41"/>
      <c r="P18" s="52"/>
      <c r="Q18" s="101"/>
      <c r="R18" s="102"/>
    </row>
    <row r="19" spans="1:18" s="11" customFormat="1">
      <c r="A19" s="9">
        <v>10</v>
      </c>
      <c r="B19" s="9"/>
      <c r="C19" s="9"/>
      <c r="D19" s="9" t="s">
        <v>55</v>
      </c>
      <c r="E19" s="50" t="s">
        <v>56</v>
      </c>
      <c r="F19" s="50"/>
      <c r="G19" s="51" t="s">
        <v>281</v>
      </c>
      <c r="H19" s="51" t="s">
        <v>200</v>
      </c>
      <c r="I19" s="9" t="s">
        <v>106</v>
      </c>
      <c r="J19" s="9"/>
      <c r="K19" s="9" t="s">
        <v>106</v>
      </c>
      <c r="L19" s="9"/>
      <c r="M19" s="9" t="s">
        <v>106</v>
      </c>
      <c r="N19" s="9"/>
      <c r="O19" s="41"/>
      <c r="P19" s="52"/>
      <c r="Q19" s="101"/>
      <c r="R19" s="102"/>
    </row>
    <row r="20" spans="1:18" s="11" customFormat="1">
      <c r="A20" s="9">
        <v>10</v>
      </c>
      <c r="B20" s="9"/>
      <c r="C20" s="9"/>
      <c r="D20" s="9" t="s">
        <v>51</v>
      </c>
      <c r="E20" s="50" t="s">
        <v>53</v>
      </c>
      <c r="F20" s="50"/>
      <c r="G20" s="51" t="s">
        <v>282</v>
      </c>
      <c r="H20" s="51" t="s">
        <v>201</v>
      </c>
      <c r="I20" s="9" t="s">
        <v>106</v>
      </c>
      <c r="J20" s="9"/>
      <c r="K20" s="9" t="s">
        <v>106</v>
      </c>
      <c r="L20" s="9"/>
      <c r="M20" s="9" t="s">
        <v>106</v>
      </c>
      <c r="N20" s="9"/>
      <c r="O20" s="41"/>
      <c r="P20" s="52"/>
      <c r="Q20" s="101"/>
      <c r="R20" s="102"/>
    </row>
    <row r="21" spans="1:18" s="11" customFormat="1">
      <c r="A21" s="9">
        <v>10</v>
      </c>
      <c r="B21" s="9"/>
      <c r="C21" s="9"/>
      <c r="D21" s="9" t="s">
        <v>78</v>
      </c>
      <c r="E21" s="50" t="s">
        <v>57</v>
      </c>
      <c r="F21" s="50"/>
      <c r="G21" s="51" t="s">
        <v>283</v>
      </c>
      <c r="H21" s="51" t="s">
        <v>202</v>
      </c>
      <c r="I21" s="9" t="s">
        <v>106</v>
      </c>
      <c r="J21" s="9"/>
      <c r="K21" s="9" t="s">
        <v>106</v>
      </c>
      <c r="L21" s="9"/>
      <c r="M21" s="9" t="s">
        <v>106</v>
      </c>
      <c r="N21" s="9"/>
      <c r="O21" s="41"/>
      <c r="P21" s="52"/>
      <c r="Q21" s="101"/>
      <c r="R21" s="102"/>
    </row>
    <row r="22" spans="1:18" s="11" customFormat="1">
      <c r="A22" s="9">
        <v>10</v>
      </c>
      <c r="B22" s="9"/>
      <c r="C22" s="9"/>
      <c r="D22" s="9" t="s">
        <v>83</v>
      </c>
      <c r="E22" s="50" t="s">
        <v>84</v>
      </c>
      <c r="F22" s="50"/>
      <c r="G22" s="51" t="s">
        <v>284</v>
      </c>
      <c r="H22" s="51" t="s">
        <v>211</v>
      </c>
      <c r="I22" s="9" t="s">
        <v>106</v>
      </c>
      <c r="J22" s="9"/>
      <c r="K22" s="9" t="s">
        <v>106</v>
      </c>
      <c r="L22" s="9"/>
      <c r="M22" s="9" t="s">
        <v>106</v>
      </c>
      <c r="N22" s="9"/>
      <c r="O22" s="41"/>
      <c r="P22" s="52"/>
      <c r="Q22" s="101"/>
      <c r="R22" s="102"/>
    </row>
    <row r="23" spans="1:18" s="11" customFormat="1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1"/>
      <c r="R35" s="55"/>
    </row>
    <row r="36" spans="1:18" s="11" customFormat="1">
      <c r="A36" s="81"/>
      <c r="R36" s="55"/>
    </row>
    <row r="37" spans="1:18" s="11" customFormat="1">
      <c r="A37" s="81"/>
      <c r="R37" s="55"/>
    </row>
    <row r="38" spans="1:18" s="11" customFormat="1">
      <c r="A38" s="86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</row>
  </sheetData>
  <dataConsolidate/>
  <mergeCells count="11">
    <mergeCell ref="Q21:R21"/>
    <mergeCell ref="Q22:R22"/>
    <mergeCell ref="Q12:R12"/>
    <mergeCell ref="Q20:R20"/>
    <mergeCell ref="Q14:R14"/>
    <mergeCell ref="Q19:R19"/>
    <mergeCell ref="Q17:R17"/>
    <mergeCell ref="Q18:R18"/>
    <mergeCell ref="Q13:R13"/>
    <mergeCell ref="Q16:R16"/>
    <mergeCell ref="Q15:R1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16</v>
      </c>
      <c r="B2" s="79"/>
      <c r="C2" s="79"/>
      <c r="D2" s="90" t="s">
        <v>260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MABGL0710</v>
      </c>
      <c r="I2" s="7" t="s">
        <v>185</v>
      </c>
      <c r="J2" s="9" t="s">
        <v>67</v>
      </c>
      <c r="K2" s="7" t="s">
        <v>44</v>
      </c>
      <c r="L2" s="80" t="str">
        <f>IF(LogicCommon!G2="","",LogicCommon!G2)</f>
        <v>MC</v>
      </c>
      <c r="M2" s="5" t="s">
        <v>186</v>
      </c>
      <c r="N2" s="28" t="s">
        <v>254</v>
      </c>
      <c r="O2" s="7"/>
      <c r="P2" s="7"/>
      <c r="Q2" s="4"/>
      <c r="R2" s="27"/>
    </row>
    <row r="3" spans="1:18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MABGL_CostAcOutReg</v>
      </c>
      <c r="I3" s="7" t="s">
        <v>187</v>
      </c>
      <c r="J3" s="9" t="s">
        <v>31</v>
      </c>
      <c r="K3" s="7" t="s">
        <v>45</v>
      </c>
      <c r="L3" s="80" t="str">
        <f>IF(LogicCommon!G3="","",LogicCommon!G3)</f>
        <v/>
      </c>
      <c r="M3" s="84" t="s">
        <v>32</v>
      </c>
      <c r="N3" s="7"/>
      <c r="O3" s="7" t="s">
        <v>188</v>
      </c>
      <c r="P3" s="9" t="s">
        <v>189</v>
      </c>
      <c r="Q3" s="4"/>
      <c r="R3" s="27"/>
    </row>
    <row r="4" spans="1:18" s="11" customFormat="1">
      <c r="A4" s="81" t="s">
        <v>16</v>
      </c>
      <c r="B4" s="82"/>
      <c r="C4" s="82"/>
      <c r="D4" s="4"/>
      <c r="E4" s="7" t="s">
        <v>8</v>
      </c>
      <c r="F4" s="10" t="s">
        <v>184</v>
      </c>
      <c r="G4" s="7" t="s">
        <v>11</v>
      </c>
      <c r="H4" s="80" t="str">
        <f>IF(LogicCommon!E4="","",LogicCommon!E4)</f>
        <v>原価会計連携対象外マスタ登録</v>
      </c>
      <c r="I4" s="7" t="s">
        <v>190</v>
      </c>
      <c r="J4" s="9" t="s">
        <v>68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16</v>
      </c>
      <c r="B6" s="82"/>
      <c r="C6" s="82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88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95</v>
      </c>
      <c r="M7" s="33" t="s">
        <v>38</v>
      </c>
      <c r="N7" s="32" t="s">
        <v>96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3"/>
      <c r="C8" s="94"/>
      <c r="D8" s="91" t="s">
        <v>261</v>
      </c>
      <c r="E8" s="91" t="s">
        <v>262</v>
      </c>
      <c r="F8" s="88"/>
      <c r="G8" s="91" t="s">
        <v>204</v>
      </c>
      <c r="H8" s="91" t="s">
        <v>263</v>
      </c>
      <c r="I8" s="88"/>
      <c r="J8" s="3"/>
      <c r="K8" s="33" t="s">
        <v>18</v>
      </c>
      <c r="L8" s="34" t="s">
        <v>125</v>
      </c>
      <c r="M8" s="33" t="s">
        <v>18</v>
      </c>
      <c r="N8" s="34" t="s">
        <v>126</v>
      </c>
      <c r="O8" s="95"/>
      <c r="P8" s="96"/>
      <c r="Q8" s="97" t="s">
        <v>272</v>
      </c>
      <c r="R8" s="52"/>
    </row>
    <row r="9" spans="1:18" s="11" customFormat="1" ht="60" customHeight="1">
      <c r="A9" s="9" t="s">
        <v>19</v>
      </c>
      <c r="B9" s="37"/>
      <c r="C9" s="38"/>
      <c r="D9" s="91" t="s">
        <v>264</v>
      </c>
      <c r="E9" s="98" t="s">
        <v>265</v>
      </c>
      <c r="F9" s="91" t="s">
        <v>266</v>
      </c>
      <c r="G9" s="91" t="s">
        <v>267</v>
      </c>
      <c r="H9" s="91" t="s">
        <v>268</v>
      </c>
      <c r="I9" s="99" t="s">
        <v>269</v>
      </c>
      <c r="J9" s="91" t="s">
        <v>270</v>
      </c>
      <c r="K9" s="33"/>
      <c r="L9" s="33"/>
      <c r="M9" s="33"/>
      <c r="N9" s="33"/>
      <c r="O9" s="97" t="s">
        <v>271</v>
      </c>
      <c r="P9" s="52"/>
      <c r="Q9" s="97" t="s">
        <v>273</v>
      </c>
      <c r="R9" s="52"/>
    </row>
    <row r="10" spans="1:18" s="11" customFormat="1" ht="5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92" t="s">
        <v>269</v>
      </c>
      <c r="L10" s="92" t="s">
        <v>270</v>
      </c>
      <c r="M10" s="92" t="s">
        <v>269</v>
      </c>
      <c r="N10" s="92" t="s">
        <v>270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75</v>
      </c>
      <c r="E11" s="44" t="s">
        <v>23</v>
      </c>
      <c r="F11" s="45"/>
      <c r="G11" s="28" t="s">
        <v>87</v>
      </c>
      <c r="H11" s="46" t="s">
        <v>249</v>
      </c>
      <c r="I11" s="47"/>
      <c r="J11" s="48"/>
      <c r="K11" s="49" t="s">
        <v>250</v>
      </c>
      <c r="L11" s="49"/>
      <c r="M11" s="49" t="s">
        <v>251</v>
      </c>
      <c r="N11" s="49"/>
      <c r="O11" s="35"/>
      <c r="P11" s="36"/>
      <c r="Q11" s="74"/>
      <c r="R11" s="76"/>
    </row>
    <row r="12" spans="1:18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275</v>
      </c>
      <c r="H12" s="51" t="s">
        <v>192</v>
      </c>
      <c r="I12" s="9" t="s">
        <v>106</v>
      </c>
      <c r="J12" s="9"/>
      <c r="K12" s="9" t="s">
        <v>99</v>
      </c>
      <c r="L12" s="9"/>
      <c r="M12" s="9" t="s">
        <v>99</v>
      </c>
      <c r="N12" s="9"/>
      <c r="O12" s="43"/>
      <c r="P12" s="36"/>
      <c r="Q12" s="74"/>
      <c r="R12" s="76"/>
    </row>
    <row r="13" spans="1:18" s="11" customFormat="1">
      <c r="A13" s="9">
        <v>10</v>
      </c>
      <c r="B13" s="9"/>
      <c r="C13" s="9"/>
      <c r="D13" s="9" t="s">
        <v>128</v>
      </c>
      <c r="E13" s="50" t="s">
        <v>131</v>
      </c>
      <c r="F13" s="50"/>
      <c r="G13" s="51" t="s">
        <v>276</v>
      </c>
      <c r="H13" s="51" t="s">
        <v>193</v>
      </c>
      <c r="I13" s="9" t="s">
        <v>106</v>
      </c>
      <c r="J13" s="9"/>
      <c r="K13" s="9" t="s">
        <v>99</v>
      </c>
      <c r="L13" s="9"/>
      <c r="M13" s="9" t="s">
        <v>99</v>
      </c>
      <c r="N13" s="9"/>
      <c r="O13" s="43"/>
      <c r="P13" s="36"/>
      <c r="Q13" s="74"/>
      <c r="R13" s="76"/>
    </row>
    <row r="14" spans="1:18" s="11" customFormat="1">
      <c r="A14" s="9">
        <v>10</v>
      </c>
      <c r="B14" s="9"/>
      <c r="C14" s="9"/>
      <c r="D14" s="9" t="s">
        <v>129</v>
      </c>
      <c r="E14" s="50" t="s">
        <v>132</v>
      </c>
      <c r="F14" s="50"/>
      <c r="G14" s="51" t="s">
        <v>277</v>
      </c>
      <c r="H14" s="51" t="s">
        <v>194</v>
      </c>
      <c r="I14" s="9" t="s">
        <v>106</v>
      </c>
      <c r="J14" s="9"/>
      <c r="K14" s="9" t="s">
        <v>99</v>
      </c>
      <c r="L14" s="9"/>
      <c r="M14" s="9" t="s">
        <v>99</v>
      </c>
      <c r="N14" s="9"/>
      <c r="O14" s="43"/>
      <c r="P14" s="36"/>
      <c r="Q14" s="74"/>
      <c r="R14" s="76"/>
    </row>
    <row r="15" spans="1:18" s="11" customFormat="1">
      <c r="A15" s="9">
        <v>10</v>
      </c>
      <c r="B15" s="9"/>
      <c r="C15" s="9"/>
      <c r="D15" s="9" t="s">
        <v>209</v>
      </c>
      <c r="E15" s="50" t="s">
        <v>104</v>
      </c>
      <c r="F15" s="50"/>
      <c r="G15" s="51" t="s">
        <v>278</v>
      </c>
      <c r="H15" s="51" t="s">
        <v>196</v>
      </c>
      <c r="I15" s="9" t="s">
        <v>106</v>
      </c>
      <c r="J15" s="9"/>
      <c r="K15" s="9" t="s">
        <v>99</v>
      </c>
      <c r="L15" s="9"/>
      <c r="M15" s="9" t="s">
        <v>99</v>
      </c>
      <c r="N15" s="9"/>
      <c r="O15" s="43"/>
      <c r="P15" s="36"/>
      <c r="Q15" s="74"/>
      <c r="R15" s="76"/>
    </row>
    <row r="16" spans="1:18" s="11" customFormat="1">
      <c r="A16" s="9">
        <v>10</v>
      </c>
      <c r="B16" s="9"/>
      <c r="C16" s="9"/>
      <c r="D16" s="9" t="s">
        <v>83</v>
      </c>
      <c r="E16" s="50" t="s">
        <v>84</v>
      </c>
      <c r="F16" s="50"/>
      <c r="G16" s="51" t="s">
        <v>284</v>
      </c>
      <c r="H16" s="51" t="s">
        <v>211</v>
      </c>
      <c r="I16" s="9" t="s">
        <v>99</v>
      </c>
      <c r="J16" s="9"/>
      <c r="K16" s="9" t="s">
        <v>99</v>
      </c>
      <c r="L16" s="9"/>
      <c r="M16" s="9" t="s">
        <v>99</v>
      </c>
      <c r="N16" s="9"/>
      <c r="O16" s="43"/>
      <c r="P16" s="36"/>
      <c r="Q16" s="74"/>
      <c r="R16" s="76"/>
    </row>
    <row r="17" spans="1:18" s="11" customFormat="1">
      <c r="A17" s="53"/>
      <c r="B17" s="54"/>
      <c r="C17" s="54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7" t="s">
        <v>24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25" t="s">
        <v>25</v>
      </c>
      <c r="B3" s="126"/>
      <c r="C3" s="126"/>
      <c r="D3" s="126"/>
      <c r="E3" s="126"/>
      <c r="F3" s="126"/>
      <c r="G3" s="127"/>
      <c r="H3" s="140" t="s">
        <v>26</v>
      </c>
      <c r="I3" s="126"/>
      <c r="J3" s="126"/>
      <c r="K3" s="126"/>
      <c r="L3" s="126"/>
      <c r="M3" s="126"/>
      <c r="N3" s="127"/>
      <c r="O3" s="140" t="s">
        <v>27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28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28">
        <v>1</v>
      </c>
      <c r="B4" s="129"/>
      <c r="C4" s="129"/>
      <c r="D4" s="129"/>
      <c r="E4" s="129"/>
      <c r="F4" s="129"/>
      <c r="G4" s="130"/>
      <c r="H4" s="118"/>
      <c r="I4" s="119"/>
      <c r="J4" s="119"/>
      <c r="K4" s="119"/>
      <c r="L4" s="119"/>
      <c r="M4" s="119"/>
      <c r="N4" s="120"/>
      <c r="O4" s="118" t="s">
        <v>29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>
      <c r="A5" s="131">
        <v>1.1000000000000001</v>
      </c>
      <c r="B5" s="132"/>
      <c r="C5" s="132"/>
      <c r="D5" s="132"/>
      <c r="E5" s="132"/>
      <c r="F5" s="132"/>
      <c r="G5" s="133"/>
      <c r="H5" s="105"/>
      <c r="I5" s="106"/>
      <c r="J5" s="106"/>
      <c r="K5" s="106"/>
      <c r="L5" s="106"/>
      <c r="M5" s="106"/>
      <c r="N5" s="107"/>
      <c r="O5" s="112" t="s">
        <v>309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310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131"/>
      <c r="B6" s="132"/>
      <c r="C6" s="132"/>
      <c r="D6" s="132"/>
      <c r="E6" s="132"/>
      <c r="F6" s="132"/>
      <c r="G6" s="133"/>
      <c r="H6" s="105"/>
      <c r="I6" s="106"/>
      <c r="J6" s="106"/>
      <c r="K6" s="106"/>
      <c r="L6" s="106"/>
      <c r="M6" s="106"/>
      <c r="N6" s="107"/>
      <c r="O6" s="105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1"/>
    </row>
    <row r="7" spans="1:57" ht="15" customHeight="1">
      <c r="A7" s="131"/>
      <c r="B7" s="132"/>
      <c r="C7" s="132"/>
      <c r="D7" s="132"/>
      <c r="E7" s="132"/>
      <c r="F7" s="132"/>
      <c r="G7" s="133"/>
      <c r="H7" s="105"/>
      <c r="I7" s="106"/>
      <c r="J7" s="106"/>
      <c r="K7" s="106"/>
      <c r="L7" s="106"/>
      <c r="M7" s="106"/>
      <c r="N7" s="107"/>
      <c r="O7" s="105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11"/>
    </row>
    <row r="8" spans="1:57" ht="15" customHeight="1">
      <c r="A8" s="131"/>
      <c r="B8" s="132"/>
      <c r="C8" s="132"/>
      <c r="D8" s="132"/>
      <c r="E8" s="132"/>
      <c r="F8" s="132"/>
      <c r="G8" s="133"/>
      <c r="H8" s="105"/>
      <c r="I8" s="106"/>
      <c r="J8" s="106"/>
      <c r="K8" s="106"/>
      <c r="L8" s="106"/>
      <c r="M8" s="106"/>
      <c r="N8" s="107"/>
      <c r="O8" s="105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1"/>
    </row>
    <row r="9" spans="1:57" ht="15" customHeight="1">
      <c r="A9" s="131"/>
      <c r="B9" s="132"/>
      <c r="C9" s="132"/>
      <c r="D9" s="132"/>
      <c r="E9" s="132"/>
      <c r="F9" s="132"/>
      <c r="G9" s="133"/>
      <c r="H9" s="105"/>
      <c r="I9" s="106"/>
      <c r="J9" s="106"/>
      <c r="K9" s="106"/>
      <c r="L9" s="106"/>
      <c r="M9" s="106"/>
      <c r="N9" s="107"/>
      <c r="O9" s="105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1"/>
    </row>
    <row r="10" spans="1:57" ht="15" customHeight="1">
      <c r="A10" s="131"/>
      <c r="B10" s="132"/>
      <c r="C10" s="132"/>
      <c r="D10" s="132"/>
      <c r="E10" s="132"/>
      <c r="F10" s="132"/>
      <c r="G10" s="133"/>
      <c r="H10" s="105"/>
      <c r="I10" s="106"/>
      <c r="J10" s="106"/>
      <c r="K10" s="106"/>
      <c r="L10" s="106"/>
      <c r="M10" s="106"/>
      <c r="N10" s="107"/>
      <c r="O10" s="105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10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1"/>
    </row>
    <row r="11" spans="1:57" ht="15" customHeight="1">
      <c r="A11" s="131"/>
      <c r="B11" s="132"/>
      <c r="C11" s="132"/>
      <c r="D11" s="132"/>
      <c r="E11" s="132"/>
      <c r="F11" s="132"/>
      <c r="G11" s="133"/>
      <c r="H11" s="105"/>
      <c r="I11" s="106"/>
      <c r="J11" s="106"/>
      <c r="K11" s="106"/>
      <c r="L11" s="106"/>
      <c r="M11" s="106"/>
      <c r="N11" s="107"/>
      <c r="O11" s="105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1"/>
    </row>
    <row r="12" spans="1:57" ht="15" customHeight="1">
      <c r="A12" s="131"/>
      <c r="B12" s="132"/>
      <c r="C12" s="132"/>
      <c r="D12" s="132"/>
      <c r="E12" s="132"/>
      <c r="F12" s="132"/>
      <c r="G12" s="133"/>
      <c r="H12" s="105"/>
      <c r="I12" s="106"/>
      <c r="J12" s="106"/>
      <c r="K12" s="106"/>
      <c r="L12" s="106"/>
      <c r="M12" s="106"/>
      <c r="N12" s="107"/>
      <c r="O12" s="105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10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1"/>
    </row>
    <row r="13" spans="1:57" ht="15" customHeight="1">
      <c r="A13" s="131"/>
      <c r="B13" s="132"/>
      <c r="C13" s="132"/>
      <c r="D13" s="132"/>
      <c r="E13" s="132"/>
      <c r="F13" s="132"/>
      <c r="G13" s="133"/>
      <c r="H13" s="105"/>
      <c r="I13" s="106"/>
      <c r="J13" s="106"/>
      <c r="K13" s="106"/>
      <c r="L13" s="106"/>
      <c r="M13" s="106"/>
      <c r="N13" s="107"/>
      <c r="O13" s="105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1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1"/>
    </row>
    <row r="14" spans="1:57" ht="15" customHeight="1">
      <c r="A14" s="131"/>
      <c r="B14" s="132"/>
      <c r="C14" s="132"/>
      <c r="D14" s="132"/>
      <c r="E14" s="132"/>
      <c r="F14" s="132"/>
      <c r="G14" s="133"/>
      <c r="H14" s="105"/>
      <c r="I14" s="106"/>
      <c r="J14" s="106"/>
      <c r="K14" s="106"/>
      <c r="L14" s="106"/>
      <c r="M14" s="106"/>
      <c r="N14" s="107"/>
      <c r="O14" s="105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10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1"/>
    </row>
    <row r="15" spans="1:57" ht="15" customHeight="1">
      <c r="A15" s="131"/>
      <c r="B15" s="132"/>
      <c r="C15" s="132"/>
      <c r="D15" s="132"/>
      <c r="E15" s="132"/>
      <c r="F15" s="132"/>
      <c r="G15" s="133"/>
      <c r="H15" s="105"/>
      <c r="I15" s="106"/>
      <c r="J15" s="106"/>
      <c r="K15" s="106"/>
      <c r="L15" s="106"/>
      <c r="M15" s="106"/>
      <c r="N15" s="107"/>
      <c r="O15" s="105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10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1"/>
    </row>
    <row r="16" spans="1:57" ht="15" customHeight="1">
      <c r="A16" s="131"/>
      <c r="B16" s="132"/>
      <c r="C16" s="132"/>
      <c r="D16" s="132"/>
      <c r="E16" s="132"/>
      <c r="F16" s="132"/>
      <c r="G16" s="133"/>
      <c r="H16" s="105"/>
      <c r="I16" s="106"/>
      <c r="J16" s="106"/>
      <c r="K16" s="106"/>
      <c r="L16" s="106"/>
      <c r="M16" s="106"/>
      <c r="N16" s="107"/>
      <c r="O16" s="105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10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1"/>
    </row>
    <row r="17" spans="1:57" ht="15" customHeight="1">
      <c r="A17" s="131"/>
      <c r="B17" s="132"/>
      <c r="C17" s="132"/>
      <c r="D17" s="132"/>
      <c r="E17" s="132"/>
      <c r="F17" s="132"/>
      <c r="G17" s="133"/>
      <c r="H17" s="105"/>
      <c r="I17" s="106"/>
      <c r="J17" s="106"/>
      <c r="K17" s="106"/>
      <c r="L17" s="106"/>
      <c r="M17" s="106"/>
      <c r="N17" s="107"/>
      <c r="O17" s="105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10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1"/>
    </row>
    <row r="18" spans="1:57" ht="15" customHeight="1">
      <c r="A18" s="131"/>
      <c r="B18" s="132"/>
      <c r="C18" s="132"/>
      <c r="D18" s="132"/>
      <c r="E18" s="132"/>
      <c r="F18" s="132"/>
      <c r="G18" s="133"/>
      <c r="H18" s="105"/>
      <c r="I18" s="106"/>
      <c r="J18" s="106"/>
      <c r="K18" s="106"/>
      <c r="L18" s="106"/>
      <c r="M18" s="106"/>
      <c r="N18" s="107"/>
      <c r="O18" s="105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10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1"/>
    </row>
    <row r="19" spans="1:57" ht="15" customHeight="1">
      <c r="A19" s="131"/>
      <c r="B19" s="132"/>
      <c r="C19" s="132"/>
      <c r="D19" s="132"/>
      <c r="E19" s="132"/>
      <c r="F19" s="132"/>
      <c r="G19" s="133"/>
      <c r="H19" s="105"/>
      <c r="I19" s="106"/>
      <c r="J19" s="106"/>
      <c r="K19" s="106"/>
      <c r="L19" s="106"/>
      <c r="M19" s="106"/>
      <c r="N19" s="107"/>
      <c r="O19" s="105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10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1"/>
    </row>
    <row r="20" spans="1:57" ht="15" customHeight="1">
      <c r="A20" s="131"/>
      <c r="B20" s="132"/>
      <c r="C20" s="132"/>
      <c r="D20" s="132"/>
      <c r="E20" s="132"/>
      <c r="F20" s="132"/>
      <c r="G20" s="133"/>
      <c r="H20" s="105"/>
      <c r="I20" s="106"/>
      <c r="J20" s="106"/>
      <c r="K20" s="106"/>
      <c r="L20" s="106"/>
      <c r="M20" s="106"/>
      <c r="N20" s="107"/>
      <c r="O20" s="105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10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1"/>
    </row>
    <row r="21" spans="1:57" ht="15" customHeight="1">
      <c r="A21" s="131"/>
      <c r="B21" s="132"/>
      <c r="C21" s="132"/>
      <c r="D21" s="132"/>
      <c r="E21" s="132"/>
      <c r="F21" s="132"/>
      <c r="G21" s="133"/>
      <c r="H21" s="105"/>
      <c r="I21" s="106"/>
      <c r="J21" s="106"/>
      <c r="K21" s="106"/>
      <c r="L21" s="106"/>
      <c r="M21" s="106"/>
      <c r="N21" s="107"/>
      <c r="O21" s="105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10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1"/>
    </row>
    <row r="22" spans="1:57" ht="15" customHeight="1">
      <c r="A22" s="131"/>
      <c r="B22" s="132"/>
      <c r="C22" s="132"/>
      <c r="D22" s="132"/>
      <c r="E22" s="132"/>
      <c r="F22" s="132"/>
      <c r="G22" s="133"/>
      <c r="H22" s="105"/>
      <c r="I22" s="106"/>
      <c r="J22" s="106"/>
      <c r="K22" s="106"/>
      <c r="L22" s="106"/>
      <c r="M22" s="106"/>
      <c r="N22" s="107"/>
      <c r="O22" s="105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10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1"/>
    </row>
    <row r="23" spans="1:57" ht="15" customHeight="1">
      <c r="A23" s="131"/>
      <c r="B23" s="132"/>
      <c r="C23" s="132"/>
      <c r="D23" s="132"/>
      <c r="E23" s="132"/>
      <c r="F23" s="132"/>
      <c r="G23" s="133"/>
      <c r="H23" s="105"/>
      <c r="I23" s="106"/>
      <c r="J23" s="106"/>
      <c r="K23" s="106"/>
      <c r="L23" s="106"/>
      <c r="M23" s="106"/>
      <c r="N23" s="107"/>
      <c r="O23" s="105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10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1"/>
    </row>
    <row r="24" spans="1:57" ht="15" customHeight="1">
      <c r="A24" s="131"/>
      <c r="B24" s="132"/>
      <c r="C24" s="132"/>
      <c r="D24" s="132"/>
      <c r="E24" s="132"/>
      <c r="F24" s="132"/>
      <c r="G24" s="133"/>
      <c r="H24" s="105"/>
      <c r="I24" s="106"/>
      <c r="J24" s="106"/>
      <c r="K24" s="106"/>
      <c r="L24" s="106"/>
      <c r="M24" s="106"/>
      <c r="N24" s="107"/>
      <c r="O24" s="105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10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1"/>
    </row>
    <row r="25" spans="1:57" ht="15" customHeight="1">
      <c r="A25" s="131"/>
      <c r="B25" s="132"/>
      <c r="C25" s="132"/>
      <c r="D25" s="132"/>
      <c r="E25" s="132"/>
      <c r="F25" s="132"/>
      <c r="G25" s="133"/>
      <c r="H25" s="105"/>
      <c r="I25" s="106"/>
      <c r="J25" s="106"/>
      <c r="K25" s="106"/>
      <c r="L25" s="106"/>
      <c r="M25" s="106"/>
      <c r="N25" s="107"/>
      <c r="O25" s="105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10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1"/>
    </row>
    <row r="26" spans="1:57" ht="15" customHeight="1">
      <c r="A26" s="131"/>
      <c r="B26" s="132"/>
      <c r="C26" s="132"/>
      <c r="D26" s="132"/>
      <c r="E26" s="132"/>
      <c r="F26" s="132"/>
      <c r="G26" s="133"/>
      <c r="H26" s="105"/>
      <c r="I26" s="106"/>
      <c r="J26" s="106"/>
      <c r="K26" s="106"/>
      <c r="L26" s="106"/>
      <c r="M26" s="106"/>
      <c r="N26" s="107"/>
      <c r="O26" s="105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10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1"/>
    </row>
    <row r="27" spans="1:57" ht="15" customHeight="1">
      <c r="A27" s="131"/>
      <c r="B27" s="132"/>
      <c r="C27" s="132"/>
      <c r="D27" s="132"/>
      <c r="E27" s="132"/>
      <c r="F27" s="132"/>
      <c r="G27" s="133"/>
      <c r="H27" s="105"/>
      <c r="I27" s="106"/>
      <c r="J27" s="106"/>
      <c r="K27" s="106"/>
      <c r="L27" s="106"/>
      <c r="M27" s="106"/>
      <c r="N27" s="107"/>
      <c r="O27" s="105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10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1"/>
    </row>
    <row r="28" spans="1:57" ht="15" customHeight="1">
      <c r="A28" s="131"/>
      <c r="B28" s="132"/>
      <c r="C28" s="132"/>
      <c r="D28" s="132"/>
      <c r="E28" s="132"/>
      <c r="F28" s="132"/>
      <c r="G28" s="133"/>
      <c r="H28" s="105"/>
      <c r="I28" s="106"/>
      <c r="J28" s="106"/>
      <c r="K28" s="106"/>
      <c r="L28" s="106"/>
      <c r="M28" s="106"/>
      <c r="N28" s="107"/>
      <c r="O28" s="105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10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1"/>
    </row>
    <row r="29" spans="1:57" ht="15" customHeight="1">
      <c r="A29" s="131"/>
      <c r="B29" s="132"/>
      <c r="C29" s="132"/>
      <c r="D29" s="132"/>
      <c r="E29" s="132"/>
      <c r="F29" s="132"/>
      <c r="G29" s="133"/>
      <c r="H29" s="105"/>
      <c r="I29" s="106"/>
      <c r="J29" s="106"/>
      <c r="K29" s="106"/>
      <c r="L29" s="106"/>
      <c r="M29" s="106"/>
      <c r="N29" s="107"/>
      <c r="O29" s="105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10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1"/>
    </row>
    <row r="30" spans="1:57" ht="15" customHeight="1">
      <c r="A30" s="131"/>
      <c r="B30" s="132"/>
      <c r="C30" s="132"/>
      <c r="D30" s="132"/>
      <c r="E30" s="132"/>
      <c r="F30" s="132"/>
      <c r="G30" s="133"/>
      <c r="H30" s="105"/>
      <c r="I30" s="106"/>
      <c r="J30" s="106"/>
      <c r="K30" s="106"/>
      <c r="L30" s="106"/>
      <c r="M30" s="106"/>
      <c r="N30" s="107"/>
      <c r="O30" s="105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10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1"/>
    </row>
    <row r="31" spans="1:57" ht="15" customHeight="1">
      <c r="A31" s="131"/>
      <c r="B31" s="132"/>
      <c r="C31" s="132"/>
      <c r="D31" s="132"/>
      <c r="E31" s="132"/>
      <c r="F31" s="132"/>
      <c r="G31" s="133"/>
      <c r="H31" s="105"/>
      <c r="I31" s="106"/>
      <c r="J31" s="106"/>
      <c r="K31" s="106"/>
      <c r="L31" s="106"/>
      <c r="M31" s="106"/>
      <c r="N31" s="107"/>
      <c r="O31" s="105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10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1"/>
    </row>
    <row r="32" spans="1:57" ht="15" customHeight="1">
      <c r="A32" s="131"/>
      <c r="B32" s="132"/>
      <c r="C32" s="132"/>
      <c r="D32" s="132"/>
      <c r="E32" s="132"/>
      <c r="F32" s="132"/>
      <c r="G32" s="133"/>
      <c r="H32" s="105"/>
      <c r="I32" s="106"/>
      <c r="J32" s="106"/>
      <c r="K32" s="106"/>
      <c r="L32" s="106"/>
      <c r="M32" s="106"/>
      <c r="N32" s="107"/>
      <c r="O32" s="105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10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1"/>
    </row>
    <row r="33" spans="1:57" ht="15" customHeight="1">
      <c r="A33" s="131"/>
      <c r="B33" s="132"/>
      <c r="C33" s="132"/>
      <c r="D33" s="132"/>
      <c r="E33" s="132"/>
      <c r="F33" s="132"/>
      <c r="G33" s="133"/>
      <c r="H33" s="105"/>
      <c r="I33" s="106"/>
      <c r="J33" s="106"/>
      <c r="K33" s="106"/>
      <c r="L33" s="106"/>
      <c r="M33" s="106"/>
      <c r="N33" s="107"/>
      <c r="O33" s="105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10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1"/>
    </row>
    <row r="34" spans="1:57" ht="15" customHeight="1">
      <c r="A34" s="131"/>
      <c r="B34" s="132"/>
      <c r="C34" s="132"/>
      <c r="D34" s="132"/>
      <c r="E34" s="132"/>
      <c r="F34" s="132"/>
      <c r="G34" s="133"/>
      <c r="H34" s="105"/>
      <c r="I34" s="106"/>
      <c r="J34" s="106"/>
      <c r="K34" s="106"/>
      <c r="L34" s="106"/>
      <c r="M34" s="106"/>
      <c r="N34" s="107"/>
      <c r="O34" s="105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10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1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46"/>
      <c r="I35" s="147"/>
      <c r="J35" s="147"/>
      <c r="K35" s="147"/>
      <c r="L35" s="147"/>
      <c r="M35" s="147"/>
      <c r="N35" s="148"/>
      <c r="O35" s="146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50"/>
      <c r="AQ35" s="151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5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CostAcOut_UpdChk01</vt:lpstr>
      <vt:lpstr>CostAcOut_Upd01</vt:lpstr>
      <vt:lpstr>CostAcOut_DelChk01</vt:lpstr>
      <vt:lpstr>CostAcOut_Del01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2026-03-27T05:44:28Z</dcterms:modified>
  <cp:category/>
</cp:coreProperties>
</file>