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G\Logic\"/>
    </mc:Choice>
  </mc:AlternateContent>
  <xr:revisionPtr revIDLastSave="0" documentId="13_ncr:1_{6575B35D-9BCC-4923-84FD-A13C36C49403}" xr6:coauthVersionLast="47" xr6:coauthVersionMax="47" xr10:uidLastSave="{00000000-0000-0000-0000-000000000000}"/>
  <bookViews>
    <workbookView xWindow="1710" yWindow="1710" windowWidth="21600" windowHeight="11265" tabRatio="807" firstSheet="1" activeTab="8" xr2:uid="{00000000-000D-0000-FFFF-FFFF00000000}"/>
  </bookViews>
  <sheets>
    <sheet name="LogicCommon" sheetId="10" r:id="rId1"/>
    <sheet name="GrpPtn_UpdChk01" sheetId="18" r:id="rId2"/>
    <sheet name="GrpPtn_Upd01" sheetId="15" r:id="rId3"/>
    <sheet name="GrpPtn_DelChk01" sheetId="21" r:id="rId4"/>
    <sheet name="GrpPtn_Del01" sheetId="17" r:id="rId5"/>
    <sheet name="Srch01" sheetId="1" r:id="rId6"/>
    <sheet name="Upd01" sheetId="11" r:id="rId7"/>
    <sheet name="Del01" sheetId="14" r:id="rId8"/>
    <sheet name="来歴" sheetId="1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1" l="1"/>
  <c r="N2" i="21" s="1"/>
  <c r="H4" i="21"/>
  <c r="L3" i="21"/>
  <c r="H3" i="21"/>
  <c r="F3" i="21"/>
  <c r="D3" i="21"/>
  <c r="L2" i="21"/>
  <c r="H2" i="21"/>
  <c r="F2" i="21"/>
  <c r="L4" i="18"/>
  <c r="N2" i="18" s="1"/>
  <c r="H4" i="18"/>
  <c r="L3" i="18"/>
  <c r="H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<sst xmlns="http://schemas.openxmlformats.org/spreadsheetml/2006/main" count="1889" uniqueCount="449">
  <si>
    <t>*</t>
  </si>
  <si>
    <t>詳細 :</t>
  </si>
  <si>
    <t>検索</t>
    <rPh sb="0" eb="2">
      <t>ケンサク</t>
    </rPh>
    <phoneticPr fontId="7"/>
  </si>
  <si>
    <t>ロジック共通定義</t>
    <rPh sb="4" eb="6">
      <t>キョウツウ</t>
    </rPh>
    <rPh sb="6" eb="8">
      <t>テイギ</t>
    </rPh>
    <phoneticPr fontId="7"/>
  </si>
  <si>
    <t>詳細 :</t>
    <rPh sb="0" eb="2">
      <t>ショウサイ</t>
    </rPh>
    <phoneticPr fontId="7"/>
  </si>
  <si>
    <t>概要 :</t>
    <phoneticPr fontId="7"/>
  </si>
  <si>
    <t>MC</t>
  </si>
  <si>
    <t>Version :</t>
  </si>
  <si>
    <t>LogicID :</t>
    <phoneticPr fontId="7"/>
  </si>
  <si>
    <t>LogicClass :</t>
    <phoneticPr fontId="7"/>
  </si>
  <si>
    <t>LogicName :</t>
    <phoneticPr fontId="7"/>
  </si>
  <si>
    <t>ModuleID :</t>
    <phoneticPr fontId="7"/>
  </si>
  <si>
    <t>SubModuleID :</t>
    <phoneticPr fontId="7"/>
  </si>
  <si>
    <t>ins_ts</t>
  </si>
  <si>
    <t>upd_ts</t>
  </si>
  <si>
    <t>TargetName</t>
    <phoneticPr fontId="7"/>
  </si>
  <si>
    <t>#</t>
    <phoneticPr fontId="7"/>
  </si>
  <si>
    <t>#</t>
    <phoneticPr fontId="7"/>
  </si>
  <si>
    <t>Srch01_Cnd</t>
    <phoneticPr fontId="7"/>
  </si>
  <si>
    <t>R</t>
    <phoneticPr fontId="7"/>
  </si>
  <si>
    <t>L</t>
    <phoneticPr fontId="7"/>
  </si>
  <si>
    <t>変更来歴</t>
    <rPh sb="0" eb="2">
      <t>ヘンコウ</t>
    </rPh>
    <rPh sb="2" eb="4">
      <t>ライレキ</t>
    </rPh>
    <phoneticPr fontId="7"/>
  </si>
  <si>
    <t>Rev.</t>
    <phoneticPr fontId="7"/>
  </si>
  <si>
    <t>修正番号</t>
    <rPh sb="0" eb="2">
      <t>シュウセイ</t>
    </rPh>
    <rPh sb="2" eb="4">
      <t>バンゴウ</t>
    </rPh>
    <phoneticPr fontId="7"/>
  </si>
  <si>
    <t>変更内容</t>
    <rPh sb="0" eb="2">
      <t>ヘンコウ</t>
    </rPh>
    <rPh sb="2" eb="4">
      <t>ナイヨウ</t>
    </rPh>
    <phoneticPr fontId="7"/>
  </si>
  <si>
    <t>変更箇所</t>
    <rPh sb="0" eb="2">
      <t>ヘンコウ</t>
    </rPh>
    <rPh sb="2" eb="4">
      <t>カショ</t>
    </rPh>
    <phoneticPr fontId="7"/>
  </si>
  <si>
    <t>初版</t>
    <rPh sb="0" eb="2">
      <t>ショハン</t>
    </rPh>
    <phoneticPr fontId="7"/>
  </si>
  <si>
    <t>@</t>
    <phoneticPr fontId="7"/>
  </si>
  <si>
    <t>ReportID :</t>
    <phoneticPr fontId="7"/>
  </si>
  <si>
    <t>L</t>
    <phoneticPr fontId="7"/>
  </si>
  <si>
    <t>#</t>
    <phoneticPr fontId="7"/>
  </si>
  <si>
    <t>U</t>
    <phoneticPr fontId="7"/>
  </si>
  <si>
    <t>o</t>
    <phoneticPr fontId="7"/>
  </si>
  <si>
    <t>SELECT.c0</t>
    <phoneticPr fontId="7"/>
  </si>
  <si>
    <t>ins_usr_nm</t>
    <phoneticPr fontId="7"/>
  </si>
  <si>
    <t>upd_usr_nm</t>
    <phoneticPr fontId="7"/>
  </si>
  <si>
    <t>U</t>
    <phoneticPr fontId="7"/>
  </si>
  <si>
    <t>o</t>
    <phoneticPr fontId="7"/>
  </si>
  <si>
    <t>memo1</t>
  </si>
  <si>
    <t>memo1</t>
    <phoneticPr fontId="7"/>
  </si>
  <si>
    <t>#MA.MST_MEMO1</t>
  </si>
  <si>
    <t>#MA.MST_MEMO1</t>
    <phoneticPr fontId="7"/>
  </si>
  <si>
    <t>memo3</t>
  </si>
  <si>
    <t>memo3</t>
    <phoneticPr fontId="7"/>
  </si>
  <si>
    <t>#MA.MST_MEMO3</t>
  </si>
  <si>
    <t>#MA.MST_MEMO3</t>
    <phoneticPr fontId="7"/>
  </si>
  <si>
    <t>memo2</t>
  </si>
  <si>
    <t>#MA.MST_MEMO2</t>
  </si>
  <si>
    <t>#MA.FLG</t>
  </si>
  <si>
    <t>ins_func_id</t>
    <phoneticPr fontId="7"/>
  </si>
  <si>
    <t>upd_func_id</t>
    <phoneticPr fontId="7"/>
  </si>
  <si>
    <t>#MA.SRV_REQ_NO</t>
  </si>
  <si>
    <t>#MA.SYS_TS</t>
  </si>
  <si>
    <t>ins_func_nm</t>
    <phoneticPr fontId="7"/>
  </si>
  <si>
    <t>upd_func_nm</t>
    <phoneticPr fontId="7"/>
  </si>
  <si>
    <t>upd_srv_req_no</t>
    <phoneticPr fontId="7"/>
  </si>
  <si>
    <t>削除</t>
    <phoneticPr fontId="7"/>
  </si>
  <si>
    <t>登録</t>
    <rPh sb="0" eb="2">
      <t>トウロク</t>
    </rPh>
    <phoneticPr fontId="7"/>
  </si>
  <si>
    <t>L</t>
  </si>
  <si>
    <t>Upd01_Dtl1</t>
    <phoneticPr fontId="7"/>
  </si>
  <si>
    <t>o</t>
  </si>
  <si>
    <t>TargetName</t>
  </si>
  <si>
    <t>UPDATE.updMaster1</t>
    <phoneticPr fontId="43"/>
  </si>
  <si>
    <t>Del01_Dtl1</t>
    <phoneticPr fontId="7"/>
  </si>
  <si>
    <t>del_flg</t>
  </si>
  <si>
    <t>del_usr_id</t>
  </si>
  <si>
    <t>del_usr_nm</t>
  </si>
  <si>
    <t>del_ts</t>
  </si>
  <si>
    <t>upd_cntr</t>
    <phoneticPr fontId="7"/>
  </si>
  <si>
    <t>upd_cntr</t>
  </si>
  <si>
    <t>#MA.UPD_CNT</t>
  </si>
  <si>
    <t>UPDATE.updMaster</t>
    <phoneticPr fontId="7"/>
  </si>
  <si>
    <t>MAIN.chkMaster</t>
    <phoneticPr fontId="43"/>
  </si>
  <si>
    <t>$share$</t>
  </si>
  <si>
    <t>@</t>
  </si>
  <si>
    <t>K</t>
  </si>
  <si>
    <t>REQUIRED</t>
  </si>
  <si>
    <t>upd_cntr</t>
    <phoneticPr fontId="43"/>
  </si>
  <si>
    <t>#MA.UPD_CNT</t>
    <phoneticPr fontId="43"/>
  </si>
  <si>
    <t>CALL_OPE01.chk01</t>
    <phoneticPr fontId="7"/>
  </si>
  <si>
    <t>CALL_OPE01.upd01</t>
    <phoneticPr fontId="7"/>
  </si>
  <si>
    <t>CALL_OPE01.chk01</t>
    <phoneticPr fontId="43"/>
  </si>
  <si>
    <t>CALL_OPE01.del01</t>
    <phoneticPr fontId="43"/>
  </si>
  <si>
    <t>Srch01</t>
  </si>
  <si>
    <t>Upd01</t>
  </si>
  <si>
    <t>Del01</t>
  </si>
  <si>
    <t>MABGL_GrpPtn</t>
    <phoneticPr fontId="7"/>
  </si>
  <si>
    <t>計算グループパタンマスタ</t>
    <phoneticPr fontId="7"/>
  </si>
  <si>
    <t>GrpPtn_DelChk01</t>
  </si>
  <si>
    <t>GrpPtn_Del01</t>
  </si>
  <si>
    <t>GrpPtn_UpdChk01</t>
  </si>
  <si>
    <t>GrpPtn_Upd01</t>
  </si>
  <si>
    <t>MA</t>
  </si>
  <si>
    <t>MABG</t>
  </si>
  <si>
    <t>GrpPtn_UpdChk01_Dtl</t>
  </si>
  <si>
    <t>GrpPtn_Upd01_Dtl</t>
  </si>
  <si>
    <t>GrpPtn_DelChk01_Dtl</t>
  </si>
  <si>
    <t>GrpPtn_Del01_Dtl</t>
  </si>
  <si>
    <t>calc_ptn_cd</t>
  </si>
  <si>
    <t>calc_grp_cd</t>
  </si>
  <si>
    <t>MABGL0110</t>
  </si>
  <si>
    <t>OPE.MA.MABGL0110.GrpPtn_UpdChk01</t>
  </si>
  <si>
    <t>OPE.MA.MABGL0110.GrpPtn_Upd01</t>
  </si>
  <si>
    <t>OPE.MA.MABGL0110.GrpPtn_DelChk01</t>
  </si>
  <si>
    <t>OPE.MA.MABGL0110.GrpPtn_Del01</t>
  </si>
  <si>
    <t>calc_ptn_nm</t>
  </si>
  <si>
    <t>calc_grp_nm</t>
  </si>
  <si>
    <t>#MA.CALC_PTN_CD</t>
  </si>
  <si>
    <t>#MA.CALC_PTN_NM</t>
  </si>
  <si>
    <t>#MA.CALC_GRP_CD</t>
  </si>
  <si>
    <t>#MA.CALC_GRP_NM</t>
  </si>
  <si>
    <t/>
  </si>
  <si>
    <t>eval_typ</t>
  </si>
  <si>
    <t>#MA.EVAL_TYP</t>
  </si>
  <si>
    <t>eval_typ_nm</t>
  </si>
  <si>
    <t>#MA.EVAL_TYP_NM</t>
  </si>
  <si>
    <t>dpt_typ</t>
  </si>
  <si>
    <t>#MA.UNIT_CALC_TYP</t>
  </si>
  <si>
    <t>dpt_typ_nm</t>
  </si>
  <si>
    <t>#MA.UNIT_CALC_TYP_NM</t>
  </si>
  <si>
    <t>#MA.EXP_SET_TYP</t>
  </si>
  <si>
    <t>#MA.EXP_SET_TYP_NM</t>
  </si>
  <si>
    <t>std_rnd_typ</t>
  </si>
  <si>
    <t>#MA.RND_TYP</t>
  </si>
  <si>
    <t>std_rnd_typ_nm</t>
  </si>
  <si>
    <t>#MA.RND_TYP_NM</t>
  </si>
  <si>
    <t>std_dec_place</t>
  </si>
  <si>
    <t>#MA.DEC_PLACE</t>
  </si>
  <si>
    <t>ave_rnd_typ</t>
  </si>
  <si>
    <t>ave_rnd_typ_nm</t>
  </si>
  <si>
    <t>ave_dec_place</t>
  </si>
  <si>
    <t>adj_typ</t>
  </si>
  <si>
    <t>#MA.ADJ_TYP</t>
  </si>
  <si>
    <t>adj_typ_nm</t>
  </si>
  <si>
    <t>#MA.ADJ_TYP_NM</t>
  </si>
  <si>
    <t>wip_typ</t>
  </si>
  <si>
    <t>#MA.WIP_TYP</t>
  </si>
  <si>
    <t>wip_typ_nm</t>
  </si>
  <si>
    <t>#MA.WIP_TYP_NM</t>
  </si>
  <si>
    <t>bd_agg_typ</t>
  </si>
  <si>
    <t>#MA.BD_AGG_TYP</t>
  </si>
  <si>
    <t>bd_agg_typ_nm</t>
  </si>
  <si>
    <t>#MA.BD_AGG_TYP_NM</t>
  </si>
  <si>
    <t>mrgn_expns_cd</t>
  </si>
  <si>
    <t>#MA.EXPNS_CD</t>
  </si>
  <si>
    <t>mrgn_expns_nm</t>
  </si>
  <si>
    <t>#MA.EXPNS_NM</t>
  </si>
  <si>
    <t>purc_expns_cd</t>
  </si>
  <si>
    <t>purc_expns_nm</t>
  </si>
  <si>
    <t>out_expns_cd</t>
  </si>
  <si>
    <t>out_expns_nm</t>
  </si>
  <si>
    <t>inpt_expns_cd</t>
  </si>
  <si>
    <t>inpt_expns_nm</t>
  </si>
  <si>
    <t>ss_expns_cd</t>
  </si>
  <si>
    <t>ss_expns_nm</t>
  </si>
  <si>
    <t>prov_expns_cd</t>
  </si>
  <si>
    <t>prov_expns_nm</t>
  </si>
  <si>
    <t>exp_alloc_typ</t>
  </si>
  <si>
    <t>#MA.EXP_ALLOC_TYP</t>
  </si>
  <si>
    <t>exp_alloc_typ_nm</t>
  </si>
  <si>
    <t>#MA.EXP_ALLOC_TYP_NM</t>
  </si>
  <si>
    <t>CONST</t>
  </si>
  <si>
    <t>off_del_flg</t>
  </si>
  <si>
    <t>on_del_flg</t>
  </si>
  <si>
    <t>$super$</t>
  </si>
  <si>
    <t>#MA.FUNC_ID</t>
  </si>
  <si>
    <t>#MA.FUNC_NM</t>
  </si>
  <si>
    <t>#MA.FCM_USR_ID</t>
  </si>
  <si>
    <t>#MA.FCM_USR_NM</t>
  </si>
  <si>
    <t>SMALL_LARGE</t>
  </si>
  <si>
    <t>K</t>
    <phoneticPr fontId="43"/>
  </si>
  <si>
    <t>K</t>
    <phoneticPr fontId="43"/>
  </si>
  <si>
    <t>LIST_LOGIC</t>
    <phoneticPr fontId="43"/>
  </si>
  <si>
    <t>lot_typ</t>
  </si>
  <si>
    <t>sublot_typ</t>
  </si>
  <si>
    <t>sno1_typ</t>
  </si>
  <si>
    <t>sno2_typ</t>
  </si>
  <si>
    <t>sno3_typ</t>
  </si>
  <si>
    <t>sno4_typ</t>
  </si>
  <si>
    <t>lot_exp_typ</t>
  </si>
  <si>
    <t>sublot_exp_typ</t>
  </si>
  <si>
    <t>sno1_exp_typ</t>
  </si>
  <si>
    <t>sno2_exp_typ</t>
  </si>
  <si>
    <t>sno3_exp_typ</t>
  </si>
  <si>
    <t>sno4_exp_typ</t>
  </si>
  <si>
    <t>lot_typ_nm</t>
  </si>
  <si>
    <t>sublot_typ_nm</t>
  </si>
  <si>
    <t>sno1_typ_nm</t>
  </si>
  <si>
    <t>sno2_typ_nm</t>
  </si>
  <si>
    <t>sno3_typ_nm</t>
  </si>
  <si>
    <t>sno4_typ_nm</t>
  </si>
  <si>
    <t>lot_exp_typ_nm</t>
  </si>
  <si>
    <t>sublot_exp_typ_nm</t>
  </si>
  <si>
    <t>sno1_exp_typ_nm</t>
  </si>
  <si>
    <t>sno2_exp_typ_nm</t>
  </si>
  <si>
    <t>sno3_exp_typ_nm</t>
  </si>
  <si>
    <t>sno4_exp_typ_nm</t>
  </si>
  <si>
    <t>LIST_IN</t>
  </si>
  <si>
    <t>LIST_IN_BASE</t>
  </si>
  <si>
    <t>mfg_purc_typ</t>
  </si>
  <si>
    <t>mfg_purc_typ_nm</t>
  </si>
  <si>
    <t>#MA.MFG_PURC_TYP</t>
  </si>
  <si>
    <t>#MA.MFG_PURC_TYP_NM</t>
  </si>
  <si>
    <t>削除処理を行う</t>
    <rPh sb="0" eb="2">
      <t>サクジョ</t>
    </rPh>
    <rPh sb="2" eb="4">
      <t>ショリ</t>
    </rPh>
    <rPh sb="5" eb="6">
      <t>オコナ</t>
    </rPh>
    <phoneticPr fontId="6"/>
  </si>
  <si>
    <t>登録処理を行う</t>
    <rPh sb="0" eb="2">
      <t>トウロク</t>
    </rPh>
    <rPh sb="2" eb="4">
      <t>ショリ</t>
    </rPh>
    <rPh sb="5" eb="6">
      <t>オコナ</t>
    </rPh>
    <phoneticPr fontId="6"/>
  </si>
  <si>
    <t>検索処理を行う</t>
    <rPh sb="0" eb="2">
      <t>ケンサク</t>
    </rPh>
    <rPh sb="2" eb="4">
      <t>ショリ</t>
    </rPh>
    <rPh sb="5" eb="6">
      <t>オコナ</t>
    </rPh>
    <phoneticPr fontId="6"/>
  </si>
  <si>
    <t>計算グループパタンマスタを削除する</t>
    <rPh sb="13" eb="15">
      <t>サクジョ</t>
    </rPh>
    <phoneticPr fontId="4"/>
  </si>
  <si>
    <t>削除処理</t>
    <rPh sb="0" eb="2">
      <t>サクジョ</t>
    </rPh>
    <rPh sb="2" eb="4">
      <t>ショリ</t>
    </rPh>
    <phoneticPr fontId="4"/>
  </si>
  <si>
    <t>計算グループパタンマスタを削除する前のチェックを行う</t>
    <rPh sb="13" eb="15">
      <t>サクジョ</t>
    </rPh>
    <rPh sb="17" eb="18">
      <t>マエ</t>
    </rPh>
    <rPh sb="24" eb="25">
      <t>オコナ</t>
    </rPh>
    <phoneticPr fontId="4"/>
  </si>
  <si>
    <t>削除前チェック</t>
    <rPh sb="0" eb="2">
      <t>サクジョ</t>
    </rPh>
    <rPh sb="2" eb="3">
      <t>マエ</t>
    </rPh>
    <phoneticPr fontId="4"/>
  </si>
  <si>
    <t>計算グループパタンマスタを登録する</t>
    <rPh sb="13" eb="15">
      <t>トウロク</t>
    </rPh>
    <phoneticPr fontId="4"/>
  </si>
  <si>
    <t>登録処理</t>
    <rPh sb="0" eb="2">
      <t>トウロク</t>
    </rPh>
    <rPh sb="2" eb="4">
      <t>ショリ</t>
    </rPh>
    <phoneticPr fontId="4"/>
  </si>
  <si>
    <t>計算グループパタンマスタを登録する前のチェックを行う</t>
    <rPh sb="13" eb="15">
      <t>トウロク</t>
    </rPh>
    <rPh sb="17" eb="18">
      <t>マエ</t>
    </rPh>
    <rPh sb="24" eb="25">
      <t>オコナ</t>
    </rPh>
    <phoneticPr fontId="4"/>
  </si>
  <si>
    <t>登録前チェック</t>
    <rPh sb="0" eb="2">
      <t>トウロク</t>
    </rPh>
    <rPh sb="2" eb="3">
      <t>マエ</t>
    </rPh>
    <phoneticPr fontId="4"/>
  </si>
  <si>
    <t>000000</t>
    <phoneticPr fontId="7"/>
  </si>
  <si>
    <t xml:space="preserve">Ope.Name : </t>
    <phoneticPr fontId="7"/>
  </si>
  <si>
    <t>memo2</t>
    <phoneticPr fontId="7"/>
  </si>
  <si>
    <t>#MA.MST_MEMO2</t>
    <phoneticPr fontId="7"/>
  </si>
  <si>
    <t>Srch01_Rslt1</t>
    <phoneticPr fontId="7"/>
  </si>
  <si>
    <t>ins_usr_id</t>
    <phoneticPr fontId="7"/>
  </si>
  <si>
    <t>upd_usr_id</t>
    <phoneticPr fontId="7"/>
  </si>
  <si>
    <t>Pj.ID :</t>
    <phoneticPr fontId="7"/>
  </si>
  <si>
    <t>*</t>
    <phoneticPr fontId="7"/>
  </si>
  <si>
    <t>Gene.Type :</t>
    <phoneticPr fontId="7"/>
  </si>
  <si>
    <t>SuperLogicID :</t>
    <phoneticPr fontId="7"/>
  </si>
  <si>
    <t>ACType :</t>
    <phoneticPr fontId="7"/>
  </si>
  <si>
    <t>計算パタンＣＤ</t>
    <phoneticPr fontId="7"/>
  </si>
  <si>
    <t>E</t>
    <phoneticPr fontId="7"/>
  </si>
  <si>
    <t>手配ＮＯ３計算区分</t>
    <phoneticPr fontId="7"/>
  </si>
  <si>
    <t>手配ＮＯ４計算区分</t>
    <phoneticPr fontId="7"/>
  </si>
  <si>
    <t>サブロットＮＯ展開区分</t>
    <phoneticPr fontId="7"/>
  </si>
  <si>
    <t>手配ＮＯ２展開区分</t>
    <phoneticPr fontId="7"/>
  </si>
  <si>
    <t>手配ＮＯ３展開区分</t>
    <phoneticPr fontId="7"/>
  </si>
  <si>
    <t>手配ＮＯ４展開区分</t>
    <phoneticPr fontId="7"/>
  </si>
  <si>
    <t>標準端数処理区分</t>
    <phoneticPr fontId="7"/>
  </si>
  <si>
    <t>単価端数処理区分</t>
    <phoneticPr fontId="43"/>
  </si>
  <si>
    <t>単価小数部有効桁数</t>
    <phoneticPr fontId="7"/>
  </si>
  <si>
    <t>端数調整区分</t>
    <phoneticPr fontId="7"/>
  </si>
  <si>
    <t>仕掛区分</t>
    <phoneticPr fontId="7"/>
  </si>
  <si>
    <t>MAC_WIP_TYP</t>
    <phoneticPr fontId="7"/>
  </si>
  <si>
    <t>MAC_BD_AGG_TYP</t>
    <phoneticPr fontId="7"/>
  </si>
  <si>
    <t>MA.MAUAL0010.Expns</t>
    <phoneticPr fontId="43"/>
  </si>
  <si>
    <t>購買費目ＣＤ</t>
    <phoneticPr fontId="7"/>
  </si>
  <si>
    <t>外注費目ＣＤ</t>
    <phoneticPr fontId="7"/>
  </si>
  <si>
    <t>投入費目ＣＤ</t>
    <phoneticPr fontId="7"/>
  </si>
  <si>
    <t>MAC_EXPNS_TYP.PROD</t>
    <phoneticPr fontId="7"/>
  </si>
  <si>
    <t>expns_typ</t>
    <phoneticPr fontId="7"/>
  </si>
  <si>
    <t>MAC_EXPNS_TYP.SPPL</t>
    <phoneticPr fontId="7"/>
  </si>
  <si>
    <t>MAC_EXP_ALLOC_TYP</t>
    <phoneticPr fontId="7"/>
  </si>
  <si>
    <t>論理削除</t>
    <phoneticPr fontId="7"/>
  </si>
  <si>
    <t>手配ＮＯ１計算区分</t>
    <phoneticPr fontId="7"/>
  </si>
  <si>
    <t>更新カウンタ</t>
    <phoneticPr fontId="7"/>
  </si>
  <si>
    <t>計算パタン名</t>
    <phoneticPr fontId="7"/>
  </si>
  <si>
    <t>計算グループ名</t>
    <phoneticPr fontId="7"/>
  </si>
  <si>
    <t>論理削除ＦＬＧ（オン）</t>
    <phoneticPr fontId="7"/>
  </si>
  <si>
    <t>製造購買区分名</t>
    <phoneticPr fontId="7"/>
  </si>
  <si>
    <t>MAC_EVAL_TYP</t>
    <phoneticPr fontId="7"/>
  </si>
  <si>
    <t>金額評価区分名</t>
    <phoneticPr fontId="7"/>
  </si>
  <si>
    <t>ロットＮＯ計算区分名</t>
    <phoneticPr fontId="7"/>
  </si>
  <si>
    <t>手配ＮＯ１計算区分名</t>
    <phoneticPr fontId="7"/>
  </si>
  <si>
    <t>0:8</t>
    <phoneticPr fontId="43"/>
  </si>
  <si>
    <t>ID</t>
    <phoneticPr fontId="7"/>
  </si>
  <si>
    <t>Ope.ID :</t>
    <phoneticPr fontId="7"/>
  </si>
  <si>
    <t xml:space="preserve">Ope.Body : </t>
    <phoneticPr fontId="7"/>
  </si>
  <si>
    <t>Ope.Method :</t>
    <phoneticPr fontId="7"/>
  </si>
  <si>
    <t>SuperClassPj.ID :</t>
    <phoneticPr fontId="7"/>
  </si>
  <si>
    <t>ALL</t>
    <phoneticPr fontId="7"/>
  </si>
  <si>
    <t>E</t>
    <phoneticPr fontId="43"/>
  </si>
  <si>
    <t>MA.MAUAL0010.CalcPtn</t>
    <phoneticPr fontId="43"/>
  </si>
  <si>
    <t>計算グループＣＤ</t>
    <phoneticPr fontId="7"/>
  </si>
  <si>
    <t>MA.MAUAL0010.CalcGrp</t>
    <phoneticPr fontId="43"/>
  </si>
  <si>
    <t>製造購買区分</t>
    <phoneticPr fontId="7"/>
  </si>
  <si>
    <t>MAC_MFG_PURC_TYP</t>
    <phoneticPr fontId="7"/>
  </si>
  <si>
    <t>金額評価区分</t>
    <phoneticPr fontId="7"/>
  </si>
  <si>
    <t>部門計算区分</t>
    <phoneticPr fontId="7"/>
  </si>
  <si>
    <t>MAC_UNIT_CALC_TYP</t>
    <phoneticPr fontId="43"/>
  </si>
  <si>
    <t>ロットＮＯ計算区分</t>
    <phoneticPr fontId="7"/>
  </si>
  <si>
    <t>サブロットＮＯ計算区分</t>
    <phoneticPr fontId="7"/>
  </si>
  <si>
    <t>手配ＮＯ２計算区分</t>
    <phoneticPr fontId="7"/>
  </si>
  <si>
    <t>ロットＮＯ展開区分</t>
    <phoneticPr fontId="7"/>
  </si>
  <si>
    <t>MAC_EXP_SET_TYP</t>
    <phoneticPr fontId="43"/>
  </si>
  <si>
    <t>手配ＮＯ１展開区分</t>
    <phoneticPr fontId="7"/>
  </si>
  <si>
    <t>MAC_RND_TYP</t>
    <phoneticPr fontId="43"/>
  </si>
  <si>
    <t>標準小数部有効桁数</t>
    <phoneticPr fontId="7"/>
  </si>
  <si>
    <t>MAC_ADJ_TYP</t>
    <phoneticPr fontId="7"/>
  </si>
  <si>
    <t>内訳集計区分</t>
    <phoneticPr fontId="7"/>
  </si>
  <si>
    <t>調整費目ＣＤ</t>
    <phoneticPr fontId="7"/>
  </si>
  <si>
    <t>自給費目ＣＤ</t>
    <phoneticPr fontId="7"/>
  </si>
  <si>
    <t>有償差額費目ＣＤ</t>
    <phoneticPr fontId="7"/>
  </si>
  <si>
    <t>展開割付区分</t>
    <phoneticPr fontId="7"/>
  </si>
  <si>
    <t>メモ１</t>
    <phoneticPr fontId="7"/>
  </si>
  <si>
    <t>メモ２</t>
    <phoneticPr fontId="7"/>
  </si>
  <si>
    <t>メモ３</t>
    <phoneticPr fontId="7"/>
  </si>
  <si>
    <t>更新カウンタ</t>
    <phoneticPr fontId="43"/>
  </si>
  <si>
    <t>super/share</t>
    <phoneticPr fontId="7"/>
  </si>
  <si>
    <t>MA.MABGL0110.GrpPtn_UpdChk01.GrpPtn_UpdChk01_Dtl</t>
    <phoneticPr fontId="7"/>
  </si>
  <si>
    <t>L</t>
    <phoneticPr fontId="43"/>
  </si>
  <si>
    <t>単価端数処理区分</t>
    <phoneticPr fontId="7"/>
  </si>
  <si>
    <t>MA.MABGL0110.GrpPtn_DelChk01.GrpPtn_DelChk01_Dtl</t>
    <phoneticPr fontId="7"/>
  </si>
  <si>
    <t>論理削除ＦＬＧ（オフ）</t>
    <phoneticPr fontId="7"/>
  </si>
  <si>
    <t>MAC_UNIT_CALC_TYP</t>
    <phoneticPr fontId="7"/>
  </si>
  <si>
    <t>部門計算区分名</t>
    <phoneticPr fontId="7"/>
  </si>
  <si>
    <t>サブロットＮＯ計算区分名</t>
    <phoneticPr fontId="7"/>
  </si>
  <si>
    <t>手配ＮＯ２計算区分名</t>
    <phoneticPr fontId="7"/>
  </si>
  <si>
    <t>手配ＮＯ３計算区分名</t>
    <phoneticPr fontId="7"/>
  </si>
  <si>
    <t>手配ＮＯ４計算区分名</t>
    <phoneticPr fontId="7"/>
  </si>
  <si>
    <t>MAC_EXP_SET_TYP</t>
    <phoneticPr fontId="7"/>
  </si>
  <si>
    <t>ロットＮＯ展開区分名</t>
    <phoneticPr fontId="7"/>
  </si>
  <si>
    <t>サブロットＮＯ展開区分名</t>
    <phoneticPr fontId="7"/>
  </si>
  <si>
    <t>手配ＮＯ１展開区分名</t>
    <phoneticPr fontId="7"/>
  </si>
  <si>
    <t>手配ＮＯ２展開区分名</t>
    <phoneticPr fontId="7"/>
  </si>
  <si>
    <t>手配ＮＯ３展開区分名</t>
    <phoneticPr fontId="7"/>
  </si>
  <si>
    <t>手配ＮＯ４展開区分名</t>
    <phoneticPr fontId="7"/>
  </si>
  <si>
    <t>MAC_RND_TYP</t>
    <phoneticPr fontId="7"/>
  </si>
  <si>
    <t>標準端数処理区分名</t>
    <phoneticPr fontId="7"/>
  </si>
  <si>
    <t>単価端数処理区分名</t>
    <phoneticPr fontId="7"/>
  </si>
  <si>
    <t>端数調整区分名</t>
    <phoneticPr fontId="7"/>
  </si>
  <si>
    <t>仕掛区分名</t>
    <phoneticPr fontId="7"/>
  </si>
  <si>
    <t>内訳集計区分名</t>
    <phoneticPr fontId="7"/>
  </si>
  <si>
    <t>調整費目名</t>
    <phoneticPr fontId="7"/>
  </si>
  <si>
    <t>購買費目名</t>
    <phoneticPr fontId="7"/>
  </si>
  <si>
    <t>外注費目名</t>
    <phoneticPr fontId="7"/>
  </si>
  <si>
    <t>投入費目名</t>
    <phoneticPr fontId="7"/>
  </si>
  <si>
    <t>自給費目名</t>
    <phoneticPr fontId="7"/>
  </si>
  <si>
    <t>有償差額費目名</t>
    <phoneticPr fontId="7"/>
  </si>
  <si>
    <t>展開割付区分名</t>
    <phoneticPr fontId="7"/>
  </si>
  <si>
    <t>登録ユーザＩＤ</t>
    <phoneticPr fontId="7"/>
  </si>
  <si>
    <t>登録ユーザ名</t>
    <phoneticPr fontId="7"/>
  </si>
  <si>
    <t>登録日時</t>
    <phoneticPr fontId="7"/>
  </si>
  <si>
    <t>登録機能ＩＤ</t>
    <phoneticPr fontId="7"/>
  </si>
  <si>
    <t>登録機能名</t>
    <phoneticPr fontId="7"/>
  </si>
  <si>
    <t>更新ユーザＩＤ</t>
    <phoneticPr fontId="7"/>
  </si>
  <si>
    <t>更新ユーザ名</t>
    <phoneticPr fontId="7"/>
  </si>
  <si>
    <t>更新日時</t>
    <phoneticPr fontId="7"/>
  </si>
  <si>
    <t>更新機能ＩＤ</t>
    <phoneticPr fontId="7"/>
  </si>
  <si>
    <t>更新機能名</t>
    <phoneticPr fontId="7"/>
  </si>
  <si>
    <t>更新リクエストＮＯ</t>
    <phoneticPr fontId="7"/>
  </si>
  <si>
    <t>論理削除ユーザＩＤ</t>
    <phoneticPr fontId="7"/>
  </si>
  <si>
    <t>論理削除ユーザ名</t>
    <phoneticPr fontId="7"/>
  </si>
  <si>
    <t>論理削除日時</t>
    <phoneticPr fontId="7"/>
  </si>
  <si>
    <t>MA.MABGL0110.GrpPtn_Upd01.GrpPtn_Upd01_Dtl</t>
    <phoneticPr fontId="7"/>
  </si>
  <si>
    <t>GrpPtn_UpdChk01_Dtl</t>
    <phoneticPr fontId="7"/>
  </si>
  <si>
    <t>GrpPtn_Upd01_Dtl</t>
    <phoneticPr fontId="7"/>
  </si>
  <si>
    <t>MA.MABGL0110.GrpPtn_Del01.GrpPtn_Del01_Dtl</t>
    <phoneticPr fontId="7"/>
  </si>
  <si>
    <t>GrpPtn_DelChk01_Dtl</t>
    <phoneticPr fontId="7"/>
  </si>
  <si>
    <t>GrpPtn_Del01_Dtl</t>
    <phoneticPr fontId="7"/>
  </si>
  <si>
    <t>MA.MAUDL5010</t>
    <phoneticPr fontId="7"/>
  </si>
  <si>
    <t>"mcframe.serverMAUD.MAUDL6010.MAUDL_RLUpdater"</t>
    <phoneticPr fontId="7"/>
  </si>
  <si>
    <t>"mcframe.serverMAUD.MAUDL6010.MAUDL_RLDeleter"</t>
    <phoneticPr fontId="7"/>
  </si>
  <si>
    <t>"mcframe.serverMAUD.MAUDL6010.MAUDL_RLSearcher"</t>
    <phoneticPr fontId="7"/>
  </si>
  <si>
    <t>DBC:MA.MAM_GRP_PTN</t>
    <phoneticPr fontId="43"/>
  </si>
  <si>
    <t>DBC.MA.MAM_GRP_PTN</t>
    <phoneticPr fontId="7"/>
  </si>
  <si>
    <t>オペレーション実装仕様書
Operation Specification Implementation Sheet</t>
    <phoneticPr fontId="7"/>
  </si>
  <si>
    <t>ブロック名
Block Name</t>
    <phoneticPr fontId="7"/>
  </si>
  <si>
    <t>型
Type</t>
    <phoneticPr fontId="7"/>
  </si>
  <si>
    <t>対象ブロック名
Target Block Name</t>
    <phoneticPr fontId="7"/>
  </si>
  <si>
    <t>項目名
Field Name</t>
    <phoneticPr fontId="7"/>
  </si>
  <si>
    <t>型
Type</t>
    <phoneticPr fontId="7"/>
  </si>
  <si>
    <t>桁
Digits</t>
    <phoneticPr fontId="7"/>
  </si>
  <si>
    <t>フルネーム
Full Name</t>
    <phoneticPr fontId="7"/>
  </si>
  <si>
    <t>日本語名
Japanese Name</t>
    <phoneticPr fontId="7"/>
  </si>
  <si>
    <t>上り項目
Request Message Field</t>
    <phoneticPr fontId="7"/>
  </si>
  <si>
    <t>下り項目
Response Message Field</t>
    <phoneticPr fontId="7"/>
  </si>
  <si>
    <t>条件および編集方法
Conditions and Editing Methods</t>
    <phoneticPr fontId="7"/>
  </si>
  <si>
    <t>ブロック備考
Block Remarks</t>
    <phoneticPr fontId="7"/>
  </si>
  <si>
    <t>項目備考
Field Remarks</t>
    <phoneticPr fontId="7"/>
  </si>
  <si>
    <t>Calculation pattern cd.</t>
  </si>
  <si>
    <t>Calculation group cd.</t>
  </si>
  <si>
    <t>Mfg. purchase type</t>
  </si>
  <si>
    <t>Amount evaluation type</t>
  </si>
  <si>
    <t>Dept. calculation type</t>
  </si>
  <si>
    <t>Lot No. calculation type</t>
  </si>
  <si>
    <t>Sublot No. calculation type</t>
  </si>
  <si>
    <t>SEIBAN No. 1 calculation type</t>
  </si>
  <si>
    <t>SEIBAN No. 2 calculation type</t>
  </si>
  <si>
    <t>SEIBAN No. 3 calculation type</t>
  </si>
  <si>
    <t>SEIBAN No. 4 calculation type</t>
  </si>
  <si>
    <t>Lot No. explosion type</t>
  </si>
  <si>
    <t>Sublot No. explosion type</t>
  </si>
  <si>
    <t>SEIBAN No. 1 explosion type</t>
  </si>
  <si>
    <t>SEIBAN No. 2 explosion type</t>
  </si>
  <si>
    <t>SEIBAN No. 3 explosion type</t>
  </si>
  <si>
    <t>SEIBAN No. 4 explosion type</t>
  </si>
  <si>
    <t>Rounding type (Standard)</t>
  </si>
  <si>
    <t>Standard number of decimal places</t>
  </si>
  <si>
    <t>Rounding type (Unit price)</t>
  </si>
  <si>
    <t>Unit price number of decimal places</t>
  </si>
  <si>
    <t>Fraction adjustment type</t>
  </si>
  <si>
    <t>WIP type</t>
  </si>
  <si>
    <t>Breakdown aggregated type</t>
  </si>
  <si>
    <t>Adjustment cost element cd.</t>
  </si>
  <si>
    <t>Purchase cost element item cd.</t>
  </si>
  <si>
    <t>Subcontract cost element cd.</t>
  </si>
  <si>
    <t>Input cost element cd.</t>
  </si>
  <si>
    <t>Self supply cost element cd.</t>
  </si>
  <si>
    <t>Cost element cd. for gain or loss of chargeable item</t>
  </si>
  <si>
    <t>Explosion allocation type</t>
  </si>
  <si>
    <t>Memo 1</t>
  </si>
  <si>
    <t>Memo 2</t>
  </si>
  <si>
    <t>Memo 3</t>
  </si>
  <si>
    <t>Logical delete</t>
  </si>
  <si>
    <t>Update counter</t>
  </si>
  <si>
    <t>Calculation pattern name</t>
  </si>
  <si>
    <t>Calculation group name</t>
  </si>
  <si>
    <t>Logical delete flg. (Off)</t>
  </si>
  <si>
    <t>Logical delete flg. (On)</t>
  </si>
  <si>
    <t>Mfg. purchase type name</t>
  </si>
  <si>
    <t>Amount evaluation type name</t>
  </si>
  <si>
    <t>Dept. calculation type name</t>
  </si>
  <si>
    <t>Lot No. calculation type name</t>
  </si>
  <si>
    <t>Sublot No. calculation type name</t>
  </si>
  <si>
    <t>SEIBAN No. 1 calculation type name</t>
  </si>
  <si>
    <t>SEIBAN No. 2 calculation type name</t>
  </si>
  <si>
    <t>SEIBAN No. 3 calculation type name</t>
  </si>
  <si>
    <t>SEIBAN No. 4 calculation type name</t>
  </si>
  <si>
    <t>Lot No. explosion type name</t>
  </si>
  <si>
    <t>Sublot No. explosion type name</t>
  </si>
  <si>
    <t>SEIBAN No. 1 explosion type name</t>
  </si>
  <si>
    <t>SEIBAN No. 2 explosion type name</t>
  </si>
  <si>
    <t>SEIBAN No. 3 explosion type name</t>
  </si>
  <si>
    <t>SEIBAN No. 4 explosion type name</t>
  </si>
  <si>
    <t>Rounding type name (Standard)</t>
  </si>
  <si>
    <t>Rounding type name (Unit price)</t>
  </si>
  <si>
    <t>Fraction adjustment type name</t>
  </si>
  <si>
    <t>WIP type name</t>
  </si>
  <si>
    <t>Aggregated breakdown type name</t>
  </si>
  <si>
    <t>Adjustment cost element name</t>
  </si>
  <si>
    <t>Purchase cost element name</t>
  </si>
  <si>
    <t>Subcontract cost element name</t>
  </si>
  <si>
    <t>Input cost element name</t>
  </si>
  <si>
    <t>Self supply cost element name</t>
  </si>
  <si>
    <t>Gain or loss of chargeable supply cost element name</t>
  </si>
  <si>
    <t>Explosion allocation type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</si>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</sst>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0.00_)"/>
    <numFmt numFmtId="179" formatCode="&quot;$&quot;#,##0_);[Red]\(&quot;$&quot;#,##0\)"/>
  </numFmts>
  <fonts count="56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3"/>
      <charset val="128"/>
    </font>
    <font>
      <sz val="6"/>
      <name val="ＭＳ ゴシック"/>
      <family val="3"/>
      <charset val="128"/>
    </font>
    <font>
      <sz val="11"/>
      <name val="明朝"/>
      <family val="1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9"/>
      <name val="ＭＳ 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320">
    <xf numFmtId="0" fontId="0" fillId="0" borderId="0">
      <alignment vertical="top" wrapText="1"/>
    </xf>
    <xf numFmtId="0" fontId="26" fillId="0" borderId="0"/>
    <xf numFmtId="0" fontId="26" fillId="0" borderId="0"/>
    <xf numFmtId="0" fontId="9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176" fontId="27" fillId="0" borderId="0" applyFill="0" applyBorder="0" applyAlignment="0"/>
    <xf numFmtId="0" fontId="28" fillId="0" borderId="1" applyNumberFormat="0" applyAlignment="0" applyProtection="0">
      <alignment horizontal="left" vertical="center"/>
    </xf>
    <xf numFmtId="0" fontId="28" fillId="0" borderId="2">
      <alignment horizontal="left" vertical="center"/>
    </xf>
    <xf numFmtId="0" fontId="29" fillId="0" borderId="0"/>
    <xf numFmtId="0" fontId="30" fillId="0" borderId="0" applyNumberFormat="0" applyFont="0" applyFill="0" applyBorder="0" applyAlignment="0" applyProtection="0">
      <alignment horizontal="left"/>
    </xf>
    <xf numFmtId="0" fontId="31" fillId="0" borderId="3">
      <alignment horizontal="center"/>
    </xf>
    <xf numFmtId="0" fontId="32" fillId="0" borderId="0">
      <alignment wrapText="1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2" fillId="24" borderId="4" applyNumberFormat="0" applyAlignment="0" applyProtection="0">
      <alignment vertical="center"/>
    </xf>
    <xf numFmtId="0" fontId="12" fillId="24" borderId="4" applyNumberFormat="0" applyAlignment="0" applyProtection="0">
      <alignment vertical="center"/>
    </xf>
    <xf numFmtId="0" fontId="12" fillId="24" borderId="4" applyNumberFormat="0" applyAlignment="0" applyProtection="0">
      <alignment vertical="center"/>
    </xf>
    <xf numFmtId="0" fontId="12" fillId="24" borderId="4" applyNumberFormat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8" fillId="7" borderId="5" applyNumberFormat="0" applyFont="0" applyAlignment="0" applyProtection="0">
      <alignment vertical="center"/>
    </xf>
    <xf numFmtId="0" fontId="35" fillId="7" borderId="5" applyNumberFormat="0" applyFont="0" applyAlignment="0" applyProtection="0">
      <alignment vertical="center"/>
    </xf>
    <xf numFmtId="0" fontId="35" fillId="7" borderId="5" applyNumberFormat="0" applyFont="0" applyAlignment="0" applyProtection="0">
      <alignment vertical="center"/>
    </xf>
    <xf numFmtId="0" fontId="35" fillId="7" borderId="5" applyNumberFormat="0" applyFon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42" fillId="0" borderId="0"/>
    <xf numFmtId="0" fontId="15" fillId="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25" borderId="8" applyNumberFormat="0" applyAlignment="0" applyProtection="0">
      <alignment vertical="center"/>
    </xf>
    <xf numFmtId="0" fontId="36" fillId="26" borderId="8" applyNumberFormat="0" applyAlignment="0" applyProtection="0">
      <alignment vertical="center"/>
    </xf>
    <xf numFmtId="0" fontId="36" fillId="26" borderId="8" applyNumberFormat="0" applyAlignment="0" applyProtection="0">
      <alignment vertical="center"/>
    </xf>
    <xf numFmtId="0" fontId="36" fillId="26" borderId="8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37" fillId="0" borderId="10" applyNumberFormat="0" applyFill="0" applyAlignment="0" applyProtection="0">
      <alignment vertical="center"/>
    </xf>
    <xf numFmtId="0" fontId="37" fillId="0" borderId="10" applyNumberFormat="0" applyFill="0" applyAlignment="0" applyProtection="0">
      <alignment vertical="center"/>
    </xf>
    <xf numFmtId="0" fontId="37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25" borderId="17" applyNumberFormat="0" applyAlignment="0" applyProtection="0">
      <alignment vertical="center"/>
    </xf>
    <xf numFmtId="0" fontId="22" fillId="26" borderId="17" applyNumberFormat="0" applyAlignment="0" applyProtection="0">
      <alignment vertical="center"/>
    </xf>
    <xf numFmtId="0" fontId="22" fillId="26" borderId="17" applyNumberFormat="0" applyAlignment="0" applyProtection="0">
      <alignment vertical="center"/>
    </xf>
    <xf numFmtId="0" fontId="22" fillId="26" borderId="17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9" borderId="8" applyNumberFormat="0" applyAlignment="0" applyProtection="0">
      <alignment vertical="center"/>
    </xf>
    <xf numFmtId="0" fontId="24" fillId="12" borderId="8" applyNumberFormat="0" applyAlignment="0" applyProtection="0">
      <alignment vertical="center"/>
    </xf>
    <xf numFmtId="0" fontId="24" fillId="12" borderId="8" applyNumberFormat="0" applyAlignment="0" applyProtection="0">
      <alignment vertical="center"/>
    </xf>
    <xf numFmtId="0" fontId="24" fillId="12" borderId="8" applyNumberFormat="0" applyAlignment="0" applyProtection="0">
      <alignment vertical="center"/>
    </xf>
    <xf numFmtId="0" fontId="9" fillId="0" borderId="0">
      <alignment vertical="center"/>
    </xf>
    <xf numFmtId="0" fontId="35" fillId="0" borderId="0"/>
    <xf numFmtId="0" fontId="40" fillId="0" borderId="0"/>
    <xf numFmtId="0" fontId="35" fillId="0" borderId="0"/>
    <xf numFmtId="0" fontId="35" fillId="0" borderId="0"/>
    <xf numFmtId="0" fontId="35" fillId="0" borderId="0"/>
    <xf numFmtId="0" fontId="6" fillId="0" borderId="0"/>
    <xf numFmtId="0" fontId="42" fillId="0" borderId="0"/>
    <xf numFmtId="0" fontId="32" fillId="0" borderId="0">
      <alignment vertical="center"/>
    </xf>
    <xf numFmtId="0" fontId="35" fillId="0" borderId="0">
      <alignment vertical="center"/>
    </xf>
    <xf numFmtId="0" fontId="32" fillId="0" borderId="0">
      <alignment vertical="center"/>
    </xf>
    <xf numFmtId="0" fontId="35" fillId="0" borderId="0"/>
    <xf numFmtId="0" fontId="41" fillId="0" borderId="0"/>
    <xf numFmtId="0" fontId="25" fillId="6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8" fillId="0" borderId="0">
      <alignment vertical="top" wrapText="1"/>
    </xf>
    <xf numFmtId="0" fontId="9" fillId="2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24" borderId="4" applyNumberFormat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8" fillId="7" borderId="5" applyNumberFormat="0" applyFon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6" fillId="25" borderId="8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25" borderId="17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9" borderId="8" applyNumberFormat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44" fillId="0" borderId="0"/>
    <xf numFmtId="0" fontId="9" fillId="2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8" fillId="7" borderId="5" applyNumberFormat="0" applyFon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42" fillId="0" borderId="0"/>
    <xf numFmtId="0" fontId="15" fillId="4" borderId="0" applyNumberFormat="0" applyBorder="0" applyAlignment="0" applyProtection="0">
      <alignment vertical="center"/>
    </xf>
    <xf numFmtId="0" fontId="16" fillId="25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25" borderId="17" applyNumberFormat="0" applyAlignment="0" applyProtection="0">
      <alignment vertical="center"/>
    </xf>
    <xf numFmtId="0" fontId="24" fillId="9" borderId="8" applyNumberFormat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42" fillId="0" borderId="0"/>
    <xf numFmtId="0" fontId="44" fillId="0" borderId="0"/>
    <xf numFmtId="0" fontId="5" fillId="0" borderId="0">
      <alignment vertical="center"/>
    </xf>
    <xf numFmtId="0" fontId="5" fillId="0" borderId="0">
      <alignment vertical="center"/>
    </xf>
    <xf numFmtId="0" fontId="44" fillId="0" borderId="0"/>
    <xf numFmtId="0" fontId="5" fillId="0" borderId="0">
      <alignment vertical="center"/>
    </xf>
    <xf numFmtId="0" fontId="5" fillId="0" borderId="0">
      <alignment vertical="center"/>
    </xf>
    <xf numFmtId="0" fontId="42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top"/>
    </xf>
    <xf numFmtId="38" fontId="46" fillId="0" borderId="0" applyFont="0" applyFill="0" applyBorder="0" applyAlignment="0" applyProtection="0"/>
    <xf numFmtId="38" fontId="46" fillId="0" borderId="0" applyFont="0" applyFill="0" applyBorder="0" applyAlignment="0" applyProtection="0"/>
    <xf numFmtId="179" fontId="46" fillId="0" borderId="0" applyFont="0" applyFill="0" applyBorder="0" applyAlignment="0" applyProtection="0"/>
    <xf numFmtId="38" fontId="47" fillId="30" borderId="0" applyNumberFormat="0" applyBorder="0" applyAlignment="0" applyProtection="0"/>
    <xf numFmtId="10" fontId="47" fillId="31" borderId="20" applyNumberFormat="0" applyBorder="0" applyAlignment="0" applyProtection="0"/>
    <xf numFmtId="178" fontId="48" fillId="0" borderId="0"/>
    <xf numFmtId="10" fontId="29" fillId="0" borderId="0" applyFont="0" applyFill="0" applyBorder="0" applyAlignment="0" applyProtection="0"/>
    <xf numFmtId="0" fontId="8" fillId="0" borderId="0"/>
    <xf numFmtId="0" fontId="8" fillId="0" borderId="0" applyNumberFormat="0"/>
    <xf numFmtId="0" fontId="45" fillId="0" borderId="0" applyBorder="0" applyAlignment="0"/>
    <xf numFmtId="0" fontId="35" fillId="0" borderId="0"/>
    <xf numFmtId="0" fontId="8" fillId="0" borderId="0">
      <alignment vertical="top"/>
    </xf>
    <xf numFmtId="0" fontId="8" fillId="0" borderId="0">
      <alignment vertical="top"/>
    </xf>
    <xf numFmtId="0" fontId="49" fillId="0" borderId="0">
      <alignment vertical="center"/>
    </xf>
    <xf numFmtId="0" fontId="8" fillId="0" borderId="0" applyNumberFormat="0"/>
    <xf numFmtId="0" fontId="45" fillId="0" borderId="0">
      <alignment vertical="center"/>
    </xf>
    <xf numFmtId="0" fontId="8" fillId="0" borderId="0" applyNumberFormat="0"/>
    <xf numFmtId="0" fontId="8" fillId="0" borderId="0">
      <alignment vertical="top"/>
    </xf>
    <xf numFmtId="0" fontId="8" fillId="0" borderId="0">
      <alignment vertical="top"/>
    </xf>
    <xf numFmtId="38" fontId="35" fillId="0" borderId="0" applyFont="0" applyFill="0" applyBorder="0" applyAlignment="0" applyProtection="0"/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4" fillId="0" borderId="0">
      <alignment vertical="center"/>
    </xf>
    <xf numFmtId="0" fontId="8" fillId="0" borderId="0">
      <alignment vertical="top" wrapText="1"/>
    </xf>
    <xf numFmtId="0" fontId="4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8" fillId="0" borderId="0">
      <alignment vertical="top" wrapText="1"/>
    </xf>
    <xf numFmtId="0" fontId="44" fillId="0" borderId="0"/>
    <xf numFmtId="0" fontId="44" fillId="0" borderId="0"/>
    <xf numFmtId="0" fontId="3" fillId="0" borderId="0">
      <alignment vertical="center"/>
    </xf>
    <xf numFmtId="0" fontId="42" fillId="0" borderId="0"/>
    <xf numFmtId="0" fontId="3" fillId="0" borderId="0">
      <alignment vertical="center"/>
    </xf>
    <xf numFmtId="0" fontId="3" fillId="0" borderId="0">
      <alignment vertical="center"/>
    </xf>
    <xf numFmtId="0" fontId="44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>
      <alignment vertical="top" wrapText="1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>
      <alignment vertical="top" wrapText="1"/>
    </xf>
    <xf numFmtId="0" fontId="44" fillId="0" borderId="0"/>
    <xf numFmtId="0" fontId="2" fillId="0" borderId="0">
      <alignment vertical="center"/>
    </xf>
    <xf numFmtId="0" fontId="2" fillId="0" borderId="0">
      <alignment vertical="center"/>
    </xf>
    <xf numFmtId="0" fontId="8" fillId="0" borderId="0">
      <alignment vertical="top" wrapText="1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>
      <alignment vertical="top"/>
    </xf>
    <xf numFmtId="0" fontId="49" fillId="0" borderId="0">
      <alignment vertical="center"/>
    </xf>
    <xf numFmtId="0" fontId="2" fillId="0" borderId="0">
      <alignment vertical="center"/>
    </xf>
    <xf numFmtId="0" fontId="8" fillId="0" borderId="0">
      <alignment vertical="top" wrapText="1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0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8" fillId="0" borderId="0">
      <alignment vertical="top" wrapText="1"/>
    </xf>
    <xf numFmtId="0" fontId="6" fillId="0" borderId="0"/>
    <xf numFmtId="0" fontId="42" fillId="0" borderId="0"/>
    <xf numFmtId="0" fontId="49" fillId="0" borderId="0">
      <alignment vertical="center"/>
    </xf>
    <xf numFmtId="0" fontId="8" fillId="0" borderId="0">
      <alignment vertical="top"/>
    </xf>
    <xf numFmtId="0" fontId="42" fillId="0" borderId="0"/>
    <xf numFmtId="0" fontId="8" fillId="0" borderId="0">
      <alignment vertical="top"/>
    </xf>
    <xf numFmtId="38" fontId="35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35" fillId="0" borderId="0"/>
    <xf numFmtId="0" fontId="40" fillId="0" borderId="0"/>
    <xf numFmtId="0" fontId="3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50" fillId="0" borderId="0">
      <alignment vertical="center"/>
    </xf>
    <xf numFmtId="0" fontId="44" fillId="0" borderId="0"/>
    <xf numFmtId="0" fontId="44" fillId="0" borderId="0"/>
    <xf numFmtId="0" fontId="8" fillId="0" borderId="0">
      <alignment vertical="top" wrapText="1"/>
    </xf>
    <xf numFmtId="0" fontId="6" fillId="0" borderId="0"/>
    <xf numFmtId="0" fontId="8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0" fillId="0" borderId="0">
      <alignment vertical="center"/>
    </xf>
    <xf numFmtId="0" fontId="44" fillId="0" borderId="0"/>
    <xf numFmtId="0" fontId="8" fillId="0" borderId="0">
      <alignment vertical="top" wrapText="1"/>
    </xf>
    <xf numFmtId="0" fontId="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1" fillId="0" borderId="0" applyNumberFormat="0" applyFill="0" applyBorder="0" applyAlignment="0" applyProtection="0">
      <alignment vertical="top"/>
      <protection locked="0"/>
    </xf>
    <xf numFmtId="0" fontId="8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53">
    <xf numFmtId="0" fontId="0" fillId="0" borderId="0" xfId="0">
      <alignment vertical="top" wrapText="1"/>
    </xf>
    <xf numFmtId="0" fontId="52" fillId="0" borderId="18" xfId="0" applyFont="1" applyBorder="1" applyAlignment="1">
      <alignment vertical="center"/>
    </xf>
    <xf numFmtId="0" fontId="52" fillId="0" borderId="18" xfId="0" applyFont="1" applyBorder="1" applyAlignment="1">
      <alignment horizontal="left" vertical="top"/>
    </xf>
    <xf numFmtId="0" fontId="52" fillId="0" borderId="18" xfId="0" applyFont="1" applyBorder="1" applyAlignment="1">
      <alignment vertical="top"/>
    </xf>
    <xf numFmtId="0" fontId="52" fillId="0" borderId="0" xfId="0" applyFont="1" applyAlignment="1">
      <alignment vertical="top"/>
    </xf>
    <xf numFmtId="0" fontId="52" fillId="0" borderId="0" xfId="0" applyFont="1" applyAlignment="1">
      <alignment vertical="center"/>
    </xf>
    <xf numFmtId="0" fontId="52" fillId="0" borderId="19" xfId="0" applyFont="1" applyBorder="1" applyAlignment="1">
      <alignment vertical="top"/>
    </xf>
    <xf numFmtId="0" fontId="52" fillId="0" borderId="20" xfId="0" applyFont="1" applyBorder="1" applyAlignment="1">
      <alignment vertical="top"/>
    </xf>
    <xf numFmtId="20" fontId="52" fillId="27" borderId="20" xfId="0" applyNumberFormat="1" applyFont="1" applyFill="1" applyBorder="1" applyAlignment="1">
      <alignment horizontal="left" vertical="top"/>
    </xf>
    <xf numFmtId="0" fontId="52" fillId="27" borderId="20" xfId="0" applyFont="1" applyFill="1" applyBorder="1" applyAlignment="1">
      <alignment vertical="top"/>
    </xf>
    <xf numFmtId="0" fontId="52" fillId="27" borderId="20" xfId="0" quotePrefix="1" applyFont="1" applyFill="1" applyBorder="1" applyAlignment="1">
      <alignment vertical="top"/>
    </xf>
    <xf numFmtId="0" fontId="52" fillId="0" borderId="0" xfId="0" applyFont="1">
      <alignment vertical="top" wrapText="1"/>
    </xf>
    <xf numFmtId="0" fontId="52" fillId="27" borderId="20" xfId="0" applyFont="1" applyFill="1" applyBorder="1" applyAlignment="1">
      <alignment horizontal="left" vertical="top"/>
    </xf>
    <xf numFmtId="0" fontId="52" fillId="28" borderId="20" xfId="179" applyFont="1" applyFill="1" applyBorder="1" applyAlignment="1">
      <alignment vertical="top"/>
    </xf>
    <xf numFmtId="0" fontId="52" fillId="0" borderId="0" xfId="0" applyFont="1" applyAlignment="1"/>
    <xf numFmtId="0" fontId="52" fillId="0" borderId="23" xfId="0" applyFont="1" applyBorder="1" applyAlignment="1">
      <alignment vertical="top"/>
    </xf>
    <xf numFmtId="0" fontId="52" fillId="28" borderId="2" xfId="0" applyFont="1" applyFill="1" applyBorder="1" applyAlignment="1">
      <alignment vertical="top"/>
    </xf>
    <xf numFmtId="0" fontId="52" fillId="28" borderId="2" xfId="0" applyFont="1" applyFill="1" applyBorder="1" applyAlignment="1">
      <alignment horizontal="left" vertical="top"/>
    </xf>
    <xf numFmtId="0" fontId="52" fillId="28" borderId="24" xfId="0" applyFont="1" applyFill="1" applyBorder="1" applyAlignment="1">
      <alignment vertical="top"/>
    </xf>
    <xf numFmtId="0" fontId="52" fillId="0" borderId="18" xfId="0" applyFont="1" applyBorder="1">
      <alignment vertical="top" wrapText="1"/>
    </xf>
    <xf numFmtId="0" fontId="52" fillId="0" borderId="22" xfId="0" applyFont="1" applyBorder="1">
      <alignment vertical="top" wrapText="1"/>
    </xf>
    <xf numFmtId="0" fontId="52" fillId="0" borderId="19" xfId="0" applyFont="1" applyBorder="1" applyAlignment="1">
      <alignment vertical="center"/>
    </xf>
    <xf numFmtId="0" fontId="52" fillId="0" borderId="19" xfId="0" applyFont="1" applyBorder="1" applyAlignment="1">
      <alignment horizontal="left" vertical="top"/>
    </xf>
    <xf numFmtId="0" fontId="52" fillId="0" borderId="21" xfId="0" applyFont="1" applyBorder="1" applyAlignment="1">
      <alignment vertical="top"/>
    </xf>
    <xf numFmtId="0" fontId="52" fillId="0" borderId="0" xfId="0" applyFont="1" applyAlignment="1">
      <alignment vertical="center" wrapText="1"/>
    </xf>
    <xf numFmtId="0" fontId="52" fillId="0" borderId="0" xfId="0" applyFont="1" applyAlignment="1">
      <alignment horizontal="left" vertical="top"/>
    </xf>
    <xf numFmtId="0" fontId="52" fillId="0" borderId="22" xfId="0" applyFont="1" applyBorder="1" applyAlignment="1">
      <alignment vertical="top"/>
    </xf>
    <xf numFmtId="0" fontId="52" fillId="0" borderId="0" xfId="0" applyFont="1" applyAlignment="1" applyProtection="1">
      <alignment vertical="center"/>
      <protection locked="0"/>
    </xf>
    <xf numFmtId="0" fontId="52" fillId="27" borderId="20" xfId="0" applyFont="1" applyFill="1" applyBorder="1" applyAlignment="1">
      <alignment vertical="center"/>
    </xf>
    <xf numFmtId="0" fontId="52" fillId="0" borderId="0" xfId="0" applyFont="1" applyAlignment="1" applyProtection="1">
      <alignment vertical="top"/>
      <protection locked="0"/>
    </xf>
    <xf numFmtId="0" fontId="52" fillId="27" borderId="19" xfId="0" applyFont="1" applyFill="1" applyBorder="1" applyAlignment="1" applyProtection="1">
      <alignment vertical="top"/>
      <protection locked="0"/>
    </xf>
    <xf numFmtId="0" fontId="52" fillId="0" borderId="19" xfId="0" applyFont="1" applyBorder="1" applyAlignment="1" applyProtection="1">
      <alignment vertical="top"/>
      <protection locked="0"/>
    </xf>
    <xf numFmtId="0" fontId="52" fillId="27" borderId="20" xfId="0" applyFont="1" applyFill="1" applyBorder="1" applyAlignment="1" applyProtection="1">
      <alignment vertical="top"/>
      <protection locked="0"/>
    </xf>
    <xf numFmtId="0" fontId="52" fillId="0" borderId="20" xfId="0" applyFont="1" applyBorder="1" applyAlignment="1" applyProtection="1">
      <alignment vertical="top"/>
      <protection locked="0"/>
    </xf>
    <xf numFmtId="0" fontId="52" fillId="27" borderId="20" xfId="181" applyFont="1" applyFill="1" applyBorder="1" applyAlignment="1">
      <alignment vertical="top"/>
    </xf>
    <xf numFmtId="0" fontId="52" fillId="0" borderId="27" xfId="0" applyFont="1" applyBorder="1" applyAlignment="1" applyProtection="1">
      <protection locked="0"/>
    </xf>
    <xf numFmtId="0" fontId="52" fillId="0" borderId="24" xfId="0" applyFont="1" applyBorder="1" applyAlignment="1" applyProtection="1">
      <protection locked="0"/>
    </xf>
    <xf numFmtId="0" fontId="52" fillId="27" borderId="27" xfId="0" applyFont="1" applyFill="1" applyBorder="1" applyAlignment="1">
      <alignment vertical="top"/>
    </xf>
    <xf numFmtId="0" fontId="52" fillId="27" borderId="24" xfId="0" applyFont="1" applyFill="1" applyBorder="1" applyAlignment="1">
      <alignment vertical="top"/>
    </xf>
    <xf numFmtId="0" fontId="52" fillId="27" borderId="27" xfId="0" applyFont="1" applyFill="1" applyBorder="1" applyAlignment="1" applyProtection="1">
      <alignment vertical="top"/>
      <protection locked="0"/>
    </xf>
    <xf numFmtId="0" fontId="52" fillId="27" borderId="2" xfId="0" applyFont="1" applyFill="1" applyBorder="1" applyAlignment="1" applyProtection="1">
      <alignment vertical="top"/>
      <protection locked="0"/>
    </xf>
    <xf numFmtId="0" fontId="52" fillId="0" borderId="2" xfId="0" applyFont="1" applyBorder="1" applyAlignment="1" applyProtection="1">
      <alignment vertical="top"/>
      <protection locked="0"/>
    </xf>
    <xf numFmtId="0" fontId="52" fillId="0" borderId="19" xfId="0" applyFont="1" applyBorder="1" applyAlignment="1" applyProtection="1">
      <protection locked="0"/>
    </xf>
    <xf numFmtId="0" fontId="52" fillId="0" borderId="2" xfId="0" applyFont="1" applyBorder="1" applyAlignment="1" applyProtection="1">
      <protection locked="0"/>
    </xf>
    <xf numFmtId="0" fontId="52" fillId="27" borderId="20" xfId="0" applyFont="1" applyFill="1" applyBorder="1" applyAlignment="1"/>
    <xf numFmtId="0" fontId="52" fillId="0" borderId="24" xfId="0" applyFont="1" applyBorder="1" applyAlignment="1"/>
    <xf numFmtId="0" fontId="52" fillId="0" borderId="27" xfId="0" applyFont="1" applyBorder="1" applyAlignment="1"/>
    <xf numFmtId="0" fontId="52" fillId="0" borderId="2" xfId="0" applyFont="1" applyBorder="1" applyAlignment="1"/>
    <xf numFmtId="0" fontId="52" fillId="27" borderId="20" xfId="0" applyFont="1" applyFill="1" applyBorder="1" applyAlignment="1" applyProtection="1">
      <protection locked="0"/>
    </xf>
    <xf numFmtId="0" fontId="52" fillId="28" borderId="24" xfId="0" applyFont="1" applyFill="1" applyBorder="1" applyAlignment="1" applyProtection="1">
      <protection locked="0"/>
    </xf>
    <xf numFmtId="0" fontId="52" fillId="27" borderId="20" xfId="0" applyFont="1" applyFill="1" applyBorder="1">
      <alignment vertical="top" wrapText="1"/>
    </xf>
    <xf numFmtId="0" fontId="52" fillId="28" borderId="20" xfId="0" applyFont="1" applyFill="1" applyBorder="1">
      <alignment vertical="top" wrapText="1"/>
    </xf>
    <xf numFmtId="0" fontId="52" fillId="0" borderId="27" xfId="0" applyFont="1" applyBorder="1" applyAlignment="1" applyProtection="1">
      <alignment vertical="top"/>
      <protection locked="0"/>
    </xf>
    <xf numFmtId="0" fontId="52" fillId="0" borderId="24" xfId="0" applyFont="1" applyBorder="1" applyAlignment="1" applyProtection="1">
      <alignment vertical="top"/>
      <protection locked="0"/>
    </xf>
    <xf numFmtId="0" fontId="52" fillId="27" borderId="26" xfId="0" applyFont="1" applyFill="1" applyBorder="1" applyAlignment="1" applyProtection="1">
      <alignment vertical="top"/>
      <protection locked="0"/>
    </xf>
    <xf numFmtId="0" fontId="52" fillId="27" borderId="0" xfId="0" applyFont="1" applyFill="1" applyAlignment="1" applyProtection="1">
      <alignment vertical="top"/>
      <protection locked="0"/>
    </xf>
    <xf numFmtId="0" fontId="52" fillId="0" borderId="23" xfId="0" applyFont="1" applyBorder="1">
      <alignment vertical="top" wrapText="1"/>
    </xf>
    <xf numFmtId="0" fontId="52" fillId="27" borderId="24" xfId="0" applyFont="1" applyFill="1" applyBorder="1" applyAlignment="1"/>
    <xf numFmtId="0" fontId="52" fillId="0" borderId="48" xfId="0" applyFont="1" applyBorder="1" applyAlignment="1" applyProtection="1">
      <alignment vertical="top"/>
      <protection locked="0"/>
    </xf>
    <xf numFmtId="0" fontId="52" fillId="0" borderId="20" xfId="0" applyFont="1" applyBorder="1" applyAlignment="1"/>
    <xf numFmtId="0" fontId="52" fillId="0" borderId="27" xfId="180" applyFont="1" applyBorder="1" applyAlignment="1">
      <alignment vertical="top"/>
    </xf>
    <xf numFmtId="0" fontId="52" fillId="0" borderId="24" xfId="180" applyFont="1" applyBorder="1" applyAlignment="1">
      <alignment vertical="top"/>
    </xf>
    <xf numFmtId="0" fontId="52" fillId="0" borderId="22" xfId="0" applyFont="1" applyBorder="1" applyAlignment="1"/>
    <xf numFmtId="0" fontId="52" fillId="0" borderId="28" xfId="0" applyFont="1" applyBorder="1" applyAlignment="1"/>
    <xf numFmtId="0" fontId="52" fillId="0" borderId="18" xfId="0" applyFont="1" applyBorder="1" applyAlignment="1"/>
    <xf numFmtId="0" fontId="52" fillId="27" borderId="25" xfId="0" applyFont="1" applyFill="1" applyBorder="1" applyAlignment="1" applyProtection="1">
      <alignment vertical="top"/>
      <protection locked="0"/>
    </xf>
    <xf numFmtId="0" fontId="52" fillId="0" borderId="19" xfId="0" applyFont="1" applyBorder="1" applyAlignment="1" applyProtection="1">
      <alignment vertical="center"/>
      <protection locked="0"/>
    </xf>
    <xf numFmtId="0" fontId="52" fillId="0" borderId="19" xfId="0" applyFont="1" applyBorder="1" applyAlignment="1" applyProtection="1">
      <alignment horizontal="left" vertical="top"/>
      <protection locked="0"/>
    </xf>
    <xf numFmtId="0" fontId="52" fillId="0" borderId="21" xfId="0" applyFont="1" applyBorder="1" applyAlignment="1" applyProtection="1">
      <alignment vertical="top"/>
      <protection locked="0"/>
    </xf>
    <xf numFmtId="0" fontId="55" fillId="0" borderId="0" xfId="178" applyFont="1"/>
    <xf numFmtId="0" fontId="55" fillId="0" borderId="0" xfId="178" applyFont="1" applyAlignment="1">
      <alignment horizontal="center" vertical="center"/>
    </xf>
    <xf numFmtId="0" fontId="55" fillId="0" borderId="0" xfId="178" applyFont="1" applyAlignment="1">
      <alignment horizontal="center"/>
    </xf>
    <xf numFmtId="0" fontId="55" fillId="0" borderId="0" xfId="182" applyFont="1"/>
    <xf numFmtId="0" fontId="55" fillId="0" borderId="0" xfId="182" applyFont="1" applyAlignment="1">
      <alignment horizontal="center"/>
    </xf>
    <xf numFmtId="0" fontId="52" fillId="28" borderId="27" xfId="0" applyFont="1" applyFill="1" applyBorder="1" applyAlignment="1" applyProtection="1">
      <protection locked="0"/>
    </xf>
    <xf numFmtId="0" fontId="52" fillId="28" borderId="24" xfId="0" applyFont="1" applyFill="1" applyBorder="1" applyAlignment="1"/>
    <xf numFmtId="0" fontId="52" fillId="28" borderId="27" xfId="180" applyFont="1" applyFill="1" applyBorder="1" applyAlignment="1"/>
    <xf numFmtId="49" fontId="52" fillId="27" borderId="20" xfId="0" applyNumberFormat="1" applyFont="1" applyFill="1" applyBorder="1" applyAlignment="1" applyProtection="1">
      <protection locked="0"/>
    </xf>
    <xf numFmtId="49" fontId="52" fillId="27" borderId="20" xfId="0" applyNumberFormat="1" applyFont="1" applyFill="1" applyBorder="1" applyAlignment="1">
      <alignment vertical="top"/>
    </xf>
    <xf numFmtId="0" fontId="52" fillId="27" borderId="18" xfId="0" applyFont="1" applyFill="1" applyBorder="1" applyAlignment="1">
      <alignment vertical="top"/>
    </xf>
    <xf numFmtId="0" fontId="52" fillId="27" borderId="25" xfId="0" applyFont="1" applyFill="1" applyBorder="1" applyAlignment="1">
      <alignment vertical="top"/>
    </xf>
    <xf numFmtId="0" fontId="52" fillId="27" borderId="19" xfId="0" applyFont="1" applyFill="1" applyBorder="1" applyAlignment="1">
      <alignment vertical="top"/>
    </xf>
    <xf numFmtId="0" fontId="52" fillId="29" borderId="20" xfId="0" applyFont="1" applyFill="1" applyBorder="1" applyAlignment="1">
      <alignment vertical="top"/>
    </xf>
    <xf numFmtId="0" fontId="52" fillId="27" borderId="26" xfId="0" applyFont="1" applyFill="1" applyBorder="1" applyAlignment="1">
      <alignment vertical="top"/>
    </xf>
    <xf numFmtId="0" fontId="52" fillId="27" borderId="0" xfId="0" applyFont="1" applyFill="1" applyAlignment="1">
      <alignment vertical="top"/>
    </xf>
    <xf numFmtId="0" fontId="52" fillId="29" borderId="0" xfId="0" applyFont="1" applyFill="1">
      <alignment vertical="top" wrapText="1"/>
    </xf>
    <xf numFmtId="0" fontId="52" fillId="0" borderId="27" xfId="0" applyFont="1" applyBorder="1" applyAlignment="1">
      <alignment vertical="top"/>
    </xf>
    <xf numFmtId="0" fontId="52" fillId="0" borderId="20" xfId="0" applyFont="1" applyBorder="1" applyAlignment="1">
      <alignment vertical="center"/>
    </xf>
    <xf numFmtId="0" fontId="52" fillId="27" borderId="28" xfId="0" applyFont="1" applyFill="1" applyBorder="1" applyAlignment="1">
      <alignment vertical="top"/>
    </xf>
    <xf numFmtId="0" fontId="52" fillId="0" borderId="2" xfId="0" applyFont="1" applyBorder="1" applyAlignment="1">
      <alignment vertical="top"/>
    </xf>
    <xf numFmtId="0" fontId="52" fillId="0" borderId="28" xfId="0" applyFont="1" applyBorder="1" applyAlignment="1">
      <alignment vertical="top"/>
    </xf>
    <xf numFmtId="0" fontId="52" fillId="0" borderId="19" xfId="0" applyFont="1" applyBorder="1">
      <alignment vertical="top" wrapText="1"/>
    </xf>
    <xf numFmtId="0" fontId="52" fillId="0" borderId="20" xfId="0" applyFont="1" applyBorder="1">
      <alignment vertical="top" wrapText="1"/>
    </xf>
    <xf numFmtId="0" fontId="52" fillId="0" borderId="20" xfId="0" applyFont="1" applyBorder="1" applyProtection="1">
      <alignment vertical="top" wrapText="1"/>
      <protection locked="0"/>
    </xf>
    <xf numFmtId="0" fontId="52" fillId="27" borderId="27" xfId="0" applyFont="1" applyFill="1" applyBorder="1">
      <alignment vertical="top" wrapText="1"/>
    </xf>
    <xf numFmtId="0" fontId="52" fillId="27" borderId="24" xfId="0" applyFont="1" applyFill="1" applyBorder="1">
      <alignment vertical="top" wrapText="1"/>
    </xf>
    <xf numFmtId="0" fontId="52" fillId="0" borderId="18" xfId="0" applyFont="1" applyBorder="1" applyAlignment="1" applyProtection="1">
      <alignment vertical="top"/>
      <protection locked="0"/>
    </xf>
    <xf numFmtId="0" fontId="52" fillId="0" borderId="22" xfId="0" applyFont="1" applyBorder="1" applyAlignment="1" applyProtection="1">
      <alignment vertical="top"/>
      <protection locked="0"/>
    </xf>
    <xf numFmtId="0" fontId="52" fillId="0" borderId="27" xfId="0" applyFont="1" applyBorder="1" applyProtection="1">
      <alignment vertical="top" wrapText="1"/>
      <protection locked="0"/>
    </xf>
    <xf numFmtId="0" fontId="52" fillId="0" borderId="27" xfId="0" applyFont="1" applyBorder="1">
      <alignment vertical="top" wrapText="1"/>
    </xf>
    <xf numFmtId="0" fontId="52" fillId="0" borderId="24" xfId="0" applyFont="1" applyBorder="1">
      <alignment vertical="top" wrapText="1"/>
    </xf>
    <xf numFmtId="0" fontId="52" fillId="0" borderId="47" xfId="0" applyFont="1" applyBorder="1" applyAlignment="1" applyProtection="1">
      <alignment vertical="top"/>
      <protection locked="0"/>
    </xf>
    <xf numFmtId="177" fontId="54" fillId="0" borderId="29" xfId="182" applyNumberFormat="1" applyFont="1" applyBorder="1" applyAlignment="1">
      <alignment horizontal="center" vertical="center"/>
    </xf>
    <xf numFmtId="177" fontId="54" fillId="0" borderId="30" xfId="177" applyNumberFormat="1" applyFont="1" applyBorder="1" applyAlignment="1">
      <alignment horizontal="center" vertical="center"/>
    </xf>
    <xf numFmtId="177" fontId="54" fillId="0" borderId="31" xfId="177" applyNumberFormat="1" applyFont="1" applyBorder="1" applyAlignment="1">
      <alignment horizontal="center" vertical="center"/>
    </xf>
    <xf numFmtId="0" fontId="53" fillId="28" borderId="32" xfId="178" applyFont="1" applyFill="1" applyBorder="1" applyAlignment="1">
      <alignment horizontal="center" vertical="center"/>
    </xf>
    <xf numFmtId="0" fontId="54" fillId="0" borderId="3" xfId="177" applyFont="1" applyBorder="1" applyAlignment="1">
      <alignment vertical="center"/>
    </xf>
    <xf numFmtId="0" fontId="54" fillId="0" borderId="33" xfId="177" applyFont="1" applyBorder="1" applyAlignment="1">
      <alignment vertical="center"/>
    </xf>
    <xf numFmtId="0" fontId="55" fillId="28" borderId="34" xfId="182" applyFont="1" applyFill="1" applyBorder="1" applyAlignment="1">
      <alignment horizontal="center" vertical="center"/>
    </xf>
    <xf numFmtId="0" fontId="54" fillId="0" borderId="1" xfId="177" applyFont="1" applyBorder="1" applyAlignment="1">
      <alignment horizontal="center" vertical="center"/>
    </xf>
    <xf numFmtId="0" fontId="54" fillId="0" borderId="35" xfId="177" applyFont="1" applyBorder="1" applyAlignment="1">
      <alignment horizontal="center" vertical="center"/>
    </xf>
    <xf numFmtId="0" fontId="55" fillId="28" borderId="1" xfId="182" applyFont="1" applyFill="1" applyBorder="1" applyAlignment="1">
      <alignment horizontal="center" vertical="center"/>
    </xf>
    <xf numFmtId="0" fontId="55" fillId="28" borderId="35" xfId="182" applyFont="1" applyFill="1" applyBorder="1" applyAlignment="1">
      <alignment horizontal="center" vertical="center"/>
    </xf>
    <xf numFmtId="0" fontId="55" fillId="28" borderId="34" xfId="177" applyFont="1" applyFill="1" applyBorder="1" applyAlignment="1">
      <alignment horizontal="center" vertical="center"/>
    </xf>
    <xf numFmtId="0" fontId="55" fillId="0" borderId="1" xfId="177" applyFont="1" applyBorder="1" applyAlignment="1">
      <alignment horizontal="center" vertical="center"/>
    </xf>
    <xf numFmtId="0" fontId="55" fillId="0" borderId="36" xfId="177" applyFont="1" applyBorder="1" applyAlignment="1">
      <alignment horizontal="center" vertical="center"/>
    </xf>
    <xf numFmtId="177" fontId="54" fillId="0" borderId="37" xfId="182" applyNumberFormat="1" applyFont="1" applyBorder="1" applyAlignment="1">
      <alignment horizontal="center" vertical="center"/>
    </xf>
    <xf numFmtId="177" fontId="54" fillId="0" borderId="2" xfId="177" applyNumberFormat="1" applyFont="1" applyBorder="1" applyAlignment="1">
      <alignment horizontal="center" vertical="center"/>
    </xf>
    <xf numFmtId="177" fontId="54" fillId="0" borderId="24" xfId="177" applyNumberFormat="1" applyFont="1" applyBorder="1" applyAlignment="1">
      <alignment horizontal="center" vertical="center"/>
    </xf>
    <xf numFmtId="0" fontId="54" fillId="0" borderId="27" xfId="182" applyFont="1" applyBorder="1" applyAlignment="1">
      <alignment horizontal="left" vertical="center" wrapText="1"/>
    </xf>
    <xf numFmtId="0" fontId="54" fillId="0" borderId="2" xfId="177" applyFont="1" applyBorder="1" applyAlignment="1">
      <alignment horizontal="left" vertical="center" wrapText="1"/>
    </xf>
    <xf numFmtId="0" fontId="54" fillId="0" borderId="24" xfId="177" applyFont="1" applyBorder="1" applyAlignment="1">
      <alignment horizontal="left" vertical="center" wrapText="1"/>
    </xf>
    <xf numFmtId="0" fontId="54" fillId="0" borderId="2" xfId="177" applyFont="1" applyBorder="1" applyAlignment="1">
      <alignment vertical="center" wrapText="1"/>
    </xf>
    <xf numFmtId="0" fontId="54" fillId="0" borderId="24" xfId="177" applyFont="1" applyBorder="1" applyAlignment="1">
      <alignment vertical="center" wrapText="1"/>
    </xf>
    <xf numFmtId="0" fontId="54" fillId="0" borderId="27" xfId="182" applyFont="1" applyBorder="1" applyAlignment="1">
      <alignment vertical="center" wrapText="1"/>
    </xf>
    <xf numFmtId="0" fontId="54" fillId="0" borderId="38" xfId="177" applyFont="1" applyBorder="1" applyAlignment="1">
      <alignment vertical="center" wrapText="1"/>
    </xf>
    <xf numFmtId="0" fontId="54" fillId="0" borderId="39" xfId="182" applyFont="1" applyBorder="1" applyAlignment="1">
      <alignment horizontal="left" vertical="center" wrapText="1"/>
    </xf>
    <xf numFmtId="0" fontId="54" fillId="0" borderId="30" xfId="177" applyFont="1" applyBorder="1" applyAlignment="1">
      <alignment horizontal="left" vertical="center" wrapText="1"/>
    </xf>
    <xf numFmtId="0" fontId="54" fillId="0" borderId="31" xfId="177" applyFont="1" applyBorder="1" applyAlignment="1">
      <alignment horizontal="left" vertical="center" wrapText="1"/>
    </xf>
    <xf numFmtId="0" fontId="54" fillId="0" borderId="30" xfId="177" applyFont="1" applyBorder="1" applyAlignment="1">
      <alignment vertical="center" wrapText="1"/>
    </xf>
    <xf numFmtId="0" fontId="54" fillId="0" borderId="31" xfId="177" applyFont="1" applyBorder="1" applyAlignment="1">
      <alignment vertical="center" wrapText="1"/>
    </xf>
    <xf numFmtId="0" fontId="54" fillId="0" borderId="39" xfId="182" applyFont="1" applyBorder="1" applyAlignment="1">
      <alignment vertical="center" wrapText="1"/>
    </xf>
    <xf numFmtId="0" fontId="54" fillId="0" borderId="40" xfId="177" applyFont="1" applyBorder="1" applyAlignment="1">
      <alignment vertical="center" wrapText="1"/>
    </xf>
    <xf numFmtId="0" fontId="54" fillId="0" borderId="41" xfId="182" applyFont="1" applyBorder="1" applyAlignment="1">
      <alignment horizontal="left" vertical="center" wrapText="1"/>
    </xf>
    <xf numFmtId="0" fontId="54" fillId="0" borderId="42" xfId="177" applyFont="1" applyBorder="1" applyAlignment="1">
      <alignment horizontal="left" vertical="center" wrapText="1"/>
    </xf>
    <xf numFmtId="0" fontId="54" fillId="0" borderId="43" xfId="177" applyFont="1" applyBorder="1" applyAlignment="1">
      <alignment horizontal="left" vertical="center" wrapText="1"/>
    </xf>
    <xf numFmtId="0" fontId="54" fillId="0" borderId="42" xfId="177" applyFont="1" applyBorder="1" applyAlignment="1">
      <alignment vertical="center" wrapText="1"/>
    </xf>
    <xf numFmtId="0" fontId="54" fillId="0" borderId="43" xfId="177" applyFont="1" applyBorder="1" applyAlignment="1">
      <alignment vertical="center" wrapText="1"/>
    </xf>
    <xf numFmtId="0" fontId="54" fillId="0" borderId="41" xfId="182" applyFont="1" applyBorder="1" applyAlignment="1">
      <alignment vertical="center" wrapText="1"/>
    </xf>
    <xf numFmtId="0" fontId="54" fillId="0" borderId="44" xfId="177" applyFont="1" applyBorder="1" applyAlignment="1">
      <alignment vertical="center" wrapText="1"/>
    </xf>
    <xf numFmtId="0" fontId="55" fillId="28" borderId="45" xfId="182" applyFont="1" applyFill="1" applyBorder="1" applyAlignment="1">
      <alignment horizontal="center" vertical="center"/>
    </xf>
    <xf numFmtId="177" fontId="54" fillId="0" borderId="46" xfId="182" applyNumberFormat="1" applyFont="1" applyBorder="1" applyAlignment="1">
      <alignment horizontal="center" vertical="center"/>
    </xf>
    <xf numFmtId="177" fontId="54" fillId="0" borderId="42" xfId="177" applyNumberFormat="1" applyFont="1" applyBorder="1" applyAlignment="1">
      <alignment horizontal="center" vertical="center"/>
    </xf>
    <xf numFmtId="177" fontId="54" fillId="0" borderId="43" xfId="177" applyNumberFormat="1" applyFont="1" applyBorder="1" applyAlignment="1">
      <alignment horizontal="center" vertical="center"/>
    </xf>
    <xf numFmtId="0" fontId="54" fillId="0" borderId="27" xfId="182" applyFont="1" applyBorder="1" applyAlignment="1">
      <alignment horizontal="left" vertical="center"/>
    </xf>
    <xf numFmtId="0" fontId="54" fillId="0" borderId="2" xfId="177" applyFont="1" applyBorder="1" applyAlignment="1">
      <alignment horizontal="left" vertical="center"/>
    </xf>
    <xf numFmtId="0" fontId="54" fillId="0" borderId="24" xfId="177" applyFont="1" applyBorder="1" applyAlignment="1">
      <alignment horizontal="left" vertical="center"/>
    </xf>
    <xf numFmtId="0" fontId="54" fillId="0" borderId="27" xfId="182" applyFont="1" applyBorder="1" applyAlignment="1">
      <alignment vertical="center"/>
    </xf>
    <xf numFmtId="0" fontId="54" fillId="0" borderId="2" xfId="177" applyFont="1" applyBorder="1" applyAlignment="1">
      <alignment vertical="center"/>
    </xf>
    <xf numFmtId="0" fontId="54" fillId="0" borderId="38" xfId="177" applyFont="1" applyBorder="1" applyAlignment="1">
      <alignment vertical="center"/>
    </xf>
    <xf numFmtId="0" fontId="52" fillId="28" borderId="27" xfId="0" applyFont="1" applyFill="1" applyBorder="1" applyAlignment="1" applyProtection="1">
      <protection locked="0"/>
    </xf>
    <xf numFmtId="0" fontId="52" fillId="28" borderId="24" xfId="0" applyFont="1" applyFill="1" applyBorder="1" applyAlignment="1"/>
    <xf numFmtId="0" fontId="52" fillId="28" borderId="27" xfId="180" applyFont="1" applyFill="1" applyBorder="1" applyAlignment="1"/>
  </cellXfs>
  <cellStyles count="1320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32" xr:uid="{00000000-0005-0000-0000-000006000000}"/>
    <cellStyle name="20% - アクセント 1 6" xfId="190" xr:uid="{00000000-0005-0000-0000-000007000000}"/>
    <cellStyle name="20% - アクセント 2" xfId="7" builtinId="34" customBuiltin="1"/>
    <cellStyle name="20% - アクセント 2 2" xfId="8" xr:uid="{00000000-0005-0000-0000-000009000000}"/>
    <cellStyle name="20% - アクセント 2 3" xfId="9" xr:uid="{00000000-0005-0000-0000-00000A000000}"/>
    <cellStyle name="20% - アクセント 2 4" xfId="10" xr:uid="{00000000-0005-0000-0000-00000B000000}"/>
    <cellStyle name="20% - アクセント 2 5" xfId="233" xr:uid="{00000000-0005-0000-0000-00000C000000}"/>
    <cellStyle name="20% - アクセント 2 6" xfId="191" xr:uid="{00000000-0005-0000-0000-00000D000000}"/>
    <cellStyle name="20% - アクセント 3" xfId="11" builtinId="38" customBuiltin="1"/>
    <cellStyle name="20% - アクセント 3 2" xfId="12" xr:uid="{00000000-0005-0000-0000-00000F000000}"/>
    <cellStyle name="20% - アクセント 3 3" xfId="13" xr:uid="{00000000-0005-0000-0000-000010000000}"/>
    <cellStyle name="20% - アクセント 3 4" xfId="14" xr:uid="{00000000-0005-0000-0000-000011000000}"/>
    <cellStyle name="20% - アクセント 3 5" xfId="234" xr:uid="{00000000-0005-0000-0000-000012000000}"/>
    <cellStyle name="20% - アクセント 3 6" xfId="192" xr:uid="{00000000-0005-0000-0000-000013000000}"/>
    <cellStyle name="20% - アクセント 4" xfId="15" builtinId="42" customBuiltin="1"/>
    <cellStyle name="20% - アクセント 4 2" xfId="16" xr:uid="{00000000-0005-0000-0000-000015000000}"/>
    <cellStyle name="20% - アクセント 4 3" xfId="17" xr:uid="{00000000-0005-0000-0000-000016000000}"/>
    <cellStyle name="20% - アクセント 4 4" xfId="18" xr:uid="{00000000-0005-0000-0000-000017000000}"/>
    <cellStyle name="20% - アクセント 4 5" xfId="235" xr:uid="{00000000-0005-0000-0000-000018000000}"/>
    <cellStyle name="20% - アクセント 4 6" xfId="193" xr:uid="{00000000-0005-0000-0000-000019000000}"/>
    <cellStyle name="20% - アクセント 5" xfId="19" builtinId="46" customBuiltin="1"/>
    <cellStyle name="20% - アクセント 5 2" xfId="20" xr:uid="{00000000-0005-0000-0000-00001B000000}"/>
    <cellStyle name="20% - アクセント 5 3" xfId="21" xr:uid="{00000000-0005-0000-0000-00001C000000}"/>
    <cellStyle name="20% - アクセント 5 4" xfId="22" xr:uid="{00000000-0005-0000-0000-00001D000000}"/>
    <cellStyle name="20% - アクセント 5 5" xfId="194" xr:uid="{00000000-0005-0000-0000-00001E000000}"/>
    <cellStyle name="20% - アクセント 6" xfId="23" builtinId="50" customBuiltin="1"/>
    <cellStyle name="20% - アクセント 6 2" xfId="24" xr:uid="{00000000-0005-0000-0000-000020000000}"/>
    <cellStyle name="20% - アクセント 6 3" xfId="25" xr:uid="{00000000-0005-0000-0000-000021000000}"/>
    <cellStyle name="20% - アクセント 6 4" xfId="26" xr:uid="{00000000-0005-0000-0000-000022000000}"/>
    <cellStyle name="20% - アクセント 6 5" xfId="236" xr:uid="{00000000-0005-0000-0000-000023000000}"/>
    <cellStyle name="20% - アクセント 6 6" xfId="195" xr:uid="{00000000-0005-0000-0000-000024000000}"/>
    <cellStyle name="40% - アクセント 1" xfId="27" builtinId="31" customBuiltin="1"/>
    <cellStyle name="40% - アクセント 1 2" xfId="28" xr:uid="{00000000-0005-0000-0000-000026000000}"/>
    <cellStyle name="40% - アクセント 1 3" xfId="29" xr:uid="{00000000-0005-0000-0000-000027000000}"/>
    <cellStyle name="40% - アクセント 1 4" xfId="30" xr:uid="{00000000-0005-0000-0000-000028000000}"/>
    <cellStyle name="40% - アクセント 1 5" xfId="237" xr:uid="{00000000-0005-0000-0000-000029000000}"/>
    <cellStyle name="40% - アクセント 1 6" xfId="196" xr:uid="{00000000-0005-0000-0000-00002A000000}"/>
    <cellStyle name="40% - アクセント 2" xfId="31" builtinId="35" customBuiltin="1"/>
    <cellStyle name="40% - アクセント 2 2" xfId="32" xr:uid="{00000000-0005-0000-0000-00002C000000}"/>
    <cellStyle name="40% - アクセント 2 3" xfId="33" xr:uid="{00000000-0005-0000-0000-00002D000000}"/>
    <cellStyle name="40% - アクセント 2 4" xfId="34" xr:uid="{00000000-0005-0000-0000-00002E000000}"/>
    <cellStyle name="40% - アクセント 2 5" xfId="197" xr:uid="{00000000-0005-0000-0000-00002F000000}"/>
    <cellStyle name="40% - アクセント 3" xfId="35" builtinId="39" customBuiltin="1"/>
    <cellStyle name="40% - アクセント 3 2" xfId="36" xr:uid="{00000000-0005-0000-0000-000031000000}"/>
    <cellStyle name="40% - アクセント 3 3" xfId="37" xr:uid="{00000000-0005-0000-0000-000032000000}"/>
    <cellStyle name="40% - アクセント 3 4" xfId="38" xr:uid="{00000000-0005-0000-0000-000033000000}"/>
    <cellStyle name="40% - アクセント 3 5" xfId="238" xr:uid="{00000000-0005-0000-0000-000034000000}"/>
    <cellStyle name="40% - アクセント 3 6" xfId="198" xr:uid="{00000000-0005-0000-0000-000035000000}"/>
    <cellStyle name="40% - アクセント 4" xfId="39" builtinId="43" customBuiltin="1"/>
    <cellStyle name="40% - アクセント 4 2" xfId="40" xr:uid="{00000000-0005-0000-0000-000037000000}"/>
    <cellStyle name="40% - アクセント 4 3" xfId="41" xr:uid="{00000000-0005-0000-0000-000038000000}"/>
    <cellStyle name="40% - アクセント 4 4" xfId="42" xr:uid="{00000000-0005-0000-0000-000039000000}"/>
    <cellStyle name="40% - アクセント 4 5" xfId="239" xr:uid="{00000000-0005-0000-0000-00003A000000}"/>
    <cellStyle name="40% - アクセント 4 6" xfId="199" xr:uid="{00000000-0005-0000-0000-00003B000000}"/>
    <cellStyle name="40% - アクセント 5" xfId="43" builtinId="47" customBuiltin="1"/>
    <cellStyle name="40% - アクセント 5 2" xfId="44" xr:uid="{00000000-0005-0000-0000-00003D000000}"/>
    <cellStyle name="40% - アクセント 5 3" xfId="45" xr:uid="{00000000-0005-0000-0000-00003E000000}"/>
    <cellStyle name="40% - アクセント 5 4" xfId="46" xr:uid="{00000000-0005-0000-0000-00003F000000}"/>
    <cellStyle name="40% - アクセント 5 5" xfId="240" xr:uid="{00000000-0005-0000-0000-000040000000}"/>
    <cellStyle name="40% - アクセント 5 6" xfId="200" xr:uid="{00000000-0005-0000-0000-000041000000}"/>
    <cellStyle name="40% - アクセント 6" xfId="47" builtinId="51" customBuiltin="1"/>
    <cellStyle name="40% - アクセント 6 2" xfId="48" xr:uid="{00000000-0005-0000-0000-000043000000}"/>
    <cellStyle name="40% - アクセント 6 3" xfId="49" xr:uid="{00000000-0005-0000-0000-000044000000}"/>
    <cellStyle name="40% - アクセント 6 4" xfId="50" xr:uid="{00000000-0005-0000-0000-000045000000}"/>
    <cellStyle name="40% - アクセント 6 5" xfId="241" xr:uid="{00000000-0005-0000-0000-000046000000}"/>
    <cellStyle name="40% - アクセント 6 6" xfId="201" xr:uid="{00000000-0005-0000-0000-000047000000}"/>
    <cellStyle name="60% - アクセント 1" xfId="51" builtinId="32" customBuiltin="1"/>
    <cellStyle name="60% - アクセント 1 2" xfId="52" xr:uid="{00000000-0005-0000-0000-000049000000}"/>
    <cellStyle name="60% - アクセント 1 3" xfId="53" xr:uid="{00000000-0005-0000-0000-00004A000000}"/>
    <cellStyle name="60% - アクセント 1 4" xfId="54" xr:uid="{00000000-0005-0000-0000-00004B000000}"/>
    <cellStyle name="60% - アクセント 1 5" xfId="242" xr:uid="{00000000-0005-0000-0000-00004C000000}"/>
    <cellStyle name="60% - アクセント 1 6" xfId="202" xr:uid="{00000000-0005-0000-0000-00004D000000}"/>
    <cellStyle name="60% - アクセント 2" xfId="55" builtinId="36" customBuiltin="1"/>
    <cellStyle name="60% - アクセント 2 2" xfId="56" xr:uid="{00000000-0005-0000-0000-00004F000000}"/>
    <cellStyle name="60% - アクセント 2 3" xfId="57" xr:uid="{00000000-0005-0000-0000-000050000000}"/>
    <cellStyle name="60% - アクセント 2 4" xfId="58" xr:uid="{00000000-0005-0000-0000-000051000000}"/>
    <cellStyle name="60% - アクセント 2 5" xfId="243" xr:uid="{00000000-0005-0000-0000-000052000000}"/>
    <cellStyle name="60% - アクセント 2 6" xfId="203" xr:uid="{00000000-0005-0000-0000-000053000000}"/>
    <cellStyle name="60% - アクセント 3" xfId="59" builtinId="40" customBuiltin="1"/>
    <cellStyle name="60% - アクセント 3 2" xfId="60" xr:uid="{00000000-0005-0000-0000-000055000000}"/>
    <cellStyle name="60% - アクセント 3 3" xfId="61" xr:uid="{00000000-0005-0000-0000-000056000000}"/>
    <cellStyle name="60% - アクセント 3 4" xfId="62" xr:uid="{00000000-0005-0000-0000-000057000000}"/>
    <cellStyle name="60% - アクセント 3 5" xfId="244" xr:uid="{00000000-0005-0000-0000-000058000000}"/>
    <cellStyle name="60% - アクセント 3 6" xfId="204" xr:uid="{00000000-0005-0000-0000-000059000000}"/>
    <cellStyle name="60% - アクセント 4" xfId="63" builtinId="44" customBuiltin="1"/>
    <cellStyle name="60% - アクセント 4 2" xfId="64" xr:uid="{00000000-0005-0000-0000-00005B000000}"/>
    <cellStyle name="60% - アクセント 4 3" xfId="65" xr:uid="{00000000-0005-0000-0000-00005C000000}"/>
    <cellStyle name="60% - アクセント 4 4" xfId="66" xr:uid="{00000000-0005-0000-0000-00005D000000}"/>
    <cellStyle name="60% - アクセント 4 5" xfId="245" xr:uid="{00000000-0005-0000-0000-00005E000000}"/>
    <cellStyle name="60% - アクセント 4 6" xfId="205" xr:uid="{00000000-0005-0000-0000-00005F000000}"/>
    <cellStyle name="60% - アクセント 5" xfId="67" builtinId="48" customBuiltin="1"/>
    <cellStyle name="60% - アクセント 5 2" xfId="68" xr:uid="{00000000-0005-0000-0000-000061000000}"/>
    <cellStyle name="60% - アクセント 5 3" xfId="69" xr:uid="{00000000-0005-0000-0000-000062000000}"/>
    <cellStyle name="60% - アクセント 5 4" xfId="70" xr:uid="{00000000-0005-0000-0000-000063000000}"/>
    <cellStyle name="60% - アクセント 5 5" xfId="246" xr:uid="{00000000-0005-0000-0000-000064000000}"/>
    <cellStyle name="60% - アクセント 5 6" xfId="206" xr:uid="{00000000-0005-0000-0000-000065000000}"/>
    <cellStyle name="60% - アクセント 6" xfId="71" builtinId="52" customBuiltin="1"/>
    <cellStyle name="60% - アクセント 6 2" xfId="72" xr:uid="{00000000-0005-0000-0000-000067000000}"/>
    <cellStyle name="60% - アクセント 6 3" xfId="73" xr:uid="{00000000-0005-0000-0000-000068000000}"/>
    <cellStyle name="60% - アクセント 6 4" xfId="74" xr:uid="{00000000-0005-0000-0000-000069000000}"/>
    <cellStyle name="60% - アクセント 6 5" xfId="247" xr:uid="{00000000-0005-0000-0000-00006A000000}"/>
    <cellStyle name="60% - アクセント 6 6" xfId="207" xr:uid="{00000000-0005-0000-0000-00006B000000}"/>
    <cellStyle name="Calc Currency (0)" xfId="75" xr:uid="{00000000-0005-0000-0000-00006C000000}"/>
    <cellStyle name="Comma [0]" xfId="285" xr:uid="{00000000-0005-0000-0000-00006D000000}"/>
    <cellStyle name="Comma [0] 2" xfId="286" xr:uid="{00000000-0005-0000-0000-00006E000000}"/>
    <cellStyle name="Currency [0]" xfId="287" xr:uid="{00000000-0005-0000-0000-00006F000000}"/>
    <cellStyle name="Grey" xfId="288" xr:uid="{00000000-0005-0000-0000-000070000000}"/>
    <cellStyle name="Header1" xfId="76" xr:uid="{00000000-0005-0000-0000-000071000000}"/>
    <cellStyle name="Header2" xfId="77" xr:uid="{00000000-0005-0000-0000-000072000000}"/>
    <cellStyle name="Input [yellow]" xfId="289" xr:uid="{00000000-0005-0000-0000-000073000000}"/>
    <cellStyle name="Normal - Style1" xfId="290" xr:uid="{00000000-0005-0000-0000-000074000000}"/>
    <cellStyle name="Normal_#18-Internet" xfId="78" xr:uid="{00000000-0005-0000-0000-000075000000}"/>
    <cellStyle name="Percent [2]" xfId="291" xr:uid="{00000000-0005-0000-0000-000076000000}"/>
    <cellStyle name="PSChar" xfId="79" xr:uid="{00000000-0005-0000-0000-000077000000}"/>
    <cellStyle name="PSHeading" xfId="80" xr:uid="{00000000-0005-0000-0000-000078000000}"/>
    <cellStyle name="u" xfId="81" xr:uid="{00000000-0005-0000-0000-000079000000}"/>
    <cellStyle name="アクセント 1" xfId="82" builtinId="29" customBuiltin="1"/>
    <cellStyle name="アクセント 1 2" xfId="83" xr:uid="{00000000-0005-0000-0000-00007B000000}"/>
    <cellStyle name="アクセント 1 3" xfId="84" xr:uid="{00000000-0005-0000-0000-00007C000000}"/>
    <cellStyle name="アクセント 1 4" xfId="85" xr:uid="{00000000-0005-0000-0000-00007D000000}"/>
    <cellStyle name="アクセント 1 5" xfId="248" xr:uid="{00000000-0005-0000-0000-00007E000000}"/>
    <cellStyle name="アクセント 1 6" xfId="208" xr:uid="{00000000-0005-0000-0000-00007F000000}"/>
    <cellStyle name="アクセント 2" xfId="86" builtinId="33" customBuiltin="1"/>
    <cellStyle name="アクセント 2 2" xfId="87" xr:uid="{00000000-0005-0000-0000-000081000000}"/>
    <cellStyle name="アクセント 2 3" xfId="88" xr:uid="{00000000-0005-0000-0000-000082000000}"/>
    <cellStyle name="アクセント 2 4" xfId="89" xr:uid="{00000000-0005-0000-0000-000083000000}"/>
    <cellStyle name="アクセント 2 5" xfId="249" xr:uid="{00000000-0005-0000-0000-000084000000}"/>
    <cellStyle name="アクセント 2 6" xfId="209" xr:uid="{00000000-0005-0000-0000-000085000000}"/>
    <cellStyle name="アクセント 3" xfId="90" builtinId="37" customBuiltin="1"/>
    <cellStyle name="アクセント 3 2" xfId="91" xr:uid="{00000000-0005-0000-0000-000087000000}"/>
    <cellStyle name="アクセント 3 3" xfId="92" xr:uid="{00000000-0005-0000-0000-000088000000}"/>
    <cellStyle name="アクセント 3 4" xfId="93" xr:uid="{00000000-0005-0000-0000-000089000000}"/>
    <cellStyle name="アクセント 3 5" xfId="250" xr:uid="{00000000-0005-0000-0000-00008A000000}"/>
    <cellStyle name="アクセント 3 6" xfId="210" xr:uid="{00000000-0005-0000-0000-00008B000000}"/>
    <cellStyle name="アクセント 4" xfId="94" builtinId="41" customBuiltin="1"/>
    <cellStyle name="アクセント 4 2" xfId="95" xr:uid="{00000000-0005-0000-0000-00008D000000}"/>
    <cellStyle name="アクセント 4 3" xfId="96" xr:uid="{00000000-0005-0000-0000-00008E000000}"/>
    <cellStyle name="アクセント 4 4" xfId="97" xr:uid="{00000000-0005-0000-0000-00008F000000}"/>
    <cellStyle name="アクセント 4 5" xfId="251" xr:uid="{00000000-0005-0000-0000-000090000000}"/>
    <cellStyle name="アクセント 4 6" xfId="211" xr:uid="{00000000-0005-0000-0000-000091000000}"/>
    <cellStyle name="アクセント 5" xfId="98" builtinId="45" customBuiltin="1"/>
    <cellStyle name="アクセント 5 2" xfId="99" xr:uid="{00000000-0005-0000-0000-000093000000}"/>
    <cellStyle name="アクセント 5 3" xfId="100" xr:uid="{00000000-0005-0000-0000-000094000000}"/>
    <cellStyle name="アクセント 5 4" xfId="101" xr:uid="{00000000-0005-0000-0000-000095000000}"/>
    <cellStyle name="アクセント 5 5" xfId="212" xr:uid="{00000000-0005-0000-0000-000096000000}"/>
    <cellStyle name="アクセント 6" xfId="102" builtinId="49" customBuiltin="1"/>
    <cellStyle name="アクセント 6 2" xfId="103" xr:uid="{00000000-0005-0000-0000-000098000000}"/>
    <cellStyle name="アクセント 6 3" xfId="104" xr:uid="{00000000-0005-0000-0000-000099000000}"/>
    <cellStyle name="アクセント 6 4" xfId="105" xr:uid="{00000000-0005-0000-0000-00009A000000}"/>
    <cellStyle name="アクセント 6 5" xfId="252" xr:uid="{00000000-0005-0000-0000-00009B000000}"/>
    <cellStyle name="アクセント 6 6" xfId="213" xr:uid="{00000000-0005-0000-0000-00009C000000}"/>
    <cellStyle name="タイトル" xfId="106" builtinId="15" customBuiltin="1"/>
    <cellStyle name="タイトル 2" xfId="107" xr:uid="{00000000-0005-0000-0000-00009E000000}"/>
    <cellStyle name="タイトル 3" xfId="108" xr:uid="{00000000-0005-0000-0000-00009F000000}"/>
    <cellStyle name="タイトル 4" xfId="109" xr:uid="{00000000-0005-0000-0000-0000A0000000}"/>
    <cellStyle name="タイトル 5" xfId="253" xr:uid="{00000000-0005-0000-0000-0000A1000000}"/>
    <cellStyle name="タイトル 6" xfId="214" xr:uid="{00000000-0005-0000-0000-0000A2000000}"/>
    <cellStyle name="チェック セル" xfId="110" builtinId="23" customBuiltin="1"/>
    <cellStyle name="チェック セル 2" xfId="111" xr:uid="{00000000-0005-0000-0000-0000A4000000}"/>
    <cellStyle name="チェック セル 3" xfId="112" xr:uid="{00000000-0005-0000-0000-0000A5000000}"/>
    <cellStyle name="チェック セル 4" xfId="113" xr:uid="{00000000-0005-0000-0000-0000A6000000}"/>
    <cellStyle name="チェック セル 5" xfId="215" xr:uid="{00000000-0005-0000-0000-0000A7000000}"/>
    <cellStyle name="どちらでもない" xfId="114" builtinId="28" customBuiltin="1"/>
    <cellStyle name="どちらでもない 2" xfId="115" xr:uid="{00000000-0005-0000-0000-0000A9000000}"/>
    <cellStyle name="どちらでもない 3" xfId="116" xr:uid="{00000000-0005-0000-0000-0000AA000000}"/>
    <cellStyle name="どちらでもない 4" xfId="117" xr:uid="{00000000-0005-0000-0000-0000AB000000}"/>
    <cellStyle name="どちらでもない 5" xfId="254" xr:uid="{00000000-0005-0000-0000-0000AC000000}"/>
    <cellStyle name="どちらでもない 6" xfId="216" xr:uid="{00000000-0005-0000-0000-0000AD000000}"/>
    <cellStyle name="ハイパーリンク 2" xfId="505" xr:uid="{00000000-0005-0000-0000-0000AE000000}"/>
    <cellStyle name="メモ" xfId="118" builtinId="10" customBuiltin="1"/>
    <cellStyle name="メモ 2" xfId="119" xr:uid="{00000000-0005-0000-0000-0000B0000000}"/>
    <cellStyle name="メモ 3" xfId="120" xr:uid="{00000000-0005-0000-0000-0000B1000000}"/>
    <cellStyle name="メモ 4" xfId="121" xr:uid="{00000000-0005-0000-0000-0000B2000000}"/>
    <cellStyle name="メモ 5" xfId="255" xr:uid="{00000000-0005-0000-0000-0000B3000000}"/>
    <cellStyle name="メモ 6" xfId="217" xr:uid="{00000000-0005-0000-0000-0000B4000000}"/>
    <cellStyle name="リンク セル" xfId="122" builtinId="24" customBuiltin="1"/>
    <cellStyle name="リンク セル 2" xfId="123" xr:uid="{00000000-0005-0000-0000-0000B6000000}"/>
    <cellStyle name="リンク セル 3" xfId="124" xr:uid="{00000000-0005-0000-0000-0000B7000000}"/>
    <cellStyle name="リンク セル 4" xfId="125" xr:uid="{00000000-0005-0000-0000-0000B8000000}"/>
    <cellStyle name="リンク セル 5" xfId="256" xr:uid="{00000000-0005-0000-0000-0000B9000000}"/>
    <cellStyle name="リンク セル 6" xfId="218" xr:uid="{00000000-0005-0000-0000-0000BA000000}"/>
    <cellStyle name="_x001d__x000c_K_x0014__x000d_&gt;V_x0001_&gt;_x0014_n_x001e__x0007__x0001__x0001_" xfId="126" xr:uid="{00000000-0005-0000-0000-0000BB000000}"/>
    <cellStyle name="_x001d__x000c_K_x0014__x000d_&gt;V_x0001_&gt;_x0014_n_x001e__x0007__x0001__x0001_ 2" xfId="257" xr:uid="{00000000-0005-0000-0000-0000BC000000}"/>
    <cellStyle name="_x001d__x000c_K_x0014__x000d_&gt;V_x0001_&gt;_x0014_n_x001e__x0007__x0001__x0001_ 2 2" xfId="269" xr:uid="{00000000-0005-0000-0000-0000BD000000}"/>
    <cellStyle name="_x001d__x000c_K_x0014__x000d_&gt;V_x0001_&gt;_x0014_n_x001e__x0007__x0001__x0001_ 2 2 2" xfId="468" xr:uid="{00000000-0005-0000-0000-0000BE000000}"/>
    <cellStyle name="_x001d__x000c_K_x0014__x000d_&gt;V_x0001_&gt;_x0014_n_x001e__x0007__x0001__x0001_ 2 2 3" xfId="476" xr:uid="{00000000-0005-0000-0000-0000BF000000}"/>
    <cellStyle name="_x001d__x000c_K_x0014__x000d_&gt;V_x0001_&gt;_x0014_n_x001e__x0007__x0001__x0001_ 2 2 4" xfId="460" xr:uid="{00000000-0005-0000-0000-0000C0000000}"/>
    <cellStyle name="_x001d__x000c_K_x0014__x000d_&gt;V_x0001_&gt;_x0014_n_x001e__x0007__x0001__x0001_ 2 2 5" xfId="440" xr:uid="{00000000-0005-0000-0000-0000C1000000}"/>
    <cellStyle name="_x001d__x000c_K_x0014__x000d_&gt;V_x0001_&gt;_x0014_n_x001e__x0007__x0001__x0001_ 2 2 6" xfId="433" xr:uid="{00000000-0005-0000-0000-0000C2000000}"/>
    <cellStyle name="_x001d__x000c_K_x0014__x000d_&gt;V_x0001_&gt;_x0014_n_x001e__x0007__x0001__x0001_ 2 3" xfId="273" xr:uid="{00000000-0005-0000-0000-0000C3000000}"/>
    <cellStyle name="_x001d__x000c_K_x0014__x000d_&gt;V_x0001_&gt;_x0014_n_x001e__x0007__x0001__x0001_ 2 3 2" xfId="437" xr:uid="{00000000-0005-0000-0000-0000C4000000}"/>
    <cellStyle name="_x001d__x000c_K_x0014__x000d_&gt;V_x0001_&gt;_x0014_n_x001e__x0007__x0001__x0001_ 2 4" xfId="406" xr:uid="{00000000-0005-0000-0000-0000C5000000}"/>
    <cellStyle name="_x001d__x000c_K_x0014__x000d_&gt;V_x0001_&gt;_x0014_n_x001e__x0007__x0001__x0001_ 3" xfId="231" xr:uid="{00000000-0005-0000-0000-0000C6000000}"/>
    <cellStyle name="_x001d__x000c_K_x0014__x000d_&gt;V_x0001_&gt;_x0014_n_x001e__x0007__x0001__x0001_ 3 2" xfId="270" xr:uid="{00000000-0005-0000-0000-0000C7000000}"/>
    <cellStyle name="_x001d__x000c_K_x0014__x000d_&gt;V_x0001_&gt;_x0014_n_x001e__x0007__x0001__x0001_ 3 2 2" xfId="325" xr:uid="{00000000-0005-0000-0000-0000C8000000}"/>
    <cellStyle name="_x001d__x000c_K_x0014__x000d_&gt;V_x0001_&gt;_x0014_n_x001e__x0007__x0001__x0001_ 3 2 3" xfId="322" xr:uid="{00000000-0005-0000-0000-0000C9000000}"/>
    <cellStyle name="_x001d__x000c_K_x0014__x000d_&gt;V_x0001_&gt;_x0014_n_x001e__x0007__x0001__x0001_ 3 3" xfId="276" xr:uid="{00000000-0005-0000-0000-0000CA000000}"/>
    <cellStyle name="_x001d__x000c_K_x0014__x000d_&gt;V_x0001_&gt;_x0014_n_x001e__x0007__x0001__x0001_ 3 3 2" xfId="330" xr:uid="{00000000-0005-0000-0000-0000CB000000}"/>
    <cellStyle name="_x001d__x000c_K_x0014__x000d_&gt;V_x0001_&gt;_x0014_n_x001e__x0007__x0001__x0001_ 3 3 3" xfId="320" xr:uid="{00000000-0005-0000-0000-0000CC000000}"/>
    <cellStyle name="_x001d__x000c_K_x0014__x000d_&gt;V_x0001_&gt;_x0014_n_x001e__x0007__x0001__x0001_ 3 4" xfId="311" xr:uid="{00000000-0005-0000-0000-0000CD000000}"/>
    <cellStyle name="_x001d__x000c_K_x0014__x000d_&gt;V_x0001_&gt;_x0014_n_x001e__x0007__x0001__x0001_ 3 5" xfId="461" xr:uid="{00000000-0005-0000-0000-0000CE000000}"/>
    <cellStyle name="_x001d__x000c_K_x0014__x000d_&gt;V_x0001_&gt;_x0014_n_x001e__x0007__x0001__x0001_ 3 6" xfId="434" xr:uid="{00000000-0005-0000-0000-0000CF000000}"/>
    <cellStyle name="_x001d__x000c_K_x0014__x000d_&gt;V_x0001_&gt;_x0014_n_x001e__x0007__x0001__x0001_ 4" xfId="319" xr:uid="{00000000-0005-0000-0000-0000D0000000}"/>
    <cellStyle name="_x001d__x000c_K_x0014__x000d_&gt;V_x0001_&gt;_x0014_n_x001e__x0007__x0001__x0001_ 5" xfId="432" xr:uid="{00000000-0005-0000-0000-0000D1000000}"/>
    <cellStyle name="悪い" xfId="127" builtinId="27" customBuiltin="1"/>
    <cellStyle name="悪い 2" xfId="128" xr:uid="{00000000-0005-0000-0000-0000D3000000}"/>
    <cellStyle name="悪い 3" xfId="129" xr:uid="{00000000-0005-0000-0000-0000D4000000}"/>
    <cellStyle name="悪い 4" xfId="130" xr:uid="{00000000-0005-0000-0000-0000D5000000}"/>
    <cellStyle name="悪い 5" xfId="258" xr:uid="{00000000-0005-0000-0000-0000D6000000}"/>
    <cellStyle name="悪い 6" xfId="219" xr:uid="{00000000-0005-0000-0000-0000D7000000}"/>
    <cellStyle name="計算" xfId="131" builtinId="22" customBuiltin="1"/>
    <cellStyle name="計算 2" xfId="132" xr:uid="{00000000-0005-0000-0000-0000D9000000}"/>
    <cellStyle name="計算 3" xfId="133" xr:uid="{00000000-0005-0000-0000-0000DA000000}"/>
    <cellStyle name="計算 4" xfId="134" xr:uid="{00000000-0005-0000-0000-0000DB000000}"/>
    <cellStyle name="計算 5" xfId="259" xr:uid="{00000000-0005-0000-0000-0000DC000000}"/>
    <cellStyle name="計算 6" xfId="220" xr:uid="{00000000-0005-0000-0000-0000DD000000}"/>
    <cellStyle name="警告文" xfId="135" builtinId="11" customBuiltin="1"/>
    <cellStyle name="警告文 2" xfId="136" xr:uid="{00000000-0005-0000-0000-0000DF000000}"/>
    <cellStyle name="警告文 3" xfId="137" xr:uid="{00000000-0005-0000-0000-0000E0000000}"/>
    <cellStyle name="警告文 4" xfId="138" xr:uid="{00000000-0005-0000-0000-0000E1000000}"/>
    <cellStyle name="警告文 5" xfId="221" xr:uid="{00000000-0005-0000-0000-0000E2000000}"/>
    <cellStyle name="桁区切り 2" xfId="304" xr:uid="{00000000-0005-0000-0000-0000E3000000}"/>
    <cellStyle name="桁区切り 3" xfId="442" xr:uid="{00000000-0005-0000-0000-0000E4000000}"/>
    <cellStyle name="見出し 1" xfId="139" builtinId="16" customBuiltin="1"/>
    <cellStyle name="見出し 1 2" xfId="140" xr:uid="{00000000-0005-0000-0000-0000E6000000}"/>
    <cellStyle name="見出し 1 3" xfId="141" xr:uid="{00000000-0005-0000-0000-0000E7000000}"/>
    <cellStyle name="見出し 1 4" xfId="142" xr:uid="{00000000-0005-0000-0000-0000E8000000}"/>
    <cellStyle name="見出し 1 5" xfId="260" xr:uid="{00000000-0005-0000-0000-0000E9000000}"/>
    <cellStyle name="見出し 1 6" xfId="222" xr:uid="{00000000-0005-0000-0000-0000EA000000}"/>
    <cellStyle name="見出し 2" xfId="143" builtinId="17" customBuiltin="1"/>
    <cellStyle name="見出し 2 2" xfId="144" xr:uid="{00000000-0005-0000-0000-0000EC000000}"/>
    <cellStyle name="見出し 2 3" xfId="145" xr:uid="{00000000-0005-0000-0000-0000ED000000}"/>
    <cellStyle name="見出し 2 4" xfId="146" xr:uid="{00000000-0005-0000-0000-0000EE000000}"/>
    <cellStyle name="見出し 2 5" xfId="261" xr:uid="{00000000-0005-0000-0000-0000EF000000}"/>
    <cellStyle name="見出し 2 6" xfId="223" xr:uid="{00000000-0005-0000-0000-0000F0000000}"/>
    <cellStyle name="見出し 3" xfId="147" builtinId="18" customBuiltin="1"/>
    <cellStyle name="見出し 3 2" xfId="148" xr:uid="{00000000-0005-0000-0000-0000F2000000}"/>
    <cellStyle name="見出し 3 3" xfId="149" xr:uid="{00000000-0005-0000-0000-0000F3000000}"/>
    <cellStyle name="見出し 3 4" xfId="150" xr:uid="{00000000-0005-0000-0000-0000F4000000}"/>
    <cellStyle name="見出し 3 5" xfId="262" xr:uid="{00000000-0005-0000-0000-0000F5000000}"/>
    <cellStyle name="見出し 3 6" xfId="224" xr:uid="{00000000-0005-0000-0000-0000F6000000}"/>
    <cellStyle name="見出し 4" xfId="151" builtinId="19" customBuiltin="1"/>
    <cellStyle name="見出し 4 2" xfId="152" xr:uid="{00000000-0005-0000-0000-0000F8000000}"/>
    <cellStyle name="見出し 4 3" xfId="153" xr:uid="{00000000-0005-0000-0000-0000F9000000}"/>
    <cellStyle name="見出し 4 4" xfId="154" xr:uid="{00000000-0005-0000-0000-0000FA000000}"/>
    <cellStyle name="見出し 4 5" xfId="263" xr:uid="{00000000-0005-0000-0000-0000FB000000}"/>
    <cellStyle name="見出し 4 6" xfId="225" xr:uid="{00000000-0005-0000-0000-0000FC000000}"/>
    <cellStyle name="作業ﾌﾛｰ" xfId="292" xr:uid="{00000000-0005-0000-0000-0000FD000000}"/>
    <cellStyle name="資料" xfId="293" xr:uid="{00000000-0005-0000-0000-0000FE000000}"/>
    <cellStyle name="資料２" xfId="294" xr:uid="{00000000-0005-0000-0000-0000FF000000}"/>
    <cellStyle name="集計" xfId="155" builtinId="25" customBuiltin="1"/>
    <cellStyle name="集計 2" xfId="156" xr:uid="{00000000-0005-0000-0000-000001010000}"/>
    <cellStyle name="集計 3" xfId="157" xr:uid="{00000000-0005-0000-0000-000002010000}"/>
    <cellStyle name="集計 4" xfId="158" xr:uid="{00000000-0005-0000-0000-000003010000}"/>
    <cellStyle name="集計 5" xfId="264" xr:uid="{00000000-0005-0000-0000-000004010000}"/>
    <cellStyle name="集計 6" xfId="226" xr:uid="{00000000-0005-0000-0000-000005010000}"/>
    <cellStyle name="出力" xfId="159" builtinId="21" customBuiltin="1"/>
    <cellStyle name="出力 2" xfId="160" xr:uid="{00000000-0005-0000-0000-000007010000}"/>
    <cellStyle name="出力 3" xfId="161" xr:uid="{00000000-0005-0000-0000-000008010000}"/>
    <cellStyle name="出力 4" xfId="162" xr:uid="{00000000-0005-0000-0000-000009010000}"/>
    <cellStyle name="出力 5" xfId="265" xr:uid="{00000000-0005-0000-0000-00000A010000}"/>
    <cellStyle name="出力 6" xfId="227" xr:uid="{00000000-0005-0000-0000-00000B010000}"/>
    <cellStyle name="説明文" xfId="163" builtinId="53" customBuiltin="1"/>
    <cellStyle name="説明文 2" xfId="164" xr:uid="{00000000-0005-0000-0000-00000D010000}"/>
    <cellStyle name="説明文 3" xfId="165" xr:uid="{00000000-0005-0000-0000-00000E010000}"/>
    <cellStyle name="説明文 4" xfId="166" xr:uid="{00000000-0005-0000-0000-00000F010000}"/>
    <cellStyle name="説明文 5" xfId="228" xr:uid="{00000000-0005-0000-0000-000010010000}"/>
    <cellStyle name="入力" xfId="167" builtinId="20" customBuiltin="1"/>
    <cellStyle name="入力 2" xfId="168" xr:uid="{00000000-0005-0000-0000-000012010000}"/>
    <cellStyle name="入力 3" xfId="169" xr:uid="{00000000-0005-0000-0000-000013010000}"/>
    <cellStyle name="入力 4" xfId="170" xr:uid="{00000000-0005-0000-0000-000014010000}"/>
    <cellStyle name="入力 5" xfId="266" xr:uid="{00000000-0005-0000-0000-000015010000}"/>
    <cellStyle name="入力 6" xfId="229" xr:uid="{00000000-0005-0000-0000-000016010000}"/>
    <cellStyle name="標準" xfId="0" builtinId="0"/>
    <cellStyle name="標準 10" xfId="272" xr:uid="{00000000-0005-0000-0000-000018010000}"/>
    <cellStyle name="標準 10 2" xfId="314" xr:uid="{00000000-0005-0000-0000-000019010000}"/>
    <cellStyle name="標準 10 2 2" xfId="341" xr:uid="{00000000-0005-0000-0000-00001A010000}"/>
    <cellStyle name="標準 10 2 2 2" xfId="428" xr:uid="{00000000-0005-0000-0000-00001B010000}"/>
    <cellStyle name="標準 10 2 2 2 2" xfId="1075" xr:uid="{00000000-0005-0000-0000-00001C010000}"/>
    <cellStyle name="標準 10 2 2 2 3" xfId="791" xr:uid="{00000000-0005-0000-0000-00001D010000}"/>
    <cellStyle name="標準 10 2 2 3" xfId="401" xr:uid="{00000000-0005-0000-0000-00001E010000}"/>
    <cellStyle name="標準 10 2 2 3 2" xfId="770" xr:uid="{00000000-0005-0000-0000-00001F010000}"/>
    <cellStyle name="標準 10 2 2 4" xfId="379" xr:uid="{00000000-0005-0000-0000-000020010000}"/>
    <cellStyle name="標準 10 2 2 4 2" xfId="1054" xr:uid="{00000000-0005-0000-0000-000021010000}"/>
    <cellStyle name="標準 10 2 2 5" xfId="749" xr:uid="{00000000-0005-0000-0000-000022010000}"/>
    <cellStyle name="標準 10 2 3" xfId="327" xr:uid="{00000000-0005-0000-0000-000023010000}"/>
    <cellStyle name="標準 10 2 3 2" xfId="412" xr:uid="{00000000-0005-0000-0000-000024010000}"/>
    <cellStyle name="標準 10 2 3 2 2" xfId="1062" xr:uid="{00000000-0005-0000-0000-000025010000}"/>
    <cellStyle name="標準 10 2 3 3" xfId="778" xr:uid="{00000000-0005-0000-0000-000026010000}"/>
    <cellStyle name="標準 10 2 4" xfId="475" xr:uid="{00000000-0005-0000-0000-000027010000}"/>
    <cellStyle name="標準 10 2 5" xfId="388" xr:uid="{00000000-0005-0000-0000-000028010000}"/>
    <cellStyle name="標準 10 2 5 2" xfId="757" xr:uid="{00000000-0005-0000-0000-000029010000}"/>
    <cellStyle name="標準 10 2 6" xfId="360" xr:uid="{00000000-0005-0000-0000-00002A010000}"/>
    <cellStyle name="標準 10 2 6 2" xfId="1041" xr:uid="{00000000-0005-0000-0000-00002B010000}"/>
    <cellStyle name="標準 10 2 7" xfId="730" xr:uid="{00000000-0005-0000-0000-00002C010000}"/>
    <cellStyle name="標準 10 3" xfId="303" xr:uid="{00000000-0005-0000-0000-00002D010000}"/>
    <cellStyle name="標準 10 4" xfId="280" xr:uid="{00000000-0005-0000-0000-00002E010000}"/>
    <cellStyle name="標準 10 4 2" xfId="334" xr:uid="{00000000-0005-0000-0000-00002F010000}"/>
    <cellStyle name="標準 10 4 2 2" xfId="418" xr:uid="{00000000-0005-0000-0000-000030010000}"/>
    <cellStyle name="標準 10 4 2 2 2" xfId="784" xr:uid="{00000000-0005-0000-0000-000031010000}"/>
    <cellStyle name="標準 10 4 2 3" xfId="372" xr:uid="{00000000-0005-0000-0000-000032010000}"/>
    <cellStyle name="標準 10 4 2 3 2" xfId="1068" xr:uid="{00000000-0005-0000-0000-000033010000}"/>
    <cellStyle name="標準 10 4 2 4" xfId="742" xr:uid="{00000000-0005-0000-0000-000034010000}"/>
    <cellStyle name="標準 10 4 3" xfId="459" xr:uid="{00000000-0005-0000-0000-000035010000}"/>
    <cellStyle name="標準 10 4 4" xfId="394" xr:uid="{00000000-0005-0000-0000-000036010000}"/>
    <cellStyle name="標準 10 4 4 2" xfId="763" xr:uid="{00000000-0005-0000-0000-000037010000}"/>
    <cellStyle name="標準 10 4 5" xfId="353" xr:uid="{00000000-0005-0000-0000-000038010000}"/>
    <cellStyle name="標準 10 4 5 2" xfId="1047" xr:uid="{00000000-0005-0000-0000-000039010000}"/>
    <cellStyle name="標準 10 4 6" xfId="723" xr:uid="{00000000-0005-0000-0000-00003A010000}"/>
    <cellStyle name="標準 10 5" xfId="317" xr:uid="{00000000-0005-0000-0000-00003B010000}"/>
    <cellStyle name="標準 10 5 2" xfId="441" xr:uid="{00000000-0005-0000-0000-00003C010000}"/>
    <cellStyle name="標準 10 5 3" xfId="366" xr:uid="{00000000-0005-0000-0000-00003D010000}"/>
    <cellStyle name="標準 10 5 4" xfId="736" xr:uid="{00000000-0005-0000-0000-00003E010000}"/>
    <cellStyle name="標準 10 6" xfId="431" xr:uid="{00000000-0005-0000-0000-00003F010000}"/>
    <cellStyle name="標準 10 7" xfId="382" xr:uid="{00000000-0005-0000-0000-000040010000}"/>
    <cellStyle name="標準 10 7 2" xfId="752" xr:uid="{00000000-0005-0000-0000-000041010000}"/>
    <cellStyle name="標準 10 8" xfId="347" xr:uid="{00000000-0005-0000-0000-000042010000}"/>
    <cellStyle name="標準 10 8 2" xfId="1036" xr:uid="{00000000-0005-0000-0000-000043010000}"/>
    <cellStyle name="標準 10 9" xfId="717" xr:uid="{00000000-0005-0000-0000-000044010000}"/>
    <cellStyle name="標準 11" xfId="274" xr:uid="{00000000-0005-0000-0000-000045010000}"/>
    <cellStyle name="標準 11 2" xfId="315" xr:uid="{00000000-0005-0000-0000-000046010000}"/>
    <cellStyle name="標準 11 2 2" xfId="342" xr:uid="{00000000-0005-0000-0000-000047010000}"/>
    <cellStyle name="標準 11 2 2 2" xfId="429" xr:uid="{00000000-0005-0000-0000-000048010000}"/>
    <cellStyle name="標準 11 2 2 2 2" xfId="792" xr:uid="{00000000-0005-0000-0000-000049010000}"/>
    <cellStyle name="標準 11 2 2 3" xfId="380" xr:uid="{00000000-0005-0000-0000-00004A010000}"/>
    <cellStyle name="標準 11 2 2 3 2" xfId="1076" xr:uid="{00000000-0005-0000-0000-00004B010000}"/>
    <cellStyle name="標準 11 2 2 4" xfId="750" xr:uid="{00000000-0005-0000-0000-00004C010000}"/>
    <cellStyle name="標準 11 2 3" xfId="413" xr:uid="{00000000-0005-0000-0000-00004D010000}"/>
    <cellStyle name="標準 11 2 3 2" xfId="1063" xr:uid="{00000000-0005-0000-0000-00004E010000}"/>
    <cellStyle name="標準 11 2 3 3" xfId="779" xr:uid="{00000000-0005-0000-0000-00004F010000}"/>
    <cellStyle name="標準 11 2 4" xfId="402" xr:uid="{00000000-0005-0000-0000-000050010000}"/>
    <cellStyle name="標準 11 2 4 2" xfId="771" xr:uid="{00000000-0005-0000-0000-000051010000}"/>
    <cellStyle name="標準 11 2 5" xfId="361" xr:uid="{00000000-0005-0000-0000-000052010000}"/>
    <cellStyle name="標準 11 2 5 2" xfId="1055" xr:uid="{00000000-0005-0000-0000-000053010000}"/>
    <cellStyle name="標準 11 2 6" xfId="731" xr:uid="{00000000-0005-0000-0000-000054010000}"/>
    <cellStyle name="標準 11 3" xfId="307" xr:uid="{00000000-0005-0000-0000-000055010000}"/>
    <cellStyle name="標準 11 4" xfId="281" xr:uid="{00000000-0005-0000-0000-000056010000}"/>
    <cellStyle name="標準 11 4 2" xfId="335" xr:uid="{00000000-0005-0000-0000-000057010000}"/>
    <cellStyle name="標準 11 4 2 2" xfId="419" xr:uid="{00000000-0005-0000-0000-000058010000}"/>
    <cellStyle name="標準 11 4 2 2 2" xfId="785" xr:uid="{00000000-0005-0000-0000-000059010000}"/>
    <cellStyle name="標準 11 4 2 3" xfId="373" xr:uid="{00000000-0005-0000-0000-00005A010000}"/>
    <cellStyle name="標準 11 4 2 3 2" xfId="1069" xr:uid="{00000000-0005-0000-0000-00005B010000}"/>
    <cellStyle name="標準 11 4 2 4" xfId="743" xr:uid="{00000000-0005-0000-0000-00005C010000}"/>
    <cellStyle name="標準 11 4 3" xfId="395" xr:uid="{00000000-0005-0000-0000-00005D010000}"/>
    <cellStyle name="標準 11 4 3 2" xfId="764" xr:uid="{00000000-0005-0000-0000-00005E010000}"/>
    <cellStyle name="標準 11 4 4" xfId="354" xr:uid="{00000000-0005-0000-0000-00005F010000}"/>
    <cellStyle name="標準 11 4 4 2" xfId="1048" xr:uid="{00000000-0005-0000-0000-000060010000}"/>
    <cellStyle name="標準 11 4 5" xfId="724" xr:uid="{00000000-0005-0000-0000-000061010000}"/>
    <cellStyle name="標準 11 5" xfId="328" xr:uid="{00000000-0005-0000-0000-000062010000}"/>
    <cellStyle name="標準 11 5 2" xfId="367" xr:uid="{00000000-0005-0000-0000-000063010000}"/>
    <cellStyle name="標準 11 5 3" xfId="737" xr:uid="{00000000-0005-0000-0000-000064010000}"/>
    <cellStyle name="標準 11 6" xfId="389" xr:uid="{00000000-0005-0000-0000-000065010000}"/>
    <cellStyle name="標準 11 6 2" xfId="758" xr:uid="{00000000-0005-0000-0000-000066010000}"/>
    <cellStyle name="標準 11 7" xfId="348" xr:uid="{00000000-0005-0000-0000-000067010000}"/>
    <cellStyle name="標準 11 7 2" xfId="1042" xr:uid="{00000000-0005-0000-0000-000068010000}"/>
    <cellStyle name="標準 11 8" xfId="718" xr:uid="{00000000-0005-0000-0000-000069010000}"/>
    <cellStyle name="標準 12" xfId="275" xr:uid="{00000000-0005-0000-0000-00006A010000}"/>
    <cellStyle name="標準 12 2" xfId="316" xr:uid="{00000000-0005-0000-0000-00006B010000}"/>
    <cellStyle name="標準 12 2 2" xfId="343" xr:uid="{00000000-0005-0000-0000-00006C010000}"/>
    <cellStyle name="標準 12 2 2 2" xfId="430" xr:uid="{00000000-0005-0000-0000-00006D010000}"/>
    <cellStyle name="標準 12 2 2 2 2" xfId="793" xr:uid="{00000000-0005-0000-0000-00006E010000}"/>
    <cellStyle name="標準 12 2 2 3" xfId="381" xr:uid="{00000000-0005-0000-0000-00006F010000}"/>
    <cellStyle name="標準 12 2 2 3 2" xfId="1077" xr:uid="{00000000-0005-0000-0000-000070010000}"/>
    <cellStyle name="標準 12 2 2 4" xfId="751" xr:uid="{00000000-0005-0000-0000-000071010000}"/>
    <cellStyle name="標準 12 2 3" xfId="414" xr:uid="{00000000-0005-0000-0000-000072010000}"/>
    <cellStyle name="標準 12 2 3 2" xfId="1064" xr:uid="{00000000-0005-0000-0000-000073010000}"/>
    <cellStyle name="標準 12 2 3 3" xfId="780" xr:uid="{00000000-0005-0000-0000-000074010000}"/>
    <cellStyle name="標準 12 2 4" xfId="403" xr:uid="{00000000-0005-0000-0000-000075010000}"/>
    <cellStyle name="標準 12 2 4 2" xfId="772" xr:uid="{00000000-0005-0000-0000-000076010000}"/>
    <cellStyle name="標準 12 2 5" xfId="362" xr:uid="{00000000-0005-0000-0000-000077010000}"/>
    <cellStyle name="標準 12 2 5 2" xfId="1056" xr:uid="{00000000-0005-0000-0000-000078010000}"/>
    <cellStyle name="標準 12 2 6" xfId="732" xr:uid="{00000000-0005-0000-0000-000079010000}"/>
    <cellStyle name="標準 12 3" xfId="305" xr:uid="{00000000-0005-0000-0000-00007A010000}"/>
    <cellStyle name="標準 12 4" xfId="282" xr:uid="{00000000-0005-0000-0000-00007B010000}"/>
    <cellStyle name="標準 12 4 2" xfId="336" xr:uid="{00000000-0005-0000-0000-00007C010000}"/>
    <cellStyle name="標準 12 4 2 2" xfId="420" xr:uid="{00000000-0005-0000-0000-00007D010000}"/>
    <cellStyle name="標準 12 4 2 2 2" xfId="786" xr:uid="{00000000-0005-0000-0000-00007E010000}"/>
    <cellStyle name="標準 12 4 2 3" xfId="374" xr:uid="{00000000-0005-0000-0000-00007F010000}"/>
    <cellStyle name="標準 12 4 2 3 2" xfId="1070" xr:uid="{00000000-0005-0000-0000-000080010000}"/>
    <cellStyle name="標準 12 4 2 4" xfId="744" xr:uid="{00000000-0005-0000-0000-000081010000}"/>
    <cellStyle name="標準 12 4 3" xfId="396" xr:uid="{00000000-0005-0000-0000-000082010000}"/>
    <cellStyle name="標準 12 4 3 2" xfId="765" xr:uid="{00000000-0005-0000-0000-000083010000}"/>
    <cellStyle name="標準 12 4 4" xfId="355" xr:uid="{00000000-0005-0000-0000-000084010000}"/>
    <cellStyle name="標準 12 4 4 2" xfId="1049" xr:uid="{00000000-0005-0000-0000-000085010000}"/>
    <cellStyle name="標準 12 4 5" xfId="725" xr:uid="{00000000-0005-0000-0000-000086010000}"/>
    <cellStyle name="標準 12 5" xfId="329" xr:uid="{00000000-0005-0000-0000-000087010000}"/>
    <cellStyle name="標準 12 5 2" xfId="368" xr:uid="{00000000-0005-0000-0000-000088010000}"/>
    <cellStyle name="標準 12 5 3" xfId="738" xr:uid="{00000000-0005-0000-0000-000089010000}"/>
    <cellStyle name="標準 12 6" xfId="390" xr:uid="{00000000-0005-0000-0000-00008A010000}"/>
    <cellStyle name="標準 12 6 2" xfId="759" xr:uid="{00000000-0005-0000-0000-00008B010000}"/>
    <cellStyle name="標準 12 7" xfId="349" xr:uid="{00000000-0005-0000-0000-00008C010000}"/>
    <cellStyle name="標準 12 7 2" xfId="1043" xr:uid="{00000000-0005-0000-0000-00008D010000}"/>
    <cellStyle name="標準 12 8" xfId="719" xr:uid="{00000000-0005-0000-0000-00008E010000}"/>
    <cellStyle name="標準 13" xfId="271" xr:uid="{00000000-0005-0000-0000-00008F010000}"/>
    <cellStyle name="標準 13 2" xfId="313" xr:uid="{00000000-0005-0000-0000-000090010000}"/>
    <cellStyle name="標準 13 2 2" xfId="340" xr:uid="{00000000-0005-0000-0000-000091010000}"/>
    <cellStyle name="標準 13 2 2 2" xfId="427" xr:uid="{00000000-0005-0000-0000-000092010000}"/>
    <cellStyle name="標準 13 2 2 2 2" xfId="790" xr:uid="{00000000-0005-0000-0000-000093010000}"/>
    <cellStyle name="標準 13 2 2 3" xfId="378" xr:uid="{00000000-0005-0000-0000-000094010000}"/>
    <cellStyle name="標準 13 2 2 3 2" xfId="1074" xr:uid="{00000000-0005-0000-0000-000095010000}"/>
    <cellStyle name="標準 13 2 2 4" xfId="748" xr:uid="{00000000-0005-0000-0000-000096010000}"/>
    <cellStyle name="標準 13 2 3" xfId="411" xr:uid="{00000000-0005-0000-0000-000097010000}"/>
    <cellStyle name="標準 13 2 3 2" xfId="1061" xr:uid="{00000000-0005-0000-0000-000098010000}"/>
    <cellStyle name="標準 13 2 3 3" xfId="777" xr:uid="{00000000-0005-0000-0000-000099010000}"/>
    <cellStyle name="標準 13 2 4" xfId="400" xr:uid="{00000000-0005-0000-0000-00009A010000}"/>
    <cellStyle name="標準 13 2 4 2" xfId="769" xr:uid="{00000000-0005-0000-0000-00009B010000}"/>
    <cellStyle name="標準 13 2 5" xfId="359" xr:uid="{00000000-0005-0000-0000-00009C010000}"/>
    <cellStyle name="標準 13 2 5 2" xfId="1053" xr:uid="{00000000-0005-0000-0000-00009D010000}"/>
    <cellStyle name="標準 13 2 6" xfId="729" xr:uid="{00000000-0005-0000-0000-00009E010000}"/>
    <cellStyle name="標準 13 3" xfId="306" xr:uid="{00000000-0005-0000-0000-00009F010000}"/>
    <cellStyle name="標準 13 4" xfId="279" xr:uid="{00000000-0005-0000-0000-0000A0010000}"/>
    <cellStyle name="標準 13 4 2" xfId="333" xr:uid="{00000000-0005-0000-0000-0000A1010000}"/>
    <cellStyle name="標準 13 4 2 2" xfId="417" xr:uid="{00000000-0005-0000-0000-0000A2010000}"/>
    <cellStyle name="標準 13 4 2 2 2" xfId="783" xr:uid="{00000000-0005-0000-0000-0000A3010000}"/>
    <cellStyle name="標準 13 4 2 3" xfId="371" xr:uid="{00000000-0005-0000-0000-0000A4010000}"/>
    <cellStyle name="標準 13 4 2 3 2" xfId="1067" xr:uid="{00000000-0005-0000-0000-0000A5010000}"/>
    <cellStyle name="標準 13 4 2 4" xfId="741" xr:uid="{00000000-0005-0000-0000-0000A6010000}"/>
    <cellStyle name="標準 13 4 3" xfId="393" xr:uid="{00000000-0005-0000-0000-0000A7010000}"/>
    <cellStyle name="標準 13 4 3 2" xfId="762" xr:uid="{00000000-0005-0000-0000-0000A8010000}"/>
    <cellStyle name="標準 13 4 4" xfId="352" xr:uid="{00000000-0005-0000-0000-0000A9010000}"/>
    <cellStyle name="標準 13 4 4 2" xfId="1046" xr:uid="{00000000-0005-0000-0000-0000AA010000}"/>
    <cellStyle name="標準 13 4 5" xfId="722" xr:uid="{00000000-0005-0000-0000-0000AB010000}"/>
    <cellStyle name="標準 13 5" xfId="326" xr:uid="{00000000-0005-0000-0000-0000AC010000}"/>
    <cellStyle name="標準 13 5 2" xfId="365" xr:uid="{00000000-0005-0000-0000-0000AD010000}"/>
    <cellStyle name="標準 13 5 3" xfId="735" xr:uid="{00000000-0005-0000-0000-0000AE010000}"/>
    <cellStyle name="標準 13 6" xfId="387" xr:uid="{00000000-0005-0000-0000-0000AF010000}"/>
    <cellStyle name="標準 13 6 2" xfId="756" xr:uid="{00000000-0005-0000-0000-0000B0010000}"/>
    <cellStyle name="標準 13 7" xfId="346" xr:uid="{00000000-0005-0000-0000-0000B1010000}"/>
    <cellStyle name="標準 13 7 2" xfId="1040" xr:uid="{00000000-0005-0000-0000-0000B2010000}"/>
    <cellStyle name="標準 13 8" xfId="716" xr:uid="{00000000-0005-0000-0000-0000B3010000}"/>
    <cellStyle name="標準 14" xfId="188" xr:uid="{00000000-0005-0000-0000-0000B4010000}"/>
    <cellStyle name="標準 14 2" xfId="283" xr:uid="{00000000-0005-0000-0000-0000B5010000}"/>
    <cellStyle name="標準 14 2 2" xfId="337" xr:uid="{00000000-0005-0000-0000-0000B6010000}"/>
    <cellStyle name="標準 14 2 2 2" xfId="421" xr:uid="{00000000-0005-0000-0000-0000B7010000}"/>
    <cellStyle name="標準 14 2 2 2 2" xfId="787" xr:uid="{00000000-0005-0000-0000-0000B8010000}"/>
    <cellStyle name="標準 14 2 2 3" xfId="375" xr:uid="{00000000-0005-0000-0000-0000B9010000}"/>
    <cellStyle name="標準 14 2 2 3 2" xfId="1071" xr:uid="{00000000-0005-0000-0000-0000BA010000}"/>
    <cellStyle name="標準 14 2 2 4" xfId="745" xr:uid="{00000000-0005-0000-0000-0000BB010000}"/>
    <cellStyle name="標準 14 2 3" xfId="397" xr:uid="{00000000-0005-0000-0000-0000BC010000}"/>
    <cellStyle name="標準 14 2 3 2" xfId="766" xr:uid="{00000000-0005-0000-0000-0000BD010000}"/>
    <cellStyle name="標準 14 2 4" xfId="356" xr:uid="{00000000-0005-0000-0000-0000BE010000}"/>
    <cellStyle name="標準 14 2 4 2" xfId="1050" xr:uid="{00000000-0005-0000-0000-0000BF010000}"/>
    <cellStyle name="標準 14 2 5" xfId="726" xr:uid="{00000000-0005-0000-0000-0000C0010000}"/>
    <cellStyle name="標準 14 3" xfId="297" xr:uid="{00000000-0005-0000-0000-0000C1010000}"/>
    <cellStyle name="標準 14 4" xfId="323" xr:uid="{00000000-0005-0000-0000-0000C2010000}"/>
    <cellStyle name="標準 14 4 2" xfId="363" xr:uid="{00000000-0005-0000-0000-0000C3010000}"/>
    <cellStyle name="標準 14 4 3" xfId="733" xr:uid="{00000000-0005-0000-0000-0000C4010000}"/>
    <cellStyle name="標準 14 5" xfId="385" xr:uid="{00000000-0005-0000-0000-0000C5010000}"/>
    <cellStyle name="標準 14 5 2" xfId="754" xr:uid="{00000000-0005-0000-0000-0000C6010000}"/>
    <cellStyle name="標準 14 6" xfId="344" xr:uid="{00000000-0005-0000-0000-0000C7010000}"/>
    <cellStyle name="標準 14 6 2" xfId="1038" xr:uid="{00000000-0005-0000-0000-0000C8010000}"/>
    <cellStyle name="標準 14 7" xfId="714" xr:uid="{00000000-0005-0000-0000-0000C9010000}"/>
    <cellStyle name="標準 15" xfId="308" xr:uid="{00000000-0005-0000-0000-0000CA010000}"/>
    <cellStyle name="標準 16" xfId="302" xr:uid="{00000000-0005-0000-0000-0000CB010000}"/>
    <cellStyle name="標準 17" xfId="309" xr:uid="{00000000-0005-0000-0000-0000CC010000}"/>
    <cellStyle name="標準 17 2" xfId="338" xr:uid="{00000000-0005-0000-0000-0000CD010000}"/>
    <cellStyle name="標準 17 2 2" xfId="424" xr:uid="{00000000-0005-0000-0000-0000CE010000}"/>
    <cellStyle name="標準 17 2 2 2" xfId="788" xr:uid="{00000000-0005-0000-0000-0000CF010000}"/>
    <cellStyle name="標準 17 2 3" xfId="376" xr:uid="{00000000-0005-0000-0000-0000D0010000}"/>
    <cellStyle name="標準 17 2 3 2" xfId="1072" xr:uid="{00000000-0005-0000-0000-0000D1010000}"/>
    <cellStyle name="標準 17 2 4" xfId="746" xr:uid="{00000000-0005-0000-0000-0000D2010000}"/>
    <cellStyle name="標準 17 3" xfId="404" xr:uid="{00000000-0005-0000-0000-0000D3010000}"/>
    <cellStyle name="標準 17 3 2" xfId="1057" xr:uid="{00000000-0005-0000-0000-0000D4010000}"/>
    <cellStyle name="標準 17 3 3" xfId="773" xr:uid="{00000000-0005-0000-0000-0000D5010000}"/>
    <cellStyle name="標準 17 4" xfId="458" xr:uid="{00000000-0005-0000-0000-0000D6010000}"/>
    <cellStyle name="標準 17 5" xfId="398" xr:uid="{00000000-0005-0000-0000-0000D7010000}"/>
    <cellStyle name="標準 17 5 2" xfId="767" xr:uid="{00000000-0005-0000-0000-0000D8010000}"/>
    <cellStyle name="標準 17 6" xfId="357" xr:uid="{00000000-0005-0000-0000-0000D9010000}"/>
    <cellStyle name="標準 17 6 2" xfId="1051" xr:uid="{00000000-0005-0000-0000-0000DA010000}"/>
    <cellStyle name="標準 17 7" xfId="727" xr:uid="{00000000-0005-0000-0000-0000DB010000}"/>
    <cellStyle name="標準 18" xfId="277" xr:uid="{00000000-0005-0000-0000-0000DC010000}"/>
    <cellStyle name="標準 18 2" xfId="331" xr:uid="{00000000-0005-0000-0000-0000DD010000}"/>
    <cellStyle name="標準 18 2 2" xfId="408" xr:uid="{00000000-0005-0000-0000-0000DE010000}"/>
    <cellStyle name="標準 18 2 2 2" xfId="775" xr:uid="{00000000-0005-0000-0000-0000DF010000}"/>
    <cellStyle name="標準 18 2 3" xfId="369" xr:uid="{00000000-0005-0000-0000-0000E0010000}"/>
    <cellStyle name="標準 18 2 3 2" xfId="1059" xr:uid="{00000000-0005-0000-0000-0000E1010000}"/>
    <cellStyle name="標準 18 2 4" xfId="739" xr:uid="{00000000-0005-0000-0000-0000E2010000}"/>
    <cellStyle name="標準 18 3" xfId="454" xr:uid="{00000000-0005-0000-0000-0000E3010000}"/>
    <cellStyle name="標準 18 4" xfId="391" xr:uid="{00000000-0005-0000-0000-0000E4010000}"/>
    <cellStyle name="標準 18 4 2" xfId="760" xr:uid="{00000000-0005-0000-0000-0000E5010000}"/>
    <cellStyle name="標準 18 5" xfId="350" xr:uid="{00000000-0005-0000-0000-0000E6010000}"/>
    <cellStyle name="標準 18 5 2" xfId="1044" xr:uid="{00000000-0005-0000-0000-0000E7010000}"/>
    <cellStyle name="標準 18 6" xfId="720" xr:uid="{00000000-0005-0000-0000-0000E8010000}"/>
    <cellStyle name="標準 19" xfId="415" xr:uid="{00000000-0005-0000-0000-0000E9010000}"/>
    <cellStyle name="標準 19 2" xfId="456" xr:uid="{00000000-0005-0000-0000-0000EA010000}"/>
    <cellStyle name="標準 19 3" xfId="1065" xr:uid="{00000000-0005-0000-0000-0000EB010000}"/>
    <cellStyle name="標準 19 4" xfId="781" xr:uid="{00000000-0005-0000-0000-0000EC010000}"/>
    <cellStyle name="標準 2" xfId="171" xr:uid="{00000000-0005-0000-0000-0000ED010000}"/>
    <cellStyle name="標準 2 2" xfId="295" xr:uid="{00000000-0005-0000-0000-0000EE010000}"/>
    <cellStyle name="標準 2 3" xfId="447" xr:uid="{00000000-0005-0000-0000-0000EF010000}"/>
    <cellStyle name="標準 2 3 2" xfId="482" xr:uid="{00000000-0005-0000-0000-0000F0010000}"/>
    <cellStyle name="標準 2 3 2 2" xfId="525" xr:uid="{00000000-0005-0000-0000-0000F1010000}"/>
    <cellStyle name="標準 2 3 2 2 2" xfId="566" xr:uid="{00000000-0005-0000-0000-0000F2010000}"/>
    <cellStyle name="標準 2 3 2 2 2 2" xfId="701" xr:uid="{00000000-0005-0000-0000-0000F3010000}"/>
    <cellStyle name="標準 2 3 2 2 2 2 2" xfId="1307" xr:uid="{00000000-0005-0000-0000-0000F4010000}"/>
    <cellStyle name="標準 2 3 2 2 2 2 3" xfId="1023" xr:uid="{00000000-0005-0000-0000-0000F5010000}"/>
    <cellStyle name="標準 2 3 2 2 2 3" xfId="1176" xr:uid="{00000000-0005-0000-0000-0000F6010000}"/>
    <cellStyle name="標準 2 3 2 2 2 4" xfId="892" xr:uid="{00000000-0005-0000-0000-0000F7010000}"/>
    <cellStyle name="標準 2 3 2 2 3" xfId="661" xr:uid="{00000000-0005-0000-0000-0000F8010000}"/>
    <cellStyle name="標準 2 3 2 2 3 2" xfId="1267" xr:uid="{00000000-0005-0000-0000-0000F9010000}"/>
    <cellStyle name="標準 2 3 2 2 3 3" xfId="983" xr:uid="{00000000-0005-0000-0000-0000FA010000}"/>
    <cellStyle name="標準 2 3 2 2 4" xfId="1136" xr:uid="{00000000-0005-0000-0000-0000FB010000}"/>
    <cellStyle name="標準 2 3 2 2 5" xfId="852" xr:uid="{00000000-0005-0000-0000-0000FC010000}"/>
    <cellStyle name="標準 2 3 2 3" xfId="545" xr:uid="{00000000-0005-0000-0000-0000FD010000}"/>
    <cellStyle name="標準 2 3 2 3 2" xfId="681" xr:uid="{00000000-0005-0000-0000-0000FE010000}"/>
    <cellStyle name="標準 2 3 2 3 2 2" xfId="1287" xr:uid="{00000000-0005-0000-0000-0000FF010000}"/>
    <cellStyle name="標準 2 3 2 3 2 3" xfId="1003" xr:uid="{00000000-0005-0000-0000-000000020000}"/>
    <cellStyle name="標準 2 3 2 3 3" xfId="1156" xr:uid="{00000000-0005-0000-0000-000001020000}"/>
    <cellStyle name="標準 2 3 2 3 4" xfId="872" xr:uid="{00000000-0005-0000-0000-000002020000}"/>
    <cellStyle name="標準 2 3 2 4" xfId="503" xr:uid="{00000000-0005-0000-0000-000003020000}"/>
    <cellStyle name="標準 2 3 2 4 2" xfId="641" xr:uid="{00000000-0005-0000-0000-000004020000}"/>
    <cellStyle name="標準 2 3 2 4 2 2" xfId="1247" xr:uid="{00000000-0005-0000-0000-000005020000}"/>
    <cellStyle name="標準 2 3 2 4 2 3" xfId="963" xr:uid="{00000000-0005-0000-0000-000006020000}"/>
    <cellStyle name="標準 2 3 2 4 3" xfId="1116" xr:uid="{00000000-0005-0000-0000-000007020000}"/>
    <cellStyle name="標準 2 3 2 4 4" xfId="832" xr:uid="{00000000-0005-0000-0000-000008020000}"/>
    <cellStyle name="標準 2 3 2 5" xfId="581" xr:uid="{00000000-0005-0000-0000-000009020000}"/>
    <cellStyle name="標準 2 3 2 5 2" xfId="712" xr:uid="{00000000-0005-0000-0000-00000A020000}"/>
    <cellStyle name="標準 2 3 2 5 2 2" xfId="1318" xr:uid="{00000000-0005-0000-0000-00000B020000}"/>
    <cellStyle name="標準 2 3 2 5 2 3" xfId="1034" xr:uid="{00000000-0005-0000-0000-00000C020000}"/>
    <cellStyle name="標準 2 3 2 5 3" xfId="1187" xr:uid="{00000000-0005-0000-0000-00000D020000}"/>
    <cellStyle name="標準 2 3 2 5 4" xfId="903" xr:uid="{00000000-0005-0000-0000-00000E020000}"/>
    <cellStyle name="標準 2 3 2 6" xfId="621" xr:uid="{00000000-0005-0000-0000-00000F020000}"/>
    <cellStyle name="標準 2 3 2 6 2" xfId="1227" xr:uid="{00000000-0005-0000-0000-000010020000}"/>
    <cellStyle name="標準 2 3 2 6 3" xfId="943" xr:uid="{00000000-0005-0000-0000-000011020000}"/>
    <cellStyle name="標準 2 3 2 7" xfId="601" xr:uid="{00000000-0005-0000-0000-000012020000}"/>
    <cellStyle name="標準 2 3 2 7 2" xfId="1207" xr:uid="{00000000-0005-0000-0000-000013020000}"/>
    <cellStyle name="標準 2 3 2 7 3" xfId="923" xr:uid="{00000000-0005-0000-0000-000014020000}"/>
    <cellStyle name="標準 2 3 2 8" xfId="1096" xr:uid="{00000000-0005-0000-0000-000015020000}"/>
    <cellStyle name="標準 2 3 2 9" xfId="812" xr:uid="{00000000-0005-0000-0000-000016020000}"/>
    <cellStyle name="標準 2 4" xfId="443" xr:uid="{00000000-0005-0000-0000-000017020000}"/>
    <cellStyle name="標準 2 4 10" xfId="603" xr:uid="{00000000-0005-0000-0000-000018020000}"/>
    <cellStyle name="標準 2 4 10 2" xfId="1209" xr:uid="{00000000-0005-0000-0000-000019020000}"/>
    <cellStyle name="標準 2 4 10 3" xfId="925" xr:uid="{00000000-0005-0000-0000-00001A020000}"/>
    <cellStyle name="標準 2 4 11" xfId="583" xr:uid="{00000000-0005-0000-0000-00001B020000}"/>
    <cellStyle name="標準 2 4 11 2" xfId="1189" xr:uid="{00000000-0005-0000-0000-00001C020000}"/>
    <cellStyle name="標準 2 4 11 3" xfId="905" xr:uid="{00000000-0005-0000-0000-00001D020000}"/>
    <cellStyle name="標準 2 4 12" xfId="1078" xr:uid="{00000000-0005-0000-0000-00001E020000}"/>
    <cellStyle name="標準 2 4 13" xfId="794" xr:uid="{00000000-0005-0000-0000-00001F020000}"/>
    <cellStyle name="標準 2 4 2" xfId="451" xr:uid="{00000000-0005-0000-0000-000020020000}"/>
    <cellStyle name="標準 2 4 2 10" xfId="797" xr:uid="{00000000-0005-0000-0000-000021020000}"/>
    <cellStyle name="標準 2 4 2 2" xfId="472" xr:uid="{00000000-0005-0000-0000-000022020000}"/>
    <cellStyle name="標準 2 4 2 2 2" xfId="519" xr:uid="{00000000-0005-0000-0000-000023020000}"/>
    <cellStyle name="標準 2 4 2 2 2 2" xfId="560" xr:uid="{00000000-0005-0000-0000-000024020000}"/>
    <cellStyle name="標準 2 4 2 2 2 2 2" xfId="695" xr:uid="{00000000-0005-0000-0000-000025020000}"/>
    <cellStyle name="標準 2 4 2 2 2 2 2 2" xfId="1301" xr:uid="{00000000-0005-0000-0000-000026020000}"/>
    <cellStyle name="標準 2 4 2 2 2 2 2 3" xfId="1017" xr:uid="{00000000-0005-0000-0000-000027020000}"/>
    <cellStyle name="標準 2 4 2 2 2 2 3" xfId="1170" xr:uid="{00000000-0005-0000-0000-000028020000}"/>
    <cellStyle name="標準 2 4 2 2 2 2 4" xfId="886" xr:uid="{00000000-0005-0000-0000-000029020000}"/>
    <cellStyle name="標準 2 4 2 2 2 3" xfId="655" xr:uid="{00000000-0005-0000-0000-00002A020000}"/>
    <cellStyle name="標準 2 4 2 2 2 3 2" xfId="1261" xr:uid="{00000000-0005-0000-0000-00002B020000}"/>
    <cellStyle name="標準 2 4 2 2 2 3 3" xfId="977" xr:uid="{00000000-0005-0000-0000-00002C020000}"/>
    <cellStyle name="標準 2 4 2 2 2 4" xfId="1130" xr:uid="{00000000-0005-0000-0000-00002D020000}"/>
    <cellStyle name="標準 2 4 2 2 2 5" xfId="846" xr:uid="{00000000-0005-0000-0000-00002E020000}"/>
    <cellStyle name="標準 2 4 2 2 3" xfId="539" xr:uid="{00000000-0005-0000-0000-00002F020000}"/>
    <cellStyle name="標準 2 4 2 2 3 2" xfId="675" xr:uid="{00000000-0005-0000-0000-000030020000}"/>
    <cellStyle name="標準 2 4 2 2 3 2 2" xfId="1281" xr:uid="{00000000-0005-0000-0000-000031020000}"/>
    <cellStyle name="標準 2 4 2 2 3 2 3" xfId="997" xr:uid="{00000000-0005-0000-0000-000032020000}"/>
    <cellStyle name="標準 2 4 2 2 3 3" xfId="1150" xr:uid="{00000000-0005-0000-0000-000033020000}"/>
    <cellStyle name="標準 2 4 2 2 3 4" xfId="866" xr:uid="{00000000-0005-0000-0000-000034020000}"/>
    <cellStyle name="標準 2 4 2 2 4" xfId="497" xr:uid="{00000000-0005-0000-0000-000035020000}"/>
    <cellStyle name="標準 2 4 2 2 4 2" xfId="635" xr:uid="{00000000-0005-0000-0000-000036020000}"/>
    <cellStyle name="標準 2 4 2 2 4 2 2" xfId="1241" xr:uid="{00000000-0005-0000-0000-000037020000}"/>
    <cellStyle name="標準 2 4 2 2 4 2 3" xfId="957" xr:uid="{00000000-0005-0000-0000-000038020000}"/>
    <cellStyle name="標準 2 4 2 2 4 3" xfId="1110" xr:uid="{00000000-0005-0000-0000-000039020000}"/>
    <cellStyle name="標準 2 4 2 2 4 4" xfId="826" xr:uid="{00000000-0005-0000-0000-00003A020000}"/>
    <cellStyle name="標準 2 4 2 2 5" xfId="615" xr:uid="{00000000-0005-0000-0000-00003B020000}"/>
    <cellStyle name="標準 2 4 2 2 5 2" xfId="1221" xr:uid="{00000000-0005-0000-0000-00003C020000}"/>
    <cellStyle name="標準 2 4 2 2 5 3" xfId="937" xr:uid="{00000000-0005-0000-0000-00003D020000}"/>
    <cellStyle name="標準 2 4 2 2 6" xfId="595" xr:uid="{00000000-0005-0000-0000-00003E020000}"/>
    <cellStyle name="標準 2 4 2 2 6 2" xfId="1201" xr:uid="{00000000-0005-0000-0000-00003F020000}"/>
    <cellStyle name="標準 2 4 2 2 6 3" xfId="917" xr:uid="{00000000-0005-0000-0000-000040020000}"/>
    <cellStyle name="標準 2 4 2 2 7" xfId="1090" xr:uid="{00000000-0005-0000-0000-000041020000}"/>
    <cellStyle name="標準 2 4 2 2 8" xfId="806" xr:uid="{00000000-0005-0000-0000-000042020000}"/>
    <cellStyle name="標準 2 4 2 3" xfId="510" xr:uid="{00000000-0005-0000-0000-000043020000}"/>
    <cellStyle name="標準 2 4 2 3 2" xfId="551" xr:uid="{00000000-0005-0000-0000-000044020000}"/>
    <cellStyle name="標準 2 4 2 3 2 2" xfId="686" xr:uid="{00000000-0005-0000-0000-000045020000}"/>
    <cellStyle name="標準 2 4 2 3 2 2 2" xfId="1292" xr:uid="{00000000-0005-0000-0000-000046020000}"/>
    <cellStyle name="標準 2 4 2 3 2 2 3" xfId="1008" xr:uid="{00000000-0005-0000-0000-000047020000}"/>
    <cellStyle name="標準 2 4 2 3 2 3" xfId="1161" xr:uid="{00000000-0005-0000-0000-000048020000}"/>
    <cellStyle name="標準 2 4 2 3 2 4" xfId="877" xr:uid="{00000000-0005-0000-0000-000049020000}"/>
    <cellStyle name="標準 2 4 2 3 3" xfId="646" xr:uid="{00000000-0005-0000-0000-00004A020000}"/>
    <cellStyle name="標準 2 4 2 3 3 2" xfId="1252" xr:uid="{00000000-0005-0000-0000-00004B020000}"/>
    <cellStyle name="標準 2 4 2 3 3 3" xfId="968" xr:uid="{00000000-0005-0000-0000-00004C020000}"/>
    <cellStyle name="標準 2 4 2 3 4" xfId="1121" xr:uid="{00000000-0005-0000-0000-00004D020000}"/>
    <cellStyle name="標準 2 4 2 3 5" xfId="837" xr:uid="{00000000-0005-0000-0000-00004E020000}"/>
    <cellStyle name="標準 2 4 2 4" xfId="530" xr:uid="{00000000-0005-0000-0000-00004F020000}"/>
    <cellStyle name="標準 2 4 2 4 2" xfId="666" xr:uid="{00000000-0005-0000-0000-000050020000}"/>
    <cellStyle name="標準 2 4 2 4 2 2" xfId="1272" xr:uid="{00000000-0005-0000-0000-000051020000}"/>
    <cellStyle name="標準 2 4 2 4 2 3" xfId="988" xr:uid="{00000000-0005-0000-0000-000052020000}"/>
    <cellStyle name="標準 2 4 2 4 3" xfId="1141" xr:uid="{00000000-0005-0000-0000-000053020000}"/>
    <cellStyle name="標準 2 4 2 4 4" xfId="857" xr:uid="{00000000-0005-0000-0000-000054020000}"/>
    <cellStyle name="標準 2 4 2 5" xfId="488" xr:uid="{00000000-0005-0000-0000-000055020000}"/>
    <cellStyle name="標準 2 4 2 5 2" xfId="626" xr:uid="{00000000-0005-0000-0000-000056020000}"/>
    <cellStyle name="標準 2 4 2 5 2 2" xfId="1232" xr:uid="{00000000-0005-0000-0000-000057020000}"/>
    <cellStyle name="標準 2 4 2 5 2 3" xfId="948" xr:uid="{00000000-0005-0000-0000-000058020000}"/>
    <cellStyle name="標準 2 4 2 5 3" xfId="1101" xr:uid="{00000000-0005-0000-0000-000059020000}"/>
    <cellStyle name="標準 2 4 2 5 4" xfId="817" xr:uid="{00000000-0005-0000-0000-00005A020000}"/>
    <cellStyle name="標準 2 4 2 6" xfId="575" xr:uid="{00000000-0005-0000-0000-00005B020000}"/>
    <cellStyle name="標準 2 4 2 6 2" xfId="706" xr:uid="{00000000-0005-0000-0000-00005C020000}"/>
    <cellStyle name="標準 2 4 2 6 2 2" xfId="1312" xr:uid="{00000000-0005-0000-0000-00005D020000}"/>
    <cellStyle name="標準 2 4 2 6 2 3" xfId="1028" xr:uid="{00000000-0005-0000-0000-00005E020000}"/>
    <cellStyle name="標準 2 4 2 6 3" xfId="1181" xr:uid="{00000000-0005-0000-0000-00005F020000}"/>
    <cellStyle name="標準 2 4 2 6 4" xfId="897" xr:uid="{00000000-0005-0000-0000-000060020000}"/>
    <cellStyle name="標準 2 4 2 7" xfId="606" xr:uid="{00000000-0005-0000-0000-000061020000}"/>
    <cellStyle name="標準 2 4 2 7 2" xfId="1212" xr:uid="{00000000-0005-0000-0000-000062020000}"/>
    <cellStyle name="標準 2 4 2 7 3" xfId="928" xr:uid="{00000000-0005-0000-0000-000063020000}"/>
    <cellStyle name="標準 2 4 2 8" xfId="586" xr:uid="{00000000-0005-0000-0000-000064020000}"/>
    <cellStyle name="標準 2 4 2 8 2" xfId="1192" xr:uid="{00000000-0005-0000-0000-000065020000}"/>
    <cellStyle name="標準 2 4 2 8 3" xfId="908" xr:uid="{00000000-0005-0000-0000-000066020000}"/>
    <cellStyle name="標準 2 4 2 9" xfId="1081" xr:uid="{00000000-0005-0000-0000-000067020000}"/>
    <cellStyle name="標準 2 4 3" xfId="479" xr:uid="{00000000-0005-0000-0000-000068020000}"/>
    <cellStyle name="標準 2 4 3 2" xfId="522" xr:uid="{00000000-0005-0000-0000-000069020000}"/>
    <cellStyle name="標準 2 4 3 2 2" xfId="563" xr:uid="{00000000-0005-0000-0000-00006A020000}"/>
    <cellStyle name="標準 2 4 3 2 2 2" xfId="698" xr:uid="{00000000-0005-0000-0000-00006B020000}"/>
    <cellStyle name="標準 2 4 3 2 2 2 2" xfId="1304" xr:uid="{00000000-0005-0000-0000-00006C020000}"/>
    <cellStyle name="標準 2 4 3 2 2 2 3" xfId="1020" xr:uid="{00000000-0005-0000-0000-00006D020000}"/>
    <cellStyle name="標準 2 4 3 2 2 3" xfId="1173" xr:uid="{00000000-0005-0000-0000-00006E020000}"/>
    <cellStyle name="標準 2 4 3 2 2 4" xfId="889" xr:uid="{00000000-0005-0000-0000-00006F020000}"/>
    <cellStyle name="標準 2 4 3 2 3" xfId="658" xr:uid="{00000000-0005-0000-0000-000070020000}"/>
    <cellStyle name="標準 2 4 3 2 3 2" xfId="1264" xr:uid="{00000000-0005-0000-0000-000071020000}"/>
    <cellStyle name="標準 2 4 3 2 3 3" xfId="980" xr:uid="{00000000-0005-0000-0000-000072020000}"/>
    <cellStyle name="標準 2 4 3 2 4" xfId="1133" xr:uid="{00000000-0005-0000-0000-000073020000}"/>
    <cellStyle name="標準 2 4 3 2 5" xfId="849" xr:uid="{00000000-0005-0000-0000-000074020000}"/>
    <cellStyle name="標準 2 4 3 3" xfId="542" xr:uid="{00000000-0005-0000-0000-000075020000}"/>
    <cellStyle name="標準 2 4 3 3 2" xfId="678" xr:uid="{00000000-0005-0000-0000-000076020000}"/>
    <cellStyle name="標準 2 4 3 3 2 2" xfId="1284" xr:uid="{00000000-0005-0000-0000-000077020000}"/>
    <cellStyle name="標準 2 4 3 3 2 3" xfId="1000" xr:uid="{00000000-0005-0000-0000-000078020000}"/>
    <cellStyle name="標準 2 4 3 3 3" xfId="1153" xr:uid="{00000000-0005-0000-0000-000079020000}"/>
    <cellStyle name="標準 2 4 3 3 4" xfId="869" xr:uid="{00000000-0005-0000-0000-00007A020000}"/>
    <cellStyle name="標準 2 4 3 4" xfId="500" xr:uid="{00000000-0005-0000-0000-00007B020000}"/>
    <cellStyle name="標準 2 4 3 4 2" xfId="638" xr:uid="{00000000-0005-0000-0000-00007C020000}"/>
    <cellStyle name="標準 2 4 3 4 2 2" xfId="1244" xr:uid="{00000000-0005-0000-0000-00007D020000}"/>
    <cellStyle name="標準 2 4 3 4 2 3" xfId="960" xr:uid="{00000000-0005-0000-0000-00007E020000}"/>
    <cellStyle name="標準 2 4 3 4 3" xfId="1113" xr:uid="{00000000-0005-0000-0000-00007F020000}"/>
    <cellStyle name="標準 2 4 3 4 4" xfId="829" xr:uid="{00000000-0005-0000-0000-000080020000}"/>
    <cellStyle name="標準 2 4 3 5" xfId="578" xr:uid="{00000000-0005-0000-0000-000081020000}"/>
    <cellStyle name="標準 2 4 3 5 2" xfId="709" xr:uid="{00000000-0005-0000-0000-000082020000}"/>
    <cellStyle name="標準 2 4 3 5 2 2" xfId="1315" xr:uid="{00000000-0005-0000-0000-000083020000}"/>
    <cellStyle name="標準 2 4 3 5 2 3" xfId="1031" xr:uid="{00000000-0005-0000-0000-000084020000}"/>
    <cellStyle name="標準 2 4 3 5 3" xfId="1184" xr:uid="{00000000-0005-0000-0000-000085020000}"/>
    <cellStyle name="標準 2 4 3 5 4" xfId="900" xr:uid="{00000000-0005-0000-0000-000086020000}"/>
    <cellStyle name="標準 2 4 3 6" xfId="618" xr:uid="{00000000-0005-0000-0000-000087020000}"/>
    <cellStyle name="標準 2 4 3 6 2" xfId="1224" xr:uid="{00000000-0005-0000-0000-000088020000}"/>
    <cellStyle name="標準 2 4 3 6 3" xfId="940" xr:uid="{00000000-0005-0000-0000-000089020000}"/>
    <cellStyle name="標準 2 4 3 7" xfId="598" xr:uid="{00000000-0005-0000-0000-00008A020000}"/>
    <cellStyle name="標準 2 4 3 7 2" xfId="1204" xr:uid="{00000000-0005-0000-0000-00008B020000}"/>
    <cellStyle name="標準 2 4 3 7 3" xfId="920" xr:uid="{00000000-0005-0000-0000-00008C020000}"/>
    <cellStyle name="標準 2 4 3 8" xfId="1093" xr:uid="{00000000-0005-0000-0000-00008D020000}"/>
    <cellStyle name="標準 2 4 3 9" xfId="809" xr:uid="{00000000-0005-0000-0000-00008E020000}"/>
    <cellStyle name="標準 2 4 4" xfId="469" xr:uid="{00000000-0005-0000-0000-00008F020000}"/>
    <cellStyle name="標準 2 4 4 2" xfId="516" xr:uid="{00000000-0005-0000-0000-000090020000}"/>
    <cellStyle name="標準 2 4 4 2 2" xfId="557" xr:uid="{00000000-0005-0000-0000-000091020000}"/>
    <cellStyle name="標準 2 4 4 2 2 2" xfId="692" xr:uid="{00000000-0005-0000-0000-000092020000}"/>
    <cellStyle name="標準 2 4 4 2 2 2 2" xfId="1298" xr:uid="{00000000-0005-0000-0000-000093020000}"/>
    <cellStyle name="標準 2 4 4 2 2 2 3" xfId="1014" xr:uid="{00000000-0005-0000-0000-000094020000}"/>
    <cellStyle name="標準 2 4 4 2 2 3" xfId="1167" xr:uid="{00000000-0005-0000-0000-000095020000}"/>
    <cellStyle name="標準 2 4 4 2 2 4" xfId="883" xr:uid="{00000000-0005-0000-0000-000096020000}"/>
    <cellStyle name="標準 2 4 4 2 3" xfId="652" xr:uid="{00000000-0005-0000-0000-000097020000}"/>
    <cellStyle name="標準 2 4 4 2 3 2" xfId="1258" xr:uid="{00000000-0005-0000-0000-000098020000}"/>
    <cellStyle name="標準 2 4 4 2 3 3" xfId="974" xr:uid="{00000000-0005-0000-0000-000099020000}"/>
    <cellStyle name="標準 2 4 4 2 4" xfId="1127" xr:uid="{00000000-0005-0000-0000-00009A020000}"/>
    <cellStyle name="標準 2 4 4 2 5" xfId="843" xr:uid="{00000000-0005-0000-0000-00009B020000}"/>
    <cellStyle name="標準 2 4 4 3" xfId="536" xr:uid="{00000000-0005-0000-0000-00009C020000}"/>
    <cellStyle name="標準 2 4 4 3 2" xfId="672" xr:uid="{00000000-0005-0000-0000-00009D020000}"/>
    <cellStyle name="標準 2 4 4 3 2 2" xfId="1278" xr:uid="{00000000-0005-0000-0000-00009E020000}"/>
    <cellStyle name="標準 2 4 4 3 2 3" xfId="994" xr:uid="{00000000-0005-0000-0000-00009F020000}"/>
    <cellStyle name="標準 2 4 4 3 3" xfId="1147" xr:uid="{00000000-0005-0000-0000-0000A0020000}"/>
    <cellStyle name="標準 2 4 4 3 4" xfId="863" xr:uid="{00000000-0005-0000-0000-0000A1020000}"/>
    <cellStyle name="標準 2 4 4 4" xfId="494" xr:uid="{00000000-0005-0000-0000-0000A2020000}"/>
    <cellStyle name="標準 2 4 4 4 2" xfId="632" xr:uid="{00000000-0005-0000-0000-0000A3020000}"/>
    <cellStyle name="標準 2 4 4 4 2 2" xfId="1238" xr:uid="{00000000-0005-0000-0000-0000A4020000}"/>
    <cellStyle name="標準 2 4 4 4 2 3" xfId="954" xr:uid="{00000000-0005-0000-0000-0000A5020000}"/>
    <cellStyle name="標準 2 4 4 4 3" xfId="1107" xr:uid="{00000000-0005-0000-0000-0000A6020000}"/>
    <cellStyle name="標準 2 4 4 4 4" xfId="823" xr:uid="{00000000-0005-0000-0000-0000A7020000}"/>
    <cellStyle name="標準 2 4 4 5" xfId="612" xr:uid="{00000000-0005-0000-0000-0000A8020000}"/>
    <cellStyle name="標準 2 4 4 5 2" xfId="1218" xr:uid="{00000000-0005-0000-0000-0000A9020000}"/>
    <cellStyle name="標準 2 4 4 5 3" xfId="934" xr:uid="{00000000-0005-0000-0000-0000AA020000}"/>
    <cellStyle name="標準 2 4 4 6" xfId="592" xr:uid="{00000000-0005-0000-0000-0000AB020000}"/>
    <cellStyle name="標準 2 4 4 6 2" xfId="1198" xr:uid="{00000000-0005-0000-0000-0000AC020000}"/>
    <cellStyle name="標準 2 4 4 6 3" xfId="914" xr:uid="{00000000-0005-0000-0000-0000AD020000}"/>
    <cellStyle name="標準 2 4 4 7" xfId="1087" xr:uid="{00000000-0005-0000-0000-0000AE020000}"/>
    <cellStyle name="標準 2 4 4 8" xfId="803" xr:uid="{00000000-0005-0000-0000-0000AF020000}"/>
    <cellStyle name="標準 2 4 5" xfId="465" xr:uid="{00000000-0005-0000-0000-0000B0020000}"/>
    <cellStyle name="標準 2 4 5 2" xfId="513" xr:uid="{00000000-0005-0000-0000-0000B1020000}"/>
    <cellStyle name="標準 2 4 5 2 2" xfId="554" xr:uid="{00000000-0005-0000-0000-0000B2020000}"/>
    <cellStyle name="標準 2 4 5 2 2 2" xfId="689" xr:uid="{00000000-0005-0000-0000-0000B3020000}"/>
    <cellStyle name="標準 2 4 5 2 2 2 2" xfId="1295" xr:uid="{00000000-0005-0000-0000-0000B4020000}"/>
    <cellStyle name="標準 2 4 5 2 2 2 3" xfId="1011" xr:uid="{00000000-0005-0000-0000-0000B5020000}"/>
    <cellStyle name="標準 2 4 5 2 2 3" xfId="1164" xr:uid="{00000000-0005-0000-0000-0000B6020000}"/>
    <cellStyle name="標準 2 4 5 2 2 4" xfId="880" xr:uid="{00000000-0005-0000-0000-0000B7020000}"/>
    <cellStyle name="標準 2 4 5 2 3" xfId="649" xr:uid="{00000000-0005-0000-0000-0000B8020000}"/>
    <cellStyle name="標準 2 4 5 2 3 2" xfId="1255" xr:uid="{00000000-0005-0000-0000-0000B9020000}"/>
    <cellStyle name="標準 2 4 5 2 3 3" xfId="971" xr:uid="{00000000-0005-0000-0000-0000BA020000}"/>
    <cellStyle name="標準 2 4 5 2 4" xfId="1124" xr:uid="{00000000-0005-0000-0000-0000BB020000}"/>
    <cellStyle name="標準 2 4 5 2 5" xfId="840" xr:uid="{00000000-0005-0000-0000-0000BC020000}"/>
    <cellStyle name="標準 2 4 5 3" xfId="533" xr:uid="{00000000-0005-0000-0000-0000BD020000}"/>
    <cellStyle name="標準 2 4 5 3 2" xfId="669" xr:uid="{00000000-0005-0000-0000-0000BE020000}"/>
    <cellStyle name="標準 2 4 5 3 2 2" xfId="1275" xr:uid="{00000000-0005-0000-0000-0000BF020000}"/>
    <cellStyle name="標準 2 4 5 3 2 3" xfId="991" xr:uid="{00000000-0005-0000-0000-0000C0020000}"/>
    <cellStyle name="標準 2 4 5 3 3" xfId="1144" xr:uid="{00000000-0005-0000-0000-0000C1020000}"/>
    <cellStyle name="標準 2 4 5 3 4" xfId="860" xr:uid="{00000000-0005-0000-0000-0000C2020000}"/>
    <cellStyle name="標準 2 4 5 4" xfId="491" xr:uid="{00000000-0005-0000-0000-0000C3020000}"/>
    <cellStyle name="標準 2 4 5 4 2" xfId="629" xr:uid="{00000000-0005-0000-0000-0000C4020000}"/>
    <cellStyle name="標準 2 4 5 4 2 2" xfId="1235" xr:uid="{00000000-0005-0000-0000-0000C5020000}"/>
    <cellStyle name="標準 2 4 5 4 2 3" xfId="951" xr:uid="{00000000-0005-0000-0000-0000C6020000}"/>
    <cellStyle name="標準 2 4 5 4 3" xfId="1104" xr:uid="{00000000-0005-0000-0000-0000C7020000}"/>
    <cellStyle name="標準 2 4 5 4 4" xfId="820" xr:uid="{00000000-0005-0000-0000-0000C8020000}"/>
    <cellStyle name="標準 2 4 5 5" xfId="609" xr:uid="{00000000-0005-0000-0000-0000C9020000}"/>
    <cellStyle name="標準 2 4 5 5 2" xfId="1215" xr:uid="{00000000-0005-0000-0000-0000CA020000}"/>
    <cellStyle name="標準 2 4 5 5 3" xfId="931" xr:uid="{00000000-0005-0000-0000-0000CB020000}"/>
    <cellStyle name="標準 2 4 5 6" xfId="589" xr:uid="{00000000-0005-0000-0000-0000CC020000}"/>
    <cellStyle name="標準 2 4 5 6 2" xfId="1195" xr:uid="{00000000-0005-0000-0000-0000CD020000}"/>
    <cellStyle name="標準 2 4 5 6 3" xfId="911" xr:uid="{00000000-0005-0000-0000-0000CE020000}"/>
    <cellStyle name="標準 2 4 5 7" xfId="1084" xr:uid="{00000000-0005-0000-0000-0000CF020000}"/>
    <cellStyle name="標準 2 4 5 8" xfId="800" xr:uid="{00000000-0005-0000-0000-0000D0020000}"/>
    <cellStyle name="標準 2 4 6" xfId="507" xr:uid="{00000000-0005-0000-0000-0000D1020000}"/>
    <cellStyle name="標準 2 4 6 2" xfId="548" xr:uid="{00000000-0005-0000-0000-0000D2020000}"/>
    <cellStyle name="標準 2 4 6 2 2" xfId="683" xr:uid="{00000000-0005-0000-0000-0000D3020000}"/>
    <cellStyle name="標準 2 4 6 2 2 2" xfId="1289" xr:uid="{00000000-0005-0000-0000-0000D4020000}"/>
    <cellStyle name="標準 2 4 6 2 2 3" xfId="1005" xr:uid="{00000000-0005-0000-0000-0000D5020000}"/>
    <cellStyle name="標準 2 4 6 2 3" xfId="1158" xr:uid="{00000000-0005-0000-0000-0000D6020000}"/>
    <cellStyle name="標準 2 4 6 2 4" xfId="874" xr:uid="{00000000-0005-0000-0000-0000D7020000}"/>
    <cellStyle name="標準 2 4 6 3" xfId="643" xr:uid="{00000000-0005-0000-0000-0000D8020000}"/>
    <cellStyle name="標準 2 4 6 3 2" xfId="1249" xr:uid="{00000000-0005-0000-0000-0000D9020000}"/>
    <cellStyle name="標準 2 4 6 3 3" xfId="965" xr:uid="{00000000-0005-0000-0000-0000DA020000}"/>
    <cellStyle name="標準 2 4 6 4" xfId="1118" xr:uid="{00000000-0005-0000-0000-0000DB020000}"/>
    <cellStyle name="標準 2 4 6 5" xfId="834" xr:uid="{00000000-0005-0000-0000-0000DC020000}"/>
    <cellStyle name="標準 2 4 7" xfId="527" xr:uid="{00000000-0005-0000-0000-0000DD020000}"/>
    <cellStyle name="標準 2 4 7 2" xfId="663" xr:uid="{00000000-0005-0000-0000-0000DE020000}"/>
    <cellStyle name="標準 2 4 7 2 2" xfId="1269" xr:uid="{00000000-0005-0000-0000-0000DF020000}"/>
    <cellStyle name="標準 2 4 7 2 3" xfId="985" xr:uid="{00000000-0005-0000-0000-0000E0020000}"/>
    <cellStyle name="標準 2 4 7 3" xfId="1138" xr:uid="{00000000-0005-0000-0000-0000E1020000}"/>
    <cellStyle name="標準 2 4 7 4" xfId="854" xr:uid="{00000000-0005-0000-0000-0000E2020000}"/>
    <cellStyle name="標準 2 4 8" xfId="485" xr:uid="{00000000-0005-0000-0000-0000E3020000}"/>
    <cellStyle name="標準 2 4 8 2" xfId="623" xr:uid="{00000000-0005-0000-0000-0000E4020000}"/>
    <cellStyle name="標準 2 4 8 2 2" xfId="1229" xr:uid="{00000000-0005-0000-0000-0000E5020000}"/>
    <cellStyle name="標準 2 4 8 2 3" xfId="945" xr:uid="{00000000-0005-0000-0000-0000E6020000}"/>
    <cellStyle name="標準 2 4 8 3" xfId="1098" xr:uid="{00000000-0005-0000-0000-0000E7020000}"/>
    <cellStyle name="標準 2 4 8 4" xfId="814" xr:uid="{00000000-0005-0000-0000-0000E8020000}"/>
    <cellStyle name="標準 2 4 9" xfId="572" xr:uid="{00000000-0005-0000-0000-0000E9020000}"/>
    <cellStyle name="標準 2 4 9 2" xfId="703" xr:uid="{00000000-0005-0000-0000-0000EA020000}"/>
    <cellStyle name="標準 2 4 9 2 2" xfId="1309" xr:uid="{00000000-0005-0000-0000-0000EB020000}"/>
    <cellStyle name="標準 2 4 9 2 3" xfId="1025" xr:uid="{00000000-0005-0000-0000-0000EC020000}"/>
    <cellStyle name="標準 2 4 9 3" xfId="1178" xr:uid="{00000000-0005-0000-0000-0000ED020000}"/>
    <cellStyle name="標準 2 4 9 4" xfId="894" xr:uid="{00000000-0005-0000-0000-0000EE020000}"/>
    <cellStyle name="標準 20" xfId="455" xr:uid="{00000000-0005-0000-0000-0000EF020000}"/>
    <cellStyle name="標準 21" xfId="457" xr:uid="{00000000-0005-0000-0000-0000F0020000}"/>
    <cellStyle name="標準 22" xfId="506" xr:uid="{00000000-0005-0000-0000-0000F1020000}"/>
    <cellStyle name="標準 23" xfId="547" xr:uid="{00000000-0005-0000-0000-0000F2020000}"/>
    <cellStyle name="標準 24" xfId="568" xr:uid="{00000000-0005-0000-0000-0000F3020000}"/>
    <cellStyle name="標準 25" xfId="571" xr:uid="{00000000-0005-0000-0000-0000F4020000}"/>
    <cellStyle name="標準 26" xfId="569" xr:uid="{00000000-0005-0000-0000-0000F5020000}"/>
    <cellStyle name="標準 27" xfId="570" xr:uid="{00000000-0005-0000-0000-0000F6020000}"/>
    <cellStyle name="標準 3" xfId="172" xr:uid="{00000000-0005-0000-0000-0000F7020000}"/>
    <cellStyle name="標準 3 2" xfId="296" xr:uid="{00000000-0005-0000-0000-0000F8020000}"/>
    <cellStyle name="標準 3 3" xfId="448" xr:uid="{00000000-0005-0000-0000-0000F9020000}"/>
    <cellStyle name="標準 3 3 2" xfId="483" xr:uid="{00000000-0005-0000-0000-0000FA020000}"/>
    <cellStyle name="標準 3 3 2 2" xfId="526" xr:uid="{00000000-0005-0000-0000-0000FB020000}"/>
    <cellStyle name="標準 3 3 2 2 2" xfId="567" xr:uid="{00000000-0005-0000-0000-0000FC020000}"/>
    <cellStyle name="標準 3 3 2 2 2 2" xfId="702" xr:uid="{00000000-0005-0000-0000-0000FD020000}"/>
    <cellStyle name="標準 3 3 2 2 2 2 2" xfId="1308" xr:uid="{00000000-0005-0000-0000-0000FE020000}"/>
    <cellStyle name="標準 3 3 2 2 2 2 3" xfId="1024" xr:uid="{00000000-0005-0000-0000-0000FF020000}"/>
    <cellStyle name="標準 3 3 2 2 2 3" xfId="1177" xr:uid="{00000000-0005-0000-0000-000000030000}"/>
    <cellStyle name="標準 3 3 2 2 2 4" xfId="893" xr:uid="{00000000-0005-0000-0000-000001030000}"/>
    <cellStyle name="標準 3 3 2 2 3" xfId="662" xr:uid="{00000000-0005-0000-0000-000002030000}"/>
    <cellStyle name="標準 3 3 2 2 3 2" xfId="1268" xr:uid="{00000000-0005-0000-0000-000003030000}"/>
    <cellStyle name="標準 3 3 2 2 3 3" xfId="984" xr:uid="{00000000-0005-0000-0000-000004030000}"/>
    <cellStyle name="標準 3 3 2 2 4" xfId="1137" xr:uid="{00000000-0005-0000-0000-000005030000}"/>
    <cellStyle name="標準 3 3 2 2 5" xfId="853" xr:uid="{00000000-0005-0000-0000-000006030000}"/>
    <cellStyle name="標準 3 3 2 3" xfId="546" xr:uid="{00000000-0005-0000-0000-000007030000}"/>
    <cellStyle name="標準 3 3 2 3 2" xfId="682" xr:uid="{00000000-0005-0000-0000-000008030000}"/>
    <cellStyle name="標準 3 3 2 3 2 2" xfId="1288" xr:uid="{00000000-0005-0000-0000-000009030000}"/>
    <cellStyle name="標準 3 3 2 3 2 3" xfId="1004" xr:uid="{00000000-0005-0000-0000-00000A030000}"/>
    <cellStyle name="標準 3 3 2 3 3" xfId="1157" xr:uid="{00000000-0005-0000-0000-00000B030000}"/>
    <cellStyle name="標準 3 3 2 3 4" xfId="873" xr:uid="{00000000-0005-0000-0000-00000C030000}"/>
    <cellStyle name="標準 3 3 2 4" xfId="504" xr:uid="{00000000-0005-0000-0000-00000D030000}"/>
    <cellStyle name="標準 3 3 2 4 2" xfId="642" xr:uid="{00000000-0005-0000-0000-00000E030000}"/>
    <cellStyle name="標準 3 3 2 4 2 2" xfId="1248" xr:uid="{00000000-0005-0000-0000-00000F030000}"/>
    <cellStyle name="標準 3 3 2 4 2 3" xfId="964" xr:uid="{00000000-0005-0000-0000-000010030000}"/>
    <cellStyle name="標準 3 3 2 4 3" xfId="1117" xr:uid="{00000000-0005-0000-0000-000011030000}"/>
    <cellStyle name="標準 3 3 2 4 4" xfId="833" xr:uid="{00000000-0005-0000-0000-000012030000}"/>
    <cellStyle name="標準 3 3 2 5" xfId="582" xr:uid="{00000000-0005-0000-0000-000013030000}"/>
    <cellStyle name="標準 3 3 2 5 2" xfId="713" xr:uid="{00000000-0005-0000-0000-000014030000}"/>
    <cellStyle name="標準 3 3 2 5 2 2" xfId="1319" xr:uid="{00000000-0005-0000-0000-000015030000}"/>
    <cellStyle name="標準 3 3 2 5 2 3" xfId="1035" xr:uid="{00000000-0005-0000-0000-000016030000}"/>
    <cellStyle name="標準 3 3 2 5 3" xfId="1188" xr:uid="{00000000-0005-0000-0000-000017030000}"/>
    <cellStyle name="標準 3 3 2 5 4" xfId="904" xr:uid="{00000000-0005-0000-0000-000018030000}"/>
    <cellStyle name="標準 3 3 2 6" xfId="622" xr:uid="{00000000-0005-0000-0000-000019030000}"/>
    <cellStyle name="標準 3 3 2 6 2" xfId="1228" xr:uid="{00000000-0005-0000-0000-00001A030000}"/>
    <cellStyle name="標準 3 3 2 6 3" xfId="944" xr:uid="{00000000-0005-0000-0000-00001B030000}"/>
    <cellStyle name="標準 3 3 2 7" xfId="602" xr:uid="{00000000-0005-0000-0000-00001C030000}"/>
    <cellStyle name="標準 3 3 2 7 2" xfId="1208" xr:uid="{00000000-0005-0000-0000-00001D030000}"/>
    <cellStyle name="標準 3 3 2 7 3" xfId="924" xr:uid="{00000000-0005-0000-0000-00001E030000}"/>
    <cellStyle name="標準 3 3 2 8" xfId="1097" xr:uid="{00000000-0005-0000-0000-00001F030000}"/>
    <cellStyle name="標準 3 3 2 9" xfId="813" xr:uid="{00000000-0005-0000-0000-000020030000}"/>
    <cellStyle name="標準 3 4" xfId="444" xr:uid="{00000000-0005-0000-0000-000021030000}"/>
    <cellStyle name="標準 3 4 10" xfId="604" xr:uid="{00000000-0005-0000-0000-000022030000}"/>
    <cellStyle name="標準 3 4 10 2" xfId="1210" xr:uid="{00000000-0005-0000-0000-000023030000}"/>
    <cellStyle name="標準 3 4 10 3" xfId="926" xr:uid="{00000000-0005-0000-0000-000024030000}"/>
    <cellStyle name="標準 3 4 11" xfId="584" xr:uid="{00000000-0005-0000-0000-000025030000}"/>
    <cellStyle name="標準 3 4 11 2" xfId="1190" xr:uid="{00000000-0005-0000-0000-000026030000}"/>
    <cellStyle name="標準 3 4 11 3" xfId="906" xr:uid="{00000000-0005-0000-0000-000027030000}"/>
    <cellStyle name="標準 3 4 12" xfId="1079" xr:uid="{00000000-0005-0000-0000-000028030000}"/>
    <cellStyle name="標準 3 4 13" xfId="795" xr:uid="{00000000-0005-0000-0000-000029030000}"/>
    <cellStyle name="標準 3 4 2" xfId="452" xr:uid="{00000000-0005-0000-0000-00002A030000}"/>
    <cellStyle name="標準 3 4 2 10" xfId="798" xr:uid="{00000000-0005-0000-0000-00002B030000}"/>
    <cellStyle name="標準 3 4 2 2" xfId="473" xr:uid="{00000000-0005-0000-0000-00002C030000}"/>
    <cellStyle name="標準 3 4 2 2 2" xfId="520" xr:uid="{00000000-0005-0000-0000-00002D030000}"/>
    <cellStyle name="標準 3 4 2 2 2 2" xfId="561" xr:uid="{00000000-0005-0000-0000-00002E030000}"/>
    <cellStyle name="標準 3 4 2 2 2 2 2" xfId="696" xr:uid="{00000000-0005-0000-0000-00002F030000}"/>
    <cellStyle name="標準 3 4 2 2 2 2 2 2" xfId="1302" xr:uid="{00000000-0005-0000-0000-000030030000}"/>
    <cellStyle name="標準 3 4 2 2 2 2 2 3" xfId="1018" xr:uid="{00000000-0005-0000-0000-000031030000}"/>
    <cellStyle name="標準 3 4 2 2 2 2 3" xfId="1171" xr:uid="{00000000-0005-0000-0000-000032030000}"/>
    <cellStyle name="標準 3 4 2 2 2 2 4" xfId="887" xr:uid="{00000000-0005-0000-0000-000033030000}"/>
    <cellStyle name="標準 3 4 2 2 2 3" xfId="656" xr:uid="{00000000-0005-0000-0000-000034030000}"/>
    <cellStyle name="標準 3 4 2 2 2 3 2" xfId="1262" xr:uid="{00000000-0005-0000-0000-000035030000}"/>
    <cellStyle name="標準 3 4 2 2 2 3 3" xfId="978" xr:uid="{00000000-0005-0000-0000-000036030000}"/>
    <cellStyle name="標準 3 4 2 2 2 4" xfId="1131" xr:uid="{00000000-0005-0000-0000-000037030000}"/>
    <cellStyle name="標準 3 4 2 2 2 5" xfId="847" xr:uid="{00000000-0005-0000-0000-000038030000}"/>
    <cellStyle name="標準 3 4 2 2 3" xfId="540" xr:uid="{00000000-0005-0000-0000-000039030000}"/>
    <cellStyle name="標準 3 4 2 2 3 2" xfId="676" xr:uid="{00000000-0005-0000-0000-00003A030000}"/>
    <cellStyle name="標準 3 4 2 2 3 2 2" xfId="1282" xr:uid="{00000000-0005-0000-0000-00003B030000}"/>
    <cellStyle name="標準 3 4 2 2 3 2 3" xfId="998" xr:uid="{00000000-0005-0000-0000-00003C030000}"/>
    <cellStyle name="標準 3 4 2 2 3 3" xfId="1151" xr:uid="{00000000-0005-0000-0000-00003D030000}"/>
    <cellStyle name="標準 3 4 2 2 3 4" xfId="867" xr:uid="{00000000-0005-0000-0000-00003E030000}"/>
    <cellStyle name="標準 3 4 2 2 4" xfId="498" xr:uid="{00000000-0005-0000-0000-00003F030000}"/>
    <cellStyle name="標準 3 4 2 2 4 2" xfId="636" xr:uid="{00000000-0005-0000-0000-000040030000}"/>
    <cellStyle name="標準 3 4 2 2 4 2 2" xfId="1242" xr:uid="{00000000-0005-0000-0000-000041030000}"/>
    <cellStyle name="標準 3 4 2 2 4 2 3" xfId="958" xr:uid="{00000000-0005-0000-0000-000042030000}"/>
    <cellStyle name="標準 3 4 2 2 4 3" xfId="1111" xr:uid="{00000000-0005-0000-0000-000043030000}"/>
    <cellStyle name="標準 3 4 2 2 4 4" xfId="827" xr:uid="{00000000-0005-0000-0000-000044030000}"/>
    <cellStyle name="標準 3 4 2 2 5" xfId="616" xr:uid="{00000000-0005-0000-0000-000045030000}"/>
    <cellStyle name="標準 3 4 2 2 5 2" xfId="1222" xr:uid="{00000000-0005-0000-0000-000046030000}"/>
    <cellStyle name="標準 3 4 2 2 5 3" xfId="938" xr:uid="{00000000-0005-0000-0000-000047030000}"/>
    <cellStyle name="標準 3 4 2 2 6" xfId="596" xr:uid="{00000000-0005-0000-0000-000048030000}"/>
    <cellStyle name="標準 3 4 2 2 6 2" xfId="1202" xr:uid="{00000000-0005-0000-0000-000049030000}"/>
    <cellStyle name="標準 3 4 2 2 6 3" xfId="918" xr:uid="{00000000-0005-0000-0000-00004A030000}"/>
    <cellStyle name="標準 3 4 2 2 7" xfId="1091" xr:uid="{00000000-0005-0000-0000-00004B030000}"/>
    <cellStyle name="標準 3 4 2 2 8" xfId="807" xr:uid="{00000000-0005-0000-0000-00004C030000}"/>
    <cellStyle name="標準 3 4 2 3" xfId="511" xr:uid="{00000000-0005-0000-0000-00004D030000}"/>
    <cellStyle name="標準 3 4 2 3 2" xfId="552" xr:uid="{00000000-0005-0000-0000-00004E030000}"/>
    <cellStyle name="標準 3 4 2 3 2 2" xfId="687" xr:uid="{00000000-0005-0000-0000-00004F030000}"/>
    <cellStyle name="標準 3 4 2 3 2 2 2" xfId="1293" xr:uid="{00000000-0005-0000-0000-000050030000}"/>
    <cellStyle name="標準 3 4 2 3 2 2 3" xfId="1009" xr:uid="{00000000-0005-0000-0000-000051030000}"/>
    <cellStyle name="標準 3 4 2 3 2 3" xfId="1162" xr:uid="{00000000-0005-0000-0000-000052030000}"/>
    <cellStyle name="標準 3 4 2 3 2 4" xfId="878" xr:uid="{00000000-0005-0000-0000-000053030000}"/>
    <cellStyle name="標準 3 4 2 3 3" xfId="647" xr:uid="{00000000-0005-0000-0000-000054030000}"/>
    <cellStyle name="標準 3 4 2 3 3 2" xfId="1253" xr:uid="{00000000-0005-0000-0000-000055030000}"/>
    <cellStyle name="標準 3 4 2 3 3 3" xfId="969" xr:uid="{00000000-0005-0000-0000-000056030000}"/>
    <cellStyle name="標準 3 4 2 3 4" xfId="1122" xr:uid="{00000000-0005-0000-0000-000057030000}"/>
    <cellStyle name="標準 3 4 2 3 5" xfId="838" xr:uid="{00000000-0005-0000-0000-000058030000}"/>
    <cellStyle name="標準 3 4 2 4" xfId="531" xr:uid="{00000000-0005-0000-0000-000059030000}"/>
    <cellStyle name="標準 3 4 2 4 2" xfId="667" xr:uid="{00000000-0005-0000-0000-00005A030000}"/>
    <cellStyle name="標準 3 4 2 4 2 2" xfId="1273" xr:uid="{00000000-0005-0000-0000-00005B030000}"/>
    <cellStyle name="標準 3 4 2 4 2 3" xfId="989" xr:uid="{00000000-0005-0000-0000-00005C030000}"/>
    <cellStyle name="標準 3 4 2 4 3" xfId="1142" xr:uid="{00000000-0005-0000-0000-00005D030000}"/>
    <cellStyle name="標準 3 4 2 4 4" xfId="858" xr:uid="{00000000-0005-0000-0000-00005E030000}"/>
    <cellStyle name="標準 3 4 2 5" xfId="489" xr:uid="{00000000-0005-0000-0000-00005F030000}"/>
    <cellStyle name="標準 3 4 2 5 2" xfId="627" xr:uid="{00000000-0005-0000-0000-000060030000}"/>
    <cellStyle name="標準 3 4 2 5 2 2" xfId="1233" xr:uid="{00000000-0005-0000-0000-000061030000}"/>
    <cellStyle name="標準 3 4 2 5 2 3" xfId="949" xr:uid="{00000000-0005-0000-0000-000062030000}"/>
    <cellStyle name="標準 3 4 2 5 3" xfId="1102" xr:uid="{00000000-0005-0000-0000-000063030000}"/>
    <cellStyle name="標準 3 4 2 5 4" xfId="818" xr:uid="{00000000-0005-0000-0000-000064030000}"/>
    <cellStyle name="標準 3 4 2 6" xfId="576" xr:uid="{00000000-0005-0000-0000-000065030000}"/>
    <cellStyle name="標準 3 4 2 6 2" xfId="707" xr:uid="{00000000-0005-0000-0000-000066030000}"/>
    <cellStyle name="標準 3 4 2 6 2 2" xfId="1313" xr:uid="{00000000-0005-0000-0000-000067030000}"/>
    <cellStyle name="標準 3 4 2 6 2 3" xfId="1029" xr:uid="{00000000-0005-0000-0000-000068030000}"/>
    <cellStyle name="標準 3 4 2 6 3" xfId="1182" xr:uid="{00000000-0005-0000-0000-000069030000}"/>
    <cellStyle name="標準 3 4 2 6 4" xfId="898" xr:uid="{00000000-0005-0000-0000-00006A030000}"/>
    <cellStyle name="標準 3 4 2 7" xfId="607" xr:uid="{00000000-0005-0000-0000-00006B030000}"/>
    <cellStyle name="標準 3 4 2 7 2" xfId="1213" xr:uid="{00000000-0005-0000-0000-00006C030000}"/>
    <cellStyle name="標準 3 4 2 7 3" xfId="929" xr:uid="{00000000-0005-0000-0000-00006D030000}"/>
    <cellStyle name="標準 3 4 2 8" xfId="587" xr:uid="{00000000-0005-0000-0000-00006E030000}"/>
    <cellStyle name="標準 3 4 2 8 2" xfId="1193" xr:uid="{00000000-0005-0000-0000-00006F030000}"/>
    <cellStyle name="標準 3 4 2 8 3" xfId="909" xr:uid="{00000000-0005-0000-0000-000070030000}"/>
    <cellStyle name="標準 3 4 2 9" xfId="1082" xr:uid="{00000000-0005-0000-0000-000071030000}"/>
    <cellStyle name="標準 3 4 3" xfId="480" xr:uid="{00000000-0005-0000-0000-000072030000}"/>
    <cellStyle name="標準 3 4 3 2" xfId="523" xr:uid="{00000000-0005-0000-0000-000073030000}"/>
    <cellStyle name="標準 3 4 3 2 2" xfId="564" xr:uid="{00000000-0005-0000-0000-000074030000}"/>
    <cellStyle name="標準 3 4 3 2 2 2" xfId="699" xr:uid="{00000000-0005-0000-0000-000075030000}"/>
    <cellStyle name="標準 3 4 3 2 2 2 2" xfId="1305" xr:uid="{00000000-0005-0000-0000-000076030000}"/>
    <cellStyle name="標準 3 4 3 2 2 2 3" xfId="1021" xr:uid="{00000000-0005-0000-0000-000077030000}"/>
    <cellStyle name="標準 3 4 3 2 2 3" xfId="1174" xr:uid="{00000000-0005-0000-0000-000078030000}"/>
    <cellStyle name="標準 3 4 3 2 2 4" xfId="890" xr:uid="{00000000-0005-0000-0000-000079030000}"/>
    <cellStyle name="標準 3 4 3 2 3" xfId="659" xr:uid="{00000000-0005-0000-0000-00007A030000}"/>
    <cellStyle name="標準 3 4 3 2 3 2" xfId="1265" xr:uid="{00000000-0005-0000-0000-00007B030000}"/>
    <cellStyle name="標準 3 4 3 2 3 3" xfId="981" xr:uid="{00000000-0005-0000-0000-00007C030000}"/>
    <cellStyle name="標準 3 4 3 2 4" xfId="1134" xr:uid="{00000000-0005-0000-0000-00007D030000}"/>
    <cellStyle name="標準 3 4 3 2 5" xfId="850" xr:uid="{00000000-0005-0000-0000-00007E030000}"/>
    <cellStyle name="標準 3 4 3 3" xfId="543" xr:uid="{00000000-0005-0000-0000-00007F030000}"/>
    <cellStyle name="標準 3 4 3 3 2" xfId="679" xr:uid="{00000000-0005-0000-0000-000080030000}"/>
    <cellStyle name="標準 3 4 3 3 2 2" xfId="1285" xr:uid="{00000000-0005-0000-0000-000081030000}"/>
    <cellStyle name="標準 3 4 3 3 2 3" xfId="1001" xr:uid="{00000000-0005-0000-0000-000082030000}"/>
    <cellStyle name="標準 3 4 3 3 3" xfId="1154" xr:uid="{00000000-0005-0000-0000-000083030000}"/>
    <cellStyle name="標準 3 4 3 3 4" xfId="870" xr:uid="{00000000-0005-0000-0000-000084030000}"/>
    <cellStyle name="標準 3 4 3 4" xfId="501" xr:uid="{00000000-0005-0000-0000-000085030000}"/>
    <cellStyle name="標準 3 4 3 4 2" xfId="639" xr:uid="{00000000-0005-0000-0000-000086030000}"/>
    <cellStyle name="標準 3 4 3 4 2 2" xfId="1245" xr:uid="{00000000-0005-0000-0000-000087030000}"/>
    <cellStyle name="標準 3 4 3 4 2 3" xfId="961" xr:uid="{00000000-0005-0000-0000-000088030000}"/>
    <cellStyle name="標準 3 4 3 4 3" xfId="1114" xr:uid="{00000000-0005-0000-0000-000089030000}"/>
    <cellStyle name="標準 3 4 3 4 4" xfId="830" xr:uid="{00000000-0005-0000-0000-00008A030000}"/>
    <cellStyle name="標準 3 4 3 5" xfId="579" xr:uid="{00000000-0005-0000-0000-00008B030000}"/>
    <cellStyle name="標準 3 4 3 5 2" xfId="710" xr:uid="{00000000-0005-0000-0000-00008C030000}"/>
    <cellStyle name="標準 3 4 3 5 2 2" xfId="1316" xr:uid="{00000000-0005-0000-0000-00008D030000}"/>
    <cellStyle name="標準 3 4 3 5 2 3" xfId="1032" xr:uid="{00000000-0005-0000-0000-00008E030000}"/>
    <cellStyle name="標準 3 4 3 5 3" xfId="1185" xr:uid="{00000000-0005-0000-0000-00008F030000}"/>
    <cellStyle name="標準 3 4 3 5 4" xfId="901" xr:uid="{00000000-0005-0000-0000-000090030000}"/>
    <cellStyle name="標準 3 4 3 6" xfId="619" xr:uid="{00000000-0005-0000-0000-000091030000}"/>
    <cellStyle name="標準 3 4 3 6 2" xfId="1225" xr:uid="{00000000-0005-0000-0000-000092030000}"/>
    <cellStyle name="標準 3 4 3 6 3" xfId="941" xr:uid="{00000000-0005-0000-0000-000093030000}"/>
    <cellStyle name="標準 3 4 3 7" xfId="599" xr:uid="{00000000-0005-0000-0000-000094030000}"/>
    <cellStyle name="標準 3 4 3 7 2" xfId="1205" xr:uid="{00000000-0005-0000-0000-000095030000}"/>
    <cellStyle name="標準 3 4 3 7 3" xfId="921" xr:uid="{00000000-0005-0000-0000-000096030000}"/>
    <cellStyle name="標準 3 4 3 8" xfId="1094" xr:uid="{00000000-0005-0000-0000-000097030000}"/>
    <cellStyle name="標準 3 4 3 9" xfId="810" xr:uid="{00000000-0005-0000-0000-000098030000}"/>
    <cellStyle name="標準 3 4 4" xfId="470" xr:uid="{00000000-0005-0000-0000-000099030000}"/>
    <cellStyle name="標準 3 4 4 2" xfId="517" xr:uid="{00000000-0005-0000-0000-00009A030000}"/>
    <cellStyle name="標準 3 4 4 2 2" xfId="558" xr:uid="{00000000-0005-0000-0000-00009B030000}"/>
    <cellStyle name="標準 3 4 4 2 2 2" xfId="693" xr:uid="{00000000-0005-0000-0000-00009C030000}"/>
    <cellStyle name="標準 3 4 4 2 2 2 2" xfId="1299" xr:uid="{00000000-0005-0000-0000-00009D030000}"/>
    <cellStyle name="標準 3 4 4 2 2 2 3" xfId="1015" xr:uid="{00000000-0005-0000-0000-00009E030000}"/>
    <cellStyle name="標準 3 4 4 2 2 3" xfId="1168" xr:uid="{00000000-0005-0000-0000-00009F030000}"/>
    <cellStyle name="標準 3 4 4 2 2 4" xfId="884" xr:uid="{00000000-0005-0000-0000-0000A0030000}"/>
    <cellStyle name="標準 3 4 4 2 3" xfId="653" xr:uid="{00000000-0005-0000-0000-0000A1030000}"/>
    <cellStyle name="標準 3 4 4 2 3 2" xfId="1259" xr:uid="{00000000-0005-0000-0000-0000A2030000}"/>
    <cellStyle name="標準 3 4 4 2 3 3" xfId="975" xr:uid="{00000000-0005-0000-0000-0000A3030000}"/>
    <cellStyle name="標準 3 4 4 2 4" xfId="1128" xr:uid="{00000000-0005-0000-0000-0000A4030000}"/>
    <cellStyle name="標準 3 4 4 2 5" xfId="844" xr:uid="{00000000-0005-0000-0000-0000A5030000}"/>
    <cellStyle name="標準 3 4 4 3" xfId="537" xr:uid="{00000000-0005-0000-0000-0000A6030000}"/>
    <cellStyle name="標準 3 4 4 3 2" xfId="673" xr:uid="{00000000-0005-0000-0000-0000A7030000}"/>
    <cellStyle name="標準 3 4 4 3 2 2" xfId="1279" xr:uid="{00000000-0005-0000-0000-0000A8030000}"/>
    <cellStyle name="標準 3 4 4 3 2 3" xfId="995" xr:uid="{00000000-0005-0000-0000-0000A9030000}"/>
    <cellStyle name="標準 3 4 4 3 3" xfId="1148" xr:uid="{00000000-0005-0000-0000-0000AA030000}"/>
    <cellStyle name="標準 3 4 4 3 4" xfId="864" xr:uid="{00000000-0005-0000-0000-0000AB030000}"/>
    <cellStyle name="標準 3 4 4 4" xfId="495" xr:uid="{00000000-0005-0000-0000-0000AC030000}"/>
    <cellStyle name="標準 3 4 4 4 2" xfId="633" xr:uid="{00000000-0005-0000-0000-0000AD030000}"/>
    <cellStyle name="標準 3 4 4 4 2 2" xfId="1239" xr:uid="{00000000-0005-0000-0000-0000AE030000}"/>
    <cellStyle name="標準 3 4 4 4 2 3" xfId="955" xr:uid="{00000000-0005-0000-0000-0000AF030000}"/>
    <cellStyle name="標準 3 4 4 4 3" xfId="1108" xr:uid="{00000000-0005-0000-0000-0000B0030000}"/>
    <cellStyle name="標準 3 4 4 4 4" xfId="824" xr:uid="{00000000-0005-0000-0000-0000B1030000}"/>
    <cellStyle name="標準 3 4 4 5" xfId="613" xr:uid="{00000000-0005-0000-0000-0000B2030000}"/>
    <cellStyle name="標準 3 4 4 5 2" xfId="1219" xr:uid="{00000000-0005-0000-0000-0000B3030000}"/>
    <cellStyle name="標準 3 4 4 5 3" xfId="935" xr:uid="{00000000-0005-0000-0000-0000B4030000}"/>
    <cellStyle name="標準 3 4 4 6" xfId="593" xr:uid="{00000000-0005-0000-0000-0000B5030000}"/>
    <cellStyle name="標準 3 4 4 6 2" xfId="1199" xr:uid="{00000000-0005-0000-0000-0000B6030000}"/>
    <cellStyle name="標準 3 4 4 6 3" xfId="915" xr:uid="{00000000-0005-0000-0000-0000B7030000}"/>
    <cellStyle name="標準 3 4 4 7" xfId="1088" xr:uid="{00000000-0005-0000-0000-0000B8030000}"/>
    <cellStyle name="標準 3 4 4 8" xfId="804" xr:uid="{00000000-0005-0000-0000-0000B9030000}"/>
    <cellStyle name="標準 3 4 5" xfId="466" xr:uid="{00000000-0005-0000-0000-0000BA030000}"/>
    <cellStyle name="標準 3 4 5 2" xfId="514" xr:uid="{00000000-0005-0000-0000-0000BB030000}"/>
    <cellStyle name="標準 3 4 5 2 2" xfId="555" xr:uid="{00000000-0005-0000-0000-0000BC030000}"/>
    <cellStyle name="標準 3 4 5 2 2 2" xfId="690" xr:uid="{00000000-0005-0000-0000-0000BD030000}"/>
    <cellStyle name="標準 3 4 5 2 2 2 2" xfId="1296" xr:uid="{00000000-0005-0000-0000-0000BE030000}"/>
    <cellStyle name="標準 3 4 5 2 2 2 3" xfId="1012" xr:uid="{00000000-0005-0000-0000-0000BF030000}"/>
    <cellStyle name="標準 3 4 5 2 2 3" xfId="1165" xr:uid="{00000000-0005-0000-0000-0000C0030000}"/>
    <cellStyle name="標準 3 4 5 2 2 4" xfId="881" xr:uid="{00000000-0005-0000-0000-0000C1030000}"/>
    <cellStyle name="標準 3 4 5 2 3" xfId="650" xr:uid="{00000000-0005-0000-0000-0000C2030000}"/>
    <cellStyle name="標準 3 4 5 2 3 2" xfId="1256" xr:uid="{00000000-0005-0000-0000-0000C3030000}"/>
    <cellStyle name="標準 3 4 5 2 3 3" xfId="972" xr:uid="{00000000-0005-0000-0000-0000C4030000}"/>
    <cellStyle name="標準 3 4 5 2 4" xfId="1125" xr:uid="{00000000-0005-0000-0000-0000C5030000}"/>
    <cellStyle name="標準 3 4 5 2 5" xfId="841" xr:uid="{00000000-0005-0000-0000-0000C6030000}"/>
    <cellStyle name="標準 3 4 5 3" xfId="534" xr:uid="{00000000-0005-0000-0000-0000C7030000}"/>
    <cellStyle name="標準 3 4 5 3 2" xfId="670" xr:uid="{00000000-0005-0000-0000-0000C8030000}"/>
    <cellStyle name="標準 3 4 5 3 2 2" xfId="1276" xr:uid="{00000000-0005-0000-0000-0000C9030000}"/>
    <cellStyle name="標準 3 4 5 3 2 3" xfId="992" xr:uid="{00000000-0005-0000-0000-0000CA030000}"/>
    <cellStyle name="標準 3 4 5 3 3" xfId="1145" xr:uid="{00000000-0005-0000-0000-0000CB030000}"/>
    <cellStyle name="標準 3 4 5 3 4" xfId="861" xr:uid="{00000000-0005-0000-0000-0000CC030000}"/>
    <cellStyle name="標準 3 4 5 4" xfId="492" xr:uid="{00000000-0005-0000-0000-0000CD030000}"/>
    <cellStyle name="標準 3 4 5 4 2" xfId="630" xr:uid="{00000000-0005-0000-0000-0000CE030000}"/>
    <cellStyle name="標準 3 4 5 4 2 2" xfId="1236" xr:uid="{00000000-0005-0000-0000-0000CF030000}"/>
    <cellStyle name="標準 3 4 5 4 2 3" xfId="952" xr:uid="{00000000-0005-0000-0000-0000D0030000}"/>
    <cellStyle name="標準 3 4 5 4 3" xfId="1105" xr:uid="{00000000-0005-0000-0000-0000D1030000}"/>
    <cellStyle name="標準 3 4 5 4 4" xfId="821" xr:uid="{00000000-0005-0000-0000-0000D2030000}"/>
    <cellStyle name="標準 3 4 5 5" xfId="610" xr:uid="{00000000-0005-0000-0000-0000D3030000}"/>
    <cellStyle name="標準 3 4 5 5 2" xfId="1216" xr:uid="{00000000-0005-0000-0000-0000D4030000}"/>
    <cellStyle name="標準 3 4 5 5 3" xfId="932" xr:uid="{00000000-0005-0000-0000-0000D5030000}"/>
    <cellStyle name="標準 3 4 5 6" xfId="590" xr:uid="{00000000-0005-0000-0000-0000D6030000}"/>
    <cellStyle name="標準 3 4 5 6 2" xfId="1196" xr:uid="{00000000-0005-0000-0000-0000D7030000}"/>
    <cellStyle name="標準 3 4 5 6 3" xfId="912" xr:uid="{00000000-0005-0000-0000-0000D8030000}"/>
    <cellStyle name="標準 3 4 5 7" xfId="1085" xr:uid="{00000000-0005-0000-0000-0000D9030000}"/>
    <cellStyle name="標準 3 4 5 8" xfId="801" xr:uid="{00000000-0005-0000-0000-0000DA030000}"/>
    <cellStyle name="標準 3 4 6" xfId="508" xr:uid="{00000000-0005-0000-0000-0000DB030000}"/>
    <cellStyle name="標準 3 4 6 2" xfId="549" xr:uid="{00000000-0005-0000-0000-0000DC030000}"/>
    <cellStyle name="標準 3 4 6 2 2" xfId="684" xr:uid="{00000000-0005-0000-0000-0000DD030000}"/>
    <cellStyle name="標準 3 4 6 2 2 2" xfId="1290" xr:uid="{00000000-0005-0000-0000-0000DE030000}"/>
    <cellStyle name="標準 3 4 6 2 2 3" xfId="1006" xr:uid="{00000000-0005-0000-0000-0000DF030000}"/>
    <cellStyle name="標準 3 4 6 2 3" xfId="1159" xr:uid="{00000000-0005-0000-0000-0000E0030000}"/>
    <cellStyle name="標準 3 4 6 2 4" xfId="875" xr:uid="{00000000-0005-0000-0000-0000E1030000}"/>
    <cellStyle name="標準 3 4 6 3" xfId="644" xr:uid="{00000000-0005-0000-0000-0000E2030000}"/>
    <cellStyle name="標準 3 4 6 3 2" xfId="1250" xr:uid="{00000000-0005-0000-0000-0000E3030000}"/>
    <cellStyle name="標準 3 4 6 3 3" xfId="966" xr:uid="{00000000-0005-0000-0000-0000E4030000}"/>
    <cellStyle name="標準 3 4 6 4" xfId="1119" xr:uid="{00000000-0005-0000-0000-0000E5030000}"/>
    <cellStyle name="標準 3 4 6 5" xfId="835" xr:uid="{00000000-0005-0000-0000-0000E6030000}"/>
    <cellStyle name="標準 3 4 7" xfId="528" xr:uid="{00000000-0005-0000-0000-0000E7030000}"/>
    <cellStyle name="標準 3 4 7 2" xfId="664" xr:uid="{00000000-0005-0000-0000-0000E8030000}"/>
    <cellStyle name="標準 3 4 7 2 2" xfId="1270" xr:uid="{00000000-0005-0000-0000-0000E9030000}"/>
    <cellStyle name="標準 3 4 7 2 3" xfId="986" xr:uid="{00000000-0005-0000-0000-0000EA030000}"/>
    <cellStyle name="標準 3 4 7 3" xfId="1139" xr:uid="{00000000-0005-0000-0000-0000EB030000}"/>
    <cellStyle name="標準 3 4 7 4" xfId="855" xr:uid="{00000000-0005-0000-0000-0000EC030000}"/>
    <cellStyle name="標準 3 4 8" xfId="486" xr:uid="{00000000-0005-0000-0000-0000ED030000}"/>
    <cellStyle name="標準 3 4 8 2" xfId="624" xr:uid="{00000000-0005-0000-0000-0000EE030000}"/>
    <cellStyle name="標準 3 4 8 2 2" xfId="1230" xr:uid="{00000000-0005-0000-0000-0000EF030000}"/>
    <cellStyle name="標準 3 4 8 2 3" xfId="946" xr:uid="{00000000-0005-0000-0000-0000F0030000}"/>
    <cellStyle name="標準 3 4 8 3" xfId="1099" xr:uid="{00000000-0005-0000-0000-0000F1030000}"/>
    <cellStyle name="標準 3 4 8 4" xfId="815" xr:uid="{00000000-0005-0000-0000-0000F2030000}"/>
    <cellStyle name="標準 3 4 9" xfId="573" xr:uid="{00000000-0005-0000-0000-0000F3030000}"/>
    <cellStyle name="標準 3 4 9 2" xfId="704" xr:uid="{00000000-0005-0000-0000-0000F4030000}"/>
    <cellStyle name="標準 3 4 9 2 2" xfId="1310" xr:uid="{00000000-0005-0000-0000-0000F5030000}"/>
    <cellStyle name="標準 3 4 9 2 3" xfId="1026" xr:uid="{00000000-0005-0000-0000-0000F6030000}"/>
    <cellStyle name="標準 3 4 9 3" xfId="1179" xr:uid="{00000000-0005-0000-0000-0000F7030000}"/>
    <cellStyle name="標準 3 4 9 4" xfId="895" xr:uid="{00000000-0005-0000-0000-0000F8030000}"/>
    <cellStyle name="標準 4" xfId="173" xr:uid="{00000000-0005-0000-0000-0000F9030000}"/>
    <cellStyle name="標準 4 2" xfId="449" xr:uid="{00000000-0005-0000-0000-0000FA030000}"/>
    <cellStyle name="標準 4 2 2" xfId="484" xr:uid="{00000000-0005-0000-0000-0000FB030000}"/>
    <cellStyle name="標準 4 3" xfId="445" xr:uid="{00000000-0005-0000-0000-0000FC030000}"/>
    <cellStyle name="標準 5" xfId="174" xr:uid="{00000000-0005-0000-0000-0000FD030000}"/>
    <cellStyle name="標準 5 2" xfId="450" xr:uid="{00000000-0005-0000-0000-0000FE030000}"/>
    <cellStyle name="標準 5 3" xfId="446" xr:uid="{00000000-0005-0000-0000-0000FF030000}"/>
    <cellStyle name="標準 5 3 10" xfId="605" xr:uid="{00000000-0005-0000-0000-000000040000}"/>
    <cellStyle name="標準 5 3 10 2" xfId="1211" xr:uid="{00000000-0005-0000-0000-000001040000}"/>
    <cellStyle name="標準 5 3 10 3" xfId="927" xr:uid="{00000000-0005-0000-0000-000002040000}"/>
    <cellStyle name="標準 5 3 11" xfId="585" xr:uid="{00000000-0005-0000-0000-000003040000}"/>
    <cellStyle name="標準 5 3 11 2" xfId="1191" xr:uid="{00000000-0005-0000-0000-000004040000}"/>
    <cellStyle name="標準 5 3 11 3" xfId="907" xr:uid="{00000000-0005-0000-0000-000005040000}"/>
    <cellStyle name="標準 5 3 12" xfId="1080" xr:uid="{00000000-0005-0000-0000-000006040000}"/>
    <cellStyle name="標準 5 3 13" xfId="796" xr:uid="{00000000-0005-0000-0000-000007040000}"/>
    <cellStyle name="標準 5 3 2" xfId="453" xr:uid="{00000000-0005-0000-0000-000008040000}"/>
    <cellStyle name="標準 5 3 2 10" xfId="799" xr:uid="{00000000-0005-0000-0000-000009040000}"/>
    <cellStyle name="標準 5 3 2 2" xfId="474" xr:uid="{00000000-0005-0000-0000-00000A040000}"/>
    <cellStyle name="標準 5 3 2 2 2" xfId="521" xr:uid="{00000000-0005-0000-0000-00000B040000}"/>
    <cellStyle name="標準 5 3 2 2 2 2" xfId="562" xr:uid="{00000000-0005-0000-0000-00000C040000}"/>
    <cellStyle name="標準 5 3 2 2 2 2 2" xfId="697" xr:uid="{00000000-0005-0000-0000-00000D040000}"/>
    <cellStyle name="標準 5 3 2 2 2 2 2 2" xfId="1303" xr:uid="{00000000-0005-0000-0000-00000E040000}"/>
    <cellStyle name="標準 5 3 2 2 2 2 2 3" xfId="1019" xr:uid="{00000000-0005-0000-0000-00000F040000}"/>
    <cellStyle name="標準 5 3 2 2 2 2 3" xfId="1172" xr:uid="{00000000-0005-0000-0000-000010040000}"/>
    <cellStyle name="標準 5 3 2 2 2 2 4" xfId="888" xr:uid="{00000000-0005-0000-0000-000011040000}"/>
    <cellStyle name="標準 5 3 2 2 2 3" xfId="657" xr:uid="{00000000-0005-0000-0000-000012040000}"/>
    <cellStyle name="標準 5 3 2 2 2 3 2" xfId="1263" xr:uid="{00000000-0005-0000-0000-000013040000}"/>
    <cellStyle name="標準 5 3 2 2 2 3 3" xfId="979" xr:uid="{00000000-0005-0000-0000-000014040000}"/>
    <cellStyle name="標準 5 3 2 2 2 4" xfId="1132" xr:uid="{00000000-0005-0000-0000-000015040000}"/>
    <cellStyle name="標準 5 3 2 2 2 5" xfId="848" xr:uid="{00000000-0005-0000-0000-000016040000}"/>
    <cellStyle name="標準 5 3 2 2 3" xfId="541" xr:uid="{00000000-0005-0000-0000-000017040000}"/>
    <cellStyle name="標準 5 3 2 2 3 2" xfId="677" xr:uid="{00000000-0005-0000-0000-000018040000}"/>
    <cellStyle name="標準 5 3 2 2 3 2 2" xfId="1283" xr:uid="{00000000-0005-0000-0000-000019040000}"/>
    <cellStyle name="標準 5 3 2 2 3 2 3" xfId="999" xr:uid="{00000000-0005-0000-0000-00001A040000}"/>
    <cellStyle name="標準 5 3 2 2 3 3" xfId="1152" xr:uid="{00000000-0005-0000-0000-00001B040000}"/>
    <cellStyle name="標準 5 3 2 2 3 4" xfId="868" xr:uid="{00000000-0005-0000-0000-00001C040000}"/>
    <cellStyle name="標準 5 3 2 2 4" xfId="499" xr:uid="{00000000-0005-0000-0000-00001D040000}"/>
    <cellStyle name="標準 5 3 2 2 4 2" xfId="637" xr:uid="{00000000-0005-0000-0000-00001E040000}"/>
    <cellStyle name="標準 5 3 2 2 4 2 2" xfId="1243" xr:uid="{00000000-0005-0000-0000-00001F040000}"/>
    <cellStyle name="標準 5 3 2 2 4 2 3" xfId="959" xr:uid="{00000000-0005-0000-0000-000020040000}"/>
    <cellStyle name="標準 5 3 2 2 4 3" xfId="1112" xr:uid="{00000000-0005-0000-0000-000021040000}"/>
    <cellStyle name="標準 5 3 2 2 4 4" xfId="828" xr:uid="{00000000-0005-0000-0000-000022040000}"/>
    <cellStyle name="標準 5 3 2 2 5" xfId="617" xr:uid="{00000000-0005-0000-0000-000023040000}"/>
    <cellStyle name="標準 5 3 2 2 5 2" xfId="1223" xr:uid="{00000000-0005-0000-0000-000024040000}"/>
    <cellStyle name="標準 5 3 2 2 5 3" xfId="939" xr:uid="{00000000-0005-0000-0000-000025040000}"/>
    <cellStyle name="標準 5 3 2 2 6" xfId="597" xr:uid="{00000000-0005-0000-0000-000026040000}"/>
    <cellStyle name="標準 5 3 2 2 6 2" xfId="1203" xr:uid="{00000000-0005-0000-0000-000027040000}"/>
    <cellStyle name="標準 5 3 2 2 6 3" xfId="919" xr:uid="{00000000-0005-0000-0000-000028040000}"/>
    <cellStyle name="標準 5 3 2 2 7" xfId="1092" xr:uid="{00000000-0005-0000-0000-000029040000}"/>
    <cellStyle name="標準 5 3 2 2 8" xfId="808" xr:uid="{00000000-0005-0000-0000-00002A040000}"/>
    <cellStyle name="標準 5 3 2 3" xfId="512" xr:uid="{00000000-0005-0000-0000-00002B040000}"/>
    <cellStyle name="標準 5 3 2 3 2" xfId="553" xr:uid="{00000000-0005-0000-0000-00002C040000}"/>
    <cellStyle name="標準 5 3 2 3 2 2" xfId="688" xr:uid="{00000000-0005-0000-0000-00002D040000}"/>
    <cellStyle name="標準 5 3 2 3 2 2 2" xfId="1294" xr:uid="{00000000-0005-0000-0000-00002E040000}"/>
    <cellStyle name="標準 5 3 2 3 2 2 3" xfId="1010" xr:uid="{00000000-0005-0000-0000-00002F040000}"/>
    <cellStyle name="標準 5 3 2 3 2 3" xfId="1163" xr:uid="{00000000-0005-0000-0000-000030040000}"/>
    <cellStyle name="標準 5 3 2 3 2 4" xfId="879" xr:uid="{00000000-0005-0000-0000-000031040000}"/>
    <cellStyle name="標準 5 3 2 3 3" xfId="648" xr:uid="{00000000-0005-0000-0000-000032040000}"/>
    <cellStyle name="標準 5 3 2 3 3 2" xfId="1254" xr:uid="{00000000-0005-0000-0000-000033040000}"/>
    <cellStyle name="標準 5 3 2 3 3 3" xfId="970" xr:uid="{00000000-0005-0000-0000-000034040000}"/>
    <cellStyle name="標準 5 3 2 3 4" xfId="1123" xr:uid="{00000000-0005-0000-0000-000035040000}"/>
    <cellStyle name="標準 5 3 2 3 5" xfId="839" xr:uid="{00000000-0005-0000-0000-000036040000}"/>
    <cellStyle name="標準 5 3 2 4" xfId="532" xr:uid="{00000000-0005-0000-0000-000037040000}"/>
    <cellStyle name="標準 5 3 2 4 2" xfId="668" xr:uid="{00000000-0005-0000-0000-000038040000}"/>
    <cellStyle name="標準 5 3 2 4 2 2" xfId="1274" xr:uid="{00000000-0005-0000-0000-000039040000}"/>
    <cellStyle name="標準 5 3 2 4 2 3" xfId="990" xr:uid="{00000000-0005-0000-0000-00003A040000}"/>
    <cellStyle name="標準 5 3 2 4 3" xfId="1143" xr:uid="{00000000-0005-0000-0000-00003B040000}"/>
    <cellStyle name="標準 5 3 2 4 4" xfId="859" xr:uid="{00000000-0005-0000-0000-00003C040000}"/>
    <cellStyle name="標準 5 3 2 5" xfId="490" xr:uid="{00000000-0005-0000-0000-00003D040000}"/>
    <cellStyle name="標準 5 3 2 5 2" xfId="628" xr:uid="{00000000-0005-0000-0000-00003E040000}"/>
    <cellStyle name="標準 5 3 2 5 2 2" xfId="1234" xr:uid="{00000000-0005-0000-0000-00003F040000}"/>
    <cellStyle name="標準 5 3 2 5 2 3" xfId="950" xr:uid="{00000000-0005-0000-0000-000040040000}"/>
    <cellStyle name="標準 5 3 2 5 3" xfId="1103" xr:uid="{00000000-0005-0000-0000-000041040000}"/>
    <cellStyle name="標準 5 3 2 5 4" xfId="819" xr:uid="{00000000-0005-0000-0000-000042040000}"/>
    <cellStyle name="標準 5 3 2 6" xfId="577" xr:uid="{00000000-0005-0000-0000-000043040000}"/>
    <cellStyle name="標準 5 3 2 6 2" xfId="708" xr:uid="{00000000-0005-0000-0000-000044040000}"/>
    <cellStyle name="標準 5 3 2 6 2 2" xfId="1314" xr:uid="{00000000-0005-0000-0000-000045040000}"/>
    <cellStyle name="標準 5 3 2 6 2 3" xfId="1030" xr:uid="{00000000-0005-0000-0000-000046040000}"/>
    <cellStyle name="標準 5 3 2 6 3" xfId="1183" xr:uid="{00000000-0005-0000-0000-000047040000}"/>
    <cellStyle name="標準 5 3 2 6 4" xfId="899" xr:uid="{00000000-0005-0000-0000-000048040000}"/>
    <cellStyle name="標準 5 3 2 7" xfId="608" xr:uid="{00000000-0005-0000-0000-000049040000}"/>
    <cellStyle name="標準 5 3 2 7 2" xfId="1214" xr:uid="{00000000-0005-0000-0000-00004A040000}"/>
    <cellStyle name="標準 5 3 2 7 3" xfId="930" xr:uid="{00000000-0005-0000-0000-00004B040000}"/>
    <cellStyle name="標準 5 3 2 8" xfId="588" xr:uid="{00000000-0005-0000-0000-00004C040000}"/>
    <cellStyle name="標準 5 3 2 8 2" xfId="1194" xr:uid="{00000000-0005-0000-0000-00004D040000}"/>
    <cellStyle name="標準 5 3 2 8 3" xfId="910" xr:uid="{00000000-0005-0000-0000-00004E040000}"/>
    <cellStyle name="標準 5 3 2 9" xfId="1083" xr:uid="{00000000-0005-0000-0000-00004F040000}"/>
    <cellStyle name="標準 5 3 3" xfId="481" xr:uid="{00000000-0005-0000-0000-000050040000}"/>
    <cellStyle name="標準 5 3 3 2" xfId="524" xr:uid="{00000000-0005-0000-0000-000051040000}"/>
    <cellStyle name="標準 5 3 3 2 2" xfId="565" xr:uid="{00000000-0005-0000-0000-000052040000}"/>
    <cellStyle name="標準 5 3 3 2 2 2" xfId="700" xr:uid="{00000000-0005-0000-0000-000053040000}"/>
    <cellStyle name="標準 5 3 3 2 2 2 2" xfId="1306" xr:uid="{00000000-0005-0000-0000-000054040000}"/>
    <cellStyle name="標準 5 3 3 2 2 2 3" xfId="1022" xr:uid="{00000000-0005-0000-0000-000055040000}"/>
    <cellStyle name="標準 5 3 3 2 2 3" xfId="1175" xr:uid="{00000000-0005-0000-0000-000056040000}"/>
    <cellStyle name="標準 5 3 3 2 2 4" xfId="891" xr:uid="{00000000-0005-0000-0000-000057040000}"/>
    <cellStyle name="標準 5 3 3 2 3" xfId="660" xr:uid="{00000000-0005-0000-0000-000058040000}"/>
    <cellStyle name="標準 5 3 3 2 3 2" xfId="1266" xr:uid="{00000000-0005-0000-0000-000059040000}"/>
    <cellStyle name="標準 5 3 3 2 3 3" xfId="982" xr:uid="{00000000-0005-0000-0000-00005A040000}"/>
    <cellStyle name="標準 5 3 3 2 4" xfId="1135" xr:uid="{00000000-0005-0000-0000-00005B040000}"/>
    <cellStyle name="標準 5 3 3 2 5" xfId="851" xr:uid="{00000000-0005-0000-0000-00005C040000}"/>
    <cellStyle name="標準 5 3 3 3" xfId="544" xr:uid="{00000000-0005-0000-0000-00005D040000}"/>
    <cellStyle name="標準 5 3 3 3 2" xfId="680" xr:uid="{00000000-0005-0000-0000-00005E040000}"/>
    <cellStyle name="標準 5 3 3 3 2 2" xfId="1286" xr:uid="{00000000-0005-0000-0000-00005F040000}"/>
    <cellStyle name="標準 5 3 3 3 2 3" xfId="1002" xr:uid="{00000000-0005-0000-0000-000060040000}"/>
    <cellStyle name="標準 5 3 3 3 3" xfId="1155" xr:uid="{00000000-0005-0000-0000-000061040000}"/>
    <cellStyle name="標準 5 3 3 3 4" xfId="871" xr:uid="{00000000-0005-0000-0000-000062040000}"/>
    <cellStyle name="標準 5 3 3 4" xfId="502" xr:uid="{00000000-0005-0000-0000-000063040000}"/>
    <cellStyle name="標準 5 3 3 4 2" xfId="640" xr:uid="{00000000-0005-0000-0000-000064040000}"/>
    <cellStyle name="標準 5 3 3 4 2 2" xfId="1246" xr:uid="{00000000-0005-0000-0000-000065040000}"/>
    <cellStyle name="標準 5 3 3 4 2 3" xfId="962" xr:uid="{00000000-0005-0000-0000-000066040000}"/>
    <cellStyle name="標準 5 3 3 4 3" xfId="1115" xr:uid="{00000000-0005-0000-0000-000067040000}"/>
    <cellStyle name="標準 5 3 3 4 4" xfId="831" xr:uid="{00000000-0005-0000-0000-000068040000}"/>
    <cellStyle name="標準 5 3 3 5" xfId="580" xr:uid="{00000000-0005-0000-0000-000069040000}"/>
    <cellStyle name="標準 5 3 3 5 2" xfId="711" xr:uid="{00000000-0005-0000-0000-00006A040000}"/>
    <cellStyle name="標準 5 3 3 5 2 2" xfId="1317" xr:uid="{00000000-0005-0000-0000-00006B040000}"/>
    <cellStyle name="標準 5 3 3 5 2 3" xfId="1033" xr:uid="{00000000-0005-0000-0000-00006C040000}"/>
    <cellStyle name="標準 5 3 3 5 3" xfId="1186" xr:uid="{00000000-0005-0000-0000-00006D040000}"/>
    <cellStyle name="標準 5 3 3 5 4" xfId="902" xr:uid="{00000000-0005-0000-0000-00006E040000}"/>
    <cellStyle name="標準 5 3 3 6" xfId="620" xr:uid="{00000000-0005-0000-0000-00006F040000}"/>
    <cellStyle name="標準 5 3 3 6 2" xfId="1226" xr:uid="{00000000-0005-0000-0000-000070040000}"/>
    <cellStyle name="標準 5 3 3 6 3" xfId="942" xr:uid="{00000000-0005-0000-0000-000071040000}"/>
    <cellStyle name="標準 5 3 3 7" xfId="600" xr:uid="{00000000-0005-0000-0000-000072040000}"/>
    <cellStyle name="標準 5 3 3 7 2" xfId="1206" xr:uid="{00000000-0005-0000-0000-000073040000}"/>
    <cellStyle name="標準 5 3 3 7 3" xfId="922" xr:uid="{00000000-0005-0000-0000-000074040000}"/>
    <cellStyle name="標準 5 3 3 8" xfId="1095" xr:uid="{00000000-0005-0000-0000-000075040000}"/>
    <cellStyle name="標準 5 3 3 9" xfId="811" xr:uid="{00000000-0005-0000-0000-000076040000}"/>
    <cellStyle name="標準 5 3 4" xfId="471" xr:uid="{00000000-0005-0000-0000-000077040000}"/>
    <cellStyle name="標準 5 3 4 2" xfId="518" xr:uid="{00000000-0005-0000-0000-000078040000}"/>
    <cellStyle name="標準 5 3 4 2 2" xfId="559" xr:uid="{00000000-0005-0000-0000-000079040000}"/>
    <cellStyle name="標準 5 3 4 2 2 2" xfId="694" xr:uid="{00000000-0005-0000-0000-00007A040000}"/>
    <cellStyle name="標準 5 3 4 2 2 2 2" xfId="1300" xr:uid="{00000000-0005-0000-0000-00007B040000}"/>
    <cellStyle name="標準 5 3 4 2 2 2 3" xfId="1016" xr:uid="{00000000-0005-0000-0000-00007C040000}"/>
    <cellStyle name="標準 5 3 4 2 2 3" xfId="1169" xr:uid="{00000000-0005-0000-0000-00007D040000}"/>
    <cellStyle name="標準 5 3 4 2 2 4" xfId="885" xr:uid="{00000000-0005-0000-0000-00007E040000}"/>
    <cellStyle name="標準 5 3 4 2 3" xfId="654" xr:uid="{00000000-0005-0000-0000-00007F040000}"/>
    <cellStyle name="標準 5 3 4 2 3 2" xfId="1260" xr:uid="{00000000-0005-0000-0000-000080040000}"/>
    <cellStyle name="標準 5 3 4 2 3 3" xfId="976" xr:uid="{00000000-0005-0000-0000-000081040000}"/>
    <cellStyle name="標準 5 3 4 2 4" xfId="1129" xr:uid="{00000000-0005-0000-0000-000082040000}"/>
    <cellStyle name="標準 5 3 4 2 5" xfId="845" xr:uid="{00000000-0005-0000-0000-000083040000}"/>
    <cellStyle name="標準 5 3 4 3" xfId="538" xr:uid="{00000000-0005-0000-0000-000084040000}"/>
    <cellStyle name="標準 5 3 4 3 2" xfId="674" xr:uid="{00000000-0005-0000-0000-000085040000}"/>
    <cellStyle name="標準 5 3 4 3 2 2" xfId="1280" xr:uid="{00000000-0005-0000-0000-000086040000}"/>
    <cellStyle name="標準 5 3 4 3 2 3" xfId="996" xr:uid="{00000000-0005-0000-0000-000087040000}"/>
    <cellStyle name="標準 5 3 4 3 3" xfId="1149" xr:uid="{00000000-0005-0000-0000-000088040000}"/>
    <cellStyle name="標準 5 3 4 3 4" xfId="865" xr:uid="{00000000-0005-0000-0000-000089040000}"/>
    <cellStyle name="標準 5 3 4 4" xfId="496" xr:uid="{00000000-0005-0000-0000-00008A040000}"/>
    <cellStyle name="標準 5 3 4 4 2" xfId="634" xr:uid="{00000000-0005-0000-0000-00008B040000}"/>
    <cellStyle name="標準 5 3 4 4 2 2" xfId="1240" xr:uid="{00000000-0005-0000-0000-00008C040000}"/>
    <cellStyle name="標準 5 3 4 4 2 3" xfId="956" xr:uid="{00000000-0005-0000-0000-00008D040000}"/>
    <cellStyle name="標準 5 3 4 4 3" xfId="1109" xr:uid="{00000000-0005-0000-0000-00008E040000}"/>
    <cellStyle name="標準 5 3 4 4 4" xfId="825" xr:uid="{00000000-0005-0000-0000-00008F040000}"/>
    <cellStyle name="標準 5 3 4 5" xfId="614" xr:uid="{00000000-0005-0000-0000-000090040000}"/>
    <cellStyle name="標準 5 3 4 5 2" xfId="1220" xr:uid="{00000000-0005-0000-0000-000091040000}"/>
    <cellStyle name="標準 5 3 4 5 3" xfId="936" xr:uid="{00000000-0005-0000-0000-000092040000}"/>
    <cellStyle name="標準 5 3 4 6" xfId="594" xr:uid="{00000000-0005-0000-0000-000093040000}"/>
    <cellStyle name="標準 5 3 4 6 2" xfId="1200" xr:uid="{00000000-0005-0000-0000-000094040000}"/>
    <cellStyle name="標準 5 3 4 6 3" xfId="916" xr:uid="{00000000-0005-0000-0000-000095040000}"/>
    <cellStyle name="標準 5 3 4 7" xfId="1089" xr:uid="{00000000-0005-0000-0000-000096040000}"/>
    <cellStyle name="標準 5 3 4 8" xfId="805" xr:uid="{00000000-0005-0000-0000-000097040000}"/>
    <cellStyle name="標準 5 3 5" xfId="467" xr:uid="{00000000-0005-0000-0000-000098040000}"/>
    <cellStyle name="標準 5 3 5 2" xfId="515" xr:uid="{00000000-0005-0000-0000-000099040000}"/>
    <cellStyle name="標準 5 3 5 2 2" xfId="556" xr:uid="{00000000-0005-0000-0000-00009A040000}"/>
    <cellStyle name="標準 5 3 5 2 2 2" xfId="691" xr:uid="{00000000-0005-0000-0000-00009B040000}"/>
    <cellStyle name="標準 5 3 5 2 2 2 2" xfId="1297" xr:uid="{00000000-0005-0000-0000-00009C040000}"/>
    <cellStyle name="標準 5 3 5 2 2 2 3" xfId="1013" xr:uid="{00000000-0005-0000-0000-00009D040000}"/>
    <cellStyle name="標準 5 3 5 2 2 3" xfId="1166" xr:uid="{00000000-0005-0000-0000-00009E040000}"/>
    <cellStyle name="標準 5 3 5 2 2 4" xfId="882" xr:uid="{00000000-0005-0000-0000-00009F040000}"/>
    <cellStyle name="標準 5 3 5 2 3" xfId="651" xr:uid="{00000000-0005-0000-0000-0000A0040000}"/>
    <cellStyle name="標準 5 3 5 2 3 2" xfId="1257" xr:uid="{00000000-0005-0000-0000-0000A1040000}"/>
    <cellStyle name="標準 5 3 5 2 3 3" xfId="973" xr:uid="{00000000-0005-0000-0000-0000A2040000}"/>
    <cellStyle name="標準 5 3 5 2 4" xfId="1126" xr:uid="{00000000-0005-0000-0000-0000A3040000}"/>
    <cellStyle name="標準 5 3 5 2 5" xfId="842" xr:uid="{00000000-0005-0000-0000-0000A4040000}"/>
    <cellStyle name="標準 5 3 5 3" xfId="535" xr:uid="{00000000-0005-0000-0000-0000A5040000}"/>
    <cellStyle name="標準 5 3 5 3 2" xfId="671" xr:uid="{00000000-0005-0000-0000-0000A6040000}"/>
    <cellStyle name="標準 5 3 5 3 2 2" xfId="1277" xr:uid="{00000000-0005-0000-0000-0000A7040000}"/>
    <cellStyle name="標準 5 3 5 3 2 3" xfId="993" xr:uid="{00000000-0005-0000-0000-0000A8040000}"/>
    <cellStyle name="標準 5 3 5 3 3" xfId="1146" xr:uid="{00000000-0005-0000-0000-0000A9040000}"/>
    <cellStyle name="標準 5 3 5 3 4" xfId="862" xr:uid="{00000000-0005-0000-0000-0000AA040000}"/>
    <cellStyle name="標準 5 3 5 4" xfId="493" xr:uid="{00000000-0005-0000-0000-0000AB040000}"/>
    <cellStyle name="標準 5 3 5 4 2" xfId="631" xr:uid="{00000000-0005-0000-0000-0000AC040000}"/>
    <cellStyle name="標準 5 3 5 4 2 2" xfId="1237" xr:uid="{00000000-0005-0000-0000-0000AD040000}"/>
    <cellStyle name="標準 5 3 5 4 2 3" xfId="953" xr:uid="{00000000-0005-0000-0000-0000AE040000}"/>
    <cellStyle name="標準 5 3 5 4 3" xfId="1106" xr:uid="{00000000-0005-0000-0000-0000AF040000}"/>
    <cellStyle name="標準 5 3 5 4 4" xfId="822" xr:uid="{00000000-0005-0000-0000-0000B0040000}"/>
    <cellStyle name="標準 5 3 5 5" xfId="611" xr:uid="{00000000-0005-0000-0000-0000B1040000}"/>
    <cellStyle name="標準 5 3 5 5 2" xfId="1217" xr:uid="{00000000-0005-0000-0000-0000B2040000}"/>
    <cellStyle name="標準 5 3 5 5 3" xfId="933" xr:uid="{00000000-0005-0000-0000-0000B3040000}"/>
    <cellStyle name="標準 5 3 5 6" xfId="591" xr:uid="{00000000-0005-0000-0000-0000B4040000}"/>
    <cellStyle name="標準 5 3 5 6 2" xfId="1197" xr:uid="{00000000-0005-0000-0000-0000B5040000}"/>
    <cellStyle name="標準 5 3 5 6 3" xfId="913" xr:uid="{00000000-0005-0000-0000-0000B6040000}"/>
    <cellStyle name="標準 5 3 5 7" xfId="1086" xr:uid="{00000000-0005-0000-0000-0000B7040000}"/>
    <cellStyle name="標準 5 3 5 8" xfId="802" xr:uid="{00000000-0005-0000-0000-0000B8040000}"/>
    <cellStyle name="標準 5 3 6" xfId="509" xr:uid="{00000000-0005-0000-0000-0000B9040000}"/>
    <cellStyle name="標準 5 3 6 2" xfId="550" xr:uid="{00000000-0005-0000-0000-0000BA040000}"/>
    <cellStyle name="標準 5 3 6 2 2" xfId="685" xr:uid="{00000000-0005-0000-0000-0000BB040000}"/>
    <cellStyle name="標準 5 3 6 2 2 2" xfId="1291" xr:uid="{00000000-0005-0000-0000-0000BC040000}"/>
    <cellStyle name="標準 5 3 6 2 2 3" xfId="1007" xr:uid="{00000000-0005-0000-0000-0000BD040000}"/>
    <cellStyle name="標準 5 3 6 2 3" xfId="1160" xr:uid="{00000000-0005-0000-0000-0000BE040000}"/>
    <cellStyle name="標準 5 3 6 2 4" xfId="876" xr:uid="{00000000-0005-0000-0000-0000BF040000}"/>
    <cellStyle name="標準 5 3 6 3" xfId="645" xr:uid="{00000000-0005-0000-0000-0000C0040000}"/>
    <cellStyle name="標準 5 3 6 3 2" xfId="1251" xr:uid="{00000000-0005-0000-0000-0000C1040000}"/>
    <cellStyle name="標準 5 3 6 3 3" xfId="967" xr:uid="{00000000-0005-0000-0000-0000C2040000}"/>
    <cellStyle name="標準 5 3 6 4" xfId="1120" xr:uid="{00000000-0005-0000-0000-0000C3040000}"/>
    <cellStyle name="標準 5 3 6 5" xfId="836" xr:uid="{00000000-0005-0000-0000-0000C4040000}"/>
    <cellStyle name="標準 5 3 7" xfId="529" xr:uid="{00000000-0005-0000-0000-0000C5040000}"/>
    <cellStyle name="標準 5 3 7 2" xfId="665" xr:uid="{00000000-0005-0000-0000-0000C6040000}"/>
    <cellStyle name="標準 5 3 7 2 2" xfId="1271" xr:uid="{00000000-0005-0000-0000-0000C7040000}"/>
    <cellStyle name="標準 5 3 7 2 3" xfId="987" xr:uid="{00000000-0005-0000-0000-0000C8040000}"/>
    <cellStyle name="標準 5 3 7 3" xfId="1140" xr:uid="{00000000-0005-0000-0000-0000C9040000}"/>
    <cellStyle name="標準 5 3 7 4" xfId="856" xr:uid="{00000000-0005-0000-0000-0000CA040000}"/>
    <cellStyle name="標準 5 3 8" xfId="487" xr:uid="{00000000-0005-0000-0000-0000CB040000}"/>
    <cellStyle name="標準 5 3 8 2" xfId="625" xr:uid="{00000000-0005-0000-0000-0000CC040000}"/>
    <cellStyle name="標準 5 3 8 2 2" xfId="1231" xr:uid="{00000000-0005-0000-0000-0000CD040000}"/>
    <cellStyle name="標準 5 3 8 2 3" xfId="947" xr:uid="{00000000-0005-0000-0000-0000CE040000}"/>
    <cellStyle name="標準 5 3 8 3" xfId="1100" xr:uid="{00000000-0005-0000-0000-0000CF040000}"/>
    <cellStyle name="標準 5 3 8 4" xfId="816" xr:uid="{00000000-0005-0000-0000-0000D0040000}"/>
    <cellStyle name="標準 5 3 9" xfId="574" xr:uid="{00000000-0005-0000-0000-0000D1040000}"/>
    <cellStyle name="標準 5 3 9 2" xfId="705" xr:uid="{00000000-0005-0000-0000-0000D2040000}"/>
    <cellStyle name="標準 5 3 9 2 2" xfId="1311" xr:uid="{00000000-0005-0000-0000-0000D3040000}"/>
    <cellStyle name="標準 5 3 9 2 3" xfId="1027" xr:uid="{00000000-0005-0000-0000-0000D4040000}"/>
    <cellStyle name="標準 5 3 9 3" xfId="1180" xr:uid="{00000000-0005-0000-0000-0000D5040000}"/>
    <cellStyle name="標準 5 3 9 4" xfId="896" xr:uid="{00000000-0005-0000-0000-0000D6040000}"/>
    <cellStyle name="標準 6" xfId="175" xr:uid="{00000000-0005-0000-0000-0000D7040000}"/>
    <cellStyle name="標準 7" xfId="176" xr:uid="{00000000-0005-0000-0000-0000D8040000}"/>
    <cellStyle name="標準 8" xfId="268" xr:uid="{00000000-0005-0000-0000-0000D9040000}"/>
    <cellStyle name="標準 8 2" xfId="312" xr:uid="{00000000-0005-0000-0000-0000DA040000}"/>
    <cellStyle name="標準 8 2 2" xfId="339" xr:uid="{00000000-0005-0000-0000-0000DB040000}"/>
    <cellStyle name="標準 8 2 2 2" xfId="426" xr:uid="{00000000-0005-0000-0000-0000DC040000}"/>
    <cellStyle name="標準 8 2 2 2 2" xfId="1073" xr:uid="{00000000-0005-0000-0000-0000DD040000}"/>
    <cellStyle name="標準 8 2 2 2 3" xfId="789" xr:uid="{00000000-0005-0000-0000-0000DE040000}"/>
    <cellStyle name="標準 8 2 2 3" xfId="399" xr:uid="{00000000-0005-0000-0000-0000DF040000}"/>
    <cellStyle name="標準 8 2 2 3 2" xfId="768" xr:uid="{00000000-0005-0000-0000-0000E0040000}"/>
    <cellStyle name="標準 8 2 2 4" xfId="377" xr:uid="{00000000-0005-0000-0000-0000E1040000}"/>
    <cellStyle name="標準 8 2 2 4 2" xfId="1052" xr:uid="{00000000-0005-0000-0000-0000E2040000}"/>
    <cellStyle name="標準 8 2 2 5" xfId="747" xr:uid="{00000000-0005-0000-0000-0000E3040000}"/>
    <cellStyle name="標準 8 2 3" xfId="324" xr:uid="{00000000-0005-0000-0000-0000E4040000}"/>
    <cellStyle name="標準 8 2 3 2" xfId="405" xr:uid="{00000000-0005-0000-0000-0000E5040000}"/>
    <cellStyle name="標準 8 2 4" xfId="438" xr:uid="{00000000-0005-0000-0000-0000E6040000}"/>
    <cellStyle name="標準 8 2 5" xfId="386" xr:uid="{00000000-0005-0000-0000-0000E7040000}"/>
    <cellStyle name="標準 8 2 5 2" xfId="755" xr:uid="{00000000-0005-0000-0000-0000E8040000}"/>
    <cellStyle name="標準 8 2 6" xfId="358" xr:uid="{00000000-0005-0000-0000-0000E9040000}"/>
    <cellStyle name="標準 8 2 6 2" xfId="1039" xr:uid="{00000000-0005-0000-0000-0000EA040000}"/>
    <cellStyle name="標準 8 2 7" xfId="728" xr:uid="{00000000-0005-0000-0000-0000EB040000}"/>
    <cellStyle name="標準 8 3" xfId="298" xr:uid="{00000000-0005-0000-0000-0000EC040000}"/>
    <cellStyle name="標準 8 3 2" xfId="423" xr:uid="{00000000-0005-0000-0000-0000ED040000}"/>
    <cellStyle name="標準 8 3 3" xfId="410" xr:uid="{00000000-0005-0000-0000-0000EE040000}"/>
    <cellStyle name="標準 8 3 3 2" xfId="1060" xr:uid="{00000000-0005-0000-0000-0000EF040000}"/>
    <cellStyle name="標準 8 3 3 3" xfId="776" xr:uid="{00000000-0005-0000-0000-0000F0040000}"/>
    <cellStyle name="標準 8 3 4" xfId="477" xr:uid="{00000000-0005-0000-0000-0000F1040000}"/>
    <cellStyle name="標準 8 4" xfId="278" xr:uid="{00000000-0005-0000-0000-0000F2040000}"/>
    <cellStyle name="標準 8 4 2" xfId="332" xr:uid="{00000000-0005-0000-0000-0000F3040000}"/>
    <cellStyle name="標準 8 4 2 2" xfId="416" xr:uid="{00000000-0005-0000-0000-0000F4040000}"/>
    <cellStyle name="標準 8 4 2 2 2" xfId="782" xr:uid="{00000000-0005-0000-0000-0000F5040000}"/>
    <cellStyle name="標準 8 4 2 3" xfId="370" xr:uid="{00000000-0005-0000-0000-0000F6040000}"/>
    <cellStyle name="標準 8 4 2 3 2" xfId="1066" xr:uid="{00000000-0005-0000-0000-0000F7040000}"/>
    <cellStyle name="標準 8 4 2 4" xfId="740" xr:uid="{00000000-0005-0000-0000-0000F8040000}"/>
    <cellStyle name="標準 8 4 3" xfId="462" xr:uid="{00000000-0005-0000-0000-0000F9040000}"/>
    <cellStyle name="標準 8 4 4" xfId="392" xr:uid="{00000000-0005-0000-0000-0000FA040000}"/>
    <cellStyle name="標準 8 4 4 2" xfId="761" xr:uid="{00000000-0005-0000-0000-0000FB040000}"/>
    <cellStyle name="標準 8 4 5" xfId="351" xr:uid="{00000000-0005-0000-0000-0000FC040000}"/>
    <cellStyle name="標準 8 4 5 2" xfId="1045" xr:uid="{00000000-0005-0000-0000-0000FD040000}"/>
    <cellStyle name="標準 8 4 6" xfId="721" xr:uid="{00000000-0005-0000-0000-0000FE040000}"/>
    <cellStyle name="標準 8 5" xfId="318" xr:uid="{00000000-0005-0000-0000-0000FF040000}"/>
    <cellStyle name="標準 8 5 2" xfId="435" xr:uid="{00000000-0005-0000-0000-000000050000}"/>
    <cellStyle name="標準 8 5 3" xfId="364" xr:uid="{00000000-0005-0000-0000-000001050000}"/>
    <cellStyle name="標準 8 5 4" xfId="734" xr:uid="{00000000-0005-0000-0000-000002050000}"/>
    <cellStyle name="標準 8 6" xfId="383" xr:uid="{00000000-0005-0000-0000-000003050000}"/>
    <cellStyle name="標準 8 7" xfId="345" xr:uid="{00000000-0005-0000-0000-000004050000}"/>
    <cellStyle name="標準 8 8" xfId="715" xr:uid="{00000000-0005-0000-0000-000005050000}"/>
    <cellStyle name="標準 9" xfId="189" xr:uid="{00000000-0005-0000-0000-000006050000}"/>
    <cellStyle name="標準 9 2" xfId="310" xr:uid="{00000000-0005-0000-0000-000007050000}"/>
    <cellStyle name="標準 9 2 2" xfId="425" xr:uid="{00000000-0005-0000-0000-000008050000}"/>
    <cellStyle name="標準 9 2 3" xfId="407" xr:uid="{00000000-0005-0000-0000-000009050000}"/>
    <cellStyle name="標準 9 2 3 2" xfId="1058" xr:uid="{00000000-0005-0000-0000-00000A050000}"/>
    <cellStyle name="標準 9 2 3 3" xfId="774" xr:uid="{00000000-0005-0000-0000-00000B050000}"/>
    <cellStyle name="標準 9 2 4" xfId="464" xr:uid="{00000000-0005-0000-0000-00000C050000}"/>
    <cellStyle name="標準 9 3" xfId="284" xr:uid="{00000000-0005-0000-0000-00000D050000}"/>
    <cellStyle name="標準 9 3 2" xfId="422" xr:uid="{00000000-0005-0000-0000-00000E050000}"/>
    <cellStyle name="標準 9 3 3" xfId="409" xr:uid="{00000000-0005-0000-0000-00000F050000}"/>
    <cellStyle name="標準 9 3 4" xfId="478" xr:uid="{00000000-0005-0000-0000-000010050000}"/>
    <cellStyle name="標準 9 4" xfId="321" xr:uid="{00000000-0005-0000-0000-000011050000}"/>
    <cellStyle name="標準 9 4 2" xfId="463" xr:uid="{00000000-0005-0000-0000-000012050000}"/>
    <cellStyle name="標準 9 5" xfId="439" xr:uid="{00000000-0005-0000-0000-000013050000}"/>
    <cellStyle name="標準 9 6" xfId="436" xr:uid="{00000000-0005-0000-0000-000014050000}"/>
    <cellStyle name="標準 9 7" xfId="384" xr:uid="{00000000-0005-0000-0000-000015050000}"/>
    <cellStyle name="標準 9 7 2" xfId="753" xr:uid="{00000000-0005-0000-0000-000016050000}"/>
    <cellStyle name="標準 9 8" xfId="1037" xr:uid="{00000000-0005-0000-0000-000017050000}"/>
    <cellStyle name="標準_02_変更来歴例" xfId="177" xr:uid="{00000000-0005-0000-0000-000018050000}"/>
    <cellStyle name="標準_A00200 オーダー状況" xfId="178" xr:uid="{00000000-0005-0000-0000-000019050000}"/>
    <cellStyle name="標準_LogicCommon" xfId="179" xr:uid="{00000000-0005-0000-0000-00001A050000}"/>
    <cellStyle name="標準_Srch01" xfId="180" xr:uid="{00000000-0005-0000-0000-00001B050000}"/>
    <cellStyle name="標準_Srch01_1" xfId="181" xr:uid="{00000000-0005-0000-0000-00001C050000}"/>
    <cellStyle name="標準_変更来歴_1" xfId="182" xr:uid="{00000000-0005-0000-0000-00001D050000}"/>
    <cellStyle name="標準2" xfId="299" xr:uid="{00000000-0005-0000-0000-00001E050000}"/>
    <cellStyle name="標準２" xfId="300" xr:uid="{00000000-0005-0000-0000-00001F050000}"/>
    <cellStyle name="標準2_DAIICH" xfId="301" xr:uid="{00000000-0005-0000-0000-000020050000}"/>
    <cellStyle name="未定義" xfId="183" xr:uid="{00000000-0005-0000-0000-000021050000}"/>
    <cellStyle name="良い" xfId="184" builtinId="26" customBuiltin="1"/>
    <cellStyle name="良い 2" xfId="185" xr:uid="{00000000-0005-0000-0000-000023050000}"/>
    <cellStyle name="良い 3" xfId="186" xr:uid="{00000000-0005-0000-0000-000024050000}"/>
    <cellStyle name="良い 4" xfId="187" xr:uid="{00000000-0005-0000-0000-000025050000}"/>
    <cellStyle name="良い 5" xfId="267" xr:uid="{00000000-0005-0000-0000-000026050000}"/>
    <cellStyle name="良い 6" xfId="230" xr:uid="{00000000-0005-0000-0000-00002705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11</v>
      </c>
      <c r="C2" s="8" t="s">
        <v>92</v>
      </c>
      <c r="D2" s="7" t="s">
        <v>8</v>
      </c>
      <c r="E2" s="9" t="s">
        <v>100</v>
      </c>
      <c r="F2" s="7"/>
      <c r="G2" s="9" t="s">
        <v>6</v>
      </c>
      <c r="H2" s="7"/>
      <c r="I2" s="10"/>
    </row>
    <row r="3" spans="1:12">
      <c r="A3" s="11"/>
      <c r="B3" s="7" t="s">
        <v>12</v>
      </c>
      <c r="C3" s="12" t="s">
        <v>93</v>
      </c>
      <c r="D3" s="7" t="s">
        <v>9</v>
      </c>
      <c r="E3" s="9" t="s">
        <v>86</v>
      </c>
      <c r="F3" s="7"/>
      <c r="G3" s="9"/>
      <c r="H3" s="7"/>
      <c r="I3" s="9"/>
    </row>
    <row r="4" spans="1:12">
      <c r="A4" s="3"/>
      <c r="B4" s="7"/>
      <c r="C4" s="7"/>
      <c r="D4" s="7" t="s">
        <v>10</v>
      </c>
      <c r="E4" s="13" t="s">
        <v>87</v>
      </c>
      <c r="F4" s="7"/>
      <c r="G4" s="9" t="s">
        <v>346</v>
      </c>
      <c r="H4" s="14"/>
      <c r="I4" s="15"/>
    </row>
    <row r="5" spans="1:12">
      <c r="A5" s="6" t="s">
        <v>5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5"/>
    </row>
    <row r="8" spans="1:12">
      <c r="B8" s="4"/>
      <c r="I8" s="15"/>
    </row>
    <row r="9" spans="1:12">
      <c r="B9" s="4"/>
      <c r="I9" s="15"/>
      <c r="J9" s="4"/>
    </row>
    <row r="10" spans="1:12">
      <c r="B10" s="4"/>
      <c r="I10" s="15"/>
      <c r="J10" s="4"/>
    </row>
    <row r="11" spans="1:12">
      <c r="B11" s="4"/>
      <c r="I11" s="15"/>
      <c r="J11" s="4"/>
    </row>
    <row r="12" spans="1:12">
      <c r="B12" s="4"/>
      <c r="I12" s="15"/>
      <c r="J12" s="4"/>
    </row>
    <row r="13" spans="1:12">
      <c r="B13" s="4"/>
      <c r="I13" s="15"/>
      <c r="J13" s="4"/>
    </row>
    <row r="14" spans="1:12">
      <c r="B14" s="4"/>
      <c r="I14" s="15"/>
      <c r="J14" s="4"/>
    </row>
    <row r="15" spans="1:12">
      <c r="B15" s="4"/>
      <c r="I15" s="15"/>
      <c r="J15" s="4"/>
    </row>
    <row r="16" spans="1:12">
      <c r="B16" s="4"/>
      <c r="I16" s="15"/>
      <c r="J16" s="4"/>
    </row>
    <row r="17" spans="1:10">
      <c r="B17" s="4"/>
      <c r="I17" s="15"/>
      <c r="J17" s="4"/>
    </row>
    <row r="18" spans="1:10">
      <c r="B18" s="4"/>
      <c r="I18" s="15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7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AD52"/>
  <sheetViews>
    <sheetView topLeftCell="I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7.1796875" style="29" bestFit="1" customWidth="1"/>
    <col min="9" max="10" width="15.81640625" style="29" customWidth="1"/>
    <col min="11" max="11" width="16.90625" style="29" customWidth="1"/>
    <col min="12" max="12" width="16.363281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30.81640625" style="29" customWidth="1"/>
    <col min="21" max="21" width="20.1796875" style="27" bestFit="1" customWidth="1"/>
    <col min="22" max="22" width="15.81640625" style="29" customWidth="1"/>
    <col min="23" max="23" width="20.1796875" style="27" bestFit="1" customWidth="1"/>
    <col min="24" max="24" width="12.08984375" style="29" bestFit="1" customWidth="1"/>
    <col min="25" max="25" width="20.1796875" style="27" bestFit="1" customWidth="1"/>
    <col min="26" max="26" width="12.08984375" style="29" bestFit="1" customWidth="1"/>
    <col min="27" max="27" width="20.1796875" style="27" bestFit="1" customWidth="1"/>
    <col min="28" max="28" width="12.08984375" style="29" bestFit="1" customWidth="1"/>
    <col min="29" max="29" width="20.1796875" style="27" bestFit="1" customWidth="1"/>
    <col min="30" max="30" width="12.08984375" style="29" bestFit="1" customWidth="1"/>
    <col min="31" max="31" width="20.1796875" style="27" bestFit="1" customWidth="1"/>
    <col min="32" max="32" width="20.453125" style="27" bestFit="1" customWidth="1"/>
    <col min="33" max="33" width="9" style="27"/>
    <col min="34" max="34" width="13.90625" style="27" bestFit="1" customWidth="1"/>
    <col min="35" max="16384" width="9" style="27"/>
  </cols>
  <sheetData>
    <row r="1" spans="1:23" s="11" customFormat="1">
      <c r="A1" s="79" t="s">
        <v>222</v>
      </c>
      <c r="B1" s="79" t="s">
        <v>222</v>
      </c>
      <c r="C1" s="79"/>
      <c r="D1" s="1" t="s">
        <v>20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27"/>
      <c r="T1" s="4"/>
      <c r="U1" s="27"/>
      <c r="V1" s="4"/>
      <c r="W1" s="27"/>
    </row>
    <row r="2" spans="1:23" s="11" customFormat="1" ht="40" customHeight="1">
      <c r="A2" s="80" t="s">
        <v>222</v>
      </c>
      <c r="B2" s="81"/>
      <c r="C2" s="81"/>
      <c r="D2" s="91" t="s">
        <v>352</v>
      </c>
      <c r="E2" s="7" t="s">
        <v>11</v>
      </c>
      <c r="F2" s="82" t="str">
        <f>IF(LogicCommon!C2="","",LogicCommon!C2)</f>
        <v>MA</v>
      </c>
      <c r="G2" s="7" t="s">
        <v>8</v>
      </c>
      <c r="H2" s="82" t="str">
        <f>IF(LogicCommon!E2="","",LogicCommon!E2)</f>
        <v>MABGL0110</v>
      </c>
      <c r="I2" s="7" t="s">
        <v>262</v>
      </c>
      <c r="J2" s="9" t="s">
        <v>90</v>
      </c>
      <c r="K2" s="7" t="s">
        <v>221</v>
      </c>
      <c r="L2" s="82" t="str">
        <f>IF(LogicCommon!G2="","",LogicCommon!G2)</f>
        <v>MC</v>
      </c>
      <c r="M2" s="5" t="s">
        <v>263</v>
      </c>
      <c r="N2" s="28" t="str">
        <f>L4 &amp; ".Checker"</f>
        <v>MA.MAUDL5010.Checker</v>
      </c>
      <c r="O2" s="7"/>
      <c r="P2" s="7"/>
      <c r="Q2" s="4"/>
      <c r="R2" s="4"/>
      <c r="S2" s="27"/>
      <c r="T2" s="27"/>
      <c r="U2" s="27"/>
      <c r="V2" s="27"/>
      <c r="W2" s="27"/>
    </row>
    <row r="3" spans="1:23" s="11" customFormat="1">
      <c r="A3" s="83" t="s">
        <v>222</v>
      </c>
      <c r="B3" s="84"/>
      <c r="C3" s="84"/>
      <c r="D3" s="85" t="str">
        <f>IF(LogicCommon!A3="","",LogicCommon!A3)</f>
        <v/>
      </c>
      <c r="E3" s="7" t="s">
        <v>12</v>
      </c>
      <c r="F3" s="82" t="str">
        <f>IF(LogicCommon!C3="","",LogicCommon!C3)</f>
        <v>MABG</v>
      </c>
      <c r="G3" s="7" t="s">
        <v>9</v>
      </c>
      <c r="H3" s="82" t="str">
        <f>IF(LogicCommon!E3="","",LogicCommon!E3)</f>
        <v>MABGL_GrpPtn</v>
      </c>
      <c r="I3" s="7" t="s">
        <v>264</v>
      </c>
      <c r="J3" s="9" t="s">
        <v>74</v>
      </c>
      <c r="K3" s="7" t="s">
        <v>265</v>
      </c>
      <c r="L3" s="82" t="str">
        <f>IF(LogicCommon!G3="","",LogicCommon!G3)</f>
        <v/>
      </c>
      <c r="M3" s="86" t="s">
        <v>28</v>
      </c>
      <c r="N3" s="7"/>
      <c r="O3" s="7" t="s">
        <v>223</v>
      </c>
      <c r="P3" s="9" t="s">
        <v>266</v>
      </c>
      <c r="Q3" s="4"/>
      <c r="R3" s="4"/>
      <c r="S3" s="27"/>
      <c r="T3" s="27"/>
      <c r="U3" s="27"/>
      <c r="V3" s="27"/>
      <c r="W3" s="27"/>
    </row>
    <row r="4" spans="1:23" s="11" customFormat="1">
      <c r="A4" s="83" t="s">
        <v>222</v>
      </c>
      <c r="B4" s="84"/>
      <c r="C4" s="84"/>
      <c r="D4" s="4"/>
      <c r="E4" s="7" t="s">
        <v>7</v>
      </c>
      <c r="F4" s="10" t="s">
        <v>214</v>
      </c>
      <c r="G4" s="7" t="s">
        <v>10</v>
      </c>
      <c r="H4" s="82" t="str">
        <f>IF(LogicCommon!E4="","",LogicCommon!E4)</f>
        <v>計算グループパタンマスタ</v>
      </c>
      <c r="I4" s="7" t="s">
        <v>215</v>
      </c>
      <c r="J4" s="9" t="s">
        <v>213</v>
      </c>
      <c r="K4" s="7" t="s">
        <v>224</v>
      </c>
      <c r="L4" s="82" t="str">
        <f>IF(LogicCommon!G4="","",LogicCommon!G4)</f>
        <v>MA.MAUDL5010</v>
      </c>
      <c r="M4" s="87"/>
      <c r="N4" s="28"/>
      <c r="O4" s="14"/>
      <c r="P4" s="4"/>
      <c r="Q4" s="4"/>
      <c r="R4" s="4"/>
      <c r="S4" s="27"/>
      <c r="T4" s="4"/>
      <c r="U4" s="27"/>
      <c r="V4" s="4"/>
      <c r="W4" s="27"/>
    </row>
    <row r="5" spans="1:23" s="11" customFormat="1">
      <c r="A5" s="88" t="s">
        <v>222</v>
      </c>
      <c r="B5" s="79"/>
      <c r="C5" s="79"/>
      <c r="D5" s="26"/>
      <c r="E5" s="7" t="s">
        <v>225</v>
      </c>
      <c r="F5" s="10"/>
      <c r="G5" s="89"/>
      <c r="H5" s="89"/>
      <c r="I5" s="89"/>
      <c r="J5" s="89"/>
      <c r="K5" s="89"/>
      <c r="L5" s="6"/>
      <c r="M5" s="5"/>
      <c r="N5" s="5"/>
      <c r="O5" s="14"/>
      <c r="P5" s="4"/>
      <c r="Q5" s="4"/>
      <c r="R5" s="4"/>
      <c r="S5" s="27"/>
      <c r="T5" s="4"/>
      <c r="U5" s="27"/>
      <c r="V5" s="4"/>
      <c r="W5" s="27"/>
    </row>
    <row r="6" spans="1:23" s="11" customFormat="1">
      <c r="A6" s="83" t="s">
        <v>222</v>
      </c>
      <c r="B6" s="84"/>
      <c r="C6" s="84"/>
      <c r="D6" s="4" t="s">
        <v>5</v>
      </c>
      <c r="E6" s="16" t="s">
        <v>212</v>
      </c>
      <c r="F6" s="16"/>
      <c r="G6" s="16"/>
      <c r="H6" s="16"/>
      <c r="I6" s="16"/>
      <c r="J6" s="16"/>
      <c r="K6" s="16"/>
      <c r="L6" s="90"/>
      <c r="M6" s="19"/>
      <c r="N6" s="19"/>
      <c r="O6" s="19"/>
      <c r="P6" s="19"/>
      <c r="Q6" s="19"/>
      <c r="R6" s="3"/>
      <c r="S6" s="3" t="s">
        <v>261</v>
      </c>
      <c r="T6" s="4"/>
      <c r="U6" s="29"/>
      <c r="V6" s="29"/>
      <c r="W6" s="27"/>
    </row>
    <row r="7" spans="1:23" s="11" customFormat="1">
      <c r="A7" s="30" t="s">
        <v>16</v>
      </c>
      <c r="B7" s="30"/>
      <c r="C7" s="30"/>
      <c r="D7" s="31"/>
      <c r="E7" s="31"/>
      <c r="F7" s="31"/>
      <c r="G7" s="31"/>
      <c r="H7" s="31"/>
      <c r="I7" s="31" t="s">
        <v>31</v>
      </c>
      <c r="J7" s="31"/>
      <c r="K7" s="32" t="s">
        <v>75</v>
      </c>
      <c r="L7" s="32" t="s">
        <v>75</v>
      </c>
      <c r="M7" s="32" t="s">
        <v>170</v>
      </c>
      <c r="N7" s="32" t="s">
        <v>171</v>
      </c>
      <c r="O7" s="32" t="s">
        <v>170</v>
      </c>
      <c r="P7" s="32" t="s">
        <v>170</v>
      </c>
      <c r="Q7" s="32"/>
      <c r="R7" s="33" t="s">
        <v>60</v>
      </c>
      <c r="S7" s="32"/>
      <c r="T7" s="29"/>
      <c r="U7" s="29"/>
      <c r="V7" s="29"/>
      <c r="W7" s="29"/>
    </row>
    <row r="8" spans="1:23" s="11" customFormat="1" ht="60" customHeight="1">
      <c r="A8" s="50" t="s">
        <v>16</v>
      </c>
      <c r="B8" s="94"/>
      <c r="C8" s="95"/>
      <c r="D8" s="92" t="s">
        <v>353</v>
      </c>
      <c r="E8" s="92" t="s">
        <v>354</v>
      </c>
      <c r="F8" s="90"/>
      <c r="G8" s="92" t="s">
        <v>294</v>
      </c>
      <c r="H8" s="92" t="s">
        <v>355</v>
      </c>
      <c r="I8" s="90"/>
      <c r="J8" s="3"/>
      <c r="K8" s="34" t="s">
        <v>76</v>
      </c>
      <c r="L8" s="34" t="s">
        <v>161</v>
      </c>
      <c r="M8" s="34" t="s">
        <v>169</v>
      </c>
      <c r="N8" s="34" t="s">
        <v>172</v>
      </c>
      <c r="O8" s="9" t="s">
        <v>197</v>
      </c>
      <c r="P8" s="9" t="s">
        <v>198</v>
      </c>
      <c r="Q8" s="34"/>
      <c r="R8" s="33" t="s">
        <v>61</v>
      </c>
      <c r="S8" s="34"/>
      <c r="T8" s="96"/>
      <c r="U8" s="97"/>
      <c r="V8" s="98" t="s">
        <v>364</v>
      </c>
      <c r="W8" s="53"/>
    </row>
    <row r="9" spans="1:23" s="11" customFormat="1" ht="60" customHeight="1">
      <c r="A9" s="9" t="s">
        <v>16</v>
      </c>
      <c r="B9" s="37"/>
      <c r="C9" s="38"/>
      <c r="D9" s="92" t="s">
        <v>356</v>
      </c>
      <c r="E9" s="99" t="s">
        <v>357</v>
      </c>
      <c r="F9" s="92" t="s">
        <v>358</v>
      </c>
      <c r="G9" s="92" t="s">
        <v>359</v>
      </c>
      <c r="H9" s="92" t="s">
        <v>360</v>
      </c>
      <c r="I9" s="100" t="s">
        <v>361</v>
      </c>
      <c r="J9" s="92" t="s">
        <v>362</v>
      </c>
      <c r="K9" s="33"/>
      <c r="L9" s="33"/>
      <c r="M9" s="33"/>
      <c r="N9" s="33"/>
      <c r="O9" s="33"/>
      <c r="P9" s="33"/>
      <c r="Q9" s="33"/>
      <c r="R9" s="33"/>
      <c r="S9" s="33"/>
      <c r="T9" s="98" t="s">
        <v>363</v>
      </c>
      <c r="U9" s="53"/>
      <c r="V9" s="98" t="s">
        <v>365</v>
      </c>
      <c r="W9" s="53"/>
    </row>
    <row r="10" spans="1:23" s="11" customFormat="1" ht="52">
      <c r="A10" s="39" t="s">
        <v>16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33"/>
      <c r="M10" s="33"/>
      <c r="N10" s="33"/>
      <c r="O10" s="33"/>
      <c r="P10" s="33"/>
      <c r="Q10" s="33"/>
      <c r="R10" s="93" t="s">
        <v>361</v>
      </c>
      <c r="S10" s="93" t="s">
        <v>362</v>
      </c>
      <c r="T10" s="42"/>
      <c r="U10" s="42"/>
      <c r="V10" s="43"/>
      <c r="W10" s="36"/>
    </row>
    <row r="11" spans="1:23" s="11" customFormat="1">
      <c r="A11" s="9">
        <v>10</v>
      </c>
      <c r="B11" s="37" t="s">
        <v>0</v>
      </c>
      <c r="C11" s="38"/>
      <c r="D11" s="28" t="s">
        <v>94</v>
      </c>
      <c r="E11" s="44" t="s">
        <v>58</v>
      </c>
      <c r="F11" s="45"/>
      <c r="G11" s="28" t="s">
        <v>164</v>
      </c>
      <c r="H11" s="34" t="s">
        <v>350</v>
      </c>
      <c r="I11" s="46"/>
      <c r="J11" s="47"/>
      <c r="K11" s="48"/>
      <c r="L11" s="48"/>
      <c r="M11" s="77"/>
      <c r="N11" s="48"/>
      <c r="O11" s="48"/>
      <c r="P11" s="48"/>
      <c r="Q11" s="48"/>
      <c r="R11" s="48"/>
      <c r="S11" s="48"/>
      <c r="T11" s="35"/>
      <c r="U11" s="36"/>
      <c r="V11" s="74"/>
      <c r="W11" s="49"/>
    </row>
    <row r="12" spans="1:23" s="11" customFormat="1">
      <c r="A12" s="9">
        <v>10</v>
      </c>
      <c r="B12" s="9"/>
      <c r="C12" s="9"/>
      <c r="D12" s="9" t="s">
        <v>98</v>
      </c>
      <c r="E12" s="50" t="s">
        <v>107</v>
      </c>
      <c r="F12" s="50"/>
      <c r="G12" s="51" t="s">
        <v>366</v>
      </c>
      <c r="H12" s="51" t="s">
        <v>226</v>
      </c>
      <c r="I12" s="9" t="s">
        <v>227</v>
      </c>
      <c r="J12" s="9"/>
      <c r="K12" s="9" t="s">
        <v>267</v>
      </c>
      <c r="L12" s="9" t="s">
        <v>111</v>
      </c>
      <c r="M12" s="78"/>
      <c r="N12" s="9" t="s">
        <v>268</v>
      </c>
      <c r="O12" s="9"/>
      <c r="P12" s="9"/>
      <c r="Q12" s="9"/>
      <c r="R12" s="9"/>
      <c r="S12" s="9"/>
      <c r="T12" s="52"/>
      <c r="U12" s="53"/>
      <c r="V12" s="74"/>
      <c r="W12" s="75"/>
    </row>
    <row r="13" spans="1:23" s="11" customFormat="1">
      <c r="A13" s="9">
        <v>10</v>
      </c>
      <c r="B13" s="9"/>
      <c r="C13" s="9"/>
      <c r="D13" s="9" t="s">
        <v>99</v>
      </c>
      <c r="E13" s="50" t="s">
        <v>109</v>
      </c>
      <c r="F13" s="50"/>
      <c r="G13" s="51" t="s">
        <v>367</v>
      </c>
      <c r="H13" s="51" t="s">
        <v>269</v>
      </c>
      <c r="I13" s="9" t="s">
        <v>227</v>
      </c>
      <c r="J13" s="9"/>
      <c r="K13" s="9" t="s">
        <v>267</v>
      </c>
      <c r="L13" s="9" t="s">
        <v>111</v>
      </c>
      <c r="M13" s="78"/>
      <c r="N13" s="9" t="s">
        <v>270</v>
      </c>
      <c r="O13" s="9"/>
      <c r="P13" s="9"/>
      <c r="Q13" s="9"/>
      <c r="R13" s="9"/>
      <c r="S13" s="9"/>
      <c r="T13" s="52"/>
      <c r="U13" s="53"/>
      <c r="V13" s="74"/>
      <c r="W13" s="75"/>
    </row>
    <row r="14" spans="1:23" s="11" customFormat="1">
      <c r="A14" s="9">
        <v>10</v>
      </c>
      <c r="B14" s="9"/>
      <c r="C14" s="9"/>
      <c r="D14" s="9" t="s">
        <v>199</v>
      </c>
      <c r="E14" s="50" t="s">
        <v>201</v>
      </c>
      <c r="F14" s="50"/>
      <c r="G14" s="51" t="s">
        <v>368</v>
      </c>
      <c r="H14" s="51" t="s">
        <v>271</v>
      </c>
      <c r="I14" s="9" t="s">
        <v>227</v>
      </c>
      <c r="J14" s="9"/>
      <c r="K14" s="9"/>
      <c r="L14" s="9" t="s">
        <v>272</v>
      </c>
      <c r="M14" s="78"/>
      <c r="N14" s="9"/>
      <c r="O14" s="9"/>
      <c r="P14" s="9"/>
      <c r="Q14" s="9"/>
      <c r="R14" s="9"/>
      <c r="S14" s="9"/>
      <c r="T14" s="52"/>
      <c r="U14" s="53"/>
      <c r="V14" s="74"/>
      <c r="W14" s="75"/>
    </row>
    <row r="15" spans="1:23" s="11" customFormat="1">
      <c r="A15" s="9">
        <v>10</v>
      </c>
      <c r="B15" s="9"/>
      <c r="C15" s="9"/>
      <c r="D15" s="9" t="s">
        <v>112</v>
      </c>
      <c r="E15" s="50" t="s">
        <v>113</v>
      </c>
      <c r="F15" s="50"/>
      <c r="G15" s="51" t="s">
        <v>369</v>
      </c>
      <c r="H15" s="51" t="s">
        <v>273</v>
      </c>
      <c r="I15" s="9" t="s">
        <v>227</v>
      </c>
      <c r="J15" s="9"/>
      <c r="K15" s="9"/>
      <c r="L15" s="9" t="s">
        <v>256</v>
      </c>
      <c r="M15" s="78"/>
      <c r="N15" s="9"/>
      <c r="O15" s="9"/>
      <c r="P15" s="9"/>
      <c r="Q15" s="9"/>
      <c r="R15" s="9"/>
      <c r="S15" s="9"/>
      <c r="T15" s="52"/>
      <c r="U15" s="53"/>
      <c r="V15" s="74"/>
      <c r="W15" s="75"/>
    </row>
    <row r="16" spans="1:23" s="11" customFormat="1">
      <c r="A16" s="9">
        <v>10</v>
      </c>
      <c r="B16" s="9"/>
      <c r="C16" s="9"/>
      <c r="D16" s="9" t="s">
        <v>116</v>
      </c>
      <c r="E16" s="50" t="s">
        <v>117</v>
      </c>
      <c r="F16" s="50"/>
      <c r="G16" s="51" t="s">
        <v>370</v>
      </c>
      <c r="H16" s="51" t="s">
        <v>274</v>
      </c>
      <c r="I16" s="9" t="s">
        <v>227</v>
      </c>
      <c r="J16" s="9"/>
      <c r="K16" s="9"/>
      <c r="L16" s="9" t="s">
        <v>275</v>
      </c>
      <c r="M16" s="78"/>
      <c r="N16" s="9"/>
      <c r="O16" s="9"/>
      <c r="P16" s="9"/>
      <c r="Q16" s="9"/>
      <c r="R16" s="9"/>
      <c r="S16" s="9"/>
      <c r="T16" s="52"/>
      <c r="U16" s="53"/>
      <c r="V16" s="74"/>
      <c r="W16" s="75"/>
    </row>
    <row r="17" spans="1:23" s="11" customFormat="1">
      <c r="A17" s="9">
        <v>10</v>
      </c>
      <c r="B17" s="9"/>
      <c r="C17" s="9"/>
      <c r="D17" s="9" t="s">
        <v>173</v>
      </c>
      <c r="E17" s="50" t="s">
        <v>117</v>
      </c>
      <c r="F17" s="50"/>
      <c r="G17" s="51" t="s">
        <v>371</v>
      </c>
      <c r="H17" s="51" t="s">
        <v>276</v>
      </c>
      <c r="I17" s="9" t="s">
        <v>227</v>
      </c>
      <c r="J17" s="9"/>
      <c r="K17" s="9"/>
      <c r="L17" s="9" t="s">
        <v>275</v>
      </c>
      <c r="M17" s="78"/>
      <c r="N17" s="9"/>
      <c r="O17" s="9"/>
      <c r="P17" s="9"/>
      <c r="Q17" s="9"/>
      <c r="R17" s="9"/>
      <c r="S17" s="9"/>
      <c r="T17" s="52"/>
      <c r="U17" s="53"/>
      <c r="V17" s="74"/>
      <c r="W17" s="75"/>
    </row>
    <row r="18" spans="1:23" s="11" customFormat="1">
      <c r="A18" s="9">
        <v>10</v>
      </c>
      <c r="B18" s="9"/>
      <c r="C18" s="9"/>
      <c r="D18" s="9" t="s">
        <v>174</v>
      </c>
      <c r="E18" s="50" t="s">
        <v>117</v>
      </c>
      <c r="F18" s="50"/>
      <c r="G18" s="51" t="s">
        <v>372</v>
      </c>
      <c r="H18" s="51" t="s">
        <v>277</v>
      </c>
      <c r="I18" s="9" t="s">
        <v>227</v>
      </c>
      <c r="J18" s="9"/>
      <c r="K18" s="9"/>
      <c r="L18" s="9" t="s">
        <v>275</v>
      </c>
      <c r="M18" s="78"/>
      <c r="N18" s="9"/>
      <c r="O18" s="9"/>
      <c r="P18" s="9"/>
      <c r="Q18" s="9"/>
      <c r="R18" s="9"/>
      <c r="S18" s="9"/>
      <c r="T18" s="52"/>
      <c r="U18" s="53"/>
      <c r="V18" s="74"/>
      <c r="W18" s="75"/>
    </row>
    <row r="19" spans="1:23" s="11" customFormat="1">
      <c r="A19" s="9">
        <v>10</v>
      </c>
      <c r="B19" s="9"/>
      <c r="C19" s="9"/>
      <c r="D19" s="9" t="s">
        <v>175</v>
      </c>
      <c r="E19" s="50" t="s">
        <v>117</v>
      </c>
      <c r="F19" s="50"/>
      <c r="G19" s="51" t="s">
        <v>373</v>
      </c>
      <c r="H19" s="51" t="s">
        <v>250</v>
      </c>
      <c r="I19" s="9" t="s">
        <v>227</v>
      </c>
      <c r="J19" s="9"/>
      <c r="K19" s="9"/>
      <c r="L19" s="9" t="s">
        <v>275</v>
      </c>
      <c r="M19" s="78"/>
      <c r="N19" s="9"/>
      <c r="O19" s="9"/>
      <c r="P19" s="9"/>
      <c r="Q19" s="9"/>
      <c r="R19" s="9"/>
      <c r="S19" s="9"/>
      <c r="T19" s="52"/>
      <c r="U19" s="53"/>
      <c r="V19" s="74"/>
      <c r="W19" s="75"/>
    </row>
    <row r="20" spans="1:23" s="11" customFormat="1">
      <c r="A20" s="9">
        <v>10</v>
      </c>
      <c r="B20" s="9"/>
      <c r="C20" s="9"/>
      <c r="D20" s="9" t="s">
        <v>176</v>
      </c>
      <c r="E20" s="50" t="s">
        <v>117</v>
      </c>
      <c r="F20" s="50"/>
      <c r="G20" s="51" t="s">
        <v>374</v>
      </c>
      <c r="H20" s="51" t="s">
        <v>278</v>
      </c>
      <c r="I20" s="9" t="s">
        <v>227</v>
      </c>
      <c r="J20" s="9"/>
      <c r="K20" s="9"/>
      <c r="L20" s="9" t="s">
        <v>275</v>
      </c>
      <c r="M20" s="78"/>
      <c r="N20" s="9"/>
      <c r="O20" s="9"/>
      <c r="P20" s="9"/>
      <c r="Q20" s="9"/>
      <c r="R20" s="9"/>
      <c r="S20" s="9"/>
      <c r="T20" s="52"/>
      <c r="U20" s="53"/>
      <c r="V20" s="74"/>
      <c r="W20" s="75"/>
    </row>
    <row r="21" spans="1:23" s="11" customFormat="1">
      <c r="A21" s="9">
        <v>10</v>
      </c>
      <c r="B21" s="9"/>
      <c r="C21" s="9"/>
      <c r="D21" s="9" t="s">
        <v>177</v>
      </c>
      <c r="E21" s="50" t="s">
        <v>117</v>
      </c>
      <c r="F21" s="50"/>
      <c r="G21" s="51" t="s">
        <v>375</v>
      </c>
      <c r="H21" s="51" t="s">
        <v>228</v>
      </c>
      <c r="I21" s="9" t="s">
        <v>227</v>
      </c>
      <c r="J21" s="9"/>
      <c r="K21" s="9"/>
      <c r="L21" s="9" t="s">
        <v>275</v>
      </c>
      <c r="M21" s="78"/>
      <c r="N21" s="9"/>
      <c r="O21" s="9"/>
      <c r="P21" s="9"/>
      <c r="Q21" s="9"/>
      <c r="R21" s="9"/>
      <c r="S21" s="9"/>
      <c r="T21" s="52"/>
      <c r="U21" s="53"/>
      <c r="V21" s="74"/>
      <c r="W21" s="75"/>
    </row>
    <row r="22" spans="1:23" s="11" customFormat="1">
      <c r="A22" s="9">
        <v>10</v>
      </c>
      <c r="B22" s="9"/>
      <c r="C22" s="9"/>
      <c r="D22" s="9" t="s">
        <v>178</v>
      </c>
      <c r="E22" s="50" t="s">
        <v>117</v>
      </c>
      <c r="F22" s="50"/>
      <c r="G22" s="51" t="s">
        <v>376</v>
      </c>
      <c r="H22" s="51" t="s">
        <v>229</v>
      </c>
      <c r="I22" s="9" t="s">
        <v>227</v>
      </c>
      <c r="J22" s="9"/>
      <c r="K22" s="9"/>
      <c r="L22" s="9" t="s">
        <v>275</v>
      </c>
      <c r="M22" s="78"/>
      <c r="N22" s="9"/>
      <c r="O22" s="9"/>
      <c r="P22" s="9"/>
      <c r="Q22" s="9"/>
      <c r="R22" s="9"/>
      <c r="S22" s="9"/>
      <c r="T22" s="52"/>
      <c r="U22" s="53"/>
      <c r="V22" s="74"/>
      <c r="W22" s="75"/>
    </row>
    <row r="23" spans="1:23" s="11" customFormat="1">
      <c r="A23" s="9">
        <v>10</v>
      </c>
      <c r="B23" s="9"/>
      <c r="C23" s="9"/>
      <c r="D23" s="9" t="s">
        <v>179</v>
      </c>
      <c r="E23" s="50" t="s">
        <v>120</v>
      </c>
      <c r="F23" s="50"/>
      <c r="G23" s="51" t="s">
        <v>377</v>
      </c>
      <c r="H23" s="51" t="s">
        <v>279</v>
      </c>
      <c r="I23" s="9" t="s">
        <v>227</v>
      </c>
      <c r="J23" s="9"/>
      <c r="K23" s="9"/>
      <c r="L23" s="9" t="s">
        <v>280</v>
      </c>
      <c r="M23" s="78"/>
      <c r="N23" s="9"/>
      <c r="O23" s="9"/>
      <c r="P23" s="9"/>
      <c r="Q23" s="9"/>
      <c r="R23" s="9"/>
      <c r="S23" s="9"/>
      <c r="T23" s="52"/>
      <c r="U23" s="53"/>
      <c r="V23" s="74"/>
      <c r="W23" s="75"/>
    </row>
    <row r="24" spans="1:23" s="11" customFormat="1">
      <c r="A24" s="9">
        <v>10</v>
      </c>
      <c r="B24" s="9"/>
      <c r="C24" s="9"/>
      <c r="D24" s="9" t="s">
        <v>180</v>
      </c>
      <c r="E24" s="50" t="s">
        <v>120</v>
      </c>
      <c r="F24" s="50"/>
      <c r="G24" s="51" t="s">
        <v>378</v>
      </c>
      <c r="H24" s="51" t="s">
        <v>230</v>
      </c>
      <c r="I24" s="9" t="s">
        <v>227</v>
      </c>
      <c r="J24" s="9"/>
      <c r="K24" s="9"/>
      <c r="L24" s="9" t="s">
        <v>280</v>
      </c>
      <c r="M24" s="78"/>
      <c r="N24" s="9"/>
      <c r="O24" s="9"/>
      <c r="P24" s="9"/>
      <c r="Q24" s="9"/>
      <c r="R24" s="9"/>
      <c r="S24" s="9"/>
      <c r="T24" s="52"/>
      <c r="U24" s="53"/>
      <c r="V24" s="74"/>
      <c r="W24" s="75"/>
    </row>
    <row r="25" spans="1:23" s="11" customFormat="1">
      <c r="A25" s="9">
        <v>10</v>
      </c>
      <c r="B25" s="9"/>
      <c r="C25" s="9"/>
      <c r="D25" s="9" t="s">
        <v>181</v>
      </c>
      <c r="E25" s="50" t="s">
        <v>120</v>
      </c>
      <c r="F25" s="50"/>
      <c r="G25" s="51" t="s">
        <v>379</v>
      </c>
      <c r="H25" s="51" t="s">
        <v>281</v>
      </c>
      <c r="I25" s="9" t="s">
        <v>227</v>
      </c>
      <c r="J25" s="9"/>
      <c r="K25" s="9"/>
      <c r="L25" s="9" t="s">
        <v>280</v>
      </c>
      <c r="M25" s="78"/>
      <c r="N25" s="9"/>
      <c r="O25" s="9"/>
      <c r="P25" s="9"/>
      <c r="Q25" s="9"/>
      <c r="R25" s="9"/>
      <c r="S25" s="9"/>
      <c r="T25" s="52"/>
      <c r="U25" s="53"/>
      <c r="V25" s="74"/>
      <c r="W25" s="75"/>
    </row>
    <row r="26" spans="1:23" s="11" customFormat="1">
      <c r="A26" s="9">
        <v>10</v>
      </c>
      <c r="B26" s="9"/>
      <c r="C26" s="9"/>
      <c r="D26" s="9" t="s">
        <v>182</v>
      </c>
      <c r="E26" s="50" t="s">
        <v>120</v>
      </c>
      <c r="F26" s="50"/>
      <c r="G26" s="51" t="s">
        <v>380</v>
      </c>
      <c r="H26" s="51" t="s">
        <v>231</v>
      </c>
      <c r="I26" s="9" t="s">
        <v>227</v>
      </c>
      <c r="J26" s="9"/>
      <c r="K26" s="9"/>
      <c r="L26" s="9" t="s">
        <v>280</v>
      </c>
      <c r="M26" s="78"/>
      <c r="N26" s="9"/>
      <c r="O26" s="9"/>
      <c r="P26" s="9"/>
      <c r="Q26" s="9"/>
      <c r="R26" s="9"/>
      <c r="S26" s="9"/>
      <c r="T26" s="52"/>
      <c r="U26" s="53"/>
      <c r="V26" s="74"/>
      <c r="W26" s="75"/>
    </row>
    <row r="27" spans="1:23" s="11" customFormat="1">
      <c r="A27" s="9">
        <v>10</v>
      </c>
      <c r="B27" s="9"/>
      <c r="C27" s="9"/>
      <c r="D27" s="9" t="s">
        <v>183</v>
      </c>
      <c r="E27" s="50" t="s">
        <v>120</v>
      </c>
      <c r="F27" s="50"/>
      <c r="G27" s="51" t="s">
        <v>381</v>
      </c>
      <c r="H27" s="51" t="s">
        <v>232</v>
      </c>
      <c r="I27" s="9" t="s">
        <v>227</v>
      </c>
      <c r="J27" s="9"/>
      <c r="K27" s="9"/>
      <c r="L27" s="9" t="s">
        <v>280</v>
      </c>
      <c r="M27" s="78"/>
      <c r="N27" s="9"/>
      <c r="O27" s="9"/>
      <c r="P27" s="9"/>
      <c r="Q27" s="9"/>
      <c r="R27" s="9"/>
      <c r="S27" s="9"/>
      <c r="T27" s="52"/>
      <c r="U27" s="53"/>
      <c r="V27" s="74"/>
      <c r="W27" s="75"/>
    </row>
    <row r="28" spans="1:23" s="11" customFormat="1">
      <c r="A28" s="9">
        <v>10</v>
      </c>
      <c r="B28" s="9"/>
      <c r="C28" s="9"/>
      <c r="D28" s="9" t="s">
        <v>184</v>
      </c>
      <c r="E28" s="50" t="s">
        <v>120</v>
      </c>
      <c r="F28" s="50"/>
      <c r="G28" s="51" t="s">
        <v>382</v>
      </c>
      <c r="H28" s="51" t="s">
        <v>233</v>
      </c>
      <c r="I28" s="9" t="s">
        <v>227</v>
      </c>
      <c r="J28" s="9"/>
      <c r="K28" s="9"/>
      <c r="L28" s="9" t="s">
        <v>280</v>
      </c>
      <c r="M28" s="78"/>
      <c r="N28" s="9"/>
      <c r="O28" s="9"/>
      <c r="P28" s="9"/>
      <c r="Q28" s="9"/>
      <c r="R28" s="9"/>
      <c r="S28" s="9"/>
      <c r="T28" s="52"/>
      <c r="U28" s="53"/>
      <c r="V28" s="74"/>
      <c r="W28" s="75"/>
    </row>
    <row r="29" spans="1:23" s="11" customFormat="1">
      <c r="A29" s="9">
        <v>10</v>
      </c>
      <c r="B29" s="9"/>
      <c r="C29" s="9"/>
      <c r="D29" s="9" t="s">
        <v>122</v>
      </c>
      <c r="E29" s="50" t="s">
        <v>123</v>
      </c>
      <c r="F29" s="50"/>
      <c r="G29" s="51" t="s">
        <v>383</v>
      </c>
      <c r="H29" s="51" t="s">
        <v>234</v>
      </c>
      <c r="I29" s="9" t="s">
        <v>227</v>
      </c>
      <c r="J29" s="9"/>
      <c r="K29" s="9"/>
      <c r="L29" s="9" t="s">
        <v>282</v>
      </c>
      <c r="M29" s="78"/>
      <c r="N29" s="9"/>
      <c r="O29" s="9"/>
      <c r="P29" s="9"/>
      <c r="Q29" s="9"/>
      <c r="R29" s="9"/>
      <c r="S29" s="9"/>
      <c r="T29" s="52"/>
      <c r="U29" s="53"/>
      <c r="V29" s="74"/>
      <c r="W29" s="75"/>
    </row>
    <row r="30" spans="1:23" s="11" customFormat="1" ht="26">
      <c r="A30" s="9">
        <v>10</v>
      </c>
      <c r="B30" s="9"/>
      <c r="C30" s="9"/>
      <c r="D30" s="9" t="s">
        <v>126</v>
      </c>
      <c r="E30" s="50" t="s">
        <v>127</v>
      </c>
      <c r="F30" s="50"/>
      <c r="G30" s="51" t="s">
        <v>384</v>
      </c>
      <c r="H30" s="51" t="s">
        <v>283</v>
      </c>
      <c r="I30" s="9" t="s">
        <v>227</v>
      </c>
      <c r="J30" s="9"/>
      <c r="K30" s="9"/>
      <c r="L30" s="9" t="s">
        <v>111</v>
      </c>
      <c r="M30" s="78" t="s">
        <v>260</v>
      </c>
      <c r="N30" s="9"/>
      <c r="O30" s="9"/>
      <c r="P30" s="9"/>
      <c r="Q30" s="9"/>
      <c r="R30" s="9"/>
      <c r="S30" s="9"/>
      <c r="T30" s="52"/>
      <c r="U30" s="53"/>
      <c r="V30" s="74"/>
      <c r="W30" s="75"/>
    </row>
    <row r="31" spans="1:23" s="11" customFormat="1">
      <c r="A31" s="9">
        <v>10</v>
      </c>
      <c r="B31" s="9"/>
      <c r="C31" s="9"/>
      <c r="D31" s="9" t="s">
        <v>128</v>
      </c>
      <c r="E31" s="50" t="s">
        <v>123</v>
      </c>
      <c r="F31" s="50"/>
      <c r="G31" s="51" t="s">
        <v>385</v>
      </c>
      <c r="H31" s="51" t="s">
        <v>235</v>
      </c>
      <c r="I31" s="9" t="s">
        <v>227</v>
      </c>
      <c r="J31" s="9"/>
      <c r="K31" s="9"/>
      <c r="L31" s="9" t="s">
        <v>282</v>
      </c>
      <c r="M31" s="78"/>
      <c r="N31" s="9"/>
      <c r="O31" s="9"/>
      <c r="P31" s="9"/>
      <c r="Q31" s="9"/>
      <c r="R31" s="9"/>
      <c r="S31" s="9"/>
      <c r="T31" s="52"/>
      <c r="U31" s="53"/>
      <c r="V31" s="74"/>
      <c r="W31" s="75"/>
    </row>
    <row r="32" spans="1:23" s="11" customFormat="1" ht="26">
      <c r="A32" s="9">
        <v>10</v>
      </c>
      <c r="B32" s="9"/>
      <c r="C32" s="9"/>
      <c r="D32" s="9" t="s">
        <v>130</v>
      </c>
      <c r="E32" s="50" t="s">
        <v>127</v>
      </c>
      <c r="F32" s="50"/>
      <c r="G32" s="51" t="s">
        <v>386</v>
      </c>
      <c r="H32" s="51" t="s">
        <v>236</v>
      </c>
      <c r="I32" s="9" t="s">
        <v>227</v>
      </c>
      <c r="J32" s="9"/>
      <c r="K32" s="9"/>
      <c r="L32" s="9" t="s">
        <v>111</v>
      </c>
      <c r="M32" s="78" t="s">
        <v>260</v>
      </c>
      <c r="N32" s="9"/>
      <c r="O32" s="9"/>
      <c r="P32" s="9"/>
      <c r="Q32" s="9"/>
      <c r="R32" s="9"/>
      <c r="S32" s="9"/>
      <c r="T32" s="52"/>
      <c r="U32" s="53"/>
      <c r="V32" s="74"/>
      <c r="W32" s="75"/>
    </row>
    <row r="33" spans="1:23" s="11" customFormat="1">
      <c r="A33" s="9">
        <v>10</v>
      </c>
      <c r="B33" s="9"/>
      <c r="C33" s="9"/>
      <c r="D33" s="9" t="s">
        <v>131</v>
      </c>
      <c r="E33" s="50" t="s">
        <v>132</v>
      </c>
      <c r="F33" s="50"/>
      <c r="G33" s="51" t="s">
        <v>387</v>
      </c>
      <c r="H33" s="51" t="s">
        <v>237</v>
      </c>
      <c r="I33" s="9" t="s">
        <v>227</v>
      </c>
      <c r="J33" s="9"/>
      <c r="K33" s="9"/>
      <c r="L33" s="9" t="s">
        <v>284</v>
      </c>
      <c r="M33" s="78"/>
      <c r="N33" s="9"/>
      <c r="O33" s="9"/>
      <c r="P33" s="9"/>
      <c r="Q33" s="9"/>
      <c r="R33" s="9"/>
      <c r="S33" s="9"/>
      <c r="T33" s="52"/>
      <c r="U33" s="53"/>
      <c r="V33" s="74"/>
      <c r="W33" s="75"/>
    </row>
    <row r="34" spans="1:23" s="11" customFormat="1">
      <c r="A34" s="9">
        <v>10</v>
      </c>
      <c r="B34" s="9"/>
      <c r="C34" s="9"/>
      <c r="D34" s="9" t="s">
        <v>135</v>
      </c>
      <c r="E34" s="50" t="s">
        <v>136</v>
      </c>
      <c r="F34" s="50"/>
      <c r="G34" s="51" t="s">
        <v>388</v>
      </c>
      <c r="H34" s="51" t="s">
        <v>238</v>
      </c>
      <c r="I34" s="9" t="s">
        <v>227</v>
      </c>
      <c r="J34" s="9"/>
      <c r="K34" s="9"/>
      <c r="L34" s="9" t="s">
        <v>239</v>
      </c>
      <c r="M34" s="78"/>
      <c r="N34" s="9"/>
      <c r="O34" s="9"/>
      <c r="P34" s="9"/>
      <c r="Q34" s="9"/>
      <c r="R34" s="9"/>
      <c r="S34" s="9"/>
      <c r="T34" s="52"/>
      <c r="U34" s="53"/>
      <c r="V34" s="74"/>
      <c r="W34" s="75"/>
    </row>
    <row r="35" spans="1:23" s="11" customFormat="1">
      <c r="A35" s="9">
        <v>10</v>
      </c>
      <c r="B35" s="9"/>
      <c r="C35" s="9"/>
      <c r="D35" s="9" t="s">
        <v>139</v>
      </c>
      <c r="E35" s="50" t="s">
        <v>140</v>
      </c>
      <c r="F35" s="50"/>
      <c r="G35" s="51" t="s">
        <v>389</v>
      </c>
      <c r="H35" s="51" t="s">
        <v>285</v>
      </c>
      <c r="I35" s="9" t="s">
        <v>227</v>
      </c>
      <c r="J35" s="9"/>
      <c r="K35" s="9"/>
      <c r="L35" s="9" t="s">
        <v>240</v>
      </c>
      <c r="M35" s="78"/>
      <c r="N35" s="9"/>
      <c r="O35" s="9"/>
      <c r="P35" s="9"/>
      <c r="Q35" s="9"/>
      <c r="R35" s="9"/>
      <c r="S35" s="9"/>
      <c r="T35" s="52"/>
      <c r="U35" s="53"/>
      <c r="V35" s="74"/>
      <c r="W35" s="75"/>
    </row>
    <row r="36" spans="1:23" s="11" customFormat="1">
      <c r="A36" s="9">
        <v>10</v>
      </c>
      <c r="B36" s="9"/>
      <c r="C36" s="9"/>
      <c r="D36" s="9" t="s">
        <v>143</v>
      </c>
      <c r="E36" s="50" t="s">
        <v>144</v>
      </c>
      <c r="F36" s="50"/>
      <c r="G36" s="51" t="s">
        <v>390</v>
      </c>
      <c r="H36" s="51" t="s">
        <v>286</v>
      </c>
      <c r="I36" s="9" t="s">
        <v>227</v>
      </c>
      <c r="J36" s="9"/>
      <c r="K36" s="9"/>
      <c r="L36" s="9" t="s">
        <v>111</v>
      </c>
      <c r="M36" s="78"/>
      <c r="N36" s="9" t="s">
        <v>241</v>
      </c>
      <c r="O36" s="9" t="s">
        <v>245</v>
      </c>
      <c r="P36" s="9" t="s">
        <v>246</v>
      </c>
      <c r="Q36" s="9"/>
      <c r="R36" s="9"/>
      <c r="S36" s="9"/>
      <c r="T36" s="52"/>
      <c r="U36" s="53"/>
      <c r="V36" s="74"/>
      <c r="W36" s="75"/>
    </row>
    <row r="37" spans="1:23" s="11" customFormat="1">
      <c r="A37" s="9">
        <v>10</v>
      </c>
      <c r="B37" s="9"/>
      <c r="C37" s="9"/>
      <c r="D37" s="9" t="s">
        <v>147</v>
      </c>
      <c r="E37" s="50" t="s">
        <v>144</v>
      </c>
      <c r="F37" s="50"/>
      <c r="G37" s="51" t="s">
        <v>391</v>
      </c>
      <c r="H37" s="51" t="s">
        <v>242</v>
      </c>
      <c r="I37" s="9" t="s">
        <v>227</v>
      </c>
      <c r="J37" s="9"/>
      <c r="K37" s="9"/>
      <c r="L37" s="9" t="s">
        <v>111</v>
      </c>
      <c r="M37" s="78"/>
      <c r="N37" s="9" t="s">
        <v>241</v>
      </c>
      <c r="O37" s="9" t="s">
        <v>245</v>
      </c>
      <c r="P37" s="9" t="s">
        <v>246</v>
      </c>
      <c r="Q37" s="9"/>
      <c r="R37" s="9"/>
      <c r="S37" s="9"/>
      <c r="T37" s="52"/>
      <c r="U37" s="53"/>
      <c r="V37" s="74"/>
      <c r="W37" s="75"/>
    </row>
    <row r="38" spans="1:23" s="11" customFormat="1">
      <c r="A38" s="9">
        <v>10</v>
      </c>
      <c r="B38" s="9"/>
      <c r="C38" s="9"/>
      <c r="D38" s="9" t="s">
        <v>149</v>
      </c>
      <c r="E38" s="50" t="s">
        <v>144</v>
      </c>
      <c r="F38" s="50"/>
      <c r="G38" s="51" t="s">
        <v>392</v>
      </c>
      <c r="H38" s="51" t="s">
        <v>243</v>
      </c>
      <c r="I38" s="9" t="s">
        <v>227</v>
      </c>
      <c r="J38" s="9"/>
      <c r="K38" s="9"/>
      <c r="L38" s="9" t="s">
        <v>111</v>
      </c>
      <c r="M38" s="78"/>
      <c r="N38" s="9" t="s">
        <v>241</v>
      </c>
      <c r="O38" s="9" t="s">
        <v>245</v>
      </c>
      <c r="P38" s="9" t="s">
        <v>246</v>
      </c>
      <c r="Q38" s="9"/>
      <c r="R38" s="9"/>
      <c r="S38" s="9"/>
      <c r="T38" s="52"/>
      <c r="U38" s="53"/>
      <c r="V38" s="74"/>
      <c r="W38" s="75"/>
    </row>
    <row r="39" spans="1:23" s="11" customFormat="1">
      <c r="A39" s="9">
        <v>10</v>
      </c>
      <c r="B39" s="9"/>
      <c r="C39" s="9"/>
      <c r="D39" s="9" t="s">
        <v>151</v>
      </c>
      <c r="E39" s="50" t="s">
        <v>144</v>
      </c>
      <c r="F39" s="50"/>
      <c r="G39" s="51" t="s">
        <v>393</v>
      </c>
      <c r="H39" s="51" t="s">
        <v>244</v>
      </c>
      <c r="I39" s="9" t="s">
        <v>227</v>
      </c>
      <c r="J39" s="9"/>
      <c r="K39" s="9"/>
      <c r="L39" s="9" t="s">
        <v>111</v>
      </c>
      <c r="M39" s="78"/>
      <c r="N39" s="9" t="s">
        <v>241</v>
      </c>
      <c r="O39" s="9" t="s">
        <v>245</v>
      </c>
      <c r="P39" s="9" t="s">
        <v>246</v>
      </c>
      <c r="Q39" s="9"/>
      <c r="R39" s="9"/>
      <c r="S39" s="9"/>
      <c r="T39" s="52"/>
      <c r="U39" s="53"/>
      <c r="V39" s="74"/>
      <c r="W39" s="75"/>
    </row>
    <row r="40" spans="1:23" s="11" customFormat="1">
      <c r="A40" s="9">
        <v>10</v>
      </c>
      <c r="B40" s="9"/>
      <c r="C40" s="9"/>
      <c r="D40" s="9" t="s">
        <v>153</v>
      </c>
      <c r="E40" s="50" t="s">
        <v>144</v>
      </c>
      <c r="F40" s="50"/>
      <c r="G40" s="51" t="s">
        <v>394</v>
      </c>
      <c r="H40" s="51" t="s">
        <v>287</v>
      </c>
      <c r="I40" s="9" t="s">
        <v>227</v>
      </c>
      <c r="J40" s="9"/>
      <c r="K40" s="9"/>
      <c r="L40" s="9" t="s">
        <v>111</v>
      </c>
      <c r="M40" s="78"/>
      <c r="N40" s="9" t="s">
        <v>241</v>
      </c>
      <c r="O40" s="9" t="s">
        <v>245</v>
      </c>
      <c r="P40" s="9" t="s">
        <v>246</v>
      </c>
      <c r="Q40" s="9"/>
      <c r="R40" s="9"/>
      <c r="S40" s="9"/>
      <c r="T40" s="52"/>
      <c r="U40" s="53"/>
      <c r="V40" s="74"/>
      <c r="W40" s="75"/>
    </row>
    <row r="41" spans="1:23" s="11" customFormat="1" ht="26">
      <c r="A41" s="9">
        <v>10</v>
      </c>
      <c r="B41" s="9"/>
      <c r="C41" s="9"/>
      <c r="D41" s="9" t="s">
        <v>155</v>
      </c>
      <c r="E41" s="50" t="s">
        <v>144</v>
      </c>
      <c r="F41" s="50"/>
      <c r="G41" s="51" t="s">
        <v>395</v>
      </c>
      <c r="H41" s="51" t="s">
        <v>288</v>
      </c>
      <c r="I41" s="9" t="s">
        <v>227</v>
      </c>
      <c r="J41" s="9"/>
      <c r="K41" s="9"/>
      <c r="L41" s="9" t="s">
        <v>111</v>
      </c>
      <c r="M41" s="78"/>
      <c r="N41" s="9" t="s">
        <v>241</v>
      </c>
      <c r="O41" s="9" t="s">
        <v>247</v>
      </c>
      <c r="P41" s="9" t="s">
        <v>246</v>
      </c>
      <c r="Q41" s="9"/>
      <c r="R41" s="9"/>
      <c r="S41" s="9"/>
      <c r="T41" s="52"/>
      <c r="U41" s="53"/>
      <c r="V41" s="74"/>
      <c r="W41" s="75"/>
    </row>
    <row r="42" spans="1:23" s="11" customFormat="1">
      <c r="A42" s="9">
        <v>10</v>
      </c>
      <c r="B42" s="9"/>
      <c r="C42" s="9"/>
      <c r="D42" s="9" t="s">
        <v>157</v>
      </c>
      <c r="E42" s="50" t="s">
        <v>158</v>
      </c>
      <c r="F42" s="50"/>
      <c r="G42" s="51" t="s">
        <v>396</v>
      </c>
      <c r="H42" s="51" t="s">
        <v>289</v>
      </c>
      <c r="I42" s="9" t="s">
        <v>227</v>
      </c>
      <c r="J42" s="9"/>
      <c r="K42" s="9"/>
      <c r="L42" s="9" t="s">
        <v>248</v>
      </c>
      <c r="M42" s="78"/>
      <c r="N42" s="9"/>
      <c r="O42" s="9"/>
      <c r="P42" s="9"/>
      <c r="Q42" s="9"/>
      <c r="R42" s="9"/>
      <c r="S42" s="9"/>
      <c r="T42" s="52"/>
      <c r="U42" s="53"/>
      <c r="V42" s="74"/>
      <c r="W42" s="75"/>
    </row>
    <row r="43" spans="1:23" s="11" customFormat="1">
      <c r="A43" s="9">
        <v>10</v>
      </c>
      <c r="B43" s="9"/>
      <c r="C43" s="9"/>
      <c r="D43" s="9" t="s">
        <v>38</v>
      </c>
      <c r="E43" s="50" t="s">
        <v>40</v>
      </c>
      <c r="F43" s="50"/>
      <c r="G43" s="51" t="s">
        <v>397</v>
      </c>
      <c r="H43" s="51" t="s">
        <v>290</v>
      </c>
      <c r="I43" s="9" t="s">
        <v>227</v>
      </c>
      <c r="J43" s="9"/>
      <c r="K43" s="9"/>
      <c r="L43" s="9" t="s">
        <v>111</v>
      </c>
      <c r="M43" s="78"/>
      <c r="N43" s="9"/>
      <c r="O43" s="9"/>
      <c r="P43" s="9"/>
      <c r="Q43" s="9"/>
      <c r="R43" s="9"/>
      <c r="S43" s="9"/>
      <c r="T43" s="52"/>
      <c r="U43" s="53"/>
      <c r="V43" s="74"/>
      <c r="W43" s="75"/>
    </row>
    <row r="44" spans="1:23" s="11" customFormat="1">
      <c r="A44" s="9">
        <v>10</v>
      </c>
      <c r="B44" s="9"/>
      <c r="C44" s="9"/>
      <c r="D44" s="9" t="s">
        <v>46</v>
      </c>
      <c r="E44" s="50" t="s">
        <v>47</v>
      </c>
      <c r="F44" s="50"/>
      <c r="G44" s="51" t="s">
        <v>398</v>
      </c>
      <c r="H44" s="51" t="s">
        <v>291</v>
      </c>
      <c r="I44" s="9" t="s">
        <v>227</v>
      </c>
      <c r="J44" s="9"/>
      <c r="K44" s="9"/>
      <c r="L44" s="9" t="s">
        <v>111</v>
      </c>
      <c r="M44" s="78"/>
      <c r="N44" s="9"/>
      <c r="O44" s="9"/>
      <c r="P44" s="9"/>
      <c r="Q44" s="9"/>
      <c r="R44" s="9"/>
      <c r="S44" s="9"/>
      <c r="T44" s="52"/>
      <c r="U44" s="53"/>
      <c r="V44" s="74"/>
      <c r="W44" s="75"/>
    </row>
    <row r="45" spans="1:23" s="11" customFormat="1">
      <c r="A45" s="9">
        <v>10</v>
      </c>
      <c r="B45" s="9"/>
      <c r="C45" s="9"/>
      <c r="D45" s="9" t="s">
        <v>42</v>
      </c>
      <c r="E45" s="50" t="s">
        <v>44</v>
      </c>
      <c r="F45" s="50"/>
      <c r="G45" s="51" t="s">
        <v>399</v>
      </c>
      <c r="H45" s="51" t="s">
        <v>292</v>
      </c>
      <c r="I45" s="9" t="s">
        <v>227</v>
      </c>
      <c r="J45" s="9"/>
      <c r="K45" s="9"/>
      <c r="L45" s="9" t="s">
        <v>111</v>
      </c>
      <c r="M45" s="78"/>
      <c r="N45" s="9"/>
      <c r="O45" s="9"/>
      <c r="P45" s="9"/>
      <c r="Q45" s="9"/>
      <c r="R45" s="9"/>
      <c r="S45" s="9"/>
      <c r="T45" s="52"/>
      <c r="U45" s="53"/>
      <c r="V45" s="74"/>
      <c r="W45" s="75"/>
    </row>
    <row r="46" spans="1:23" s="11" customFormat="1">
      <c r="A46" s="9">
        <v>10</v>
      </c>
      <c r="B46" s="9"/>
      <c r="C46" s="9"/>
      <c r="D46" s="9" t="s">
        <v>64</v>
      </c>
      <c r="E46" s="50" t="s">
        <v>48</v>
      </c>
      <c r="F46" s="50"/>
      <c r="G46" s="51" t="s">
        <v>400</v>
      </c>
      <c r="H46" s="51" t="s">
        <v>249</v>
      </c>
      <c r="I46" s="9" t="s">
        <v>227</v>
      </c>
      <c r="J46" s="9"/>
      <c r="K46" s="9"/>
      <c r="L46" s="9" t="s">
        <v>111</v>
      </c>
      <c r="M46" s="78"/>
      <c r="N46" s="9"/>
      <c r="O46" s="9"/>
      <c r="P46" s="9"/>
      <c r="Q46" s="9"/>
      <c r="R46" s="9"/>
      <c r="S46" s="9"/>
      <c r="T46" s="52"/>
      <c r="U46" s="53"/>
      <c r="V46" s="150"/>
      <c r="W46" s="151"/>
    </row>
    <row r="47" spans="1:23" s="11" customFormat="1">
      <c r="A47" s="9">
        <v>10</v>
      </c>
      <c r="B47" s="9"/>
      <c r="C47" s="9"/>
      <c r="D47" s="9" t="s">
        <v>77</v>
      </c>
      <c r="E47" s="50" t="s">
        <v>78</v>
      </c>
      <c r="F47" s="50"/>
      <c r="G47" s="51" t="s">
        <v>401</v>
      </c>
      <c r="H47" s="51" t="s">
        <v>293</v>
      </c>
      <c r="I47" s="9" t="s">
        <v>227</v>
      </c>
      <c r="J47" s="9"/>
      <c r="K47" s="9"/>
      <c r="L47" s="9" t="s">
        <v>111</v>
      </c>
      <c r="M47" s="78"/>
      <c r="N47" s="9"/>
      <c r="O47" s="9"/>
      <c r="P47" s="9"/>
      <c r="Q47" s="9"/>
      <c r="R47" s="9"/>
      <c r="S47" s="9"/>
      <c r="T47" s="52"/>
      <c r="U47" s="53"/>
      <c r="V47" s="150"/>
      <c r="W47" s="151"/>
    </row>
    <row r="48" spans="1:23" s="11" customFormat="1">
      <c r="A48" s="54"/>
      <c r="B48" s="55"/>
      <c r="C48" s="55"/>
      <c r="D48" s="27" t="s">
        <v>1</v>
      </c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4"/>
      <c r="U48" s="4"/>
      <c r="V48" s="6"/>
      <c r="W48" s="23"/>
    </row>
    <row r="49" spans="1:23" s="11" customFormat="1">
      <c r="A49" s="83"/>
      <c r="W49" s="56"/>
    </row>
    <row r="50" spans="1:23" s="11" customFormat="1">
      <c r="A50" s="83"/>
      <c r="W50" s="56"/>
    </row>
    <row r="51" spans="1:23" s="11" customFormat="1">
      <c r="A51" s="83"/>
      <c r="W51" s="56"/>
    </row>
    <row r="52" spans="1:23" s="11" customFormat="1">
      <c r="A52" s="88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20"/>
    </row>
  </sheetData>
  <dataConsolidate/>
  <mergeCells count="2">
    <mergeCell ref="V47:W47"/>
    <mergeCell ref="V46:W46"/>
  </mergeCells>
  <phoneticPr fontId="7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52"/>
  <sheetViews>
    <sheetView topLeftCell="H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9" t="s">
        <v>222</v>
      </c>
      <c r="B1" s="79" t="s">
        <v>222</v>
      </c>
      <c r="C1" s="79"/>
      <c r="D1" s="1" t="s">
        <v>20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80" t="s">
        <v>222</v>
      </c>
      <c r="B2" s="81"/>
      <c r="C2" s="81"/>
      <c r="D2" s="91" t="s">
        <v>352</v>
      </c>
      <c r="E2" s="7" t="s">
        <v>11</v>
      </c>
      <c r="F2" s="82" t="str">
        <f>IF(LogicCommon!C2="","",LogicCommon!C2)</f>
        <v>MA</v>
      </c>
      <c r="G2" s="7" t="s">
        <v>8</v>
      </c>
      <c r="H2" s="82" t="str">
        <f>IF(LogicCommon!E2="","",LogicCommon!E2)</f>
        <v>MABGL0110</v>
      </c>
      <c r="I2" s="7" t="s">
        <v>262</v>
      </c>
      <c r="J2" s="9" t="s">
        <v>91</v>
      </c>
      <c r="K2" s="7" t="s">
        <v>221</v>
      </c>
      <c r="L2" s="82" t="str">
        <f>IF(LogicCommon!G2="","",LogicCommon!G2)</f>
        <v>MC</v>
      </c>
      <c r="M2" s="5" t="s">
        <v>263</v>
      </c>
      <c r="N2" s="28" t="s">
        <v>347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83" t="s">
        <v>222</v>
      </c>
      <c r="B3" s="84"/>
      <c r="C3" s="84"/>
      <c r="D3" s="85" t="str">
        <f>IF(LogicCommon!A3="","",LogicCommon!A3)</f>
        <v/>
      </c>
      <c r="E3" s="7" t="s">
        <v>12</v>
      </c>
      <c r="F3" s="82" t="str">
        <f>IF(LogicCommon!C3="","",LogicCommon!C3)</f>
        <v>MABG</v>
      </c>
      <c r="G3" s="7" t="s">
        <v>9</v>
      </c>
      <c r="H3" s="82" t="str">
        <f>IF(LogicCommon!E3="","",LogicCommon!E3)</f>
        <v>MABGL_GrpPtn</v>
      </c>
      <c r="I3" s="7" t="s">
        <v>264</v>
      </c>
      <c r="J3" s="9" t="s">
        <v>27</v>
      </c>
      <c r="K3" s="7" t="s">
        <v>265</v>
      </c>
      <c r="L3" s="82" t="str">
        <f>IF(LogicCommon!G3="","",LogicCommon!G3)</f>
        <v/>
      </c>
      <c r="M3" s="86" t="s">
        <v>28</v>
      </c>
      <c r="N3" s="7"/>
      <c r="O3" s="7" t="s">
        <v>223</v>
      </c>
      <c r="P3" s="9" t="s">
        <v>266</v>
      </c>
      <c r="Q3" s="4"/>
      <c r="R3" s="27"/>
      <c r="S3" s="27"/>
      <c r="T3" s="27"/>
      <c r="U3" s="27"/>
      <c r="V3" s="27"/>
    </row>
    <row r="4" spans="1:22" s="11" customFormat="1">
      <c r="A4" s="83" t="s">
        <v>222</v>
      </c>
      <c r="B4" s="84"/>
      <c r="C4" s="84"/>
      <c r="D4" s="4"/>
      <c r="E4" s="7" t="s">
        <v>7</v>
      </c>
      <c r="F4" s="10" t="s">
        <v>214</v>
      </c>
      <c r="G4" s="7" t="s">
        <v>10</v>
      </c>
      <c r="H4" s="82" t="str">
        <f>IF(LogicCommon!E4="","",LogicCommon!E4)</f>
        <v>計算グループパタンマスタ</v>
      </c>
      <c r="I4" s="7" t="s">
        <v>215</v>
      </c>
      <c r="J4" s="9" t="s">
        <v>211</v>
      </c>
      <c r="K4" s="7" t="s">
        <v>224</v>
      </c>
      <c r="L4" s="82" t="str">
        <f>IF(LogicCommon!G4="","",LogicCommon!G4)</f>
        <v>MA.MAUDL5010</v>
      </c>
      <c r="M4" s="87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8" t="s">
        <v>222</v>
      </c>
      <c r="B5" s="79"/>
      <c r="C5" s="79"/>
      <c r="D5" s="26"/>
      <c r="E5" s="7" t="s">
        <v>225</v>
      </c>
      <c r="F5" s="10"/>
      <c r="G5" s="89"/>
      <c r="H5" s="89"/>
      <c r="I5" s="89"/>
      <c r="J5" s="89"/>
      <c r="K5" s="89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83" t="s">
        <v>222</v>
      </c>
      <c r="B6" s="84"/>
      <c r="C6" s="84"/>
      <c r="D6" s="4" t="s">
        <v>5</v>
      </c>
      <c r="E6" s="16" t="s">
        <v>210</v>
      </c>
      <c r="F6" s="16"/>
      <c r="G6" s="16"/>
      <c r="H6" s="16"/>
      <c r="I6" s="16"/>
      <c r="J6" s="16"/>
      <c r="K6" s="16"/>
      <c r="L6" s="90" t="s">
        <v>261</v>
      </c>
      <c r="M6" s="19"/>
      <c r="N6" s="19" t="s">
        <v>261</v>
      </c>
      <c r="O6" s="19"/>
      <c r="P6" s="19" t="s">
        <v>261</v>
      </c>
      <c r="Q6" s="19"/>
      <c r="R6" s="3" t="s">
        <v>261</v>
      </c>
      <c r="S6" s="4"/>
      <c r="T6" s="29"/>
      <c r="U6" s="29"/>
      <c r="V6" s="27"/>
    </row>
    <row r="7" spans="1:22" s="11" customFormat="1">
      <c r="A7" s="30" t="s">
        <v>16</v>
      </c>
      <c r="B7" s="30"/>
      <c r="C7" s="30"/>
      <c r="D7" s="31"/>
      <c r="E7" s="31"/>
      <c r="F7" s="31"/>
      <c r="G7" s="31"/>
      <c r="H7" s="31"/>
      <c r="I7" s="31" t="s">
        <v>31</v>
      </c>
      <c r="J7" s="31"/>
      <c r="K7" s="33" t="s">
        <v>32</v>
      </c>
      <c r="L7" s="32" t="s">
        <v>71</v>
      </c>
      <c r="M7" s="33" t="s">
        <v>60</v>
      </c>
      <c r="N7" s="32" t="s">
        <v>72</v>
      </c>
      <c r="O7" s="33" t="s">
        <v>60</v>
      </c>
      <c r="P7" s="32"/>
      <c r="Q7" s="33" t="s">
        <v>60</v>
      </c>
      <c r="R7" s="32"/>
      <c r="S7" s="29"/>
      <c r="T7" s="29"/>
      <c r="U7" s="29"/>
      <c r="V7" s="29"/>
    </row>
    <row r="8" spans="1:22" s="11" customFormat="1" ht="60" customHeight="1">
      <c r="A8" s="50" t="s">
        <v>16</v>
      </c>
      <c r="B8" s="94"/>
      <c r="C8" s="95"/>
      <c r="D8" s="92" t="s">
        <v>353</v>
      </c>
      <c r="E8" s="92" t="s">
        <v>354</v>
      </c>
      <c r="F8" s="90"/>
      <c r="G8" s="92" t="s">
        <v>294</v>
      </c>
      <c r="H8" s="92" t="s">
        <v>355</v>
      </c>
      <c r="I8" s="90"/>
      <c r="J8" s="3"/>
      <c r="K8" s="33" t="s">
        <v>15</v>
      </c>
      <c r="L8" s="34" t="s">
        <v>351</v>
      </c>
      <c r="M8" s="33" t="s">
        <v>61</v>
      </c>
      <c r="N8" s="34" t="s">
        <v>351</v>
      </c>
      <c r="O8" s="33" t="s">
        <v>61</v>
      </c>
      <c r="P8" s="34"/>
      <c r="Q8" s="33" t="s">
        <v>61</v>
      </c>
      <c r="R8" s="34"/>
      <c r="S8" s="96"/>
      <c r="T8" s="97"/>
      <c r="U8" s="98" t="s">
        <v>364</v>
      </c>
      <c r="V8" s="53"/>
    </row>
    <row r="9" spans="1:22" s="11" customFormat="1" ht="60" customHeight="1">
      <c r="A9" s="9" t="s">
        <v>16</v>
      </c>
      <c r="B9" s="37"/>
      <c r="C9" s="38"/>
      <c r="D9" s="92" t="s">
        <v>356</v>
      </c>
      <c r="E9" s="99" t="s">
        <v>357</v>
      </c>
      <c r="F9" s="92" t="s">
        <v>358</v>
      </c>
      <c r="G9" s="92" t="s">
        <v>359</v>
      </c>
      <c r="H9" s="92" t="s">
        <v>360</v>
      </c>
      <c r="I9" s="100" t="s">
        <v>361</v>
      </c>
      <c r="J9" s="92" t="s">
        <v>362</v>
      </c>
      <c r="K9" s="33"/>
      <c r="L9" s="33"/>
      <c r="M9" s="33"/>
      <c r="N9" s="33"/>
      <c r="O9" s="33"/>
      <c r="P9" s="33"/>
      <c r="Q9" s="33"/>
      <c r="R9" s="33"/>
      <c r="S9" s="98" t="s">
        <v>363</v>
      </c>
      <c r="T9" s="53"/>
      <c r="U9" s="98" t="s">
        <v>365</v>
      </c>
      <c r="V9" s="53"/>
    </row>
    <row r="10" spans="1:22" s="11" customFormat="1" ht="52">
      <c r="A10" s="39" t="s">
        <v>16</v>
      </c>
      <c r="B10" s="40"/>
      <c r="C10" s="40"/>
      <c r="D10" s="41"/>
      <c r="E10" s="42"/>
      <c r="F10" s="42"/>
      <c r="G10" s="43"/>
      <c r="H10" s="43"/>
      <c r="I10" s="42"/>
      <c r="J10" s="42"/>
      <c r="K10" s="93" t="s">
        <v>361</v>
      </c>
      <c r="L10" s="93" t="s">
        <v>362</v>
      </c>
      <c r="M10" s="93" t="s">
        <v>361</v>
      </c>
      <c r="N10" s="93" t="s">
        <v>362</v>
      </c>
      <c r="O10" s="93" t="s">
        <v>361</v>
      </c>
      <c r="P10" s="93" t="s">
        <v>362</v>
      </c>
      <c r="Q10" s="93" t="s">
        <v>361</v>
      </c>
      <c r="R10" s="93" t="s">
        <v>362</v>
      </c>
      <c r="S10" s="42"/>
      <c r="T10" s="42"/>
      <c r="U10" s="43"/>
      <c r="V10" s="36"/>
    </row>
    <row r="11" spans="1:22" s="11" customFormat="1">
      <c r="A11" s="9">
        <v>10</v>
      </c>
      <c r="B11" s="37" t="s">
        <v>0</v>
      </c>
      <c r="C11" s="38"/>
      <c r="D11" s="28" t="s">
        <v>95</v>
      </c>
      <c r="E11" s="44" t="s">
        <v>20</v>
      </c>
      <c r="F11" s="45"/>
      <c r="G11" s="28" t="s">
        <v>73</v>
      </c>
      <c r="H11" s="57" t="s">
        <v>295</v>
      </c>
      <c r="I11" s="46"/>
      <c r="J11" s="47"/>
      <c r="K11" s="48" t="s">
        <v>20</v>
      </c>
      <c r="L11" s="48"/>
      <c r="M11" s="48" t="s">
        <v>296</v>
      </c>
      <c r="N11" s="48"/>
      <c r="O11" s="48"/>
      <c r="P11" s="48"/>
      <c r="Q11" s="48"/>
      <c r="R11" s="48"/>
      <c r="S11" s="35"/>
      <c r="T11" s="36"/>
      <c r="U11" s="74"/>
      <c r="V11" s="49"/>
    </row>
    <row r="12" spans="1:22" s="11" customFormat="1">
      <c r="A12" s="9">
        <v>10</v>
      </c>
      <c r="B12" s="9"/>
      <c r="C12" s="9"/>
      <c r="D12" s="9" t="s">
        <v>98</v>
      </c>
      <c r="E12" s="50" t="s">
        <v>107</v>
      </c>
      <c r="F12" s="50"/>
      <c r="G12" s="51" t="s">
        <v>366</v>
      </c>
      <c r="H12" s="51" t="s">
        <v>226</v>
      </c>
      <c r="I12" s="9" t="s">
        <v>227</v>
      </c>
      <c r="J12" s="9"/>
      <c r="K12" s="9" t="s">
        <v>267</v>
      </c>
      <c r="L12" s="9"/>
      <c r="M12" s="9" t="s">
        <v>267</v>
      </c>
      <c r="N12" s="9"/>
      <c r="O12" s="9"/>
      <c r="P12" s="9"/>
      <c r="Q12" s="9"/>
      <c r="R12" s="9"/>
      <c r="S12" s="41"/>
      <c r="T12" s="53"/>
      <c r="U12" s="74"/>
      <c r="V12" s="75"/>
    </row>
    <row r="13" spans="1:22" s="11" customFormat="1">
      <c r="A13" s="9">
        <v>10</v>
      </c>
      <c r="B13" s="9"/>
      <c r="C13" s="9"/>
      <c r="D13" s="9" t="s">
        <v>99</v>
      </c>
      <c r="E13" s="50" t="s">
        <v>109</v>
      </c>
      <c r="F13" s="50"/>
      <c r="G13" s="51" t="s">
        <v>367</v>
      </c>
      <c r="H13" s="51" t="s">
        <v>269</v>
      </c>
      <c r="I13" s="9" t="s">
        <v>227</v>
      </c>
      <c r="J13" s="9"/>
      <c r="K13" s="9" t="s">
        <v>267</v>
      </c>
      <c r="L13" s="9"/>
      <c r="M13" s="9" t="s">
        <v>267</v>
      </c>
      <c r="N13" s="9"/>
      <c r="O13" s="9"/>
      <c r="P13" s="9"/>
      <c r="Q13" s="9"/>
      <c r="R13" s="9"/>
      <c r="S13" s="41"/>
      <c r="T13" s="53"/>
      <c r="U13" s="74"/>
      <c r="V13" s="75"/>
    </row>
    <row r="14" spans="1:22" s="11" customFormat="1">
      <c r="A14" s="9">
        <v>10</v>
      </c>
      <c r="B14" s="9"/>
      <c r="C14" s="9"/>
      <c r="D14" s="9" t="s">
        <v>199</v>
      </c>
      <c r="E14" s="50" t="s">
        <v>201</v>
      </c>
      <c r="F14" s="50"/>
      <c r="G14" s="51" t="s">
        <v>368</v>
      </c>
      <c r="H14" s="51" t="s">
        <v>271</v>
      </c>
      <c r="I14" s="9" t="s">
        <v>227</v>
      </c>
      <c r="J14" s="9"/>
      <c r="K14" s="9" t="s">
        <v>267</v>
      </c>
      <c r="L14" s="9"/>
      <c r="M14" s="9"/>
      <c r="N14" s="9"/>
      <c r="O14" s="9"/>
      <c r="P14" s="9"/>
      <c r="Q14" s="9"/>
      <c r="R14" s="9"/>
      <c r="S14" s="41"/>
      <c r="T14" s="53"/>
      <c r="U14" s="74"/>
      <c r="V14" s="75"/>
    </row>
    <row r="15" spans="1:22" s="11" customFormat="1">
      <c r="A15" s="9">
        <v>10</v>
      </c>
      <c r="B15" s="9"/>
      <c r="C15" s="9"/>
      <c r="D15" s="9" t="s">
        <v>112</v>
      </c>
      <c r="E15" s="50" t="s">
        <v>113</v>
      </c>
      <c r="F15" s="50"/>
      <c r="G15" s="51" t="s">
        <v>369</v>
      </c>
      <c r="H15" s="51" t="s">
        <v>273</v>
      </c>
      <c r="I15" s="9" t="s">
        <v>227</v>
      </c>
      <c r="J15" s="9"/>
      <c r="K15" s="9" t="s">
        <v>267</v>
      </c>
      <c r="L15" s="9"/>
      <c r="M15" s="9"/>
      <c r="N15" s="9"/>
      <c r="O15" s="9"/>
      <c r="P15" s="9"/>
      <c r="Q15" s="9"/>
      <c r="R15" s="9"/>
      <c r="S15" s="41"/>
      <c r="T15" s="53"/>
      <c r="U15" s="74"/>
      <c r="V15" s="75"/>
    </row>
    <row r="16" spans="1:22" s="11" customFormat="1">
      <c r="A16" s="9">
        <v>10</v>
      </c>
      <c r="B16" s="9"/>
      <c r="C16" s="9"/>
      <c r="D16" s="9" t="s">
        <v>116</v>
      </c>
      <c r="E16" s="50" t="s">
        <v>117</v>
      </c>
      <c r="F16" s="50"/>
      <c r="G16" s="51" t="s">
        <v>370</v>
      </c>
      <c r="H16" s="51" t="s">
        <v>274</v>
      </c>
      <c r="I16" s="9" t="s">
        <v>227</v>
      </c>
      <c r="J16" s="9"/>
      <c r="K16" s="9" t="s">
        <v>267</v>
      </c>
      <c r="L16" s="9"/>
      <c r="M16" s="9"/>
      <c r="N16" s="9"/>
      <c r="O16" s="9"/>
      <c r="P16" s="9"/>
      <c r="Q16" s="9"/>
      <c r="R16" s="9"/>
      <c r="S16" s="41"/>
      <c r="T16" s="53"/>
      <c r="U16" s="74"/>
      <c r="V16" s="75"/>
    </row>
    <row r="17" spans="1:22" s="11" customFormat="1">
      <c r="A17" s="9">
        <v>10</v>
      </c>
      <c r="B17" s="9"/>
      <c r="C17" s="9"/>
      <c r="D17" s="9" t="s">
        <v>173</v>
      </c>
      <c r="E17" s="50" t="s">
        <v>117</v>
      </c>
      <c r="F17" s="50"/>
      <c r="G17" s="51" t="s">
        <v>371</v>
      </c>
      <c r="H17" s="51" t="s">
        <v>276</v>
      </c>
      <c r="I17" s="9" t="s">
        <v>227</v>
      </c>
      <c r="J17" s="9"/>
      <c r="K17" s="9" t="s">
        <v>267</v>
      </c>
      <c r="L17" s="9"/>
      <c r="M17" s="9"/>
      <c r="N17" s="9"/>
      <c r="O17" s="9"/>
      <c r="P17" s="9"/>
      <c r="Q17" s="9"/>
      <c r="R17" s="9"/>
      <c r="S17" s="41"/>
      <c r="T17" s="53"/>
      <c r="U17" s="74"/>
      <c r="V17" s="75"/>
    </row>
    <row r="18" spans="1:22" s="11" customFormat="1">
      <c r="A18" s="9">
        <v>10</v>
      </c>
      <c r="B18" s="9"/>
      <c r="C18" s="9"/>
      <c r="D18" s="9" t="s">
        <v>174</v>
      </c>
      <c r="E18" s="50" t="s">
        <v>117</v>
      </c>
      <c r="F18" s="50"/>
      <c r="G18" s="51" t="s">
        <v>372</v>
      </c>
      <c r="H18" s="51" t="s">
        <v>277</v>
      </c>
      <c r="I18" s="9" t="s">
        <v>227</v>
      </c>
      <c r="J18" s="9"/>
      <c r="K18" s="9" t="s">
        <v>267</v>
      </c>
      <c r="L18" s="9"/>
      <c r="M18" s="9"/>
      <c r="N18" s="9"/>
      <c r="O18" s="9"/>
      <c r="P18" s="9"/>
      <c r="Q18" s="9"/>
      <c r="R18" s="9"/>
      <c r="S18" s="41"/>
      <c r="T18" s="53"/>
      <c r="U18" s="74"/>
      <c r="V18" s="75"/>
    </row>
    <row r="19" spans="1:22" s="11" customFormat="1">
      <c r="A19" s="9">
        <v>10</v>
      </c>
      <c r="B19" s="9"/>
      <c r="C19" s="9"/>
      <c r="D19" s="9" t="s">
        <v>175</v>
      </c>
      <c r="E19" s="50" t="s">
        <v>117</v>
      </c>
      <c r="F19" s="50"/>
      <c r="G19" s="51" t="s">
        <v>373</v>
      </c>
      <c r="H19" s="51" t="s">
        <v>250</v>
      </c>
      <c r="I19" s="9" t="s">
        <v>227</v>
      </c>
      <c r="J19" s="9"/>
      <c r="K19" s="9" t="s">
        <v>267</v>
      </c>
      <c r="L19" s="9"/>
      <c r="M19" s="9"/>
      <c r="N19" s="9"/>
      <c r="O19" s="9"/>
      <c r="P19" s="9"/>
      <c r="Q19" s="9"/>
      <c r="R19" s="9"/>
      <c r="S19" s="41"/>
      <c r="T19" s="53"/>
      <c r="U19" s="74"/>
      <c r="V19" s="75"/>
    </row>
    <row r="20" spans="1:22" s="11" customFormat="1">
      <c r="A20" s="9">
        <v>10</v>
      </c>
      <c r="B20" s="9"/>
      <c r="C20" s="9"/>
      <c r="D20" s="9" t="s">
        <v>176</v>
      </c>
      <c r="E20" s="50" t="s">
        <v>117</v>
      </c>
      <c r="F20" s="50"/>
      <c r="G20" s="51" t="s">
        <v>374</v>
      </c>
      <c r="H20" s="51" t="s">
        <v>278</v>
      </c>
      <c r="I20" s="9" t="s">
        <v>227</v>
      </c>
      <c r="J20" s="9"/>
      <c r="K20" s="9" t="s">
        <v>267</v>
      </c>
      <c r="L20" s="9"/>
      <c r="M20" s="9"/>
      <c r="N20" s="9"/>
      <c r="O20" s="9"/>
      <c r="P20" s="9"/>
      <c r="Q20" s="9"/>
      <c r="R20" s="9"/>
      <c r="S20" s="41"/>
      <c r="T20" s="53"/>
      <c r="U20" s="74"/>
      <c r="V20" s="75"/>
    </row>
    <row r="21" spans="1:22" s="11" customFormat="1">
      <c r="A21" s="9">
        <v>10</v>
      </c>
      <c r="B21" s="9"/>
      <c r="C21" s="9"/>
      <c r="D21" s="9" t="s">
        <v>177</v>
      </c>
      <c r="E21" s="50" t="s">
        <v>117</v>
      </c>
      <c r="F21" s="50"/>
      <c r="G21" s="51" t="s">
        <v>375</v>
      </c>
      <c r="H21" s="51" t="s">
        <v>228</v>
      </c>
      <c r="I21" s="9" t="s">
        <v>227</v>
      </c>
      <c r="J21" s="9"/>
      <c r="K21" s="9" t="s">
        <v>267</v>
      </c>
      <c r="L21" s="9"/>
      <c r="M21" s="9"/>
      <c r="N21" s="9"/>
      <c r="O21" s="9"/>
      <c r="P21" s="9"/>
      <c r="Q21" s="9"/>
      <c r="R21" s="9"/>
      <c r="S21" s="41"/>
      <c r="T21" s="53"/>
      <c r="U21" s="74"/>
      <c r="V21" s="75"/>
    </row>
    <row r="22" spans="1:22" s="11" customFormat="1">
      <c r="A22" s="9">
        <v>10</v>
      </c>
      <c r="B22" s="9"/>
      <c r="C22" s="9"/>
      <c r="D22" s="9" t="s">
        <v>178</v>
      </c>
      <c r="E22" s="50" t="s">
        <v>117</v>
      </c>
      <c r="F22" s="50"/>
      <c r="G22" s="51" t="s">
        <v>376</v>
      </c>
      <c r="H22" s="51" t="s">
        <v>229</v>
      </c>
      <c r="I22" s="9" t="s">
        <v>227</v>
      </c>
      <c r="J22" s="9"/>
      <c r="K22" s="9" t="s">
        <v>267</v>
      </c>
      <c r="L22" s="9"/>
      <c r="M22" s="9"/>
      <c r="N22" s="9"/>
      <c r="O22" s="9"/>
      <c r="P22" s="9"/>
      <c r="Q22" s="9"/>
      <c r="R22" s="9"/>
      <c r="S22" s="41"/>
      <c r="T22" s="53"/>
      <c r="U22" s="74"/>
      <c r="V22" s="75"/>
    </row>
    <row r="23" spans="1:22" s="11" customFormat="1">
      <c r="A23" s="9">
        <v>10</v>
      </c>
      <c r="B23" s="9"/>
      <c r="C23" s="9"/>
      <c r="D23" s="9" t="s">
        <v>179</v>
      </c>
      <c r="E23" s="50" t="s">
        <v>117</v>
      </c>
      <c r="F23" s="50"/>
      <c r="G23" s="51" t="s">
        <v>377</v>
      </c>
      <c r="H23" s="51" t="s">
        <v>279</v>
      </c>
      <c r="I23" s="9" t="s">
        <v>227</v>
      </c>
      <c r="J23" s="9"/>
      <c r="K23" s="9" t="s">
        <v>267</v>
      </c>
      <c r="L23" s="9"/>
      <c r="M23" s="9"/>
      <c r="N23" s="9"/>
      <c r="O23" s="9"/>
      <c r="P23" s="9"/>
      <c r="Q23" s="9"/>
      <c r="R23" s="9"/>
      <c r="S23" s="41"/>
      <c r="T23" s="53"/>
      <c r="U23" s="74"/>
      <c r="V23" s="75"/>
    </row>
    <row r="24" spans="1:22" s="11" customFormat="1">
      <c r="A24" s="9">
        <v>10</v>
      </c>
      <c r="B24" s="9"/>
      <c r="C24" s="9"/>
      <c r="D24" s="9" t="s">
        <v>180</v>
      </c>
      <c r="E24" s="50" t="s">
        <v>120</v>
      </c>
      <c r="F24" s="50"/>
      <c r="G24" s="51" t="s">
        <v>378</v>
      </c>
      <c r="H24" s="51" t="s">
        <v>230</v>
      </c>
      <c r="I24" s="9" t="s">
        <v>227</v>
      </c>
      <c r="J24" s="9"/>
      <c r="K24" s="9" t="s">
        <v>267</v>
      </c>
      <c r="L24" s="9"/>
      <c r="M24" s="9"/>
      <c r="N24" s="9"/>
      <c r="O24" s="9"/>
      <c r="P24" s="9"/>
      <c r="Q24" s="9"/>
      <c r="R24" s="9"/>
      <c r="S24" s="41"/>
      <c r="T24" s="53"/>
      <c r="U24" s="74"/>
      <c r="V24" s="75"/>
    </row>
    <row r="25" spans="1:22" s="11" customFormat="1">
      <c r="A25" s="9">
        <v>10</v>
      </c>
      <c r="B25" s="9"/>
      <c r="C25" s="9"/>
      <c r="D25" s="9" t="s">
        <v>181</v>
      </c>
      <c r="E25" s="50" t="s">
        <v>120</v>
      </c>
      <c r="F25" s="50"/>
      <c r="G25" s="51" t="s">
        <v>379</v>
      </c>
      <c r="H25" s="51" t="s">
        <v>281</v>
      </c>
      <c r="I25" s="9" t="s">
        <v>227</v>
      </c>
      <c r="J25" s="9"/>
      <c r="K25" s="9" t="s">
        <v>267</v>
      </c>
      <c r="L25" s="9"/>
      <c r="M25" s="9"/>
      <c r="N25" s="9"/>
      <c r="O25" s="9"/>
      <c r="P25" s="9"/>
      <c r="Q25" s="9"/>
      <c r="R25" s="9"/>
      <c r="S25" s="41"/>
      <c r="T25" s="53"/>
      <c r="U25" s="74"/>
      <c r="V25" s="75"/>
    </row>
    <row r="26" spans="1:22" s="11" customFormat="1">
      <c r="A26" s="9">
        <v>10</v>
      </c>
      <c r="B26" s="9"/>
      <c r="C26" s="9"/>
      <c r="D26" s="9" t="s">
        <v>182</v>
      </c>
      <c r="E26" s="50" t="s">
        <v>120</v>
      </c>
      <c r="F26" s="50"/>
      <c r="G26" s="51" t="s">
        <v>380</v>
      </c>
      <c r="H26" s="51" t="s">
        <v>231</v>
      </c>
      <c r="I26" s="9" t="s">
        <v>227</v>
      </c>
      <c r="J26" s="9"/>
      <c r="K26" s="9" t="s">
        <v>267</v>
      </c>
      <c r="L26" s="9"/>
      <c r="M26" s="9"/>
      <c r="N26" s="9"/>
      <c r="O26" s="9"/>
      <c r="P26" s="9"/>
      <c r="Q26" s="9"/>
      <c r="R26" s="9"/>
      <c r="S26" s="41"/>
      <c r="T26" s="53"/>
      <c r="U26" s="74"/>
      <c r="V26" s="75"/>
    </row>
    <row r="27" spans="1:22" s="11" customFormat="1">
      <c r="A27" s="9">
        <v>10</v>
      </c>
      <c r="B27" s="9"/>
      <c r="C27" s="9"/>
      <c r="D27" s="9" t="s">
        <v>183</v>
      </c>
      <c r="E27" s="50" t="s">
        <v>120</v>
      </c>
      <c r="F27" s="50"/>
      <c r="G27" s="51" t="s">
        <v>381</v>
      </c>
      <c r="H27" s="51" t="s">
        <v>232</v>
      </c>
      <c r="I27" s="9" t="s">
        <v>227</v>
      </c>
      <c r="J27" s="9"/>
      <c r="K27" s="9" t="s">
        <v>267</v>
      </c>
      <c r="L27" s="9"/>
      <c r="M27" s="9"/>
      <c r="N27" s="9"/>
      <c r="O27" s="9"/>
      <c r="P27" s="9"/>
      <c r="Q27" s="9"/>
      <c r="R27" s="9"/>
      <c r="S27" s="41"/>
      <c r="T27" s="53"/>
      <c r="U27" s="74"/>
      <c r="V27" s="75"/>
    </row>
    <row r="28" spans="1:22" s="11" customFormat="1">
      <c r="A28" s="9">
        <v>10</v>
      </c>
      <c r="B28" s="9"/>
      <c r="C28" s="9"/>
      <c r="D28" s="9" t="s">
        <v>184</v>
      </c>
      <c r="E28" s="50" t="s">
        <v>120</v>
      </c>
      <c r="F28" s="50"/>
      <c r="G28" s="51" t="s">
        <v>382</v>
      </c>
      <c r="H28" s="51" t="s">
        <v>233</v>
      </c>
      <c r="I28" s="9" t="s">
        <v>227</v>
      </c>
      <c r="J28" s="9"/>
      <c r="K28" s="9" t="s">
        <v>267</v>
      </c>
      <c r="L28" s="9"/>
      <c r="M28" s="9"/>
      <c r="N28" s="9"/>
      <c r="O28" s="9"/>
      <c r="P28" s="9"/>
      <c r="Q28" s="9"/>
      <c r="R28" s="9"/>
      <c r="S28" s="41"/>
      <c r="T28" s="53"/>
      <c r="U28" s="74"/>
      <c r="V28" s="75"/>
    </row>
    <row r="29" spans="1:22" s="11" customFormat="1">
      <c r="A29" s="9">
        <v>10</v>
      </c>
      <c r="B29" s="9"/>
      <c r="C29" s="9"/>
      <c r="D29" s="9" t="s">
        <v>122</v>
      </c>
      <c r="E29" s="50" t="s">
        <v>123</v>
      </c>
      <c r="F29" s="50"/>
      <c r="G29" s="51" t="s">
        <v>383</v>
      </c>
      <c r="H29" s="51" t="s">
        <v>234</v>
      </c>
      <c r="I29" s="9" t="s">
        <v>227</v>
      </c>
      <c r="J29" s="9"/>
      <c r="K29" s="9" t="s">
        <v>267</v>
      </c>
      <c r="L29" s="9"/>
      <c r="M29" s="9"/>
      <c r="N29" s="9"/>
      <c r="O29" s="9"/>
      <c r="P29" s="9"/>
      <c r="Q29" s="9"/>
      <c r="R29" s="9"/>
      <c r="S29" s="41"/>
      <c r="T29" s="53"/>
      <c r="U29" s="74"/>
      <c r="V29" s="75"/>
    </row>
    <row r="30" spans="1:22" s="11" customFormat="1" ht="26">
      <c r="A30" s="9">
        <v>10</v>
      </c>
      <c r="B30" s="9"/>
      <c r="C30" s="9"/>
      <c r="D30" s="9" t="s">
        <v>126</v>
      </c>
      <c r="E30" s="50" t="s">
        <v>127</v>
      </c>
      <c r="F30" s="50"/>
      <c r="G30" s="51" t="s">
        <v>384</v>
      </c>
      <c r="H30" s="51" t="s">
        <v>283</v>
      </c>
      <c r="I30" s="9" t="s">
        <v>227</v>
      </c>
      <c r="J30" s="9"/>
      <c r="K30" s="9" t="s">
        <v>267</v>
      </c>
      <c r="L30" s="9"/>
      <c r="M30" s="9"/>
      <c r="N30" s="9"/>
      <c r="O30" s="9"/>
      <c r="P30" s="9"/>
      <c r="Q30" s="9"/>
      <c r="R30" s="9"/>
      <c r="S30" s="41"/>
      <c r="T30" s="53"/>
      <c r="U30" s="74"/>
      <c r="V30" s="75"/>
    </row>
    <row r="31" spans="1:22" s="11" customFormat="1">
      <c r="A31" s="9">
        <v>10</v>
      </c>
      <c r="B31" s="9"/>
      <c r="C31" s="9"/>
      <c r="D31" s="9" t="s">
        <v>128</v>
      </c>
      <c r="E31" s="50" t="s">
        <v>123</v>
      </c>
      <c r="F31" s="50"/>
      <c r="G31" s="51" t="s">
        <v>385</v>
      </c>
      <c r="H31" s="51" t="s">
        <v>297</v>
      </c>
      <c r="I31" s="9" t="s">
        <v>227</v>
      </c>
      <c r="J31" s="9"/>
      <c r="K31" s="9" t="s">
        <v>267</v>
      </c>
      <c r="L31" s="9"/>
      <c r="M31" s="9"/>
      <c r="N31" s="9"/>
      <c r="O31" s="9"/>
      <c r="P31" s="9"/>
      <c r="Q31" s="9"/>
      <c r="R31" s="9"/>
      <c r="S31" s="41"/>
      <c r="T31" s="53"/>
      <c r="U31" s="74"/>
      <c r="V31" s="75"/>
    </row>
    <row r="32" spans="1:22" s="11" customFormat="1" ht="26">
      <c r="A32" s="9">
        <v>10</v>
      </c>
      <c r="B32" s="9"/>
      <c r="C32" s="9"/>
      <c r="D32" s="9" t="s">
        <v>130</v>
      </c>
      <c r="E32" s="50" t="s">
        <v>127</v>
      </c>
      <c r="F32" s="50"/>
      <c r="G32" s="51" t="s">
        <v>386</v>
      </c>
      <c r="H32" s="51" t="s">
        <v>236</v>
      </c>
      <c r="I32" s="9" t="s">
        <v>227</v>
      </c>
      <c r="J32" s="9"/>
      <c r="K32" s="9" t="s">
        <v>267</v>
      </c>
      <c r="L32" s="9"/>
      <c r="M32" s="9"/>
      <c r="N32" s="9"/>
      <c r="O32" s="9"/>
      <c r="P32" s="9"/>
      <c r="Q32" s="9"/>
      <c r="R32" s="9"/>
      <c r="S32" s="41"/>
      <c r="T32" s="53"/>
      <c r="U32" s="74"/>
      <c r="V32" s="75"/>
    </row>
    <row r="33" spans="1:22" s="11" customFormat="1">
      <c r="A33" s="9">
        <v>10</v>
      </c>
      <c r="B33" s="9"/>
      <c r="C33" s="9"/>
      <c r="D33" s="9" t="s">
        <v>131</v>
      </c>
      <c r="E33" s="50" t="s">
        <v>132</v>
      </c>
      <c r="F33" s="50"/>
      <c r="G33" s="51" t="s">
        <v>387</v>
      </c>
      <c r="H33" s="51" t="s">
        <v>237</v>
      </c>
      <c r="I33" s="9" t="s">
        <v>227</v>
      </c>
      <c r="J33" s="9"/>
      <c r="K33" s="9" t="s">
        <v>267</v>
      </c>
      <c r="L33" s="9"/>
      <c r="M33" s="9"/>
      <c r="N33" s="9"/>
      <c r="O33" s="9"/>
      <c r="P33" s="9"/>
      <c r="Q33" s="9"/>
      <c r="R33" s="9"/>
      <c r="S33" s="41"/>
      <c r="T33" s="53"/>
      <c r="U33" s="74"/>
      <c r="V33" s="75"/>
    </row>
    <row r="34" spans="1:22" s="11" customFormat="1">
      <c r="A34" s="9">
        <v>10</v>
      </c>
      <c r="B34" s="9"/>
      <c r="C34" s="9"/>
      <c r="D34" s="9" t="s">
        <v>135</v>
      </c>
      <c r="E34" s="50" t="s">
        <v>136</v>
      </c>
      <c r="F34" s="50"/>
      <c r="G34" s="51" t="s">
        <v>388</v>
      </c>
      <c r="H34" s="51" t="s">
        <v>238</v>
      </c>
      <c r="I34" s="9" t="s">
        <v>227</v>
      </c>
      <c r="J34" s="9"/>
      <c r="K34" s="9" t="s">
        <v>267</v>
      </c>
      <c r="L34" s="9"/>
      <c r="M34" s="9"/>
      <c r="N34" s="9"/>
      <c r="O34" s="9"/>
      <c r="P34" s="9"/>
      <c r="Q34" s="9"/>
      <c r="R34" s="9"/>
      <c r="S34" s="41"/>
      <c r="T34" s="53"/>
      <c r="U34" s="74"/>
      <c r="V34" s="75"/>
    </row>
    <row r="35" spans="1:22" s="11" customFormat="1">
      <c r="A35" s="9">
        <v>10</v>
      </c>
      <c r="B35" s="9"/>
      <c r="C35" s="9"/>
      <c r="D35" s="9" t="s">
        <v>139</v>
      </c>
      <c r="E35" s="50" t="s">
        <v>140</v>
      </c>
      <c r="F35" s="50"/>
      <c r="G35" s="51" t="s">
        <v>389</v>
      </c>
      <c r="H35" s="51" t="s">
        <v>285</v>
      </c>
      <c r="I35" s="9" t="s">
        <v>227</v>
      </c>
      <c r="J35" s="9"/>
      <c r="K35" s="9" t="s">
        <v>267</v>
      </c>
      <c r="L35" s="9"/>
      <c r="M35" s="9"/>
      <c r="N35" s="9"/>
      <c r="O35" s="9"/>
      <c r="P35" s="9"/>
      <c r="Q35" s="9"/>
      <c r="R35" s="9"/>
      <c r="S35" s="41"/>
      <c r="T35" s="53"/>
      <c r="U35" s="74"/>
      <c r="V35" s="75"/>
    </row>
    <row r="36" spans="1:22" s="11" customFormat="1">
      <c r="A36" s="9">
        <v>10</v>
      </c>
      <c r="B36" s="9"/>
      <c r="C36" s="9"/>
      <c r="D36" s="9" t="s">
        <v>143</v>
      </c>
      <c r="E36" s="50" t="s">
        <v>144</v>
      </c>
      <c r="F36" s="50"/>
      <c r="G36" s="51" t="s">
        <v>390</v>
      </c>
      <c r="H36" s="51" t="s">
        <v>286</v>
      </c>
      <c r="I36" s="9" t="s">
        <v>227</v>
      </c>
      <c r="J36" s="9"/>
      <c r="K36" s="9" t="s">
        <v>267</v>
      </c>
      <c r="L36" s="9"/>
      <c r="M36" s="9"/>
      <c r="N36" s="9"/>
      <c r="O36" s="9"/>
      <c r="P36" s="9"/>
      <c r="Q36" s="9"/>
      <c r="R36" s="9"/>
      <c r="S36" s="41"/>
      <c r="T36" s="53"/>
      <c r="U36" s="74"/>
      <c r="V36" s="75"/>
    </row>
    <row r="37" spans="1:22" s="11" customFormat="1">
      <c r="A37" s="9">
        <v>10</v>
      </c>
      <c r="B37" s="9"/>
      <c r="C37" s="9"/>
      <c r="D37" s="9" t="s">
        <v>147</v>
      </c>
      <c r="E37" s="50" t="s">
        <v>144</v>
      </c>
      <c r="F37" s="50"/>
      <c r="G37" s="51" t="s">
        <v>391</v>
      </c>
      <c r="H37" s="51" t="s">
        <v>242</v>
      </c>
      <c r="I37" s="9" t="s">
        <v>227</v>
      </c>
      <c r="J37" s="9"/>
      <c r="K37" s="9" t="s">
        <v>267</v>
      </c>
      <c r="L37" s="9"/>
      <c r="M37" s="9"/>
      <c r="N37" s="9"/>
      <c r="O37" s="9"/>
      <c r="P37" s="9"/>
      <c r="Q37" s="9"/>
      <c r="R37" s="9"/>
      <c r="S37" s="41"/>
      <c r="T37" s="53"/>
      <c r="U37" s="74"/>
      <c r="V37" s="75"/>
    </row>
    <row r="38" spans="1:22" s="11" customFormat="1">
      <c r="A38" s="9">
        <v>10</v>
      </c>
      <c r="B38" s="9"/>
      <c r="C38" s="9"/>
      <c r="D38" s="9" t="s">
        <v>149</v>
      </c>
      <c r="E38" s="50" t="s">
        <v>144</v>
      </c>
      <c r="F38" s="50"/>
      <c r="G38" s="51" t="s">
        <v>392</v>
      </c>
      <c r="H38" s="51" t="s">
        <v>243</v>
      </c>
      <c r="I38" s="9" t="s">
        <v>227</v>
      </c>
      <c r="J38" s="9"/>
      <c r="K38" s="9" t="s">
        <v>267</v>
      </c>
      <c r="L38" s="9"/>
      <c r="M38" s="9"/>
      <c r="N38" s="9"/>
      <c r="O38" s="9"/>
      <c r="P38" s="9"/>
      <c r="Q38" s="9"/>
      <c r="R38" s="9"/>
      <c r="S38" s="41"/>
      <c r="T38" s="53"/>
      <c r="U38" s="74"/>
      <c r="V38" s="75"/>
    </row>
    <row r="39" spans="1:22" s="11" customFormat="1">
      <c r="A39" s="9">
        <v>10</v>
      </c>
      <c r="B39" s="9"/>
      <c r="C39" s="9"/>
      <c r="D39" s="9" t="s">
        <v>151</v>
      </c>
      <c r="E39" s="50" t="s">
        <v>144</v>
      </c>
      <c r="F39" s="50"/>
      <c r="G39" s="51" t="s">
        <v>393</v>
      </c>
      <c r="H39" s="51" t="s">
        <v>244</v>
      </c>
      <c r="I39" s="9" t="s">
        <v>227</v>
      </c>
      <c r="J39" s="9"/>
      <c r="K39" s="9" t="s">
        <v>267</v>
      </c>
      <c r="L39" s="9"/>
      <c r="M39" s="9"/>
      <c r="N39" s="9"/>
      <c r="O39" s="9"/>
      <c r="P39" s="9"/>
      <c r="Q39" s="9"/>
      <c r="R39" s="9"/>
      <c r="S39" s="41"/>
      <c r="T39" s="53"/>
      <c r="U39" s="74"/>
      <c r="V39" s="75"/>
    </row>
    <row r="40" spans="1:22" s="11" customFormat="1">
      <c r="A40" s="9">
        <v>10</v>
      </c>
      <c r="B40" s="9"/>
      <c r="C40" s="9"/>
      <c r="D40" s="9" t="s">
        <v>153</v>
      </c>
      <c r="E40" s="50" t="s">
        <v>144</v>
      </c>
      <c r="F40" s="50"/>
      <c r="G40" s="51" t="s">
        <v>394</v>
      </c>
      <c r="H40" s="51" t="s">
        <v>287</v>
      </c>
      <c r="I40" s="9" t="s">
        <v>227</v>
      </c>
      <c r="J40" s="9"/>
      <c r="K40" s="9" t="s">
        <v>267</v>
      </c>
      <c r="L40" s="9"/>
      <c r="M40" s="9"/>
      <c r="N40" s="9"/>
      <c r="O40" s="9"/>
      <c r="P40" s="9"/>
      <c r="Q40" s="9"/>
      <c r="R40" s="9"/>
      <c r="S40" s="41"/>
      <c r="T40" s="53"/>
      <c r="U40" s="74"/>
      <c r="V40" s="75"/>
    </row>
    <row r="41" spans="1:22" s="11" customFormat="1" ht="26">
      <c r="A41" s="9">
        <v>10</v>
      </c>
      <c r="B41" s="9"/>
      <c r="C41" s="9"/>
      <c r="D41" s="9" t="s">
        <v>155</v>
      </c>
      <c r="E41" s="50" t="s">
        <v>144</v>
      </c>
      <c r="F41" s="50"/>
      <c r="G41" s="51" t="s">
        <v>395</v>
      </c>
      <c r="H41" s="51" t="s">
        <v>288</v>
      </c>
      <c r="I41" s="9" t="s">
        <v>227</v>
      </c>
      <c r="J41" s="9"/>
      <c r="K41" s="9" t="s">
        <v>267</v>
      </c>
      <c r="L41" s="9"/>
      <c r="M41" s="9"/>
      <c r="N41" s="9"/>
      <c r="O41" s="9"/>
      <c r="P41" s="9"/>
      <c r="Q41" s="9"/>
      <c r="R41" s="9"/>
      <c r="S41" s="41"/>
      <c r="T41" s="53"/>
      <c r="U41" s="74"/>
      <c r="V41" s="75"/>
    </row>
    <row r="42" spans="1:22" s="11" customFormat="1">
      <c r="A42" s="9">
        <v>10</v>
      </c>
      <c r="B42" s="9"/>
      <c r="C42" s="9"/>
      <c r="D42" s="9" t="s">
        <v>157</v>
      </c>
      <c r="E42" s="50" t="s">
        <v>158</v>
      </c>
      <c r="F42" s="50"/>
      <c r="G42" s="51" t="s">
        <v>396</v>
      </c>
      <c r="H42" s="51" t="s">
        <v>289</v>
      </c>
      <c r="I42" s="9" t="s">
        <v>227</v>
      </c>
      <c r="J42" s="9"/>
      <c r="K42" s="9" t="s">
        <v>267</v>
      </c>
      <c r="L42" s="9"/>
      <c r="M42" s="9"/>
      <c r="N42" s="9"/>
      <c r="O42" s="9"/>
      <c r="P42" s="9"/>
      <c r="Q42" s="9"/>
      <c r="R42" s="9"/>
      <c r="S42" s="41"/>
      <c r="T42" s="53"/>
      <c r="U42" s="74"/>
      <c r="V42" s="75"/>
    </row>
    <row r="43" spans="1:22" s="11" customFormat="1">
      <c r="A43" s="9">
        <v>10</v>
      </c>
      <c r="B43" s="9"/>
      <c r="C43" s="9"/>
      <c r="D43" s="9" t="s">
        <v>38</v>
      </c>
      <c r="E43" s="50" t="s">
        <v>40</v>
      </c>
      <c r="F43" s="50"/>
      <c r="G43" s="51" t="s">
        <v>397</v>
      </c>
      <c r="H43" s="51" t="s">
        <v>290</v>
      </c>
      <c r="I43" s="9" t="s">
        <v>227</v>
      </c>
      <c r="J43" s="9"/>
      <c r="K43" s="9" t="s">
        <v>267</v>
      </c>
      <c r="L43" s="9"/>
      <c r="M43" s="9"/>
      <c r="N43" s="9"/>
      <c r="O43" s="9"/>
      <c r="P43" s="9"/>
      <c r="Q43" s="9"/>
      <c r="R43" s="9"/>
      <c r="S43" s="41"/>
      <c r="T43" s="53"/>
      <c r="U43" s="74"/>
      <c r="V43" s="75"/>
    </row>
    <row r="44" spans="1:22" s="11" customFormat="1">
      <c r="A44" s="9">
        <v>10</v>
      </c>
      <c r="B44" s="9"/>
      <c r="C44" s="9"/>
      <c r="D44" s="9" t="s">
        <v>46</v>
      </c>
      <c r="E44" s="50" t="s">
        <v>47</v>
      </c>
      <c r="F44" s="50"/>
      <c r="G44" s="51" t="s">
        <v>398</v>
      </c>
      <c r="H44" s="51" t="s">
        <v>291</v>
      </c>
      <c r="I44" s="9" t="s">
        <v>227</v>
      </c>
      <c r="J44" s="9"/>
      <c r="K44" s="9" t="s">
        <v>267</v>
      </c>
      <c r="L44" s="9"/>
      <c r="M44" s="9"/>
      <c r="N44" s="9"/>
      <c r="O44" s="9"/>
      <c r="P44" s="9"/>
      <c r="Q44" s="9"/>
      <c r="R44" s="9"/>
      <c r="S44" s="41"/>
      <c r="T44" s="53"/>
      <c r="U44" s="74"/>
      <c r="V44" s="75"/>
    </row>
    <row r="45" spans="1:22" s="11" customFormat="1">
      <c r="A45" s="9">
        <v>10</v>
      </c>
      <c r="B45" s="9"/>
      <c r="C45" s="9"/>
      <c r="D45" s="9" t="s">
        <v>42</v>
      </c>
      <c r="E45" s="50" t="s">
        <v>44</v>
      </c>
      <c r="F45" s="50"/>
      <c r="G45" s="51" t="s">
        <v>399</v>
      </c>
      <c r="H45" s="51" t="s">
        <v>292</v>
      </c>
      <c r="I45" s="9" t="s">
        <v>227</v>
      </c>
      <c r="J45" s="9"/>
      <c r="K45" s="9" t="s">
        <v>267</v>
      </c>
      <c r="L45" s="9"/>
      <c r="M45" s="9"/>
      <c r="N45" s="9"/>
      <c r="O45" s="9"/>
      <c r="P45" s="9"/>
      <c r="Q45" s="9"/>
      <c r="R45" s="9"/>
      <c r="S45" s="41"/>
      <c r="T45" s="53"/>
      <c r="U45" s="74"/>
      <c r="V45" s="75"/>
    </row>
    <row r="46" spans="1:22" s="11" customFormat="1">
      <c r="A46" s="9">
        <v>10</v>
      </c>
      <c r="B46" s="9"/>
      <c r="C46" s="9"/>
      <c r="D46" s="9" t="s">
        <v>64</v>
      </c>
      <c r="E46" s="50" t="s">
        <v>48</v>
      </c>
      <c r="F46" s="50"/>
      <c r="G46" s="51" t="s">
        <v>400</v>
      </c>
      <c r="H46" s="51" t="s">
        <v>249</v>
      </c>
      <c r="I46" s="9" t="s">
        <v>227</v>
      </c>
      <c r="J46" s="9"/>
      <c r="K46" s="9" t="s">
        <v>227</v>
      </c>
      <c r="L46" s="9"/>
      <c r="M46" s="9"/>
      <c r="N46" s="9"/>
      <c r="O46" s="9"/>
      <c r="P46" s="9"/>
      <c r="Q46" s="9"/>
      <c r="R46" s="9"/>
      <c r="S46" s="41"/>
      <c r="T46" s="53"/>
      <c r="U46" s="150"/>
      <c r="V46" s="151"/>
    </row>
    <row r="47" spans="1:22" s="11" customFormat="1">
      <c r="A47" s="9">
        <v>10</v>
      </c>
      <c r="B47" s="9"/>
      <c r="C47" s="9"/>
      <c r="D47" s="9" t="s">
        <v>69</v>
      </c>
      <c r="E47" s="50" t="s">
        <v>70</v>
      </c>
      <c r="F47" s="50"/>
      <c r="G47" s="51" t="s">
        <v>401</v>
      </c>
      <c r="H47" s="51" t="s">
        <v>251</v>
      </c>
      <c r="I47" s="9" t="s">
        <v>227</v>
      </c>
      <c r="J47" s="9"/>
      <c r="K47" s="9" t="s">
        <v>227</v>
      </c>
      <c r="L47" s="9"/>
      <c r="M47" s="9"/>
      <c r="N47" s="9"/>
      <c r="O47" s="9"/>
      <c r="P47" s="9"/>
      <c r="Q47" s="9"/>
      <c r="R47" s="9"/>
      <c r="S47" s="41"/>
      <c r="T47" s="53"/>
      <c r="U47" s="150"/>
      <c r="V47" s="151"/>
    </row>
    <row r="48" spans="1:22" s="11" customFormat="1">
      <c r="A48" s="54"/>
      <c r="B48" s="55"/>
      <c r="C48" s="55"/>
      <c r="D48" s="27" t="s">
        <v>1</v>
      </c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4"/>
      <c r="T48" s="4"/>
      <c r="U48" s="6"/>
      <c r="V48" s="23"/>
    </row>
    <row r="49" spans="1:22" s="11" customFormat="1">
      <c r="A49" s="83"/>
      <c r="V49" s="56"/>
    </row>
    <row r="50" spans="1:22" s="11" customFormat="1">
      <c r="A50" s="83"/>
      <c r="V50" s="56"/>
    </row>
    <row r="51" spans="1:22" s="11" customFormat="1">
      <c r="A51" s="83"/>
      <c r="V51" s="56"/>
    </row>
    <row r="52" spans="1:22" s="11" customFormat="1">
      <c r="A52" s="88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20"/>
    </row>
  </sheetData>
  <dataConsolidate/>
  <mergeCells count="2">
    <mergeCell ref="U46:V46"/>
    <mergeCell ref="U47:V47"/>
  </mergeCells>
  <phoneticPr fontId="7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fitToPage="1"/>
  </sheetPr>
  <dimension ref="A1:U19"/>
  <sheetViews>
    <sheetView topLeftCell="G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>
      <c r="A1" s="79" t="s">
        <v>222</v>
      </c>
      <c r="B1" s="79" t="s">
        <v>222</v>
      </c>
      <c r="C1" s="79"/>
      <c r="D1" s="1" t="s">
        <v>20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80" t="s">
        <v>222</v>
      </c>
      <c r="B2" s="81"/>
      <c r="C2" s="81"/>
      <c r="D2" s="91" t="s">
        <v>352</v>
      </c>
      <c r="E2" s="7" t="s">
        <v>11</v>
      </c>
      <c r="F2" s="82" t="str">
        <f>IF(LogicCommon!C2="","",LogicCommon!C2)</f>
        <v>MA</v>
      </c>
      <c r="G2" s="7" t="s">
        <v>8</v>
      </c>
      <c r="H2" s="82" t="str">
        <f>IF(LogicCommon!E2="","",LogicCommon!E2)</f>
        <v>MABGL0110</v>
      </c>
      <c r="I2" s="7" t="s">
        <v>262</v>
      </c>
      <c r="J2" s="9" t="s">
        <v>88</v>
      </c>
      <c r="K2" s="7" t="s">
        <v>221</v>
      </c>
      <c r="L2" s="82" t="str">
        <f>IF(LogicCommon!G2="","",LogicCommon!G2)</f>
        <v>MC</v>
      </c>
      <c r="M2" s="5" t="s">
        <v>263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>
      <c r="A3" s="83" t="s">
        <v>222</v>
      </c>
      <c r="B3" s="84"/>
      <c r="C3" s="84"/>
      <c r="D3" s="85" t="str">
        <f>IF(LogicCommon!A3="","",LogicCommon!A3)</f>
        <v/>
      </c>
      <c r="E3" s="7" t="s">
        <v>12</v>
      </c>
      <c r="F3" s="82" t="str">
        <f>IF(LogicCommon!C3="","",LogicCommon!C3)</f>
        <v>MABG</v>
      </c>
      <c r="G3" s="7" t="s">
        <v>9</v>
      </c>
      <c r="H3" s="82" t="str">
        <f>IF(LogicCommon!E3="","",LogicCommon!E3)</f>
        <v>MABGL_GrpPtn</v>
      </c>
      <c r="I3" s="7" t="s">
        <v>264</v>
      </c>
      <c r="J3" s="9" t="s">
        <v>74</v>
      </c>
      <c r="K3" s="7" t="s">
        <v>265</v>
      </c>
      <c r="L3" s="82" t="str">
        <f>IF(LogicCommon!G3="","",LogicCommon!G3)</f>
        <v/>
      </c>
      <c r="M3" s="86" t="s">
        <v>28</v>
      </c>
      <c r="N3" s="7"/>
      <c r="O3" s="7" t="s">
        <v>223</v>
      </c>
      <c r="P3" s="9" t="s">
        <v>266</v>
      </c>
      <c r="Q3" s="4"/>
      <c r="R3" s="27"/>
      <c r="S3" s="27"/>
      <c r="T3" s="27"/>
      <c r="U3" s="27"/>
    </row>
    <row r="4" spans="1:21" s="11" customFormat="1">
      <c r="A4" s="83" t="s">
        <v>222</v>
      </c>
      <c r="B4" s="84"/>
      <c r="C4" s="84"/>
      <c r="D4" s="4"/>
      <c r="E4" s="7" t="s">
        <v>7</v>
      </c>
      <c r="F4" s="10" t="s">
        <v>214</v>
      </c>
      <c r="G4" s="7" t="s">
        <v>10</v>
      </c>
      <c r="H4" s="82" t="str">
        <f>IF(LogicCommon!E4="","",LogicCommon!E4)</f>
        <v>計算グループパタンマスタ</v>
      </c>
      <c r="I4" s="7" t="s">
        <v>215</v>
      </c>
      <c r="J4" s="9" t="s">
        <v>209</v>
      </c>
      <c r="K4" s="7" t="s">
        <v>224</v>
      </c>
      <c r="L4" s="82" t="str">
        <f>IF(LogicCommon!G4="","",LogicCommon!G4)</f>
        <v>MA.MAUDL5010</v>
      </c>
      <c r="M4" s="87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88" t="s">
        <v>222</v>
      </c>
      <c r="B5" s="79"/>
      <c r="C5" s="79"/>
      <c r="D5" s="26"/>
      <c r="E5" s="7" t="s">
        <v>225</v>
      </c>
      <c r="F5" s="10"/>
      <c r="G5" s="89"/>
      <c r="H5" s="89"/>
      <c r="I5" s="89"/>
      <c r="J5" s="89"/>
      <c r="K5" s="89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83" t="s">
        <v>222</v>
      </c>
      <c r="B6" s="84"/>
      <c r="C6" s="84"/>
      <c r="D6" s="4" t="s">
        <v>5</v>
      </c>
      <c r="E6" s="16" t="s">
        <v>208</v>
      </c>
      <c r="F6" s="16"/>
      <c r="G6" s="16"/>
      <c r="H6" s="16"/>
      <c r="I6" s="16"/>
      <c r="J6" s="16"/>
      <c r="K6" s="16"/>
      <c r="L6" s="90"/>
      <c r="M6" s="19"/>
      <c r="N6" s="19"/>
      <c r="O6" s="19"/>
      <c r="P6" s="19"/>
      <c r="Q6" s="19" t="s">
        <v>261</v>
      </c>
      <c r="R6" s="4"/>
      <c r="S6" s="29"/>
      <c r="T6" s="29"/>
      <c r="U6" s="27"/>
    </row>
    <row r="7" spans="1:21" s="11" customFormat="1">
      <c r="A7" s="30" t="s">
        <v>16</v>
      </c>
      <c r="B7" s="30"/>
      <c r="C7" s="30"/>
      <c r="D7" s="31"/>
      <c r="E7" s="31"/>
      <c r="F7" s="31"/>
      <c r="G7" s="31"/>
      <c r="H7" s="31"/>
      <c r="I7" s="31" t="s">
        <v>31</v>
      </c>
      <c r="J7" s="31"/>
      <c r="K7" s="32" t="s">
        <v>75</v>
      </c>
      <c r="L7" s="32"/>
      <c r="M7" s="32"/>
      <c r="N7" s="32"/>
      <c r="O7" s="32"/>
      <c r="P7" s="33" t="s">
        <v>60</v>
      </c>
      <c r="Q7" s="32"/>
      <c r="R7" s="29"/>
      <c r="S7" s="29"/>
      <c r="T7" s="29"/>
      <c r="U7" s="29"/>
    </row>
    <row r="8" spans="1:21" s="11" customFormat="1" ht="60" customHeight="1">
      <c r="A8" s="50" t="s">
        <v>16</v>
      </c>
      <c r="B8" s="94"/>
      <c r="C8" s="95"/>
      <c r="D8" s="92" t="s">
        <v>353</v>
      </c>
      <c r="E8" s="92" t="s">
        <v>354</v>
      </c>
      <c r="F8" s="90"/>
      <c r="G8" s="92" t="s">
        <v>294</v>
      </c>
      <c r="H8" s="92" t="s">
        <v>355</v>
      </c>
      <c r="I8" s="90"/>
      <c r="J8" s="3"/>
      <c r="K8" s="34" t="s">
        <v>76</v>
      </c>
      <c r="L8" s="34"/>
      <c r="M8" s="34"/>
      <c r="N8" s="34"/>
      <c r="O8" s="34"/>
      <c r="P8" s="33" t="s">
        <v>61</v>
      </c>
      <c r="Q8" s="34"/>
      <c r="R8" s="96"/>
      <c r="S8" s="97"/>
      <c r="T8" s="98" t="s">
        <v>364</v>
      </c>
      <c r="U8" s="53"/>
    </row>
    <row r="9" spans="1:21" s="11" customFormat="1" ht="60" customHeight="1">
      <c r="A9" s="9" t="s">
        <v>16</v>
      </c>
      <c r="B9" s="37"/>
      <c r="C9" s="38"/>
      <c r="D9" s="92" t="s">
        <v>356</v>
      </c>
      <c r="E9" s="99" t="s">
        <v>357</v>
      </c>
      <c r="F9" s="92" t="s">
        <v>358</v>
      </c>
      <c r="G9" s="92" t="s">
        <v>359</v>
      </c>
      <c r="H9" s="92" t="s">
        <v>360</v>
      </c>
      <c r="I9" s="100" t="s">
        <v>361</v>
      </c>
      <c r="J9" s="92" t="s">
        <v>362</v>
      </c>
      <c r="K9" s="33"/>
      <c r="L9" s="33"/>
      <c r="M9" s="33"/>
      <c r="N9" s="33"/>
      <c r="O9" s="33"/>
      <c r="P9" s="33"/>
      <c r="Q9" s="33"/>
      <c r="R9" s="98" t="s">
        <v>363</v>
      </c>
      <c r="S9" s="53"/>
      <c r="T9" s="98" t="s">
        <v>365</v>
      </c>
      <c r="U9" s="53"/>
    </row>
    <row r="10" spans="1:21" s="11" customFormat="1" ht="39">
      <c r="A10" s="39" t="s">
        <v>16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33"/>
      <c r="M10" s="33"/>
      <c r="N10" s="33"/>
      <c r="O10" s="33"/>
      <c r="P10" s="93" t="s">
        <v>361</v>
      </c>
      <c r="Q10" s="93" t="s">
        <v>362</v>
      </c>
      <c r="R10" s="42"/>
      <c r="S10" s="42"/>
      <c r="T10" s="43"/>
      <c r="U10" s="36"/>
    </row>
    <row r="11" spans="1:21" s="11" customFormat="1">
      <c r="A11" s="9">
        <v>10</v>
      </c>
      <c r="B11" s="37" t="s">
        <v>0</v>
      </c>
      <c r="C11" s="38"/>
      <c r="D11" s="28" t="s">
        <v>96</v>
      </c>
      <c r="E11" s="44" t="s">
        <v>58</v>
      </c>
      <c r="F11" s="45"/>
      <c r="G11" s="28"/>
      <c r="H11" s="57"/>
      <c r="I11" s="46"/>
      <c r="J11" s="47"/>
      <c r="K11" s="48"/>
      <c r="L11" s="48"/>
      <c r="M11" s="48"/>
      <c r="N11" s="48"/>
      <c r="O11" s="48"/>
      <c r="P11" s="48"/>
      <c r="Q11" s="48"/>
      <c r="R11" s="35"/>
      <c r="S11" s="36"/>
      <c r="T11" s="74"/>
      <c r="U11" s="49"/>
    </row>
    <row r="12" spans="1:21" s="11" customFormat="1">
      <c r="A12" s="9">
        <v>10</v>
      </c>
      <c r="B12" s="9"/>
      <c r="C12" s="9"/>
      <c r="D12" s="9" t="s">
        <v>98</v>
      </c>
      <c r="E12" s="50" t="s">
        <v>107</v>
      </c>
      <c r="F12" s="50"/>
      <c r="G12" s="51" t="s">
        <v>366</v>
      </c>
      <c r="H12" s="51" t="s">
        <v>226</v>
      </c>
      <c r="I12" s="9" t="s">
        <v>227</v>
      </c>
      <c r="J12" s="9"/>
      <c r="K12" s="9" t="s">
        <v>267</v>
      </c>
      <c r="L12" s="9"/>
      <c r="M12" s="9"/>
      <c r="N12" s="9"/>
      <c r="O12" s="9"/>
      <c r="P12" s="9"/>
      <c r="Q12" s="9"/>
      <c r="R12" s="41"/>
      <c r="S12" s="53"/>
      <c r="T12" s="150"/>
      <c r="U12" s="151"/>
    </row>
    <row r="13" spans="1:21" s="11" customFormat="1">
      <c r="A13" s="9">
        <v>10</v>
      </c>
      <c r="B13" s="9"/>
      <c r="C13" s="9"/>
      <c r="D13" s="9" t="s">
        <v>99</v>
      </c>
      <c r="E13" s="50" t="s">
        <v>109</v>
      </c>
      <c r="F13" s="50"/>
      <c r="G13" s="51" t="s">
        <v>367</v>
      </c>
      <c r="H13" s="51" t="s">
        <v>269</v>
      </c>
      <c r="I13" s="9" t="s">
        <v>227</v>
      </c>
      <c r="J13" s="9"/>
      <c r="K13" s="9" t="s">
        <v>267</v>
      </c>
      <c r="L13" s="9"/>
      <c r="M13" s="9"/>
      <c r="N13" s="9"/>
      <c r="O13" s="9"/>
      <c r="P13" s="9"/>
      <c r="Q13" s="9"/>
      <c r="R13" s="41"/>
      <c r="S13" s="53"/>
      <c r="T13" s="150"/>
      <c r="U13" s="151"/>
    </row>
    <row r="14" spans="1:21" s="11" customFormat="1">
      <c r="A14" s="9">
        <v>10</v>
      </c>
      <c r="B14" s="9"/>
      <c r="C14" s="9"/>
      <c r="D14" s="9" t="s">
        <v>69</v>
      </c>
      <c r="E14" s="50" t="s">
        <v>70</v>
      </c>
      <c r="F14" s="50"/>
      <c r="G14" s="51" t="s">
        <v>401</v>
      </c>
      <c r="H14" s="51" t="s">
        <v>251</v>
      </c>
      <c r="I14" s="9" t="s">
        <v>227</v>
      </c>
      <c r="J14" s="9"/>
      <c r="K14" s="9" t="s">
        <v>227</v>
      </c>
      <c r="L14" s="9"/>
      <c r="M14" s="9"/>
      <c r="N14" s="9"/>
      <c r="O14" s="9"/>
      <c r="P14" s="9"/>
      <c r="Q14" s="9"/>
      <c r="R14" s="41"/>
      <c r="S14" s="53"/>
      <c r="T14" s="74"/>
      <c r="U14" s="75"/>
    </row>
    <row r="15" spans="1:21" s="11" customFormat="1">
      <c r="A15" s="54"/>
      <c r="B15" s="55"/>
      <c r="C15" s="55"/>
      <c r="D15" s="27" t="s">
        <v>1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4"/>
      <c r="S15" s="4"/>
      <c r="T15" s="6"/>
      <c r="U15" s="23"/>
    </row>
    <row r="16" spans="1:21" s="11" customFormat="1">
      <c r="A16" s="83"/>
      <c r="U16" s="56"/>
    </row>
    <row r="17" spans="1:21" s="11" customFormat="1">
      <c r="A17" s="83"/>
      <c r="U17" s="56"/>
    </row>
    <row r="18" spans="1:21" s="11" customFormat="1">
      <c r="A18" s="83"/>
      <c r="U18" s="56"/>
    </row>
    <row r="19" spans="1:21" s="11" customFormat="1">
      <c r="A19" s="88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20"/>
    </row>
  </sheetData>
  <dataConsolidate/>
  <mergeCells count="2">
    <mergeCell ref="T13:U13"/>
    <mergeCell ref="T12:U12"/>
  </mergeCells>
  <phoneticPr fontId="7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fitToPage="1"/>
  </sheetPr>
  <dimension ref="A1:R37"/>
  <sheetViews>
    <sheetView topLeftCell="G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9" t="s">
        <v>222</v>
      </c>
      <c r="B1" s="79" t="s">
        <v>222</v>
      </c>
      <c r="C1" s="79"/>
      <c r="D1" s="1" t="s">
        <v>20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80" t="s">
        <v>222</v>
      </c>
      <c r="B2" s="81"/>
      <c r="C2" s="81"/>
      <c r="D2" s="91" t="s">
        <v>352</v>
      </c>
      <c r="E2" s="7" t="s">
        <v>11</v>
      </c>
      <c r="F2" s="82" t="str">
        <f>IF(LogicCommon!C2="","",LogicCommon!C2)</f>
        <v>MA</v>
      </c>
      <c r="G2" s="7" t="s">
        <v>8</v>
      </c>
      <c r="H2" s="82" t="str">
        <f>IF(LogicCommon!E2="","",LogicCommon!E2)</f>
        <v>MABGL0110</v>
      </c>
      <c r="I2" s="7" t="s">
        <v>262</v>
      </c>
      <c r="J2" s="9" t="s">
        <v>89</v>
      </c>
      <c r="K2" s="7" t="s">
        <v>221</v>
      </c>
      <c r="L2" s="82" t="str">
        <f>IF(LogicCommon!G2="","",LogicCommon!G2)</f>
        <v>MC</v>
      </c>
      <c r="M2" s="5" t="s">
        <v>263</v>
      </c>
      <c r="N2" s="28" t="s">
        <v>348</v>
      </c>
      <c r="O2" s="7"/>
      <c r="P2" s="7"/>
      <c r="Q2" s="4"/>
      <c r="R2" s="27"/>
    </row>
    <row r="3" spans="1:18" s="11" customFormat="1">
      <c r="A3" s="83" t="s">
        <v>222</v>
      </c>
      <c r="B3" s="84"/>
      <c r="C3" s="84"/>
      <c r="D3" s="85" t="str">
        <f>IF(LogicCommon!A3="","",LogicCommon!A3)</f>
        <v/>
      </c>
      <c r="E3" s="7" t="s">
        <v>12</v>
      </c>
      <c r="F3" s="82" t="str">
        <f>IF(LogicCommon!C3="","",LogicCommon!C3)</f>
        <v>MABG</v>
      </c>
      <c r="G3" s="7" t="s">
        <v>9</v>
      </c>
      <c r="H3" s="82" t="str">
        <f>IF(LogicCommon!E3="","",LogicCommon!E3)</f>
        <v>MABGL_GrpPtn</v>
      </c>
      <c r="I3" s="7" t="s">
        <v>264</v>
      </c>
      <c r="J3" s="9" t="s">
        <v>27</v>
      </c>
      <c r="K3" s="7" t="s">
        <v>265</v>
      </c>
      <c r="L3" s="82" t="str">
        <f>IF(LogicCommon!G3="","",LogicCommon!G3)</f>
        <v/>
      </c>
      <c r="M3" s="86" t="s">
        <v>28</v>
      </c>
      <c r="N3" s="7"/>
      <c r="O3" s="7" t="s">
        <v>223</v>
      </c>
      <c r="P3" s="9" t="s">
        <v>266</v>
      </c>
      <c r="Q3" s="4"/>
      <c r="R3" s="27"/>
    </row>
    <row r="4" spans="1:18" s="11" customFormat="1">
      <c r="A4" s="83" t="s">
        <v>222</v>
      </c>
      <c r="B4" s="84"/>
      <c r="C4" s="84"/>
      <c r="D4" s="4"/>
      <c r="E4" s="7" t="s">
        <v>7</v>
      </c>
      <c r="F4" s="10" t="s">
        <v>214</v>
      </c>
      <c r="G4" s="7" t="s">
        <v>10</v>
      </c>
      <c r="H4" s="82" t="str">
        <f>IF(LogicCommon!E4="","",LogicCommon!E4)</f>
        <v>計算グループパタンマスタ</v>
      </c>
      <c r="I4" s="7" t="s">
        <v>215</v>
      </c>
      <c r="J4" s="9" t="s">
        <v>207</v>
      </c>
      <c r="K4" s="7" t="s">
        <v>224</v>
      </c>
      <c r="L4" s="82" t="str">
        <f>IF(LogicCommon!G4="","",LogicCommon!G4)</f>
        <v>MA.MAUDL5010</v>
      </c>
      <c r="M4" s="87"/>
      <c r="N4" s="28"/>
      <c r="O4" s="14"/>
      <c r="P4" s="4"/>
      <c r="Q4" s="4"/>
      <c r="R4" s="27"/>
    </row>
    <row r="5" spans="1:18" s="11" customFormat="1">
      <c r="A5" s="88" t="s">
        <v>222</v>
      </c>
      <c r="B5" s="79"/>
      <c r="C5" s="79"/>
      <c r="D5" s="26"/>
      <c r="E5" s="7" t="s">
        <v>225</v>
      </c>
      <c r="F5" s="10"/>
      <c r="G5" s="89"/>
      <c r="H5" s="89"/>
      <c r="I5" s="89"/>
      <c r="J5" s="89"/>
      <c r="K5" s="89"/>
      <c r="L5" s="6"/>
      <c r="M5" s="5"/>
      <c r="N5" s="5"/>
      <c r="O5" s="14"/>
      <c r="P5" s="4"/>
      <c r="Q5" s="4"/>
      <c r="R5" s="27"/>
    </row>
    <row r="6" spans="1:18" s="11" customFormat="1">
      <c r="A6" s="83" t="s">
        <v>222</v>
      </c>
      <c r="B6" s="84"/>
      <c r="C6" s="84"/>
      <c r="D6" s="4" t="s">
        <v>5</v>
      </c>
      <c r="E6" s="16" t="s">
        <v>206</v>
      </c>
      <c r="F6" s="16"/>
      <c r="G6" s="16"/>
      <c r="H6" s="16"/>
      <c r="I6" s="16"/>
      <c r="J6" s="16"/>
      <c r="K6" s="16"/>
      <c r="L6" s="90" t="s">
        <v>261</v>
      </c>
      <c r="M6" s="19"/>
      <c r="N6" s="19" t="s">
        <v>261</v>
      </c>
      <c r="O6" s="19"/>
      <c r="P6" s="19"/>
      <c r="Q6" s="19"/>
      <c r="R6" s="27"/>
    </row>
    <row r="7" spans="1:18" s="11" customFormat="1">
      <c r="A7" s="30" t="s">
        <v>16</v>
      </c>
      <c r="B7" s="30"/>
      <c r="C7" s="30"/>
      <c r="D7" s="31"/>
      <c r="E7" s="31"/>
      <c r="F7" s="31"/>
      <c r="G7" s="31"/>
      <c r="H7" s="31"/>
      <c r="I7" s="31" t="s">
        <v>31</v>
      </c>
      <c r="J7" s="31"/>
      <c r="K7" s="33" t="s">
        <v>32</v>
      </c>
      <c r="L7" s="32" t="s">
        <v>62</v>
      </c>
      <c r="M7" s="33" t="s">
        <v>32</v>
      </c>
      <c r="N7" s="32"/>
      <c r="O7" s="29"/>
      <c r="P7" s="29"/>
      <c r="Q7" s="29"/>
      <c r="R7" s="29"/>
    </row>
    <row r="8" spans="1:18" s="11" customFormat="1" ht="60" customHeight="1">
      <c r="A8" s="50" t="s">
        <v>16</v>
      </c>
      <c r="B8" s="94"/>
      <c r="C8" s="95"/>
      <c r="D8" s="92" t="s">
        <v>353</v>
      </c>
      <c r="E8" s="92" t="s">
        <v>354</v>
      </c>
      <c r="F8" s="90"/>
      <c r="G8" s="92" t="s">
        <v>294</v>
      </c>
      <c r="H8" s="92" t="s">
        <v>355</v>
      </c>
      <c r="I8" s="90"/>
      <c r="J8" s="3"/>
      <c r="K8" s="33" t="s">
        <v>15</v>
      </c>
      <c r="L8" s="34" t="s">
        <v>351</v>
      </c>
      <c r="M8" s="33" t="s">
        <v>15</v>
      </c>
      <c r="N8" s="34"/>
      <c r="O8" s="96"/>
      <c r="P8" s="97"/>
      <c r="Q8" s="98" t="s">
        <v>364</v>
      </c>
      <c r="R8" s="53"/>
    </row>
    <row r="9" spans="1:18" s="11" customFormat="1" ht="60" customHeight="1">
      <c r="A9" s="9" t="s">
        <v>16</v>
      </c>
      <c r="B9" s="37"/>
      <c r="C9" s="38"/>
      <c r="D9" s="92" t="s">
        <v>356</v>
      </c>
      <c r="E9" s="99" t="s">
        <v>357</v>
      </c>
      <c r="F9" s="92" t="s">
        <v>358</v>
      </c>
      <c r="G9" s="92" t="s">
        <v>359</v>
      </c>
      <c r="H9" s="92" t="s">
        <v>360</v>
      </c>
      <c r="I9" s="100" t="s">
        <v>361</v>
      </c>
      <c r="J9" s="92" t="s">
        <v>362</v>
      </c>
      <c r="K9" s="33"/>
      <c r="L9" s="33"/>
      <c r="M9" s="33"/>
      <c r="N9" s="33"/>
      <c r="O9" s="98" t="s">
        <v>363</v>
      </c>
      <c r="P9" s="53"/>
      <c r="Q9" s="98" t="s">
        <v>365</v>
      </c>
      <c r="R9" s="53"/>
    </row>
    <row r="10" spans="1:18" s="11" customFormat="1" ht="52">
      <c r="A10" s="39" t="s">
        <v>16</v>
      </c>
      <c r="B10" s="40"/>
      <c r="C10" s="40"/>
      <c r="D10" s="41"/>
      <c r="E10" s="42"/>
      <c r="F10" s="42"/>
      <c r="G10" s="43"/>
      <c r="H10" s="43"/>
      <c r="I10" s="42"/>
      <c r="J10" s="42"/>
      <c r="K10" s="93" t="s">
        <v>361</v>
      </c>
      <c r="L10" s="93" t="s">
        <v>362</v>
      </c>
      <c r="M10" s="93" t="s">
        <v>361</v>
      </c>
      <c r="N10" s="93" t="s">
        <v>362</v>
      </c>
      <c r="O10" s="42"/>
      <c r="P10" s="42"/>
      <c r="Q10" s="43"/>
      <c r="R10" s="36"/>
    </row>
    <row r="11" spans="1:18" s="11" customFormat="1">
      <c r="A11" s="9">
        <v>10</v>
      </c>
      <c r="B11" s="37" t="s">
        <v>0</v>
      </c>
      <c r="C11" s="38"/>
      <c r="D11" s="28" t="s">
        <v>97</v>
      </c>
      <c r="E11" s="44" t="s">
        <v>58</v>
      </c>
      <c r="F11" s="45"/>
      <c r="G11" s="28" t="s">
        <v>73</v>
      </c>
      <c r="H11" s="57" t="s">
        <v>298</v>
      </c>
      <c r="I11" s="46"/>
      <c r="J11" s="47"/>
      <c r="K11" s="48" t="s">
        <v>296</v>
      </c>
      <c r="L11" s="48"/>
      <c r="M11" s="48"/>
      <c r="N11" s="48"/>
      <c r="O11" s="35"/>
      <c r="P11" s="36"/>
      <c r="Q11" s="74"/>
      <c r="R11" s="49"/>
    </row>
    <row r="12" spans="1:18" s="11" customFormat="1">
      <c r="A12" s="9">
        <v>10</v>
      </c>
      <c r="B12" s="9"/>
      <c r="C12" s="9"/>
      <c r="D12" s="9" t="s">
        <v>98</v>
      </c>
      <c r="E12" s="50" t="s">
        <v>107</v>
      </c>
      <c r="F12" s="50"/>
      <c r="G12" s="51" t="s">
        <v>366</v>
      </c>
      <c r="H12" s="51" t="s">
        <v>226</v>
      </c>
      <c r="I12" s="9" t="s">
        <v>227</v>
      </c>
      <c r="J12" s="9"/>
      <c r="K12" s="9" t="s">
        <v>267</v>
      </c>
      <c r="L12" s="9"/>
      <c r="M12" s="9"/>
      <c r="N12" s="9"/>
      <c r="O12" s="43"/>
      <c r="P12" s="36"/>
      <c r="Q12" s="74"/>
      <c r="R12" s="49"/>
    </row>
    <row r="13" spans="1:18" s="11" customFormat="1">
      <c r="A13" s="9">
        <v>10</v>
      </c>
      <c r="B13" s="9"/>
      <c r="C13" s="9"/>
      <c r="D13" s="9" t="s">
        <v>99</v>
      </c>
      <c r="E13" s="50" t="s">
        <v>109</v>
      </c>
      <c r="F13" s="50"/>
      <c r="G13" s="51" t="s">
        <v>367</v>
      </c>
      <c r="H13" s="51" t="s">
        <v>269</v>
      </c>
      <c r="I13" s="9" t="s">
        <v>227</v>
      </c>
      <c r="J13" s="9"/>
      <c r="K13" s="9" t="s">
        <v>267</v>
      </c>
      <c r="L13" s="9"/>
      <c r="M13" s="9"/>
      <c r="N13" s="9"/>
      <c r="O13" s="43"/>
      <c r="P13" s="36"/>
      <c r="Q13" s="74"/>
      <c r="R13" s="49"/>
    </row>
    <row r="14" spans="1:18" s="11" customFormat="1">
      <c r="A14" s="9">
        <v>10</v>
      </c>
      <c r="B14" s="9"/>
      <c r="C14" s="9"/>
      <c r="D14" s="9" t="s">
        <v>69</v>
      </c>
      <c r="E14" s="50" t="s">
        <v>70</v>
      </c>
      <c r="F14" s="50"/>
      <c r="G14" s="51" t="s">
        <v>401</v>
      </c>
      <c r="H14" s="51" t="s">
        <v>251</v>
      </c>
      <c r="I14" s="9" t="s">
        <v>227</v>
      </c>
      <c r="J14" s="9"/>
      <c r="K14" s="9" t="s">
        <v>227</v>
      </c>
      <c r="L14" s="9"/>
      <c r="M14" s="9"/>
      <c r="N14" s="9"/>
      <c r="O14" s="43"/>
      <c r="P14" s="36"/>
      <c r="Q14" s="74"/>
      <c r="R14" s="49"/>
    </row>
    <row r="15" spans="1:18" s="11" customFormat="1">
      <c r="A15" s="54"/>
      <c r="B15" s="55"/>
      <c r="C15" s="55"/>
      <c r="D15" s="27" t="s">
        <v>1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4"/>
      <c r="P15" s="4"/>
      <c r="Q15" s="6"/>
      <c r="R15" s="23"/>
    </row>
    <row r="16" spans="1:18" s="11" customFormat="1">
      <c r="A16" s="83"/>
      <c r="R16" s="56"/>
    </row>
    <row r="17" spans="1:18" s="11" customFormat="1">
      <c r="A17" s="83"/>
      <c r="R17" s="56"/>
    </row>
    <row r="18" spans="1:18" s="11" customFormat="1">
      <c r="A18" s="83"/>
      <c r="R18" s="56"/>
    </row>
    <row r="19" spans="1:18" s="11" customFormat="1">
      <c r="A19" s="83"/>
      <c r="R19" s="56"/>
    </row>
    <row r="20" spans="1:18" s="11" customFormat="1">
      <c r="A20" s="83"/>
      <c r="R20" s="56"/>
    </row>
    <row r="21" spans="1:18" s="11" customFormat="1">
      <c r="A21" s="83"/>
      <c r="R21" s="56"/>
    </row>
    <row r="22" spans="1:18" s="11" customFormat="1">
      <c r="A22" s="83"/>
      <c r="R22" s="56"/>
    </row>
    <row r="23" spans="1:18" s="11" customFormat="1">
      <c r="A23" s="83"/>
      <c r="R23" s="56"/>
    </row>
    <row r="24" spans="1:18" s="11" customFormat="1">
      <c r="A24" s="83"/>
      <c r="R24" s="56"/>
    </row>
    <row r="25" spans="1:18" s="11" customFormat="1">
      <c r="A25" s="83"/>
      <c r="R25" s="56"/>
    </row>
    <row r="26" spans="1:18" s="11" customFormat="1">
      <c r="A26" s="83"/>
      <c r="R26" s="56"/>
    </row>
    <row r="27" spans="1:18" s="11" customFormat="1">
      <c r="A27" s="83"/>
      <c r="R27" s="56"/>
    </row>
    <row r="28" spans="1:18" s="11" customFormat="1">
      <c r="A28" s="83"/>
      <c r="R28" s="56"/>
    </row>
    <row r="29" spans="1:18" s="11" customFormat="1">
      <c r="A29" s="83"/>
      <c r="R29" s="56"/>
    </row>
    <row r="30" spans="1:18" s="11" customFormat="1">
      <c r="A30" s="83"/>
      <c r="R30" s="56"/>
    </row>
    <row r="31" spans="1:18" s="11" customFormat="1">
      <c r="A31" s="83"/>
      <c r="R31" s="56"/>
    </row>
    <row r="32" spans="1:18" s="11" customFormat="1">
      <c r="A32" s="83"/>
      <c r="R32" s="56"/>
    </row>
    <row r="33" spans="1:18" s="11" customFormat="1">
      <c r="A33" s="83"/>
      <c r="R33" s="56"/>
    </row>
    <row r="34" spans="1:18" s="11" customFormat="1">
      <c r="A34" s="83"/>
      <c r="R34" s="56"/>
    </row>
    <row r="35" spans="1:18" s="11" customFormat="1">
      <c r="A35" s="83"/>
      <c r="R35" s="56"/>
    </row>
    <row r="36" spans="1:18" s="11" customFormat="1">
      <c r="A36" s="83"/>
      <c r="R36" s="56"/>
    </row>
    <row r="37" spans="1:18" s="11" customFormat="1">
      <c r="A37" s="88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20"/>
    </row>
  </sheetData>
  <dataConsolidate/>
  <phoneticPr fontId="7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T106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20.453125" style="29" bestFit="1" customWidth="1"/>
    <col min="16" max="16" width="30.81640625" style="29" customWidth="1"/>
    <col min="17" max="17" width="13.90625" style="29" bestFit="1" customWidth="1"/>
    <col min="18" max="18" width="15.81640625" style="29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9" s="11" customFormat="1">
      <c r="A1" s="79" t="s">
        <v>222</v>
      </c>
      <c r="B1" s="79" t="s">
        <v>222</v>
      </c>
      <c r="C1" s="79"/>
      <c r="D1" s="1" t="s">
        <v>20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>
      <c r="A2" s="80" t="s">
        <v>222</v>
      </c>
      <c r="B2" s="81"/>
      <c r="C2" s="81"/>
      <c r="D2" s="91" t="s">
        <v>352</v>
      </c>
      <c r="E2" s="7" t="s">
        <v>11</v>
      </c>
      <c r="F2" s="82" t="str">
        <f>IF(LogicCommon!C2="","",LogicCommon!C2)</f>
        <v>MA</v>
      </c>
      <c r="G2" s="7" t="s">
        <v>8</v>
      </c>
      <c r="H2" s="82" t="str">
        <f>IF(LogicCommon!E2="","",LogicCommon!E2)</f>
        <v>MABGL0110</v>
      </c>
      <c r="I2" s="7" t="s">
        <v>262</v>
      </c>
      <c r="J2" s="9" t="s">
        <v>83</v>
      </c>
      <c r="K2" s="7" t="s">
        <v>221</v>
      </c>
      <c r="L2" s="82" t="str">
        <f>IF(LogicCommon!G2="","",LogicCommon!G2)</f>
        <v>MC</v>
      </c>
      <c r="M2" s="5" t="s">
        <v>263</v>
      </c>
      <c r="N2" s="28" t="s">
        <v>349</v>
      </c>
      <c r="O2" s="7"/>
      <c r="P2" s="7"/>
      <c r="Q2" s="4"/>
      <c r="R2" s="4"/>
      <c r="S2" s="4"/>
    </row>
    <row r="3" spans="1:19" s="11" customFormat="1">
      <c r="A3" s="83" t="s">
        <v>222</v>
      </c>
      <c r="B3" s="84"/>
      <c r="C3" s="84"/>
      <c r="D3" s="85" t="str">
        <f>IF(LogicCommon!A3="","",LogicCommon!A3)</f>
        <v/>
      </c>
      <c r="E3" s="7" t="s">
        <v>12</v>
      </c>
      <c r="F3" s="82" t="str">
        <f>IF(LogicCommon!C3="","",LogicCommon!C3)</f>
        <v>MABG</v>
      </c>
      <c r="G3" s="7" t="s">
        <v>9</v>
      </c>
      <c r="H3" s="82" t="str">
        <f>IF(LogicCommon!E3="","",LogicCommon!E3)</f>
        <v>MABGL_GrpPtn</v>
      </c>
      <c r="I3" s="7" t="s">
        <v>264</v>
      </c>
      <c r="J3" s="9" t="s">
        <v>27</v>
      </c>
      <c r="K3" s="7" t="s">
        <v>265</v>
      </c>
      <c r="L3" s="82" t="str">
        <f>IF(LogicCommon!G3="","",LogicCommon!G3)</f>
        <v/>
      </c>
      <c r="M3" s="86" t="s">
        <v>28</v>
      </c>
      <c r="N3" s="7"/>
      <c r="O3" s="7" t="s">
        <v>223</v>
      </c>
      <c r="P3" s="9" t="s">
        <v>266</v>
      </c>
      <c r="Q3" s="4"/>
      <c r="R3" s="4"/>
      <c r="S3" s="4"/>
    </row>
    <row r="4" spans="1:19" s="11" customFormat="1">
      <c r="A4" s="83" t="s">
        <v>222</v>
      </c>
      <c r="B4" s="84"/>
      <c r="C4" s="84"/>
      <c r="D4" s="4"/>
      <c r="E4" s="7" t="s">
        <v>7</v>
      </c>
      <c r="F4" s="10" t="s">
        <v>214</v>
      </c>
      <c r="G4" s="7" t="s">
        <v>10</v>
      </c>
      <c r="H4" s="82" t="str">
        <f>IF(LogicCommon!E4="","",LogicCommon!E4)</f>
        <v>計算グループパタンマスタ</v>
      </c>
      <c r="I4" s="7" t="s">
        <v>215</v>
      </c>
      <c r="J4" s="9" t="s">
        <v>2</v>
      </c>
      <c r="K4" s="7" t="s">
        <v>224</v>
      </c>
      <c r="L4" s="82" t="str">
        <f>IF(LogicCommon!G4="","",LogicCommon!G4)</f>
        <v>MA.MAUDL5010</v>
      </c>
      <c r="M4" s="87"/>
      <c r="N4" s="28"/>
      <c r="O4" s="14"/>
      <c r="P4" s="4"/>
      <c r="Q4" s="4"/>
      <c r="R4" s="4"/>
      <c r="S4" s="4"/>
    </row>
    <row r="5" spans="1:19" s="11" customFormat="1">
      <c r="A5" s="88" t="s">
        <v>222</v>
      </c>
      <c r="B5" s="79"/>
      <c r="C5" s="79"/>
      <c r="D5" s="26"/>
      <c r="E5" s="7" t="s">
        <v>225</v>
      </c>
      <c r="F5" s="10"/>
      <c r="G5" s="89"/>
      <c r="H5" s="89"/>
      <c r="I5" s="89"/>
      <c r="J5" s="89"/>
      <c r="K5" s="89"/>
      <c r="L5" s="6"/>
      <c r="M5" s="5"/>
      <c r="N5" s="5"/>
      <c r="O5" s="14"/>
      <c r="P5" s="4"/>
      <c r="Q5" s="4"/>
      <c r="R5" s="4"/>
      <c r="S5" s="4"/>
    </row>
    <row r="6" spans="1:19" s="11" customFormat="1">
      <c r="A6" s="83" t="s">
        <v>222</v>
      </c>
      <c r="B6" s="84"/>
      <c r="C6" s="84"/>
      <c r="D6" s="4" t="s">
        <v>5</v>
      </c>
      <c r="E6" s="16" t="s">
        <v>205</v>
      </c>
      <c r="F6" s="16"/>
      <c r="G6" s="16"/>
      <c r="H6" s="16"/>
      <c r="I6" s="16"/>
      <c r="J6" s="16"/>
      <c r="K6" s="16"/>
      <c r="L6" s="90"/>
      <c r="M6" s="19" t="s">
        <v>261</v>
      </c>
      <c r="N6" s="19"/>
      <c r="O6" s="19" t="s">
        <v>261</v>
      </c>
      <c r="P6" s="19"/>
      <c r="Q6" s="19"/>
      <c r="R6" s="4"/>
      <c r="S6" s="4"/>
    </row>
    <row r="7" spans="1:19" s="11" customFormat="1">
      <c r="A7" s="30" t="s">
        <v>30</v>
      </c>
      <c r="B7" s="30"/>
      <c r="C7" s="30"/>
      <c r="D7" s="31"/>
      <c r="E7" s="31"/>
      <c r="F7" s="31"/>
      <c r="G7" s="31"/>
      <c r="H7" s="31"/>
      <c r="I7" s="31" t="s">
        <v>31</v>
      </c>
      <c r="J7" s="31"/>
      <c r="K7" s="32" t="s">
        <v>75</v>
      </c>
      <c r="L7" s="33" t="s">
        <v>32</v>
      </c>
      <c r="M7" s="32" t="s">
        <v>33</v>
      </c>
      <c r="N7" s="33" t="s">
        <v>32</v>
      </c>
      <c r="O7" s="32"/>
      <c r="P7" s="29"/>
      <c r="Q7" s="29"/>
      <c r="R7" s="29"/>
      <c r="S7" s="29"/>
    </row>
    <row r="8" spans="1:19" s="11" customFormat="1" ht="60" customHeight="1">
      <c r="A8" s="50" t="s">
        <v>16</v>
      </c>
      <c r="B8" s="94"/>
      <c r="C8" s="95"/>
      <c r="D8" s="92" t="s">
        <v>353</v>
      </c>
      <c r="E8" s="92" t="s">
        <v>354</v>
      </c>
      <c r="F8" s="90"/>
      <c r="G8" s="92" t="s">
        <v>294</v>
      </c>
      <c r="H8" s="92" t="s">
        <v>355</v>
      </c>
      <c r="I8" s="90"/>
      <c r="J8" s="3"/>
      <c r="K8" s="34" t="s">
        <v>161</v>
      </c>
      <c r="L8" s="33" t="s">
        <v>15</v>
      </c>
      <c r="M8" s="34" t="s">
        <v>351</v>
      </c>
      <c r="N8" s="33" t="s">
        <v>15</v>
      </c>
      <c r="O8" s="34"/>
      <c r="P8" s="96"/>
      <c r="Q8" s="97"/>
      <c r="R8" s="98" t="s">
        <v>364</v>
      </c>
      <c r="S8" s="53"/>
    </row>
    <row r="9" spans="1:19" s="11" customFormat="1" ht="60" customHeight="1">
      <c r="A9" s="9" t="s">
        <v>16</v>
      </c>
      <c r="B9" s="37"/>
      <c r="C9" s="38"/>
      <c r="D9" s="92" t="s">
        <v>356</v>
      </c>
      <c r="E9" s="99" t="s">
        <v>357</v>
      </c>
      <c r="F9" s="92" t="s">
        <v>358</v>
      </c>
      <c r="G9" s="92" t="s">
        <v>359</v>
      </c>
      <c r="H9" s="92" t="s">
        <v>360</v>
      </c>
      <c r="I9" s="100" t="s">
        <v>361</v>
      </c>
      <c r="J9" s="92" t="s">
        <v>362</v>
      </c>
      <c r="K9" s="101"/>
      <c r="L9" s="33"/>
      <c r="M9" s="33"/>
      <c r="N9" s="33"/>
      <c r="O9" s="33"/>
      <c r="P9" s="98" t="s">
        <v>363</v>
      </c>
      <c r="Q9" s="53"/>
      <c r="R9" s="98" t="s">
        <v>365</v>
      </c>
      <c r="S9" s="53"/>
    </row>
    <row r="10" spans="1:19" s="11" customFormat="1" ht="39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58"/>
      <c r="L10" s="93" t="s">
        <v>361</v>
      </c>
      <c r="M10" s="93" t="s">
        <v>362</v>
      </c>
      <c r="N10" s="93" t="s">
        <v>361</v>
      </c>
      <c r="O10" s="93" t="s">
        <v>362</v>
      </c>
      <c r="P10" s="42"/>
      <c r="Q10" s="42"/>
      <c r="R10" s="43"/>
      <c r="S10" s="36"/>
    </row>
    <row r="11" spans="1:19" s="11" customFormat="1">
      <c r="A11" s="9">
        <v>10</v>
      </c>
      <c r="B11" s="37" t="s">
        <v>0</v>
      </c>
      <c r="C11" s="38"/>
      <c r="D11" s="28" t="s">
        <v>18</v>
      </c>
      <c r="E11" s="44" t="s">
        <v>19</v>
      </c>
      <c r="F11" s="45"/>
      <c r="G11" s="28"/>
      <c r="H11" s="57"/>
      <c r="I11" s="46"/>
      <c r="J11" s="47"/>
      <c r="K11" s="59"/>
      <c r="L11" s="48" t="s">
        <v>19</v>
      </c>
      <c r="M11" s="48"/>
      <c r="N11" s="48"/>
      <c r="O11" s="48"/>
      <c r="P11" s="35"/>
      <c r="Q11" s="36"/>
      <c r="R11" s="74"/>
      <c r="S11" s="49"/>
    </row>
    <row r="12" spans="1:19" s="11" customFormat="1">
      <c r="A12" s="9">
        <v>10</v>
      </c>
      <c r="B12" s="9"/>
      <c r="C12" s="9"/>
      <c r="D12" s="9" t="s">
        <v>98</v>
      </c>
      <c r="E12" s="50" t="s">
        <v>107</v>
      </c>
      <c r="F12" s="50"/>
      <c r="G12" s="51" t="s">
        <v>366</v>
      </c>
      <c r="H12" s="51" t="s">
        <v>226</v>
      </c>
      <c r="I12" s="9" t="s">
        <v>227</v>
      </c>
      <c r="J12" s="9"/>
      <c r="K12" s="9"/>
      <c r="L12" s="9"/>
      <c r="M12" s="9"/>
      <c r="N12" s="9"/>
      <c r="O12" s="9"/>
      <c r="P12" s="52"/>
      <c r="Q12" s="53"/>
      <c r="R12" s="150"/>
      <c r="S12" s="151"/>
    </row>
    <row r="13" spans="1:19" s="11" customFormat="1">
      <c r="A13" s="9">
        <v>10</v>
      </c>
      <c r="B13" s="9"/>
      <c r="C13" s="9"/>
      <c r="D13" s="9" t="s">
        <v>105</v>
      </c>
      <c r="E13" s="50" t="s">
        <v>108</v>
      </c>
      <c r="F13" s="50"/>
      <c r="G13" s="51" t="s">
        <v>402</v>
      </c>
      <c r="H13" s="51" t="s">
        <v>252</v>
      </c>
      <c r="I13" s="9" t="s">
        <v>227</v>
      </c>
      <c r="J13" s="9"/>
      <c r="K13" s="9"/>
      <c r="L13" s="9"/>
      <c r="M13" s="9"/>
      <c r="N13" s="9"/>
      <c r="O13" s="9"/>
      <c r="P13" s="52"/>
      <c r="Q13" s="53"/>
      <c r="R13" s="150"/>
      <c r="S13" s="151"/>
    </row>
    <row r="14" spans="1:19" s="11" customFormat="1">
      <c r="A14" s="9">
        <v>10</v>
      </c>
      <c r="B14" s="9"/>
      <c r="C14" s="9"/>
      <c r="D14" s="9" t="s">
        <v>99</v>
      </c>
      <c r="E14" s="50" t="s">
        <v>109</v>
      </c>
      <c r="F14" s="50"/>
      <c r="G14" s="51" t="s">
        <v>367</v>
      </c>
      <c r="H14" s="51" t="s">
        <v>269</v>
      </c>
      <c r="I14" s="9" t="s">
        <v>227</v>
      </c>
      <c r="J14" s="9"/>
      <c r="K14" s="9"/>
      <c r="L14" s="9"/>
      <c r="M14" s="9"/>
      <c r="N14" s="9"/>
      <c r="O14" s="9"/>
      <c r="P14" s="52"/>
      <c r="Q14" s="53"/>
      <c r="R14" s="150"/>
      <c r="S14" s="151"/>
    </row>
    <row r="15" spans="1:19" s="11" customFormat="1">
      <c r="A15" s="9">
        <v>10</v>
      </c>
      <c r="B15" s="9"/>
      <c r="C15" s="9"/>
      <c r="D15" s="9" t="s">
        <v>106</v>
      </c>
      <c r="E15" s="50" t="s">
        <v>110</v>
      </c>
      <c r="F15" s="50"/>
      <c r="G15" s="51" t="s">
        <v>403</v>
      </c>
      <c r="H15" s="51" t="s">
        <v>253</v>
      </c>
      <c r="I15" s="9" t="s">
        <v>227</v>
      </c>
      <c r="J15" s="9"/>
      <c r="K15" s="9"/>
      <c r="L15" s="9"/>
      <c r="M15" s="9"/>
      <c r="N15" s="9"/>
      <c r="O15" s="9"/>
      <c r="P15" s="60"/>
      <c r="Q15" s="61"/>
      <c r="R15" s="152"/>
      <c r="S15" s="151"/>
    </row>
    <row r="16" spans="1:19" s="11" customFormat="1" ht="26">
      <c r="A16" s="9">
        <v>10</v>
      </c>
      <c r="B16" s="9"/>
      <c r="C16" s="9"/>
      <c r="D16" s="9" t="s">
        <v>162</v>
      </c>
      <c r="E16" s="50" t="s">
        <v>48</v>
      </c>
      <c r="F16" s="50"/>
      <c r="G16" s="51" t="s">
        <v>404</v>
      </c>
      <c r="H16" s="51" t="s">
        <v>299</v>
      </c>
      <c r="I16" s="9" t="s">
        <v>227</v>
      </c>
      <c r="J16" s="9"/>
      <c r="K16" s="9"/>
      <c r="L16" s="9"/>
      <c r="M16" s="9"/>
      <c r="N16" s="9"/>
      <c r="O16" s="9"/>
      <c r="P16" s="60"/>
      <c r="Q16" s="61"/>
      <c r="R16" s="76"/>
      <c r="S16" s="75"/>
    </row>
    <row r="17" spans="1:19" s="11" customFormat="1" ht="26">
      <c r="A17" s="9">
        <v>10</v>
      </c>
      <c r="B17" s="9"/>
      <c r="C17" s="9"/>
      <c r="D17" s="9" t="s">
        <v>163</v>
      </c>
      <c r="E17" s="50" t="s">
        <v>48</v>
      </c>
      <c r="F17" s="50"/>
      <c r="G17" s="51" t="s">
        <v>405</v>
      </c>
      <c r="H17" s="51" t="s">
        <v>254</v>
      </c>
      <c r="I17" s="9" t="s">
        <v>227</v>
      </c>
      <c r="J17" s="9"/>
      <c r="K17" s="9"/>
      <c r="L17" s="9"/>
      <c r="M17" s="9"/>
      <c r="N17" s="9"/>
      <c r="O17" s="9"/>
      <c r="P17" s="60"/>
      <c r="Q17" s="61"/>
      <c r="R17" s="76"/>
      <c r="S17" s="75"/>
    </row>
    <row r="18" spans="1:19" s="11" customFormat="1">
      <c r="A18" s="9">
        <v>10</v>
      </c>
      <c r="B18" s="9"/>
      <c r="C18" s="9"/>
      <c r="D18" s="9" t="s">
        <v>39</v>
      </c>
      <c r="E18" s="50" t="s">
        <v>41</v>
      </c>
      <c r="F18" s="50"/>
      <c r="G18" s="51" t="s">
        <v>397</v>
      </c>
      <c r="H18" s="51" t="s">
        <v>290</v>
      </c>
      <c r="I18" s="9" t="s">
        <v>227</v>
      </c>
      <c r="J18" s="9"/>
      <c r="K18" s="9"/>
      <c r="L18" s="9"/>
      <c r="M18" s="9"/>
      <c r="N18" s="9"/>
      <c r="O18" s="9"/>
      <c r="P18" s="52"/>
      <c r="Q18" s="53"/>
      <c r="R18" s="150"/>
      <c r="S18" s="151"/>
    </row>
    <row r="19" spans="1:19" s="11" customFormat="1">
      <c r="A19" s="9">
        <v>10</v>
      </c>
      <c r="B19" s="9"/>
      <c r="C19" s="9"/>
      <c r="D19" s="9" t="s">
        <v>216</v>
      </c>
      <c r="E19" s="50" t="s">
        <v>217</v>
      </c>
      <c r="F19" s="50"/>
      <c r="G19" s="51" t="s">
        <v>398</v>
      </c>
      <c r="H19" s="51" t="s">
        <v>291</v>
      </c>
      <c r="I19" s="9" t="s">
        <v>227</v>
      </c>
      <c r="J19" s="9"/>
      <c r="K19" s="9"/>
      <c r="L19" s="9"/>
      <c r="M19" s="9"/>
      <c r="N19" s="9"/>
      <c r="O19" s="9"/>
      <c r="P19" s="60"/>
      <c r="Q19" s="61"/>
      <c r="R19" s="152"/>
      <c r="S19" s="151"/>
    </row>
    <row r="20" spans="1:19" s="11" customFormat="1">
      <c r="A20" s="9">
        <v>10</v>
      </c>
      <c r="B20" s="9"/>
      <c r="C20" s="9"/>
      <c r="D20" s="9" t="s">
        <v>43</v>
      </c>
      <c r="E20" s="50" t="s">
        <v>45</v>
      </c>
      <c r="F20" s="50"/>
      <c r="G20" s="51" t="s">
        <v>399</v>
      </c>
      <c r="H20" s="51" t="s">
        <v>292</v>
      </c>
      <c r="I20" s="9" t="s">
        <v>227</v>
      </c>
      <c r="J20" s="9"/>
      <c r="K20" s="9"/>
      <c r="L20" s="9"/>
      <c r="M20" s="9"/>
      <c r="N20" s="9"/>
      <c r="O20" s="9"/>
      <c r="P20" s="60"/>
      <c r="Q20" s="61"/>
      <c r="R20" s="152"/>
      <c r="S20" s="151"/>
    </row>
    <row r="21" spans="1:19" s="11" customFormat="1">
      <c r="A21" s="83"/>
      <c r="S21" s="56"/>
    </row>
    <row r="22" spans="1:19" s="11" customFormat="1">
      <c r="A22" s="9">
        <v>20</v>
      </c>
      <c r="B22" s="37" t="s">
        <v>0</v>
      </c>
      <c r="C22" s="38"/>
      <c r="D22" s="28" t="s">
        <v>218</v>
      </c>
      <c r="E22" s="44" t="s">
        <v>29</v>
      </c>
      <c r="F22" s="62"/>
      <c r="G22" s="28"/>
      <c r="H22" s="57"/>
      <c r="I22" s="63"/>
      <c r="J22" s="64"/>
      <c r="K22" s="64"/>
      <c r="L22" s="48"/>
      <c r="M22" s="48" t="s">
        <v>20</v>
      </c>
      <c r="N22" s="48"/>
      <c r="O22" s="48"/>
      <c r="P22" s="35"/>
      <c r="Q22" s="36"/>
      <c r="R22" s="74"/>
      <c r="S22" s="49"/>
    </row>
    <row r="23" spans="1:19" s="11" customFormat="1">
      <c r="A23" s="9">
        <v>20</v>
      </c>
      <c r="B23" s="9"/>
      <c r="C23" s="9"/>
      <c r="D23" s="9" t="s">
        <v>64</v>
      </c>
      <c r="E23" s="50" t="s">
        <v>48</v>
      </c>
      <c r="F23" s="50"/>
      <c r="G23" s="51" t="s">
        <v>400</v>
      </c>
      <c r="H23" s="51" t="s">
        <v>249</v>
      </c>
      <c r="I23" s="9"/>
      <c r="J23" s="9" t="s">
        <v>227</v>
      </c>
      <c r="K23" s="9" t="s">
        <v>111</v>
      </c>
      <c r="L23" s="9"/>
      <c r="M23" s="9" t="s">
        <v>227</v>
      </c>
      <c r="N23" s="9"/>
      <c r="O23" s="9"/>
      <c r="P23" s="52"/>
      <c r="Q23" s="53"/>
      <c r="R23" s="150"/>
      <c r="S23" s="151"/>
    </row>
    <row r="24" spans="1:19" s="11" customFormat="1">
      <c r="A24" s="9">
        <v>20</v>
      </c>
      <c r="B24" s="9"/>
      <c r="C24" s="9"/>
      <c r="D24" s="9" t="s">
        <v>98</v>
      </c>
      <c r="E24" s="50" t="s">
        <v>107</v>
      </c>
      <c r="F24" s="50"/>
      <c r="G24" s="51" t="s">
        <v>366</v>
      </c>
      <c r="H24" s="51" t="s">
        <v>226</v>
      </c>
      <c r="I24" s="9"/>
      <c r="J24" s="9" t="s">
        <v>227</v>
      </c>
      <c r="K24" s="9" t="s">
        <v>111</v>
      </c>
      <c r="L24" s="9"/>
      <c r="M24" s="9" t="s">
        <v>227</v>
      </c>
      <c r="N24" s="9"/>
      <c r="O24" s="9"/>
      <c r="P24" s="52"/>
      <c r="Q24" s="53"/>
      <c r="R24" s="150"/>
      <c r="S24" s="151"/>
    </row>
    <row r="25" spans="1:19" s="11" customFormat="1">
      <c r="A25" s="9">
        <v>20</v>
      </c>
      <c r="B25" s="9"/>
      <c r="C25" s="9"/>
      <c r="D25" s="9" t="s">
        <v>105</v>
      </c>
      <c r="E25" s="50" t="s">
        <v>108</v>
      </c>
      <c r="F25" s="50"/>
      <c r="G25" s="51" t="s">
        <v>402</v>
      </c>
      <c r="H25" s="51" t="s">
        <v>252</v>
      </c>
      <c r="I25" s="9"/>
      <c r="J25" s="9" t="s">
        <v>227</v>
      </c>
      <c r="K25" s="9" t="s">
        <v>111</v>
      </c>
      <c r="L25" s="9"/>
      <c r="M25" s="9" t="s">
        <v>227</v>
      </c>
      <c r="N25" s="9"/>
      <c r="O25" s="9"/>
      <c r="P25" s="52"/>
      <c r="Q25" s="53"/>
      <c r="R25" s="150"/>
      <c r="S25" s="151"/>
    </row>
    <row r="26" spans="1:19" s="11" customFormat="1">
      <c r="A26" s="9">
        <v>20</v>
      </c>
      <c r="B26" s="9"/>
      <c r="C26" s="9"/>
      <c r="D26" s="9" t="s">
        <v>99</v>
      </c>
      <c r="E26" s="50" t="s">
        <v>109</v>
      </c>
      <c r="F26" s="50"/>
      <c r="G26" s="51" t="s">
        <v>367</v>
      </c>
      <c r="H26" s="51" t="s">
        <v>269</v>
      </c>
      <c r="I26" s="9"/>
      <c r="J26" s="9" t="s">
        <v>227</v>
      </c>
      <c r="K26" s="9" t="s">
        <v>111</v>
      </c>
      <c r="L26" s="9"/>
      <c r="M26" s="9" t="s">
        <v>227</v>
      </c>
      <c r="N26" s="9"/>
      <c r="O26" s="9"/>
      <c r="P26" s="52"/>
      <c r="Q26" s="53"/>
      <c r="R26" s="150"/>
      <c r="S26" s="151"/>
    </row>
    <row r="27" spans="1:19" s="11" customFormat="1">
      <c r="A27" s="9">
        <v>20</v>
      </c>
      <c r="B27" s="9"/>
      <c r="C27" s="9"/>
      <c r="D27" s="9" t="s">
        <v>106</v>
      </c>
      <c r="E27" s="50" t="s">
        <v>110</v>
      </c>
      <c r="F27" s="50"/>
      <c r="G27" s="51" t="s">
        <v>403</v>
      </c>
      <c r="H27" s="51" t="s">
        <v>253</v>
      </c>
      <c r="I27" s="9"/>
      <c r="J27" s="9" t="s">
        <v>227</v>
      </c>
      <c r="K27" s="9" t="s">
        <v>111</v>
      </c>
      <c r="L27" s="9"/>
      <c r="M27" s="9" t="s">
        <v>227</v>
      </c>
      <c r="N27" s="9"/>
      <c r="O27" s="9"/>
      <c r="P27" s="52"/>
      <c r="Q27" s="53"/>
      <c r="R27" s="150"/>
      <c r="S27" s="151"/>
    </row>
    <row r="28" spans="1:19" s="11" customFormat="1">
      <c r="A28" s="9">
        <v>20</v>
      </c>
      <c r="B28" s="9"/>
      <c r="C28" s="9"/>
      <c r="D28" s="9" t="s">
        <v>199</v>
      </c>
      <c r="E28" s="50" t="s">
        <v>201</v>
      </c>
      <c r="F28" s="50"/>
      <c r="G28" s="51" t="s">
        <v>368</v>
      </c>
      <c r="H28" s="51" t="s">
        <v>271</v>
      </c>
      <c r="I28" s="9"/>
      <c r="J28" s="9" t="s">
        <v>227</v>
      </c>
      <c r="K28" s="9" t="s">
        <v>272</v>
      </c>
      <c r="L28" s="9"/>
      <c r="M28" s="9" t="s">
        <v>227</v>
      </c>
      <c r="N28" s="9"/>
      <c r="O28" s="9"/>
      <c r="P28" s="52"/>
      <c r="Q28" s="53"/>
      <c r="R28" s="150"/>
      <c r="S28" s="151"/>
    </row>
    <row r="29" spans="1:19" s="11" customFormat="1">
      <c r="A29" s="9">
        <v>20</v>
      </c>
      <c r="B29" s="9"/>
      <c r="C29" s="9"/>
      <c r="D29" s="9" t="s">
        <v>200</v>
      </c>
      <c r="E29" s="50" t="s">
        <v>202</v>
      </c>
      <c r="F29" s="50"/>
      <c r="G29" s="51" t="s">
        <v>406</v>
      </c>
      <c r="H29" s="51" t="s">
        <v>255</v>
      </c>
      <c r="I29" s="9"/>
      <c r="J29" s="9" t="s">
        <v>227</v>
      </c>
      <c r="K29" s="9" t="s">
        <v>111</v>
      </c>
      <c r="L29" s="9"/>
      <c r="M29" s="9"/>
      <c r="N29" s="9"/>
      <c r="O29" s="9"/>
      <c r="P29" s="52"/>
      <c r="Q29" s="53"/>
      <c r="R29" s="74"/>
      <c r="S29" s="75"/>
    </row>
    <row r="30" spans="1:19" s="11" customFormat="1">
      <c r="A30" s="9">
        <v>20</v>
      </c>
      <c r="B30" s="9"/>
      <c r="C30" s="9"/>
      <c r="D30" s="9" t="s">
        <v>112</v>
      </c>
      <c r="E30" s="50" t="s">
        <v>113</v>
      </c>
      <c r="F30" s="50"/>
      <c r="G30" s="51" t="s">
        <v>369</v>
      </c>
      <c r="H30" s="51" t="s">
        <v>273</v>
      </c>
      <c r="I30" s="9"/>
      <c r="J30" s="9" t="s">
        <v>227</v>
      </c>
      <c r="K30" s="9" t="s">
        <v>256</v>
      </c>
      <c r="L30" s="9"/>
      <c r="M30" s="9" t="s">
        <v>227</v>
      </c>
      <c r="N30" s="9"/>
      <c r="O30" s="9"/>
      <c r="P30" s="52"/>
      <c r="Q30" s="53"/>
      <c r="R30" s="74"/>
      <c r="S30" s="75"/>
    </row>
    <row r="31" spans="1:19" s="11" customFormat="1">
      <c r="A31" s="9">
        <v>20</v>
      </c>
      <c r="B31" s="9"/>
      <c r="C31" s="9"/>
      <c r="D31" s="9" t="s">
        <v>114</v>
      </c>
      <c r="E31" s="50" t="s">
        <v>115</v>
      </c>
      <c r="F31" s="50"/>
      <c r="G31" s="51" t="s">
        <v>407</v>
      </c>
      <c r="H31" s="51" t="s">
        <v>257</v>
      </c>
      <c r="I31" s="9"/>
      <c r="J31" s="9" t="s">
        <v>227</v>
      </c>
      <c r="K31" s="9" t="s">
        <v>111</v>
      </c>
      <c r="L31" s="9"/>
      <c r="M31" s="9"/>
      <c r="N31" s="9"/>
      <c r="O31" s="9"/>
      <c r="P31" s="52"/>
      <c r="Q31" s="53"/>
      <c r="R31" s="74"/>
      <c r="S31" s="75"/>
    </row>
    <row r="32" spans="1:19" s="11" customFormat="1">
      <c r="A32" s="9">
        <v>20</v>
      </c>
      <c r="B32" s="9"/>
      <c r="C32" s="9"/>
      <c r="D32" s="9" t="s">
        <v>116</v>
      </c>
      <c r="E32" s="50" t="s">
        <v>117</v>
      </c>
      <c r="F32" s="50"/>
      <c r="G32" s="51" t="s">
        <v>370</v>
      </c>
      <c r="H32" s="51" t="s">
        <v>274</v>
      </c>
      <c r="I32" s="9"/>
      <c r="J32" s="9" t="s">
        <v>227</v>
      </c>
      <c r="K32" s="9" t="s">
        <v>300</v>
      </c>
      <c r="L32" s="9"/>
      <c r="M32" s="9" t="s">
        <v>227</v>
      </c>
      <c r="N32" s="9"/>
      <c r="O32" s="9"/>
      <c r="P32" s="52"/>
      <c r="Q32" s="53"/>
      <c r="R32" s="74"/>
      <c r="S32" s="75"/>
    </row>
    <row r="33" spans="1:19" s="11" customFormat="1">
      <c r="A33" s="9">
        <v>20</v>
      </c>
      <c r="B33" s="9"/>
      <c r="C33" s="9"/>
      <c r="D33" s="9" t="s">
        <v>118</v>
      </c>
      <c r="E33" s="50" t="s">
        <v>119</v>
      </c>
      <c r="F33" s="50"/>
      <c r="G33" s="51" t="s">
        <v>408</v>
      </c>
      <c r="H33" s="51" t="s">
        <v>301</v>
      </c>
      <c r="I33" s="9"/>
      <c r="J33" s="9" t="s">
        <v>227</v>
      </c>
      <c r="K33" s="9" t="s">
        <v>111</v>
      </c>
      <c r="L33" s="9"/>
      <c r="M33" s="9"/>
      <c r="N33" s="9"/>
      <c r="O33" s="9"/>
      <c r="P33" s="52"/>
      <c r="Q33" s="53"/>
      <c r="R33" s="74"/>
      <c r="S33" s="75"/>
    </row>
    <row r="34" spans="1:19" s="11" customFormat="1">
      <c r="A34" s="9">
        <v>20</v>
      </c>
      <c r="B34" s="9"/>
      <c r="C34" s="9"/>
      <c r="D34" s="9" t="s">
        <v>173</v>
      </c>
      <c r="E34" s="50" t="s">
        <v>117</v>
      </c>
      <c r="F34" s="50"/>
      <c r="G34" s="51" t="s">
        <v>371</v>
      </c>
      <c r="H34" s="51" t="s">
        <v>276</v>
      </c>
      <c r="I34" s="9"/>
      <c r="J34" s="9" t="s">
        <v>227</v>
      </c>
      <c r="K34" s="9" t="s">
        <v>300</v>
      </c>
      <c r="L34" s="9"/>
      <c r="M34" s="9" t="s">
        <v>227</v>
      </c>
      <c r="N34" s="9"/>
      <c r="O34" s="9"/>
      <c r="P34" s="52"/>
      <c r="Q34" s="53"/>
      <c r="R34" s="74"/>
      <c r="S34" s="75"/>
    </row>
    <row r="35" spans="1:19" s="11" customFormat="1" ht="26">
      <c r="A35" s="9">
        <v>20</v>
      </c>
      <c r="B35" s="9"/>
      <c r="C35" s="9"/>
      <c r="D35" s="9" t="s">
        <v>185</v>
      </c>
      <c r="E35" s="50" t="s">
        <v>119</v>
      </c>
      <c r="F35" s="50"/>
      <c r="G35" s="51" t="s">
        <v>409</v>
      </c>
      <c r="H35" s="51" t="s">
        <v>258</v>
      </c>
      <c r="I35" s="9"/>
      <c r="J35" s="9" t="s">
        <v>227</v>
      </c>
      <c r="K35" s="9" t="s">
        <v>111</v>
      </c>
      <c r="L35" s="9"/>
      <c r="M35" s="9"/>
      <c r="N35" s="9"/>
      <c r="O35" s="9"/>
      <c r="P35" s="52"/>
      <c r="Q35" s="53"/>
      <c r="R35" s="74"/>
      <c r="S35" s="75"/>
    </row>
    <row r="36" spans="1:19" s="11" customFormat="1" ht="26">
      <c r="A36" s="9">
        <v>20</v>
      </c>
      <c r="B36" s="9"/>
      <c r="C36" s="9"/>
      <c r="D36" s="9" t="s">
        <v>174</v>
      </c>
      <c r="E36" s="50" t="s">
        <v>117</v>
      </c>
      <c r="F36" s="50"/>
      <c r="G36" s="51" t="s">
        <v>372</v>
      </c>
      <c r="H36" s="51" t="s">
        <v>277</v>
      </c>
      <c r="I36" s="9"/>
      <c r="J36" s="9" t="s">
        <v>227</v>
      </c>
      <c r="K36" s="9" t="s">
        <v>300</v>
      </c>
      <c r="L36" s="9"/>
      <c r="M36" s="9" t="s">
        <v>227</v>
      </c>
      <c r="N36" s="9"/>
      <c r="O36" s="9"/>
      <c r="P36" s="52"/>
      <c r="Q36" s="53"/>
      <c r="R36" s="74"/>
      <c r="S36" s="75"/>
    </row>
    <row r="37" spans="1:19" s="11" customFormat="1" ht="26">
      <c r="A37" s="9">
        <v>20</v>
      </c>
      <c r="B37" s="9"/>
      <c r="C37" s="9"/>
      <c r="D37" s="9" t="s">
        <v>186</v>
      </c>
      <c r="E37" s="50" t="s">
        <v>119</v>
      </c>
      <c r="F37" s="50"/>
      <c r="G37" s="51" t="s">
        <v>410</v>
      </c>
      <c r="H37" s="51" t="s">
        <v>302</v>
      </c>
      <c r="I37" s="9"/>
      <c r="J37" s="9" t="s">
        <v>227</v>
      </c>
      <c r="K37" s="9" t="s">
        <v>111</v>
      </c>
      <c r="L37" s="9"/>
      <c r="M37" s="9"/>
      <c r="N37" s="9"/>
      <c r="O37" s="9"/>
      <c r="P37" s="52"/>
      <c r="Q37" s="53"/>
      <c r="R37" s="74"/>
      <c r="S37" s="75"/>
    </row>
    <row r="38" spans="1:19" s="11" customFormat="1">
      <c r="A38" s="9">
        <v>20</v>
      </c>
      <c r="B38" s="9"/>
      <c r="C38" s="9"/>
      <c r="D38" s="9" t="s">
        <v>175</v>
      </c>
      <c r="E38" s="50" t="s">
        <v>117</v>
      </c>
      <c r="F38" s="50"/>
      <c r="G38" s="51" t="s">
        <v>373</v>
      </c>
      <c r="H38" s="51" t="s">
        <v>250</v>
      </c>
      <c r="I38" s="9"/>
      <c r="J38" s="9" t="s">
        <v>227</v>
      </c>
      <c r="K38" s="9" t="s">
        <v>300</v>
      </c>
      <c r="L38" s="9"/>
      <c r="M38" s="9" t="s">
        <v>227</v>
      </c>
      <c r="N38" s="9"/>
      <c r="O38" s="9"/>
      <c r="P38" s="52"/>
      <c r="Q38" s="53"/>
      <c r="R38" s="74"/>
      <c r="S38" s="75"/>
    </row>
    <row r="39" spans="1:19" s="11" customFormat="1" ht="26">
      <c r="A39" s="9">
        <v>20</v>
      </c>
      <c r="B39" s="9"/>
      <c r="C39" s="9"/>
      <c r="D39" s="9" t="s">
        <v>187</v>
      </c>
      <c r="E39" s="50" t="s">
        <v>119</v>
      </c>
      <c r="F39" s="50"/>
      <c r="G39" s="51" t="s">
        <v>411</v>
      </c>
      <c r="H39" s="51" t="s">
        <v>259</v>
      </c>
      <c r="I39" s="9"/>
      <c r="J39" s="9" t="s">
        <v>227</v>
      </c>
      <c r="K39" s="9" t="s">
        <v>111</v>
      </c>
      <c r="L39" s="9"/>
      <c r="M39" s="9"/>
      <c r="N39" s="9"/>
      <c r="O39" s="9"/>
      <c r="P39" s="52"/>
      <c r="Q39" s="53"/>
      <c r="R39" s="74"/>
      <c r="S39" s="75"/>
    </row>
    <row r="40" spans="1:19" s="11" customFormat="1">
      <c r="A40" s="9">
        <v>20</v>
      </c>
      <c r="B40" s="9"/>
      <c r="C40" s="9"/>
      <c r="D40" s="9" t="s">
        <v>176</v>
      </c>
      <c r="E40" s="50" t="s">
        <v>117</v>
      </c>
      <c r="F40" s="50"/>
      <c r="G40" s="51" t="s">
        <v>374</v>
      </c>
      <c r="H40" s="51" t="s">
        <v>278</v>
      </c>
      <c r="I40" s="9"/>
      <c r="J40" s="9" t="s">
        <v>227</v>
      </c>
      <c r="K40" s="9" t="s">
        <v>300</v>
      </c>
      <c r="L40" s="9"/>
      <c r="M40" s="9" t="s">
        <v>227</v>
      </c>
      <c r="N40" s="9"/>
      <c r="O40" s="9"/>
      <c r="P40" s="52"/>
      <c r="Q40" s="53"/>
      <c r="R40" s="74"/>
      <c r="S40" s="75"/>
    </row>
    <row r="41" spans="1:19" s="11" customFormat="1" ht="26">
      <c r="A41" s="9">
        <v>20</v>
      </c>
      <c r="B41" s="9"/>
      <c r="C41" s="9"/>
      <c r="D41" s="9" t="s">
        <v>188</v>
      </c>
      <c r="E41" s="50" t="s">
        <v>119</v>
      </c>
      <c r="F41" s="50"/>
      <c r="G41" s="51" t="s">
        <v>412</v>
      </c>
      <c r="H41" s="51" t="s">
        <v>303</v>
      </c>
      <c r="I41" s="9"/>
      <c r="J41" s="9" t="s">
        <v>227</v>
      </c>
      <c r="K41" s="9" t="s">
        <v>111</v>
      </c>
      <c r="L41" s="9"/>
      <c r="M41" s="9"/>
      <c r="N41" s="9"/>
      <c r="O41" s="9"/>
      <c r="P41" s="52"/>
      <c r="Q41" s="53"/>
      <c r="R41" s="74"/>
      <c r="S41" s="75"/>
    </row>
    <row r="42" spans="1:19" s="11" customFormat="1">
      <c r="A42" s="9">
        <v>20</v>
      </c>
      <c r="B42" s="9"/>
      <c r="C42" s="9"/>
      <c r="D42" s="9" t="s">
        <v>177</v>
      </c>
      <c r="E42" s="50" t="s">
        <v>117</v>
      </c>
      <c r="F42" s="50"/>
      <c r="G42" s="51" t="s">
        <v>375</v>
      </c>
      <c r="H42" s="51" t="s">
        <v>228</v>
      </c>
      <c r="I42" s="9"/>
      <c r="J42" s="9" t="s">
        <v>227</v>
      </c>
      <c r="K42" s="9" t="s">
        <v>300</v>
      </c>
      <c r="L42" s="9"/>
      <c r="M42" s="9" t="s">
        <v>227</v>
      </c>
      <c r="N42" s="9"/>
      <c r="O42" s="9"/>
      <c r="P42" s="52"/>
      <c r="Q42" s="53"/>
      <c r="R42" s="74"/>
      <c r="S42" s="75"/>
    </row>
    <row r="43" spans="1:19" s="11" customFormat="1" ht="26">
      <c r="A43" s="9">
        <v>20</v>
      </c>
      <c r="B43" s="9"/>
      <c r="C43" s="9"/>
      <c r="D43" s="9" t="s">
        <v>189</v>
      </c>
      <c r="E43" s="50" t="s">
        <v>119</v>
      </c>
      <c r="F43" s="50"/>
      <c r="G43" s="51" t="s">
        <v>413</v>
      </c>
      <c r="H43" s="51" t="s">
        <v>304</v>
      </c>
      <c r="I43" s="9"/>
      <c r="J43" s="9" t="s">
        <v>227</v>
      </c>
      <c r="K43" s="9" t="s">
        <v>111</v>
      </c>
      <c r="L43" s="9"/>
      <c r="M43" s="9"/>
      <c r="N43" s="9"/>
      <c r="O43" s="9"/>
      <c r="P43" s="52"/>
      <c r="Q43" s="53"/>
      <c r="R43" s="74"/>
      <c r="S43" s="75"/>
    </row>
    <row r="44" spans="1:19" s="11" customFormat="1">
      <c r="A44" s="9">
        <v>20</v>
      </c>
      <c r="B44" s="9"/>
      <c r="C44" s="9"/>
      <c r="D44" s="9" t="s">
        <v>178</v>
      </c>
      <c r="E44" s="50" t="s">
        <v>117</v>
      </c>
      <c r="F44" s="50"/>
      <c r="G44" s="51" t="s">
        <v>376</v>
      </c>
      <c r="H44" s="51" t="s">
        <v>229</v>
      </c>
      <c r="I44" s="9"/>
      <c r="J44" s="9" t="s">
        <v>227</v>
      </c>
      <c r="K44" s="9" t="s">
        <v>300</v>
      </c>
      <c r="L44" s="9"/>
      <c r="M44" s="9" t="s">
        <v>227</v>
      </c>
      <c r="N44" s="9"/>
      <c r="O44" s="9"/>
      <c r="P44" s="52"/>
      <c r="Q44" s="53"/>
      <c r="R44" s="74"/>
      <c r="S44" s="75"/>
    </row>
    <row r="45" spans="1:19" s="11" customFormat="1" ht="26">
      <c r="A45" s="9">
        <v>20</v>
      </c>
      <c r="B45" s="9"/>
      <c r="C45" s="9"/>
      <c r="D45" s="9" t="s">
        <v>190</v>
      </c>
      <c r="E45" s="50" t="s">
        <v>119</v>
      </c>
      <c r="F45" s="50"/>
      <c r="G45" s="51" t="s">
        <v>414</v>
      </c>
      <c r="H45" s="51" t="s">
        <v>305</v>
      </c>
      <c r="I45" s="9"/>
      <c r="J45" s="9" t="s">
        <v>227</v>
      </c>
      <c r="K45" s="9" t="s">
        <v>111</v>
      </c>
      <c r="L45" s="9"/>
      <c r="M45" s="9"/>
      <c r="N45" s="9"/>
      <c r="O45" s="9"/>
      <c r="P45" s="52"/>
      <c r="Q45" s="53"/>
      <c r="R45" s="74"/>
      <c r="S45" s="75"/>
    </row>
    <row r="46" spans="1:19" s="11" customFormat="1">
      <c r="A46" s="9">
        <v>20</v>
      </c>
      <c r="B46" s="9"/>
      <c r="C46" s="9"/>
      <c r="D46" s="9" t="s">
        <v>179</v>
      </c>
      <c r="E46" s="50" t="s">
        <v>120</v>
      </c>
      <c r="F46" s="50"/>
      <c r="G46" s="51" t="s">
        <v>377</v>
      </c>
      <c r="H46" s="51" t="s">
        <v>279</v>
      </c>
      <c r="I46" s="9"/>
      <c r="J46" s="9" t="s">
        <v>227</v>
      </c>
      <c r="K46" s="9" t="s">
        <v>306</v>
      </c>
      <c r="L46" s="9"/>
      <c r="M46" s="9" t="s">
        <v>227</v>
      </c>
      <c r="N46" s="9"/>
      <c r="O46" s="9"/>
      <c r="P46" s="52"/>
      <c r="Q46" s="53"/>
      <c r="R46" s="74"/>
      <c r="S46" s="75"/>
    </row>
    <row r="47" spans="1:19" s="11" customFormat="1" ht="26">
      <c r="A47" s="9">
        <v>20</v>
      </c>
      <c r="B47" s="9"/>
      <c r="C47" s="9"/>
      <c r="D47" s="9" t="s">
        <v>191</v>
      </c>
      <c r="E47" s="50" t="s">
        <v>121</v>
      </c>
      <c r="F47" s="50"/>
      <c r="G47" s="51" t="s">
        <v>415</v>
      </c>
      <c r="H47" s="51" t="s">
        <v>307</v>
      </c>
      <c r="I47" s="9"/>
      <c r="J47" s="9" t="s">
        <v>227</v>
      </c>
      <c r="K47" s="9" t="s">
        <v>111</v>
      </c>
      <c r="L47" s="9"/>
      <c r="M47" s="9"/>
      <c r="N47" s="9"/>
      <c r="O47" s="9"/>
      <c r="P47" s="52"/>
      <c r="Q47" s="53"/>
      <c r="R47" s="74"/>
      <c r="S47" s="75"/>
    </row>
    <row r="48" spans="1:19" s="11" customFormat="1" ht="26">
      <c r="A48" s="9">
        <v>20</v>
      </c>
      <c r="B48" s="9"/>
      <c r="C48" s="9"/>
      <c r="D48" s="9" t="s">
        <v>180</v>
      </c>
      <c r="E48" s="50" t="s">
        <v>120</v>
      </c>
      <c r="F48" s="50"/>
      <c r="G48" s="51" t="s">
        <v>378</v>
      </c>
      <c r="H48" s="51" t="s">
        <v>230</v>
      </c>
      <c r="I48" s="9"/>
      <c r="J48" s="9" t="s">
        <v>227</v>
      </c>
      <c r="K48" s="9" t="s">
        <v>306</v>
      </c>
      <c r="L48" s="9"/>
      <c r="M48" s="9" t="s">
        <v>227</v>
      </c>
      <c r="N48" s="9"/>
      <c r="O48" s="9"/>
      <c r="P48" s="52"/>
      <c r="Q48" s="53"/>
      <c r="R48" s="74"/>
      <c r="S48" s="75"/>
    </row>
    <row r="49" spans="1:19" s="11" customFormat="1" ht="26">
      <c r="A49" s="9">
        <v>20</v>
      </c>
      <c r="B49" s="9"/>
      <c r="C49" s="9"/>
      <c r="D49" s="9" t="s">
        <v>192</v>
      </c>
      <c r="E49" s="50" t="s">
        <v>121</v>
      </c>
      <c r="F49" s="50"/>
      <c r="G49" s="51" t="s">
        <v>416</v>
      </c>
      <c r="H49" s="51" t="s">
        <v>308</v>
      </c>
      <c r="I49" s="9"/>
      <c r="J49" s="9" t="s">
        <v>227</v>
      </c>
      <c r="K49" s="9" t="s">
        <v>111</v>
      </c>
      <c r="L49" s="9"/>
      <c r="M49" s="9"/>
      <c r="N49" s="9"/>
      <c r="O49" s="9"/>
      <c r="P49" s="52"/>
      <c r="Q49" s="53"/>
      <c r="R49" s="74"/>
      <c r="S49" s="75"/>
    </row>
    <row r="50" spans="1:19" s="11" customFormat="1">
      <c r="A50" s="9">
        <v>20</v>
      </c>
      <c r="B50" s="9"/>
      <c r="C50" s="9"/>
      <c r="D50" s="9" t="s">
        <v>181</v>
      </c>
      <c r="E50" s="50" t="s">
        <v>120</v>
      </c>
      <c r="F50" s="50"/>
      <c r="G50" s="51" t="s">
        <v>379</v>
      </c>
      <c r="H50" s="51" t="s">
        <v>281</v>
      </c>
      <c r="I50" s="9"/>
      <c r="J50" s="9" t="s">
        <v>227</v>
      </c>
      <c r="K50" s="9" t="s">
        <v>306</v>
      </c>
      <c r="L50" s="9"/>
      <c r="M50" s="9" t="s">
        <v>227</v>
      </c>
      <c r="N50" s="9"/>
      <c r="O50" s="9"/>
      <c r="P50" s="52"/>
      <c r="Q50" s="53"/>
      <c r="R50" s="74"/>
      <c r="S50" s="75"/>
    </row>
    <row r="51" spans="1:19" s="11" customFormat="1" ht="26">
      <c r="A51" s="9">
        <v>20</v>
      </c>
      <c r="B51" s="9"/>
      <c r="C51" s="9"/>
      <c r="D51" s="9" t="s">
        <v>193</v>
      </c>
      <c r="E51" s="50" t="s">
        <v>121</v>
      </c>
      <c r="F51" s="50"/>
      <c r="G51" s="51" t="s">
        <v>417</v>
      </c>
      <c r="H51" s="51" t="s">
        <v>309</v>
      </c>
      <c r="I51" s="9"/>
      <c r="J51" s="9" t="s">
        <v>227</v>
      </c>
      <c r="K51" s="9" t="s">
        <v>111</v>
      </c>
      <c r="L51" s="9"/>
      <c r="M51" s="9"/>
      <c r="N51" s="9"/>
      <c r="O51" s="9"/>
      <c r="P51" s="52"/>
      <c r="Q51" s="53"/>
      <c r="R51" s="74"/>
      <c r="S51" s="75"/>
    </row>
    <row r="52" spans="1:19" s="11" customFormat="1">
      <c r="A52" s="9">
        <v>20</v>
      </c>
      <c r="B52" s="9"/>
      <c r="C52" s="9"/>
      <c r="D52" s="9" t="s">
        <v>182</v>
      </c>
      <c r="E52" s="50" t="s">
        <v>120</v>
      </c>
      <c r="F52" s="50"/>
      <c r="G52" s="51" t="s">
        <v>380</v>
      </c>
      <c r="H52" s="51" t="s">
        <v>231</v>
      </c>
      <c r="I52" s="9"/>
      <c r="J52" s="9" t="s">
        <v>227</v>
      </c>
      <c r="K52" s="9" t="s">
        <v>306</v>
      </c>
      <c r="L52" s="9"/>
      <c r="M52" s="9" t="s">
        <v>227</v>
      </c>
      <c r="N52" s="9"/>
      <c r="O52" s="9"/>
      <c r="P52" s="52"/>
      <c r="Q52" s="53"/>
      <c r="R52" s="74"/>
      <c r="S52" s="75"/>
    </row>
    <row r="53" spans="1:19" s="11" customFormat="1" ht="26">
      <c r="A53" s="9">
        <v>20</v>
      </c>
      <c r="B53" s="9"/>
      <c r="C53" s="9"/>
      <c r="D53" s="9" t="s">
        <v>194</v>
      </c>
      <c r="E53" s="50" t="s">
        <v>121</v>
      </c>
      <c r="F53" s="50"/>
      <c r="G53" s="51" t="s">
        <v>418</v>
      </c>
      <c r="H53" s="51" t="s">
        <v>310</v>
      </c>
      <c r="I53" s="9"/>
      <c r="J53" s="9" t="s">
        <v>227</v>
      </c>
      <c r="K53" s="9" t="s">
        <v>111</v>
      </c>
      <c r="L53" s="9"/>
      <c r="M53" s="9"/>
      <c r="N53" s="9"/>
      <c r="O53" s="9"/>
      <c r="P53" s="52"/>
      <c r="Q53" s="53"/>
      <c r="R53" s="74"/>
      <c r="S53" s="75"/>
    </row>
    <row r="54" spans="1:19" s="11" customFormat="1">
      <c r="A54" s="9">
        <v>20</v>
      </c>
      <c r="B54" s="9"/>
      <c r="C54" s="9"/>
      <c r="D54" s="9" t="s">
        <v>183</v>
      </c>
      <c r="E54" s="50" t="s">
        <v>120</v>
      </c>
      <c r="F54" s="50"/>
      <c r="G54" s="51" t="s">
        <v>381</v>
      </c>
      <c r="H54" s="51" t="s">
        <v>232</v>
      </c>
      <c r="I54" s="9"/>
      <c r="J54" s="9" t="s">
        <v>227</v>
      </c>
      <c r="K54" s="9" t="s">
        <v>306</v>
      </c>
      <c r="L54" s="9"/>
      <c r="M54" s="9" t="s">
        <v>227</v>
      </c>
      <c r="N54" s="9"/>
      <c r="O54" s="9"/>
      <c r="P54" s="52"/>
      <c r="Q54" s="53"/>
      <c r="R54" s="74"/>
      <c r="S54" s="75"/>
    </row>
    <row r="55" spans="1:19" s="11" customFormat="1" ht="26">
      <c r="A55" s="9">
        <v>20</v>
      </c>
      <c r="B55" s="9"/>
      <c r="C55" s="9"/>
      <c r="D55" s="9" t="s">
        <v>195</v>
      </c>
      <c r="E55" s="50" t="s">
        <v>121</v>
      </c>
      <c r="F55" s="50"/>
      <c r="G55" s="51" t="s">
        <v>419</v>
      </c>
      <c r="H55" s="51" t="s">
        <v>311</v>
      </c>
      <c r="I55" s="9"/>
      <c r="J55" s="9" t="s">
        <v>227</v>
      </c>
      <c r="K55" s="9" t="s">
        <v>111</v>
      </c>
      <c r="L55" s="9"/>
      <c r="M55" s="9"/>
      <c r="N55" s="9"/>
      <c r="O55" s="9"/>
      <c r="P55" s="52"/>
      <c r="Q55" s="53"/>
      <c r="R55" s="74"/>
      <c r="S55" s="75"/>
    </row>
    <row r="56" spans="1:19" s="11" customFormat="1">
      <c r="A56" s="9">
        <v>20</v>
      </c>
      <c r="B56" s="9"/>
      <c r="C56" s="9"/>
      <c r="D56" s="9" t="s">
        <v>184</v>
      </c>
      <c r="E56" s="50" t="s">
        <v>120</v>
      </c>
      <c r="F56" s="50"/>
      <c r="G56" s="51" t="s">
        <v>382</v>
      </c>
      <c r="H56" s="51" t="s">
        <v>233</v>
      </c>
      <c r="I56" s="9"/>
      <c r="J56" s="9" t="s">
        <v>227</v>
      </c>
      <c r="K56" s="9" t="s">
        <v>306</v>
      </c>
      <c r="L56" s="9"/>
      <c r="M56" s="9" t="s">
        <v>227</v>
      </c>
      <c r="N56" s="9"/>
      <c r="O56" s="9"/>
      <c r="P56" s="52"/>
      <c r="Q56" s="53"/>
      <c r="R56" s="74"/>
      <c r="S56" s="75"/>
    </row>
    <row r="57" spans="1:19" s="11" customFormat="1" ht="26">
      <c r="A57" s="9">
        <v>20</v>
      </c>
      <c r="B57" s="9"/>
      <c r="C57" s="9"/>
      <c r="D57" s="9" t="s">
        <v>196</v>
      </c>
      <c r="E57" s="50" t="s">
        <v>121</v>
      </c>
      <c r="F57" s="50"/>
      <c r="G57" s="51" t="s">
        <v>420</v>
      </c>
      <c r="H57" s="51" t="s">
        <v>312</v>
      </c>
      <c r="I57" s="9"/>
      <c r="J57" s="9" t="s">
        <v>227</v>
      </c>
      <c r="K57" s="9" t="s">
        <v>111</v>
      </c>
      <c r="L57" s="9"/>
      <c r="M57" s="9"/>
      <c r="N57" s="9"/>
      <c r="O57" s="9"/>
      <c r="P57" s="52"/>
      <c r="Q57" s="53"/>
      <c r="R57" s="74"/>
      <c r="S57" s="75"/>
    </row>
    <row r="58" spans="1:19" s="11" customFormat="1">
      <c r="A58" s="9">
        <v>20</v>
      </c>
      <c r="B58" s="9"/>
      <c r="C58" s="9"/>
      <c r="D58" s="9" t="s">
        <v>122</v>
      </c>
      <c r="E58" s="50" t="s">
        <v>123</v>
      </c>
      <c r="F58" s="50"/>
      <c r="G58" s="51" t="s">
        <v>383</v>
      </c>
      <c r="H58" s="51" t="s">
        <v>234</v>
      </c>
      <c r="I58" s="9"/>
      <c r="J58" s="9" t="s">
        <v>227</v>
      </c>
      <c r="K58" s="9" t="s">
        <v>313</v>
      </c>
      <c r="L58" s="9"/>
      <c r="M58" s="9" t="s">
        <v>227</v>
      </c>
      <c r="N58" s="9"/>
      <c r="O58" s="9"/>
      <c r="P58" s="52"/>
      <c r="Q58" s="53"/>
      <c r="R58" s="74"/>
      <c r="S58" s="75"/>
    </row>
    <row r="59" spans="1:19" s="11" customFormat="1">
      <c r="A59" s="9">
        <v>20</v>
      </c>
      <c r="B59" s="9"/>
      <c r="C59" s="9"/>
      <c r="D59" s="9" t="s">
        <v>124</v>
      </c>
      <c r="E59" s="50" t="s">
        <v>125</v>
      </c>
      <c r="F59" s="50"/>
      <c r="G59" s="51" t="s">
        <v>421</v>
      </c>
      <c r="H59" s="51" t="s">
        <v>314</v>
      </c>
      <c r="I59" s="9"/>
      <c r="J59" s="9" t="s">
        <v>227</v>
      </c>
      <c r="K59" s="9" t="s">
        <v>111</v>
      </c>
      <c r="L59" s="9"/>
      <c r="M59" s="9"/>
      <c r="N59" s="9"/>
      <c r="O59" s="9"/>
      <c r="P59" s="52"/>
      <c r="Q59" s="53"/>
      <c r="R59" s="74"/>
      <c r="S59" s="75"/>
    </row>
    <row r="60" spans="1:19" s="11" customFormat="1" ht="26">
      <c r="A60" s="9">
        <v>20</v>
      </c>
      <c r="B60" s="9"/>
      <c r="C60" s="9"/>
      <c r="D60" s="9" t="s">
        <v>126</v>
      </c>
      <c r="E60" s="50" t="s">
        <v>127</v>
      </c>
      <c r="F60" s="50"/>
      <c r="G60" s="51" t="s">
        <v>384</v>
      </c>
      <c r="H60" s="51" t="s">
        <v>283</v>
      </c>
      <c r="I60" s="9"/>
      <c r="J60" s="9" t="s">
        <v>227</v>
      </c>
      <c r="K60" s="9" t="s">
        <v>111</v>
      </c>
      <c r="L60" s="9"/>
      <c r="M60" s="9" t="s">
        <v>227</v>
      </c>
      <c r="N60" s="9"/>
      <c r="O60" s="9"/>
      <c r="P60" s="52"/>
      <c r="Q60" s="53"/>
      <c r="R60" s="74"/>
      <c r="S60" s="75"/>
    </row>
    <row r="61" spans="1:19" s="11" customFormat="1">
      <c r="A61" s="9">
        <v>20</v>
      </c>
      <c r="B61" s="9"/>
      <c r="C61" s="9"/>
      <c r="D61" s="9" t="s">
        <v>128</v>
      </c>
      <c r="E61" s="50" t="s">
        <v>123</v>
      </c>
      <c r="F61" s="50"/>
      <c r="G61" s="51" t="s">
        <v>385</v>
      </c>
      <c r="H61" s="51" t="s">
        <v>297</v>
      </c>
      <c r="I61" s="9"/>
      <c r="J61" s="9" t="s">
        <v>227</v>
      </c>
      <c r="K61" s="9" t="s">
        <v>313</v>
      </c>
      <c r="L61" s="9"/>
      <c r="M61" s="9" t="s">
        <v>227</v>
      </c>
      <c r="N61" s="9"/>
      <c r="O61" s="9"/>
      <c r="P61" s="52"/>
      <c r="Q61" s="53"/>
      <c r="R61" s="74"/>
      <c r="S61" s="75"/>
    </row>
    <row r="62" spans="1:19" s="11" customFormat="1" ht="26">
      <c r="A62" s="9">
        <v>20</v>
      </c>
      <c r="B62" s="9"/>
      <c r="C62" s="9"/>
      <c r="D62" s="9" t="s">
        <v>129</v>
      </c>
      <c r="E62" s="50" t="s">
        <v>125</v>
      </c>
      <c r="F62" s="50"/>
      <c r="G62" s="51" t="s">
        <v>422</v>
      </c>
      <c r="H62" s="51" t="s">
        <v>315</v>
      </c>
      <c r="I62" s="9"/>
      <c r="J62" s="9" t="s">
        <v>227</v>
      </c>
      <c r="K62" s="9" t="s">
        <v>111</v>
      </c>
      <c r="L62" s="9"/>
      <c r="M62" s="9"/>
      <c r="N62" s="9"/>
      <c r="O62" s="9"/>
      <c r="P62" s="52"/>
      <c r="Q62" s="53"/>
      <c r="R62" s="74"/>
      <c r="S62" s="75"/>
    </row>
    <row r="63" spans="1:19" s="11" customFormat="1" ht="26">
      <c r="A63" s="9">
        <v>20</v>
      </c>
      <c r="B63" s="9"/>
      <c r="C63" s="9"/>
      <c r="D63" s="9" t="s">
        <v>130</v>
      </c>
      <c r="E63" s="50" t="s">
        <v>127</v>
      </c>
      <c r="F63" s="50"/>
      <c r="G63" s="51" t="s">
        <v>386</v>
      </c>
      <c r="H63" s="51" t="s">
        <v>236</v>
      </c>
      <c r="I63" s="9"/>
      <c r="J63" s="9" t="s">
        <v>227</v>
      </c>
      <c r="K63" s="9" t="s">
        <v>111</v>
      </c>
      <c r="L63" s="9"/>
      <c r="M63" s="9" t="s">
        <v>227</v>
      </c>
      <c r="N63" s="9"/>
      <c r="O63" s="9"/>
      <c r="P63" s="52"/>
      <c r="Q63" s="53"/>
      <c r="R63" s="74"/>
      <c r="S63" s="75"/>
    </row>
    <row r="64" spans="1:19" s="11" customFormat="1">
      <c r="A64" s="9">
        <v>20</v>
      </c>
      <c r="B64" s="9"/>
      <c r="C64" s="9"/>
      <c r="D64" s="9" t="s">
        <v>131</v>
      </c>
      <c r="E64" s="50" t="s">
        <v>132</v>
      </c>
      <c r="F64" s="50"/>
      <c r="G64" s="51" t="s">
        <v>387</v>
      </c>
      <c r="H64" s="51" t="s">
        <v>237</v>
      </c>
      <c r="I64" s="9"/>
      <c r="J64" s="9" t="s">
        <v>227</v>
      </c>
      <c r="K64" s="9" t="s">
        <v>284</v>
      </c>
      <c r="L64" s="9"/>
      <c r="M64" s="9" t="s">
        <v>227</v>
      </c>
      <c r="N64" s="9"/>
      <c r="O64" s="9"/>
      <c r="P64" s="52"/>
      <c r="Q64" s="53"/>
      <c r="R64" s="74"/>
      <c r="S64" s="75"/>
    </row>
    <row r="65" spans="1:19" s="11" customFormat="1">
      <c r="A65" s="9">
        <v>20</v>
      </c>
      <c r="B65" s="9"/>
      <c r="C65" s="9"/>
      <c r="D65" s="9" t="s">
        <v>133</v>
      </c>
      <c r="E65" s="50" t="s">
        <v>134</v>
      </c>
      <c r="F65" s="50"/>
      <c r="G65" s="51" t="s">
        <v>423</v>
      </c>
      <c r="H65" s="51" t="s">
        <v>316</v>
      </c>
      <c r="I65" s="9"/>
      <c r="J65" s="9" t="s">
        <v>227</v>
      </c>
      <c r="K65" s="9" t="s">
        <v>111</v>
      </c>
      <c r="L65" s="9"/>
      <c r="M65" s="9"/>
      <c r="N65" s="9"/>
      <c r="O65" s="9"/>
      <c r="P65" s="52"/>
      <c r="Q65" s="53"/>
      <c r="R65" s="74"/>
      <c r="S65" s="75"/>
    </row>
    <row r="66" spans="1:19" s="11" customFormat="1">
      <c r="A66" s="9">
        <v>20</v>
      </c>
      <c r="B66" s="9"/>
      <c r="C66" s="9"/>
      <c r="D66" s="9" t="s">
        <v>135</v>
      </c>
      <c r="E66" s="50" t="s">
        <v>136</v>
      </c>
      <c r="F66" s="50"/>
      <c r="G66" s="51" t="s">
        <v>388</v>
      </c>
      <c r="H66" s="51" t="s">
        <v>238</v>
      </c>
      <c r="I66" s="9"/>
      <c r="J66" s="9" t="s">
        <v>227</v>
      </c>
      <c r="K66" s="9" t="s">
        <v>239</v>
      </c>
      <c r="L66" s="9"/>
      <c r="M66" s="9" t="s">
        <v>227</v>
      </c>
      <c r="N66" s="9"/>
      <c r="O66" s="9"/>
      <c r="P66" s="52"/>
      <c r="Q66" s="53"/>
      <c r="R66" s="74"/>
      <c r="S66" s="75"/>
    </row>
    <row r="67" spans="1:19" s="11" customFormat="1">
      <c r="A67" s="9">
        <v>20</v>
      </c>
      <c r="B67" s="9"/>
      <c r="C67" s="9"/>
      <c r="D67" s="9" t="s">
        <v>137</v>
      </c>
      <c r="E67" s="50" t="s">
        <v>138</v>
      </c>
      <c r="F67" s="50"/>
      <c r="G67" s="51" t="s">
        <v>424</v>
      </c>
      <c r="H67" s="51" t="s">
        <v>317</v>
      </c>
      <c r="I67" s="9"/>
      <c r="J67" s="9" t="s">
        <v>227</v>
      </c>
      <c r="K67" s="9" t="s">
        <v>111</v>
      </c>
      <c r="L67" s="9"/>
      <c r="M67" s="9"/>
      <c r="N67" s="9"/>
      <c r="O67" s="9"/>
      <c r="P67" s="52"/>
      <c r="Q67" s="53"/>
      <c r="R67" s="74"/>
      <c r="S67" s="75"/>
    </row>
    <row r="68" spans="1:19" s="11" customFormat="1">
      <c r="A68" s="9">
        <v>20</v>
      </c>
      <c r="B68" s="9"/>
      <c r="C68" s="9"/>
      <c r="D68" s="9" t="s">
        <v>139</v>
      </c>
      <c r="E68" s="50" t="s">
        <v>140</v>
      </c>
      <c r="F68" s="50"/>
      <c r="G68" s="51" t="s">
        <v>389</v>
      </c>
      <c r="H68" s="51" t="s">
        <v>285</v>
      </c>
      <c r="I68" s="9"/>
      <c r="J68" s="9" t="s">
        <v>227</v>
      </c>
      <c r="K68" s="9" t="s">
        <v>240</v>
      </c>
      <c r="L68" s="9"/>
      <c r="M68" s="9" t="s">
        <v>227</v>
      </c>
      <c r="N68" s="9"/>
      <c r="O68" s="9"/>
      <c r="P68" s="52"/>
      <c r="Q68" s="53"/>
      <c r="R68" s="74"/>
      <c r="S68" s="75"/>
    </row>
    <row r="69" spans="1:19" s="11" customFormat="1">
      <c r="A69" s="9">
        <v>20</v>
      </c>
      <c r="B69" s="9"/>
      <c r="C69" s="9"/>
      <c r="D69" s="9" t="s">
        <v>141</v>
      </c>
      <c r="E69" s="50" t="s">
        <v>142</v>
      </c>
      <c r="F69" s="50"/>
      <c r="G69" s="51" t="s">
        <v>425</v>
      </c>
      <c r="H69" s="51" t="s">
        <v>318</v>
      </c>
      <c r="I69" s="9"/>
      <c r="J69" s="9" t="s">
        <v>227</v>
      </c>
      <c r="K69" s="9" t="s">
        <v>111</v>
      </c>
      <c r="L69" s="9"/>
      <c r="M69" s="9"/>
      <c r="N69" s="9"/>
      <c r="O69" s="9"/>
      <c r="P69" s="52"/>
      <c r="Q69" s="53"/>
      <c r="R69" s="74"/>
      <c r="S69" s="75"/>
    </row>
    <row r="70" spans="1:19" s="11" customFormat="1">
      <c r="A70" s="9">
        <v>20</v>
      </c>
      <c r="B70" s="9"/>
      <c r="C70" s="9"/>
      <c r="D70" s="9" t="s">
        <v>143</v>
      </c>
      <c r="E70" s="50" t="s">
        <v>144</v>
      </c>
      <c r="F70" s="50"/>
      <c r="G70" s="51" t="s">
        <v>390</v>
      </c>
      <c r="H70" s="51" t="s">
        <v>286</v>
      </c>
      <c r="I70" s="9"/>
      <c r="J70" s="9" t="s">
        <v>227</v>
      </c>
      <c r="K70" s="9" t="s">
        <v>111</v>
      </c>
      <c r="L70" s="9"/>
      <c r="M70" s="9" t="s">
        <v>227</v>
      </c>
      <c r="N70" s="9"/>
      <c r="O70" s="9"/>
      <c r="P70" s="52"/>
      <c r="Q70" s="53"/>
      <c r="R70" s="74"/>
      <c r="S70" s="75"/>
    </row>
    <row r="71" spans="1:19" s="11" customFormat="1">
      <c r="A71" s="9">
        <v>20</v>
      </c>
      <c r="B71" s="9"/>
      <c r="C71" s="9"/>
      <c r="D71" s="9" t="s">
        <v>145</v>
      </c>
      <c r="E71" s="50" t="s">
        <v>146</v>
      </c>
      <c r="F71" s="50"/>
      <c r="G71" s="51" t="s">
        <v>426</v>
      </c>
      <c r="H71" s="51" t="s">
        <v>319</v>
      </c>
      <c r="I71" s="9"/>
      <c r="J71" s="9" t="s">
        <v>227</v>
      </c>
      <c r="K71" s="9" t="s">
        <v>111</v>
      </c>
      <c r="L71" s="9"/>
      <c r="M71" s="9" t="s">
        <v>227</v>
      </c>
      <c r="N71" s="9"/>
      <c r="O71" s="9"/>
      <c r="P71" s="52"/>
      <c r="Q71" s="53"/>
      <c r="R71" s="74"/>
      <c r="S71" s="75"/>
    </row>
    <row r="72" spans="1:19" s="11" customFormat="1">
      <c r="A72" s="9">
        <v>20</v>
      </c>
      <c r="B72" s="9"/>
      <c r="C72" s="9"/>
      <c r="D72" s="9" t="s">
        <v>147</v>
      </c>
      <c r="E72" s="50" t="s">
        <v>144</v>
      </c>
      <c r="F72" s="50"/>
      <c r="G72" s="51" t="s">
        <v>391</v>
      </c>
      <c r="H72" s="51" t="s">
        <v>242</v>
      </c>
      <c r="I72" s="9"/>
      <c r="J72" s="9" t="s">
        <v>227</v>
      </c>
      <c r="K72" s="9" t="s">
        <v>111</v>
      </c>
      <c r="L72" s="9"/>
      <c r="M72" s="9" t="s">
        <v>227</v>
      </c>
      <c r="N72" s="9"/>
      <c r="O72" s="9"/>
      <c r="P72" s="52"/>
      <c r="Q72" s="53"/>
      <c r="R72" s="74"/>
      <c r="S72" s="75"/>
    </row>
    <row r="73" spans="1:19" s="11" customFormat="1">
      <c r="A73" s="9">
        <v>20</v>
      </c>
      <c r="B73" s="9"/>
      <c r="C73" s="9"/>
      <c r="D73" s="9" t="s">
        <v>148</v>
      </c>
      <c r="E73" s="50" t="s">
        <v>146</v>
      </c>
      <c r="F73" s="50"/>
      <c r="G73" s="51" t="s">
        <v>427</v>
      </c>
      <c r="H73" s="51" t="s">
        <v>320</v>
      </c>
      <c r="I73" s="9"/>
      <c r="J73" s="9" t="s">
        <v>227</v>
      </c>
      <c r="K73" s="9" t="s">
        <v>111</v>
      </c>
      <c r="L73" s="9"/>
      <c r="M73" s="9" t="s">
        <v>227</v>
      </c>
      <c r="N73" s="9"/>
      <c r="O73" s="9"/>
      <c r="P73" s="52"/>
      <c r="Q73" s="53"/>
      <c r="R73" s="74"/>
      <c r="S73" s="75"/>
    </row>
    <row r="74" spans="1:19" s="11" customFormat="1">
      <c r="A74" s="9">
        <v>20</v>
      </c>
      <c r="B74" s="9"/>
      <c r="C74" s="9"/>
      <c r="D74" s="9" t="s">
        <v>149</v>
      </c>
      <c r="E74" s="50" t="s">
        <v>144</v>
      </c>
      <c r="F74" s="50"/>
      <c r="G74" s="51" t="s">
        <v>392</v>
      </c>
      <c r="H74" s="51" t="s">
        <v>243</v>
      </c>
      <c r="I74" s="9"/>
      <c r="J74" s="9" t="s">
        <v>227</v>
      </c>
      <c r="K74" s="9" t="s">
        <v>111</v>
      </c>
      <c r="L74" s="9"/>
      <c r="M74" s="9" t="s">
        <v>227</v>
      </c>
      <c r="N74" s="9"/>
      <c r="O74" s="9"/>
      <c r="P74" s="52"/>
      <c r="Q74" s="53"/>
      <c r="R74" s="74"/>
      <c r="S74" s="75"/>
    </row>
    <row r="75" spans="1:19" s="11" customFormat="1">
      <c r="A75" s="9">
        <v>20</v>
      </c>
      <c r="B75" s="9"/>
      <c r="C75" s="9"/>
      <c r="D75" s="9" t="s">
        <v>150</v>
      </c>
      <c r="E75" s="50" t="s">
        <v>146</v>
      </c>
      <c r="F75" s="50"/>
      <c r="G75" s="51" t="s">
        <v>428</v>
      </c>
      <c r="H75" s="51" t="s">
        <v>321</v>
      </c>
      <c r="I75" s="9"/>
      <c r="J75" s="9" t="s">
        <v>227</v>
      </c>
      <c r="K75" s="9" t="s">
        <v>111</v>
      </c>
      <c r="L75" s="9"/>
      <c r="M75" s="9" t="s">
        <v>227</v>
      </c>
      <c r="N75" s="9"/>
      <c r="O75" s="9"/>
      <c r="P75" s="52"/>
      <c r="Q75" s="53"/>
      <c r="R75" s="74"/>
      <c r="S75" s="75"/>
    </row>
    <row r="76" spans="1:19" s="11" customFormat="1">
      <c r="A76" s="9">
        <v>20</v>
      </c>
      <c r="B76" s="9"/>
      <c r="C76" s="9"/>
      <c r="D76" s="9" t="s">
        <v>151</v>
      </c>
      <c r="E76" s="50" t="s">
        <v>144</v>
      </c>
      <c r="F76" s="50"/>
      <c r="G76" s="51" t="s">
        <v>393</v>
      </c>
      <c r="H76" s="51" t="s">
        <v>244</v>
      </c>
      <c r="I76" s="9"/>
      <c r="J76" s="9" t="s">
        <v>227</v>
      </c>
      <c r="K76" s="9" t="s">
        <v>111</v>
      </c>
      <c r="L76" s="9"/>
      <c r="M76" s="9" t="s">
        <v>227</v>
      </c>
      <c r="N76" s="9"/>
      <c r="O76" s="9"/>
      <c r="P76" s="52"/>
      <c r="Q76" s="53"/>
      <c r="R76" s="74"/>
      <c r="S76" s="75"/>
    </row>
    <row r="77" spans="1:19" s="11" customFormat="1">
      <c r="A77" s="9">
        <v>20</v>
      </c>
      <c r="B77" s="9"/>
      <c r="C77" s="9"/>
      <c r="D77" s="9" t="s">
        <v>152</v>
      </c>
      <c r="E77" s="50" t="s">
        <v>146</v>
      </c>
      <c r="F77" s="50"/>
      <c r="G77" s="51" t="s">
        <v>429</v>
      </c>
      <c r="H77" s="51" t="s">
        <v>322</v>
      </c>
      <c r="I77" s="9"/>
      <c r="J77" s="9" t="s">
        <v>227</v>
      </c>
      <c r="K77" s="9" t="s">
        <v>111</v>
      </c>
      <c r="L77" s="9"/>
      <c r="M77" s="9" t="s">
        <v>227</v>
      </c>
      <c r="N77" s="9"/>
      <c r="O77" s="9"/>
      <c r="P77" s="52"/>
      <c r="Q77" s="53"/>
      <c r="R77" s="74"/>
      <c r="S77" s="75"/>
    </row>
    <row r="78" spans="1:19" s="11" customFormat="1">
      <c r="A78" s="9">
        <v>20</v>
      </c>
      <c r="B78" s="9"/>
      <c r="C78" s="9"/>
      <c r="D78" s="9" t="s">
        <v>153</v>
      </c>
      <c r="E78" s="50" t="s">
        <v>144</v>
      </c>
      <c r="F78" s="50"/>
      <c r="G78" s="51" t="s">
        <v>394</v>
      </c>
      <c r="H78" s="51" t="s">
        <v>287</v>
      </c>
      <c r="I78" s="9"/>
      <c r="J78" s="9" t="s">
        <v>227</v>
      </c>
      <c r="K78" s="9" t="s">
        <v>111</v>
      </c>
      <c r="L78" s="9"/>
      <c r="M78" s="9" t="s">
        <v>227</v>
      </c>
      <c r="N78" s="9"/>
      <c r="O78" s="9"/>
      <c r="P78" s="52"/>
      <c r="Q78" s="53"/>
      <c r="R78" s="74"/>
      <c r="S78" s="75"/>
    </row>
    <row r="79" spans="1:19" s="11" customFormat="1">
      <c r="A79" s="9">
        <v>20</v>
      </c>
      <c r="B79" s="9"/>
      <c r="C79" s="9"/>
      <c r="D79" s="9" t="s">
        <v>154</v>
      </c>
      <c r="E79" s="50" t="s">
        <v>146</v>
      </c>
      <c r="F79" s="50"/>
      <c r="G79" s="51" t="s">
        <v>430</v>
      </c>
      <c r="H79" s="51" t="s">
        <v>323</v>
      </c>
      <c r="I79" s="9"/>
      <c r="J79" s="9" t="s">
        <v>227</v>
      </c>
      <c r="K79" s="9" t="s">
        <v>111</v>
      </c>
      <c r="L79" s="9"/>
      <c r="M79" s="9" t="s">
        <v>227</v>
      </c>
      <c r="N79" s="9"/>
      <c r="O79" s="9"/>
      <c r="P79" s="52"/>
      <c r="Q79" s="53"/>
      <c r="R79" s="74"/>
      <c r="S79" s="75"/>
    </row>
    <row r="80" spans="1:19" s="11" customFormat="1" ht="26">
      <c r="A80" s="9">
        <v>20</v>
      </c>
      <c r="B80" s="9"/>
      <c r="C80" s="9"/>
      <c r="D80" s="9" t="s">
        <v>155</v>
      </c>
      <c r="E80" s="50" t="s">
        <v>144</v>
      </c>
      <c r="F80" s="50"/>
      <c r="G80" s="51" t="s">
        <v>395</v>
      </c>
      <c r="H80" s="51" t="s">
        <v>288</v>
      </c>
      <c r="I80" s="9"/>
      <c r="J80" s="9" t="s">
        <v>227</v>
      </c>
      <c r="K80" s="9" t="s">
        <v>111</v>
      </c>
      <c r="L80" s="9"/>
      <c r="M80" s="9" t="s">
        <v>227</v>
      </c>
      <c r="N80" s="9"/>
      <c r="O80" s="9"/>
      <c r="P80" s="52"/>
      <c r="Q80" s="53"/>
      <c r="R80" s="74"/>
      <c r="S80" s="75"/>
    </row>
    <row r="81" spans="1:19" s="11" customFormat="1" ht="26">
      <c r="A81" s="9">
        <v>20</v>
      </c>
      <c r="B81" s="9"/>
      <c r="C81" s="9"/>
      <c r="D81" s="9" t="s">
        <v>156</v>
      </c>
      <c r="E81" s="50" t="s">
        <v>146</v>
      </c>
      <c r="F81" s="50"/>
      <c r="G81" s="51" t="s">
        <v>431</v>
      </c>
      <c r="H81" s="51" t="s">
        <v>324</v>
      </c>
      <c r="I81" s="9"/>
      <c r="J81" s="9" t="s">
        <v>227</v>
      </c>
      <c r="K81" s="9" t="s">
        <v>111</v>
      </c>
      <c r="L81" s="9"/>
      <c r="M81" s="9" t="s">
        <v>227</v>
      </c>
      <c r="N81" s="9"/>
      <c r="O81" s="9"/>
      <c r="P81" s="52"/>
      <c r="Q81" s="53"/>
      <c r="R81" s="74"/>
      <c r="S81" s="75"/>
    </row>
    <row r="82" spans="1:19" s="11" customFormat="1">
      <c r="A82" s="9">
        <v>20</v>
      </c>
      <c r="B82" s="9"/>
      <c r="C82" s="9"/>
      <c r="D82" s="9" t="s">
        <v>157</v>
      </c>
      <c r="E82" s="50" t="s">
        <v>158</v>
      </c>
      <c r="F82" s="50"/>
      <c r="G82" s="51" t="s">
        <v>396</v>
      </c>
      <c r="H82" s="51" t="s">
        <v>289</v>
      </c>
      <c r="I82" s="9"/>
      <c r="J82" s="9" t="s">
        <v>227</v>
      </c>
      <c r="K82" s="9" t="s">
        <v>248</v>
      </c>
      <c r="L82" s="9"/>
      <c r="M82" s="9" t="s">
        <v>227</v>
      </c>
      <c r="N82" s="9"/>
      <c r="O82" s="9"/>
      <c r="P82" s="52"/>
      <c r="Q82" s="53"/>
      <c r="R82" s="74"/>
      <c r="S82" s="75"/>
    </row>
    <row r="83" spans="1:19" s="11" customFormat="1">
      <c r="A83" s="9">
        <v>20</v>
      </c>
      <c r="B83" s="9"/>
      <c r="C83" s="9"/>
      <c r="D83" s="9" t="s">
        <v>159</v>
      </c>
      <c r="E83" s="50" t="s">
        <v>160</v>
      </c>
      <c r="F83" s="50"/>
      <c r="G83" s="51" t="s">
        <v>432</v>
      </c>
      <c r="H83" s="51" t="s">
        <v>325</v>
      </c>
      <c r="I83" s="9"/>
      <c r="J83" s="9" t="s">
        <v>227</v>
      </c>
      <c r="K83" s="9" t="s">
        <v>111</v>
      </c>
      <c r="L83" s="9"/>
      <c r="M83" s="9"/>
      <c r="N83" s="9"/>
      <c r="O83" s="9"/>
      <c r="P83" s="52"/>
      <c r="Q83" s="53"/>
      <c r="R83" s="74"/>
      <c r="S83" s="75"/>
    </row>
    <row r="84" spans="1:19" s="11" customFormat="1">
      <c r="A84" s="9">
        <v>20</v>
      </c>
      <c r="B84" s="9"/>
      <c r="C84" s="9"/>
      <c r="D84" s="9" t="s">
        <v>38</v>
      </c>
      <c r="E84" s="50" t="s">
        <v>40</v>
      </c>
      <c r="F84" s="50"/>
      <c r="G84" s="51" t="s">
        <v>397</v>
      </c>
      <c r="H84" s="51" t="s">
        <v>290</v>
      </c>
      <c r="I84" s="9"/>
      <c r="J84" s="9" t="s">
        <v>227</v>
      </c>
      <c r="K84" s="9" t="s">
        <v>111</v>
      </c>
      <c r="L84" s="9"/>
      <c r="M84" s="9" t="s">
        <v>227</v>
      </c>
      <c r="N84" s="9"/>
      <c r="O84" s="9"/>
      <c r="P84" s="52"/>
      <c r="Q84" s="53"/>
      <c r="R84" s="150"/>
      <c r="S84" s="151"/>
    </row>
    <row r="85" spans="1:19" s="11" customFormat="1">
      <c r="A85" s="9">
        <v>20</v>
      </c>
      <c r="B85" s="9"/>
      <c r="C85" s="9"/>
      <c r="D85" s="9" t="s">
        <v>46</v>
      </c>
      <c r="E85" s="50" t="s">
        <v>47</v>
      </c>
      <c r="F85" s="50"/>
      <c r="G85" s="51" t="s">
        <v>398</v>
      </c>
      <c r="H85" s="51" t="s">
        <v>291</v>
      </c>
      <c r="I85" s="9"/>
      <c r="J85" s="9" t="s">
        <v>227</v>
      </c>
      <c r="K85" s="9" t="s">
        <v>111</v>
      </c>
      <c r="L85" s="9"/>
      <c r="M85" s="9" t="s">
        <v>227</v>
      </c>
      <c r="N85" s="9"/>
      <c r="O85" s="9"/>
      <c r="P85" s="52"/>
      <c r="Q85" s="53"/>
      <c r="R85" s="150"/>
      <c r="S85" s="151"/>
    </row>
    <row r="86" spans="1:19" s="11" customFormat="1">
      <c r="A86" s="9">
        <v>20</v>
      </c>
      <c r="B86" s="9"/>
      <c r="C86" s="9"/>
      <c r="D86" s="9" t="s">
        <v>42</v>
      </c>
      <c r="E86" s="50" t="s">
        <v>44</v>
      </c>
      <c r="F86" s="50"/>
      <c r="G86" s="51" t="s">
        <v>399</v>
      </c>
      <c r="H86" s="51" t="s">
        <v>292</v>
      </c>
      <c r="I86" s="9"/>
      <c r="J86" s="9" t="s">
        <v>227</v>
      </c>
      <c r="K86" s="9" t="s">
        <v>111</v>
      </c>
      <c r="L86" s="9"/>
      <c r="M86" s="9" t="s">
        <v>227</v>
      </c>
      <c r="N86" s="9"/>
      <c r="O86" s="9"/>
      <c r="P86" s="52"/>
      <c r="Q86" s="53"/>
      <c r="R86" s="150"/>
      <c r="S86" s="151"/>
    </row>
    <row r="87" spans="1:19" s="11" customFormat="1">
      <c r="A87" s="9">
        <v>20</v>
      </c>
      <c r="B87" s="9"/>
      <c r="C87" s="9"/>
      <c r="D87" s="9" t="s">
        <v>219</v>
      </c>
      <c r="E87" s="50" t="s">
        <v>167</v>
      </c>
      <c r="F87" s="50"/>
      <c r="G87" s="51" t="s">
        <v>433</v>
      </c>
      <c r="H87" s="51" t="s">
        <v>326</v>
      </c>
      <c r="I87" s="9"/>
      <c r="J87" s="9" t="s">
        <v>227</v>
      </c>
      <c r="K87" s="9" t="s">
        <v>111</v>
      </c>
      <c r="L87" s="9"/>
      <c r="M87" s="9" t="s">
        <v>227</v>
      </c>
      <c r="N87" s="9"/>
      <c r="O87" s="9"/>
      <c r="P87" s="52"/>
      <c r="Q87" s="53"/>
      <c r="R87" s="150"/>
      <c r="S87" s="151"/>
    </row>
    <row r="88" spans="1:19" s="11" customFormat="1">
      <c r="A88" s="9">
        <v>20</v>
      </c>
      <c r="B88" s="9"/>
      <c r="C88" s="9"/>
      <c r="D88" s="9" t="s">
        <v>34</v>
      </c>
      <c r="E88" s="50" t="s">
        <v>168</v>
      </c>
      <c r="F88" s="50"/>
      <c r="G88" s="51" t="s">
        <v>434</v>
      </c>
      <c r="H88" s="51" t="s">
        <v>327</v>
      </c>
      <c r="I88" s="9"/>
      <c r="J88" s="9" t="s">
        <v>227</v>
      </c>
      <c r="K88" s="9" t="s">
        <v>111</v>
      </c>
      <c r="L88" s="9"/>
      <c r="M88" s="9" t="s">
        <v>227</v>
      </c>
      <c r="N88" s="9"/>
      <c r="O88" s="9"/>
      <c r="P88" s="52"/>
      <c r="Q88" s="53"/>
      <c r="R88" s="150"/>
      <c r="S88" s="151"/>
    </row>
    <row r="89" spans="1:19" s="11" customFormat="1">
      <c r="A89" s="9">
        <v>20</v>
      </c>
      <c r="B89" s="9"/>
      <c r="C89" s="9"/>
      <c r="D89" s="9" t="s">
        <v>13</v>
      </c>
      <c r="E89" s="50" t="s">
        <v>52</v>
      </c>
      <c r="F89" s="50"/>
      <c r="G89" s="51" t="s">
        <v>435</v>
      </c>
      <c r="H89" s="51" t="s">
        <v>328</v>
      </c>
      <c r="I89" s="9"/>
      <c r="J89" s="9" t="s">
        <v>227</v>
      </c>
      <c r="K89" s="9" t="s">
        <v>111</v>
      </c>
      <c r="L89" s="9"/>
      <c r="M89" s="9" t="s">
        <v>227</v>
      </c>
      <c r="N89" s="9"/>
      <c r="O89" s="9"/>
      <c r="P89" s="52"/>
      <c r="Q89" s="53"/>
      <c r="R89" s="150"/>
      <c r="S89" s="151"/>
    </row>
    <row r="90" spans="1:19" s="11" customFormat="1">
      <c r="A90" s="9">
        <v>20</v>
      </c>
      <c r="B90" s="9"/>
      <c r="C90" s="9"/>
      <c r="D90" s="9" t="s">
        <v>49</v>
      </c>
      <c r="E90" s="50" t="s">
        <v>165</v>
      </c>
      <c r="F90" s="50"/>
      <c r="G90" s="51" t="s">
        <v>436</v>
      </c>
      <c r="H90" s="51" t="s">
        <v>329</v>
      </c>
      <c r="I90" s="9"/>
      <c r="J90" s="9" t="s">
        <v>227</v>
      </c>
      <c r="K90" s="9" t="s">
        <v>111</v>
      </c>
      <c r="L90" s="9"/>
      <c r="M90" s="9" t="s">
        <v>227</v>
      </c>
      <c r="N90" s="9"/>
      <c r="O90" s="9"/>
      <c r="P90" s="52"/>
      <c r="Q90" s="53"/>
      <c r="R90" s="150"/>
      <c r="S90" s="151"/>
    </row>
    <row r="91" spans="1:19" s="11" customFormat="1">
      <c r="A91" s="9">
        <v>20</v>
      </c>
      <c r="B91" s="9"/>
      <c r="C91" s="9"/>
      <c r="D91" s="9" t="s">
        <v>53</v>
      </c>
      <c r="E91" s="50" t="s">
        <v>166</v>
      </c>
      <c r="F91" s="50"/>
      <c r="G91" s="51" t="s">
        <v>437</v>
      </c>
      <c r="H91" s="51" t="s">
        <v>330</v>
      </c>
      <c r="I91" s="9"/>
      <c r="J91" s="9" t="s">
        <v>227</v>
      </c>
      <c r="K91" s="9" t="s">
        <v>111</v>
      </c>
      <c r="L91" s="9"/>
      <c r="M91" s="9"/>
      <c r="N91" s="9"/>
      <c r="O91" s="9"/>
      <c r="P91" s="52"/>
      <c r="Q91" s="53"/>
      <c r="R91" s="150"/>
      <c r="S91" s="151"/>
    </row>
    <row r="92" spans="1:19" s="11" customFormat="1">
      <c r="A92" s="9">
        <v>20</v>
      </c>
      <c r="B92" s="9"/>
      <c r="C92" s="9"/>
      <c r="D92" s="9" t="s">
        <v>68</v>
      </c>
      <c r="E92" s="50" t="s">
        <v>70</v>
      </c>
      <c r="F92" s="50"/>
      <c r="G92" s="51" t="s">
        <v>401</v>
      </c>
      <c r="H92" s="51" t="s">
        <v>251</v>
      </c>
      <c r="I92" s="9"/>
      <c r="J92" s="9" t="s">
        <v>227</v>
      </c>
      <c r="K92" s="9" t="s">
        <v>111</v>
      </c>
      <c r="L92" s="9"/>
      <c r="M92" s="9" t="s">
        <v>227</v>
      </c>
      <c r="N92" s="9"/>
      <c r="O92" s="9"/>
      <c r="P92" s="52"/>
      <c r="Q92" s="53"/>
      <c r="R92" s="150"/>
      <c r="S92" s="151"/>
    </row>
    <row r="93" spans="1:19" s="11" customFormat="1">
      <c r="A93" s="9">
        <v>20</v>
      </c>
      <c r="B93" s="9"/>
      <c r="C93" s="9"/>
      <c r="D93" s="9" t="s">
        <v>220</v>
      </c>
      <c r="E93" s="50" t="s">
        <v>167</v>
      </c>
      <c r="F93" s="50"/>
      <c r="G93" s="51" t="s">
        <v>438</v>
      </c>
      <c r="H93" s="51" t="s">
        <v>331</v>
      </c>
      <c r="I93" s="9"/>
      <c r="J93" s="9" t="s">
        <v>227</v>
      </c>
      <c r="K93" s="9" t="s">
        <v>111</v>
      </c>
      <c r="L93" s="9"/>
      <c r="M93" s="9" t="s">
        <v>227</v>
      </c>
      <c r="N93" s="9"/>
      <c r="O93" s="9"/>
      <c r="P93" s="52"/>
      <c r="Q93" s="53"/>
      <c r="R93" s="150"/>
      <c r="S93" s="151"/>
    </row>
    <row r="94" spans="1:19" s="11" customFormat="1">
      <c r="A94" s="9">
        <v>20</v>
      </c>
      <c r="B94" s="9"/>
      <c r="C94" s="9"/>
      <c r="D94" s="9" t="s">
        <v>35</v>
      </c>
      <c r="E94" s="50" t="s">
        <v>168</v>
      </c>
      <c r="F94" s="50"/>
      <c r="G94" s="51" t="s">
        <v>439</v>
      </c>
      <c r="H94" s="51" t="s">
        <v>332</v>
      </c>
      <c r="I94" s="9"/>
      <c r="J94" s="9" t="s">
        <v>227</v>
      </c>
      <c r="K94" s="9" t="s">
        <v>111</v>
      </c>
      <c r="L94" s="9"/>
      <c r="M94" s="9" t="s">
        <v>227</v>
      </c>
      <c r="N94" s="9"/>
      <c r="O94" s="9"/>
      <c r="P94" s="52"/>
      <c r="Q94" s="53"/>
      <c r="R94" s="150"/>
      <c r="S94" s="151"/>
    </row>
    <row r="95" spans="1:19" s="11" customFormat="1">
      <c r="A95" s="9">
        <v>20</v>
      </c>
      <c r="B95" s="9"/>
      <c r="C95" s="9"/>
      <c r="D95" s="9" t="s">
        <v>14</v>
      </c>
      <c r="E95" s="50" t="s">
        <v>52</v>
      </c>
      <c r="F95" s="50"/>
      <c r="G95" s="51" t="s">
        <v>440</v>
      </c>
      <c r="H95" s="51" t="s">
        <v>333</v>
      </c>
      <c r="I95" s="9"/>
      <c r="J95" s="9" t="s">
        <v>227</v>
      </c>
      <c r="K95" s="9" t="s">
        <v>111</v>
      </c>
      <c r="L95" s="9"/>
      <c r="M95" s="9" t="s">
        <v>227</v>
      </c>
      <c r="N95" s="9"/>
      <c r="O95" s="9"/>
      <c r="P95" s="52"/>
      <c r="Q95" s="53"/>
      <c r="R95" s="150"/>
      <c r="S95" s="151"/>
    </row>
    <row r="96" spans="1:19" s="11" customFormat="1">
      <c r="A96" s="9">
        <v>20</v>
      </c>
      <c r="B96" s="9"/>
      <c r="C96" s="9"/>
      <c r="D96" s="9" t="s">
        <v>50</v>
      </c>
      <c r="E96" s="50" t="s">
        <v>165</v>
      </c>
      <c r="F96" s="50"/>
      <c r="G96" s="51" t="s">
        <v>441</v>
      </c>
      <c r="H96" s="51" t="s">
        <v>334</v>
      </c>
      <c r="I96" s="9"/>
      <c r="J96" s="9" t="s">
        <v>227</v>
      </c>
      <c r="K96" s="9" t="s">
        <v>111</v>
      </c>
      <c r="L96" s="9"/>
      <c r="M96" s="9" t="s">
        <v>227</v>
      </c>
      <c r="N96" s="9"/>
      <c r="O96" s="9"/>
      <c r="P96" s="52"/>
      <c r="Q96" s="53"/>
      <c r="R96" s="150"/>
      <c r="S96" s="151"/>
    </row>
    <row r="97" spans="1:19" s="11" customFormat="1">
      <c r="A97" s="9">
        <v>20</v>
      </c>
      <c r="B97" s="9"/>
      <c r="C97" s="9"/>
      <c r="D97" s="9" t="s">
        <v>54</v>
      </c>
      <c r="E97" s="50" t="s">
        <v>166</v>
      </c>
      <c r="F97" s="50"/>
      <c r="G97" s="51" t="s">
        <v>442</v>
      </c>
      <c r="H97" s="51" t="s">
        <v>335</v>
      </c>
      <c r="I97" s="9"/>
      <c r="J97" s="9" t="s">
        <v>227</v>
      </c>
      <c r="K97" s="9" t="s">
        <v>111</v>
      </c>
      <c r="L97" s="9"/>
      <c r="M97" s="9"/>
      <c r="N97" s="9"/>
      <c r="O97" s="9"/>
      <c r="P97" s="52"/>
      <c r="Q97" s="53"/>
      <c r="R97" s="150"/>
      <c r="S97" s="151"/>
    </row>
    <row r="98" spans="1:19" s="11" customFormat="1">
      <c r="A98" s="9">
        <v>20</v>
      </c>
      <c r="B98" s="9"/>
      <c r="C98" s="9"/>
      <c r="D98" s="9" t="s">
        <v>55</v>
      </c>
      <c r="E98" s="50" t="s">
        <v>51</v>
      </c>
      <c r="F98" s="50"/>
      <c r="G98" s="51" t="s">
        <v>443</v>
      </c>
      <c r="H98" s="51" t="s">
        <v>336</v>
      </c>
      <c r="I98" s="9"/>
      <c r="J98" s="9" t="s">
        <v>227</v>
      </c>
      <c r="K98" s="9" t="s">
        <v>111</v>
      </c>
      <c r="L98" s="9"/>
      <c r="M98" s="9" t="s">
        <v>227</v>
      </c>
      <c r="N98" s="9"/>
      <c r="O98" s="9"/>
      <c r="P98" s="52"/>
      <c r="Q98" s="53"/>
      <c r="R98" s="150"/>
      <c r="S98" s="151"/>
    </row>
    <row r="99" spans="1:19" s="11" customFormat="1">
      <c r="A99" s="9">
        <v>20</v>
      </c>
      <c r="B99" s="9"/>
      <c r="C99" s="9"/>
      <c r="D99" s="9" t="s">
        <v>65</v>
      </c>
      <c r="E99" s="50" t="s">
        <v>167</v>
      </c>
      <c r="F99" s="50"/>
      <c r="G99" s="51" t="s">
        <v>444</v>
      </c>
      <c r="H99" s="51" t="s">
        <v>337</v>
      </c>
      <c r="I99" s="9"/>
      <c r="J99" s="9" t="s">
        <v>227</v>
      </c>
      <c r="K99" s="9" t="s">
        <v>111</v>
      </c>
      <c r="L99" s="9"/>
      <c r="M99" s="9" t="s">
        <v>227</v>
      </c>
      <c r="N99" s="9"/>
      <c r="O99" s="9"/>
      <c r="P99" s="52"/>
      <c r="Q99" s="53"/>
      <c r="R99" s="150"/>
      <c r="S99" s="151"/>
    </row>
    <row r="100" spans="1:19" s="11" customFormat="1">
      <c r="A100" s="9">
        <v>20</v>
      </c>
      <c r="B100" s="9"/>
      <c r="C100" s="9"/>
      <c r="D100" s="9" t="s">
        <v>66</v>
      </c>
      <c r="E100" s="50" t="s">
        <v>168</v>
      </c>
      <c r="F100" s="50"/>
      <c r="G100" s="51" t="s">
        <v>445</v>
      </c>
      <c r="H100" s="51" t="s">
        <v>338</v>
      </c>
      <c r="I100" s="9"/>
      <c r="J100" s="9" t="s">
        <v>227</v>
      </c>
      <c r="K100" s="9" t="s">
        <v>111</v>
      </c>
      <c r="L100" s="9"/>
      <c r="M100" s="9" t="s">
        <v>227</v>
      </c>
      <c r="N100" s="9"/>
      <c r="O100" s="9"/>
      <c r="P100" s="52"/>
      <c r="Q100" s="53"/>
      <c r="R100" s="150"/>
      <c r="S100" s="151"/>
    </row>
    <row r="101" spans="1:19" s="11" customFormat="1">
      <c r="A101" s="9">
        <v>20</v>
      </c>
      <c r="B101" s="9"/>
      <c r="C101" s="9"/>
      <c r="D101" s="9" t="s">
        <v>67</v>
      </c>
      <c r="E101" s="50" t="s">
        <v>52</v>
      </c>
      <c r="F101" s="50"/>
      <c r="G101" s="51" t="s">
        <v>446</v>
      </c>
      <c r="H101" s="51" t="s">
        <v>339</v>
      </c>
      <c r="I101" s="9"/>
      <c r="J101" s="9" t="s">
        <v>227</v>
      </c>
      <c r="K101" s="9" t="s">
        <v>111</v>
      </c>
      <c r="L101" s="9"/>
      <c r="M101" s="9" t="s">
        <v>227</v>
      </c>
      <c r="N101" s="9"/>
      <c r="O101" s="9"/>
      <c r="P101" s="52"/>
      <c r="Q101" s="53"/>
      <c r="R101" s="150"/>
      <c r="S101" s="151"/>
    </row>
    <row r="102" spans="1:19" s="11" customFormat="1">
      <c r="A102" s="65"/>
      <c r="B102" s="30"/>
      <c r="C102" s="30"/>
      <c r="D102" s="66" t="s">
        <v>4</v>
      </c>
      <c r="E102" s="31"/>
      <c r="F102" s="67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68"/>
    </row>
    <row r="103" spans="1:19" s="11" customFormat="1">
      <c r="A103" s="83"/>
      <c r="S103" s="56"/>
    </row>
    <row r="104" spans="1:19" s="11" customFormat="1">
      <c r="A104" s="83"/>
      <c r="S104" s="56"/>
    </row>
    <row r="105" spans="1:19" s="11" customFormat="1">
      <c r="A105" s="83"/>
      <c r="S105" s="56"/>
    </row>
    <row r="106" spans="1:19" s="11" customFormat="1">
      <c r="A106" s="88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20"/>
    </row>
  </sheetData>
  <mergeCells count="31">
    <mergeCell ref="R28:S28"/>
    <mergeCell ref="R26:S26"/>
    <mergeCell ref="R12:S12"/>
    <mergeCell ref="R18:S18"/>
    <mergeCell ref="R85:S85"/>
    <mergeCell ref="R13:S13"/>
    <mergeCell ref="R20:S20"/>
    <mergeCell ref="R14:S14"/>
    <mergeCell ref="R19:S19"/>
    <mergeCell ref="R23:S23"/>
    <mergeCell ref="R15:S15"/>
    <mergeCell ref="R25:S25"/>
    <mergeCell ref="R27:S27"/>
    <mergeCell ref="R24:S24"/>
    <mergeCell ref="R84:S84"/>
    <mergeCell ref="R101:S101"/>
    <mergeCell ref="R89:S89"/>
    <mergeCell ref="R98:S98"/>
    <mergeCell ref="R94:S94"/>
    <mergeCell ref="R100:S100"/>
    <mergeCell ref="R90:S90"/>
    <mergeCell ref="R86:S86"/>
    <mergeCell ref="R88:S88"/>
    <mergeCell ref="R92:S92"/>
    <mergeCell ref="R99:S99"/>
    <mergeCell ref="R93:S93"/>
    <mergeCell ref="R97:S97"/>
    <mergeCell ref="R96:S96"/>
    <mergeCell ref="R91:S91"/>
    <mergeCell ref="R95:S95"/>
    <mergeCell ref="R87:S87"/>
  </mergeCells>
  <phoneticPr fontId="7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pageSetUpPr fitToPage="1"/>
  </sheetPr>
  <dimension ref="A1:V52"/>
  <sheetViews>
    <sheetView topLeftCell="H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2.81640625" style="29" bestFit="1" customWidth="1"/>
    <col min="16" max="16" width="36.08984375" style="29" customWidth="1"/>
    <col min="17" max="17" width="11.6328125" style="27" bestFit="1" customWidth="1"/>
    <col min="18" max="18" width="33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9" t="s">
        <v>222</v>
      </c>
      <c r="B1" s="79" t="s">
        <v>222</v>
      </c>
      <c r="C1" s="79"/>
      <c r="D1" s="1" t="s">
        <v>20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80" t="s">
        <v>222</v>
      </c>
      <c r="B2" s="81"/>
      <c r="C2" s="81"/>
      <c r="D2" s="91" t="s">
        <v>352</v>
      </c>
      <c r="E2" s="7" t="s">
        <v>11</v>
      </c>
      <c r="F2" s="82" t="str">
        <f>IF(LogicCommon!C2="","",LogicCommon!C2)</f>
        <v>MA</v>
      </c>
      <c r="G2" s="7" t="s">
        <v>8</v>
      </c>
      <c r="H2" s="82" t="str">
        <f>IF(LogicCommon!E2="","",LogicCommon!E2)</f>
        <v>MABGL0110</v>
      </c>
      <c r="I2" s="7" t="s">
        <v>262</v>
      </c>
      <c r="J2" s="9" t="s">
        <v>84</v>
      </c>
      <c r="K2" s="7" t="s">
        <v>221</v>
      </c>
      <c r="L2" s="82" t="str">
        <f>IF(LogicCommon!G2="","",LogicCommon!G2)</f>
        <v>MC</v>
      </c>
      <c r="M2" s="5" t="s">
        <v>263</v>
      </c>
      <c r="N2" s="28" t="s">
        <v>347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83" t="s">
        <v>222</v>
      </c>
      <c r="B3" s="84"/>
      <c r="C3" s="84"/>
      <c r="D3" s="85" t="str">
        <f>IF(LogicCommon!A3="","",LogicCommon!A3)</f>
        <v/>
      </c>
      <c r="E3" s="7" t="s">
        <v>12</v>
      </c>
      <c r="F3" s="82" t="str">
        <f>IF(LogicCommon!C3="","",LogicCommon!C3)</f>
        <v>MABG</v>
      </c>
      <c r="G3" s="7" t="s">
        <v>9</v>
      </c>
      <c r="H3" s="82" t="str">
        <f>IF(LogicCommon!E3="","",LogicCommon!E3)</f>
        <v>MABGL_GrpPtn</v>
      </c>
      <c r="I3" s="7" t="s">
        <v>264</v>
      </c>
      <c r="J3" s="9" t="s">
        <v>27</v>
      </c>
      <c r="K3" s="7" t="s">
        <v>265</v>
      </c>
      <c r="L3" s="82" t="str">
        <f>IF(LogicCommon!G3="","",LogicCommon!G3)</f>
        <v/>
      </c>
      <c r="M3" s="86" t="s">
        <v>28</v>
      </c>
      <c r="N3" s="7"/>
      <c r="O3" s="7" t="s">
        <v>223</v>
      </c>
      <c r="P3" s="9" t="s">
        <v>266</v>
      </c>
      <c r="Q3" s="4"/>
      <c r="R3" s="27"/>
      <c r="S3" s="27"/>
      <c r="T3" s="27"/>
      <c r="U3" s="27"/>
      <c r="V3" s="27"/>
    </row>
    <row r="4" spans="1:22" s="11" customFormat="1">
      <c r="A4" s="83" t="s">
        <v>222</v>
      </c>
      <c r="B4" s="84"/>
      <c r="C4" s="84"/>
      <c r="D4" s="4"/>
      <c r="E4" s="7" t="s">
        <v>7</v>
      </c>
      <c r="F4" s="10" t="s">
        <v>214</v>
      </c>
      <c r="G4" s="7" t="s">
        <v>10</v>
      </c>
      <c r="H4" s="82" t="str">
        <f>IF(LogicCommon!E4="","",LogicCommon!E4)</f>
        <v>計算グループパタンマスタ</v>
      </c>
      <c r="I4" s="7" t="s">
        <v>215</v>
      </c>
      <c r="J4" s="9" t="s">
        <v>57</v>
      </c>
      <c r="K4" s="7" t="s">
        <v>224</v>
      </c>
      <c r="L4" s="82" t="str">
        <f>IF(LogicCommon!G4="","",LogicCommon!G4)</f>
        <v>MA.MAUDL5010</v>
      </c>
      <c r="M4" s="87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8" t="s">
        <v>222</v>
      </c>
      <c r="B5" s="79"/>
      <c r="C5" s="79"/>
      <c r="D5" s="26"/>
      <c r="E5" s="7" t="s">
        <v>225</v>
      </c>
      <c r="F5" s="10"/>
      <c r="G5" s="89"/>
      <c r="H5" s="89"/>
      <c r="I5" s="89"/>
      <c r="J5" s="89"/>
      <c r="K5" s="89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83" t="s">
        <v>222</v>
      </c>
      <c r="B6" s="84"/>
      <c r="C6" s="84"/>
      <c r="D6" s="4" t="s">
        <v>5</v>
      </c>
      <c r="E6" s="16" t="s">
        <v>204</v>
      </c>
      <c r="F6" s="16"/>
      <c r="G6" s="16"/>
      <c r="H6" s="16"/>
      <c r="I6" s="16"/>
      <c r="J6" s="16"/>
      <c r="K6" s="16"/>
      <c r="L6" s="90" t="s">
        <v>261</v>
      </c>
      <c r="M6" s="19"/>
      <c r="N6" s="19" t="s">
        <v>261</v>
      </c>
      <c r="O6" s="19"/>
      <c r="P6" s="19" t="s">
        <v>261</v>
      </c>
      <c r="Q6" s="19"/>
      <c r="R6" s="3" t="s">
        <v>261</v>
      </c>
      <c r="S6" s="4"/>
      <c r="T6" s="29"/>
      <c r="U6" s="29"/>
      <c r="V6" s="27"/>
    </row>
    <row r="7" spans="1:22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36</v>
      </c>
      <c r="J7" s="31"/>
      <c r="K7" s="33" t="s">
        <v>37</v>
      </c>
      <c r="L7" s="32" t="s">
        <v>79</v>
      </c>
      <c r="M7" s="33" t="s">
        <v>60</v>
      </c>
      <c r="N7" s="32" t="s">
        <v>80</v>
      </c>
      <c r="O7" s="33" t="s">
        <v>60</v>
      </c>
      <c r="P7" s="32"/>
      <c r="Q7" s="33" t="s">
        <v>60</v>
      </c>
      <c r="R7" s="32"/>
      <c r="S7" s="29"/>
      <c r="T7" s="29"/>
      <c r="U7" s="29"/>
      <c r="V7" s="29"/>
    </row>
    <row r="8" spans="1:22" s="11" customFormat="1" ht="60" customHeight="1">
      <c r="A8" s="50" t="s">
        <v>16</v>
      </c>
      <c r="B8" s="94"/>
      <c r="C8" s="95"/>
      <c r="D8" s="92" t="s">
        <v>353</v>
      </c>
      <c r="E8" s="92" t="s">
        <v>354</v>
      </c>
      <c r="F8" s="90"/>
      <c r="G8" s="92" t="s">
        <v>294</v>
      </c>
      <c r="H8" s="92" t="s">
        <v>355</v>
      </c>
      <c r="I8" s="90"/>
      <c r="J8" s="3"/>
      <c r="K8" s="33" t="s">
        <v>15</v>
      </c>
      <c r="L8" s="34" t="s">
        <v>101</v>
      </c>
      <c r="M8" s="33" t="s">
        <v>61</v>
      </c>
      <c r="N8" s="34" t="s">
        <v>102</v>
      </c>
      <c r="O8" s="33" t="s">
        <v>61</v>
      </c>
      <c r="P8" s="34"/>
      <c r="Q8" s="33" t="s">
        <v>61</v>
      </c>
      <c r="R8" s="34"/>
      <c r="S8" s="96"/>
      <c r="T8" s="97"/>
      <c r="U8" s="98" t="s">
        <v>364</v>
      </c>
      <c r="V8" s="53"/>
    </row>
    <row r="9" spans="1:22" s="11" customFormat="1" ht="60" customHeight="1">
      <c r="A9" s="9" t="s">
        <v>16</v>
      </c>
      <c r="B9" s="37"/>
      <c r="C9" s="38"/>
      <c r="D9" s="92" t="s">
        <v>356</v>
      </c>
      <c r="E9" s="99" t="s">
        <v>357</v>
      </c>
      <c r="F9" s="92" t="s">
        <v>358</v>
      </c>
      <c r="G9" s="92" t="s">
        <v>359</v>
      </c>
      <c r="H9" s="92" t="s">
        <v>360</v>
      </c>
      <c r="I9" s="100" t="s">
        <v>361</v>
      </c>
      <c r="J9" s="92" t="s">
        <v>362</v>
      </c>
      <c r="K9" s="33"/>
      <c r="L9" s="33"/>
      <c r="M9" s="33"/>
      <c r="N9" s="33"/>
      <c r="O9" s="33"/>
      <c r="P9" s="33"/>
      <c r="Q9" s="33"/>
      <c r="R9" s="33"/>
      <c r="S9" s="98" t="s">
        <v>363</v>
      </c>
      <c r="T9" s="53"/>
      <c r="U9" s="98" t="s">
        <v>365</v>
      </c>
      <c r="V9" s="53"/>
    </row>
    <row r="10" spans="1:22" s="11" customFormat="1" ht="52">
      <c r="A10" s="39" t="s">
        <v>17</v>
      </c>
      <c r="B10" s="40"/>
      <c r="C10" s="40"/>
      <c r="D10" s="41"/>
      <c r="E10" s="42"/>
      <c r="F10" s="42"/>
      <c r="G10" s="43"/>
      <c r="H10" s="43"/>
      <c r="I10" s="42"/>
      <c r="J10" s="42"/>
      <c r="K10" s="93" t="s">
        <v>361</v>
      </c>
      <c r="L10" s="93" t="s">
        <v>362</v>
      </c>
      <c r="M10" s="93" t="s">
        <v>361</v>
      </c>
      <c r="N10" s="93" t="s">
        <v>362</v>
      </c>
      <c r="O10" s="93" t="s">
        <v>361</v>
      </c>
      <c r="P10" s="93" t="s">
        <v>362</v>
      </c>
      <c r="Q10" s="93" t="s">
        <v>361</v>
      </c>
      <c r="R10" s="93" t="s">
        <v>362</v>
      </c>
      <c r="S10" s="42"/>
      <c r="T10" s="42"/>
      <c r="U10" s="43"/>
      <c r="V10" s="36"/>
    </row>
    <row r="11" spans="1:22" s="11" customFormat="1">
      <c r="A11" s="9">
        <v>10</v>
      </c>
      <c r="B11" s="37" t="s">
        <v>0</v>
      </c>
      <c r="C11" s="38"/>
      <c r="D11" s="28" t="s">
        <v>59</v>
      </c>
      <c r="E11" s="44" t="s">
        <v>20</v>
      </c>
      <c r="F11" s="45"/>
      <c r="G11" s="28" t="s">
        <v>73</v>
      </c>
      <c r="H11" s="57" t="s">
        <v>340</v>
      </c>
      <c r="I11" s="46"/>
      <c r="J11" s="47"/>
      <c r="K11" s="48" t="s">
        <v>341</v>
      </c>
      <c r="L11" s="48"/>
      <c r="M11" s="48" t="s">
        <v>342</v>
      </c>
      <c r="N11" s="48"/>
      <c r="O11" s="48"/>
      <c r="P11" s="48"/>
      <c r="Q11" s="48"/>
      <c r="R11" s="48"/>
      <c r="S11" s="35"/>
      <c r="T11" s="36"/>
      <c r="U11" s="74"/>
      <c r="V11" s="49"/>
    </row>
    <row r="12" spans="1:22" s="11" customFormat="1">
      <c r="A12" s="9">
        <v>10</v>
      </c>
      <c r="B12" s="9"/>
      <c r="C12" s="9"/>
      <c r="D12" s="9" t="s">
        <v>98</v>
      </c>
      <c r="E12" s="50" t="s">
        <v>107</v>
      </c>
      <c r="F12" s="50"/>
      <c r="G12" s="51" t="s">
        <v>366</v>
      </c>
      <c r="H12" s="51" t="s">
        <v>226</v>
      </c>
      <c r="I12" s="9" t="s">
        <v>227</v>
      </c>
      <c r="J12" s="9"/>
      <c r="K12" s="9" t="s">
        <v>227</v>
      </c>
      <c r="L12" s="9"/>
      <c r="M12" s="9" t="s">
        <v>227</v>
      </c>
      <c r="N12" s="9"/>
      <c r="O12" s="9"/>
      <c r="P12" s="9"/>
      <c r="Q12" s="9"/>
      <c r="R12" s="9"/>
      <c r="S12" s="41"/>
      <c r="T12" s="53"/>
      <c r="U12" s="74"/>
      <c r="V12" s="75"/>
    </row>
    <row r="13" spans="1:22" s="11" customFormat="1">
      <c r="A13" s="9">
        <v>10</v>
      </c>
      <c r="B13" s="9"/>
      <c r="C13" s="9"/>
      <c r="D13" s="9" t="s">
        <v>99</v>
      </c>
      <c r="E13" s="50" t="s">
        <v>109</v>
      </c>
      <c r="F13" s="50"/>
      <c r="G13" s="51" t="s">
        <v>367</v>
      </c>
      <c r="H13" s="51" t="s">
        <v>269</v>
      </c>
      <c r="I13" s="9" t="s">
        <v>227</v>
      </c>
      <c r="J13" s="9"/>
      <c r="K13" s="9" t="s">
        <v>227</v>
      </c>
      <c r="L13" s="9"/>
      <c r="M13" s="9" t="s">
        <v>227</v>
      </c>
      <c r="N13" s="9"/>
      <c r="O13" s="9"/>
      <c r="P13" s="9"/>
      <c r="Q13" s="9"/>
      <c r="R13" s="9"/>
      <c r="S13" s="41"/>
      <c r="T13" s="53"/>
      <c r="U13" s="74"/>
      <c r="V13" s="75"/>
    </row>
    <row r="14" spans="1:22" s="11" customFormat="1">
      <c r="A14" s="9">
        <v>10</v>
      </c>
      <c r="B14" s="9"/>
      <c r="C14" s="9"/>
      <c r="D14" s="9" t="s">
        <v>199</v>
      </c>
      <c r="E14" s="50" t="s">
        <v>201</v>
      </c>
      <c r="F14" s="50"/>
      <c r="G14" s="51" t="s">
        <v>368</v>
      </c>
      <c r="H14" s="51" t="s">
        <v>271</v>
      </c>
      <c r="I14" s="9" t="s">
        <v>227</v>
      </c>
      <c r="J14" s="9"/>
      <c r="K14" s="9" t="s">
        <v>227</v>
      </c>
      <c r="L14" s="9"/>
      <c r="M14" s="9" t="s">
        <v>227</v>
      </c>
      <c r="N14" s="9"/>
      <c r="O14" s="9"/>
      <c r="P14" s="9"/>
      <c r="Q14" s="9"/>
      <c r="R14" s="9"/>
      <c r="S14" s="41"/>
      <c r="T14" s="53"/>
      <c r="U14" s="74"/>
      <c r="V14" s="75"/>
    </row>
    <row r="15" spans="1:22" s="11" customFormat="1">
      <c r="A15" s="9">
        <v>10</v>
      </c>
      <c r="B15" s="9"/>
      <c r="C15" s="9"/>
      <c r="D15" s="9" t="s">
        <v>112</v>
      </c>
      <c r="E15" s="50" t="s">
        <v>113</v>
      </c>
      <c r="F15" s="50"/>
      <c r="G15" s="51" t="s">
        <v>369</v>
      </c>
      <c r="H15" s="51" t="s">
        <v>273</v>
      </c>
      <c r="I15" s="9" t="s">
        <v>227</v>
      </c>
      <c r="J15" s="9"/>
      <c r="K15" s="9" t="s">
        <v>227</v>
      </c>
      <c r="L15" s="9"/>
      <c r="M15" s="9" t="s">
        <v>227</v>
      </c>
      <c r="N15" s="9"/>
      <c r="O15" s="9"/>
      <c r="P15" s="9"/>
      <c r="Q15" s="9"/>
      <c r="R15" s="9"/>
      <c r="S15" s="41"/>
      <c r="T15" s="53"/>
      <c r="U15" s="74"/>
      <c r="V15" s="75"/>
    </row>
    <row r="16" spans="1:22" s="11" customFormat="1">
      <c r="A16" s="9">
        <v>10</v>
      </c>
      <c r="B16" s="9"/>
      <c r="C16" s="9"/>
      <c r="D16" s="9" t="s">
        <v>116</v>
      </c>
      <c r="E16" s="50" t="s">
        <v>117</v>
      </c>
      <c r="F16" s="50"/>
      <c r="G16" s="51" t="s">
        <v>370</v>
      </c>
      <c r="H16" s="51" t="s">
        <v>274</v>
      </c>
      <c r="I16" s="9" t="s">
        <v>227</v>
      </c>
      <c r="J16" s="9"/>
      <c r="K16" s="9" t="s">
        <v>227</v>
      </c>
      <c r="L16" s="9"/>
      <c r="M16" s="9" t="s">
        <v>227</v>
      </c>
      <c r="N16" s="9"/>
      <c r="O16" s="9"/>
      <c r="P16" s="9"/>
      <c r="Q16" s="9"/>
      <c r="R16" s="9"/>
      <c r="S16" s="41"/>
      <c r="T16" s="53"/>
      <c r="U16" s="74"/>
      <c r="V16" s="75"/>
    </row>
    <row r="17" spans="1:22" s="11" customFormat="1">
      <c r="A17" s="9">
        <v>10</v>
      </c>
      <c r="B17" s="9"/>
      <c r="C17" s="9"/>
      <c r="D17" s="9" t="s">
        <v>173</v>
      </c>
      <c r="E17" s="50" t="s">
        <v>117</v>
      </c>
      <c r="F17" s="50"/>
      <c r="G17" s="51" t="s">
        <v>371</v>
      </c>
      <c r="H17" s="51" t="s">
        <v>276</v>
      </c>
      <c r="I17" s="9" t="s">
        <v>227</v>
      </c>
      <c r="J17" s="9"/>
      <c r="K17" s="9" t="s">
        <v>227</v>
      </c>
      <c r="L17" s="9"/>
      <c r="M17" s="9" t="s">
        <v>227</v>
      </c>
      <c r="N17" s="9"/>
      <c r="O17" s="9"/>
      <c r="P17" s="9"/>
      <c r="Q17" s="9"/>
      <c r="R17" s="9"/>
      <c r="S17" s="41"/>
      <c r="T17" s="53"/>
      <c r="U17" s="74"/>
      <c r="V17" s="75"/>
    </row>
    <row r="18" spans="1:22" s="11" customFormat="1">
      <c r="A18" s="9">
        <v>10</v>
      </c>
      <c r="B18" s="9"/>
      <c r="C18" s="9"/>
      <c r="D18" s="9" t="s">
        <v>174</v>
      </c>
      <c r="E18" s="50" t="s">
        <v>117</v>
      </c>
      <c r="F18" s="50"/>
      <c r="G18" s="51" t="s">
        <v>372</v>
      </c>
      <c r="H18" s="51" t="s">
        <v>277</v>
      </c>
      <c r="I18" s="9" t="s">
        <v>227</v>
      </c>
      <c r="J18" s="9"/>
      <c r="K18" s="9" t="s">
        <v>227</v>
      </c>
      <c r="L18" s="9"/>
      <c r="M18" s="9" t="s">
        <v>227</v>
      </c>
      <c r="N18" s="9"/>
      <c r="O18" s="9"/>
      <c r="P18" s="9"/>
      <c r="Q18" s="9"/>
      <c r="R18" s="9"/>
      <c r="S18" s="41"/>
      <c r="T18" s="53"/>
      <c r="U18" s="74"/>
      <c r="V18" s="75"/>
    </row>
    <row r="19" spans="1:22" s="11" customFormat="1">
      <c r="A19" s="9">
        <v>10</v>
      </c>
      <c r="B19" s="9"/>
      <c r="C19" s="9"/>
      <c r="D19" s="9" t="s">
        <v>175</v>
      </c>
      <c r="E19" s="50" t="s">
        <v>117</v>
      </c>
      <c r="F19" s="50"/>
      <c r="G19" s="51" t="s">
        <v>373</v>
      </c>
      <c r="H19" s="51" t="s">
        <v>250</v>
      </c>
      <c r="I19" s="9" t="s">
        <v>227</v>
      </c>
      <c r="J19" s="9"/>
      <c r="K19" s="9" t="s">
        <v>227</v>
      </c>
      <c r="L19" s="9"/>
      <c r="M19" s="9" t="s">
        <v>227</v>
      </c>
      <c r="N19" s="9"/>
      <c r="O19" s="9"/>
      <c r="P19" s="9"/>
      <c r="Q19" s="9"/>
      <c r="R19" s="9"/>
      <c r="S19" s="41"/>
      <c r="T19" s="53"/>
      <c r="U19" s="74"/>
      <c r="V19" s="75"/>
    </row>
    <row r="20" spans="1:22" s="11" customFormat="1">
      <c r="A20" s="9">
        <v>10</v>
      </c>
      <c r="B20" s="9"/>
      <c r="C20" s="9"/>
      <c r="D20" s="9" t="s">
        <v>176</v>
      </c>
      <c r="E20" s="50" t="s">
        <v>117</v>
      </c>
      <c r="F20" s="50"/>
      <c r="G20" s="51" t="s">
        <v>374</v>
      </c>
      <c r="H20" s="51" t="s">
        <v>278</v>
      </c>
      <c r="I20" s="9" t="s">
        <v>227</v>
      </c>
      <c r="J20" s="9"/>
      <c r="K20" s="9" t="s">
        <v>227</v>
      </c>
      <c r="L20" s="9"/>
      <c r="M20" s="9" t="s">
        <v>227</v>
      </c>
      <c r="N20" s="9"/>
      <c r="O20" s="9"/>
      <c r="P20" s="9"/>
      <c r="Q20" s="9"/>
      <c r="R20" s="9"/>
      <c r="S20" s="41"/>
      <c r="T20" s="53"/>
      <c r="U20" s="74"/>
      <c r="V20" s="75"/>
    </row>
    <row r="21" spans="1:22" s="11" customFormat="1">
      <c r="A21" s="9">
        <v>10</v>
      </c>
      <c r="B21" s="9"/>
      <c r="C21" s="9"/>
      <c r="D21" s="9" t="s">
        <v>177</v>
      </c>
      <c r="E21" s="50" t="s">
        <v>117</v>
      </c>
      <c r="F21" s="50"/>
      <c r="G21" s="51" t="s">
        <v>375</v>
      </c>
      <c r="H21" s="51" t="s">
        <v>228</v>
      </c>
      <c r="I21" s="9" t="s">
        <v>227</v>
      </c>
      <c r="J21" s="9"/>
      <c r="K21" s="9" t="s">
        <v>227</v>
      </c>
      <c r="L21" s="9"/>
      <c r="M21" s="9" t="s">
        <v>227</v>
      </c>
      <c r="N21" s="9"/>
      <c r="O21" s="9"/>
      <c r="P21" s="9"/>
      <c r="Q21" s="9"/>
      <c r="R21" s="9"/>
      <c r="S21" s="41"/>
      <c r="T21" s="53"/>
      <c r="U21" s="74"/>
      <c r="V21" s="75"/>
    </row>
    <row r="22" spans="1:22" s="11" customFormat="1">
      <c r="A22" s="9">
        <v>10</v>
      </c>
      <c r="B22" s="9"/>
      <c r="C22" s="9"/>
      <c r="D22" s="9" t="s">
        <v>178</v>
      </c>
      <c r="E22" s="50" t="s">
        <v>117</v>
      </c>
      <c r="F22" s="50"/>
      <c r="G22" s="51" t="s">
        <v>376</v>
      </c>
      <c r="H22" s="51" t="s">
        <v>229</v>
      </c>
      <c r="I22" s="9" t="s">
        <v>227</v>
      </c>
      <c r="J22" s="9"/>
      <c r="K22" s="9" t="s">
        <v>227</v>
      </c>
      <c r="L22" s="9"/>
      <c r="M22" s="9" t="s">
        <v>227</v>
      </c>
      <c r="N22" s="9"/>
      <c r="O22" s="9"/>
      <c r="P22" s="9"/>
      <c r="Q22" s="9"/>
      <c r="R22" s="9"/>
      <c r="S22" s="41"/>
      <c r="T22" s="53"/>
      <c r="U22" s="74"/>
      <c r="V22" s="75"/>
    </row>
    <row r="23" spans="1:22" s="11" customFormat="1">
      <c r="A23" s="9">
        <v>10</v>
      </c>
      <c r="B23" s="9"/>
      <c r="C23" s="9"/>
      <c r="D23" s="9" t="s">
        <v>179</v>
      </c>
      <c r="E23" s="50" t="s">
        <v>120</v>
      </c>
      <c r="F23" s="50"/>
      <c r="G23" s="51" t="s">
        <v>377</v>
      </c>
      <c r="H23" s="51" t="s">
        <v>279</v>
      </c>
      <c r="I23" s="9" t="s">
        <v>227</v>
      </c>
      <c r="J23" s="9"/>
      <c r="K23" s="9" t="s">
        <v>227</v>
      </c>
      <c r="L23" s="9"/>
      <c r="M23" s="9" t="s">
        <v>227</v>
      </c>
      <c r="N23" s="9"/>
      <c r="O23" s="9"/>
      <c r="P23" s="9"/>
      <c r="Q23" s="9"/>
      <c r="R23" s="9"/>
      <c r="S23" s="41"/>
      <c r="T23" s="53"/>
      <c r="U23" s="74"/>
      <c r="V23" s="75"/>
    </row>
    <row r="24" spans="1:22" s="11" customFormat="1">
      <c r="A24" s="9">
        <v>10</v>
      </c>
      <c r="B24" s="9"/>
      <c r="C24" s="9"/>
      <c r="D24" s="9" t="s">
        <v>180</v>
      </c>
      <c r="E24" s="50" t="s">
        <v>120</v>
      </c>
      <c r="F24" s="50"/>
      <c r="G24" s="51" t="s">
        <v>378</v>
      </c>
      <c r="H24" s="51" t="s">
        <v>230</v>
      </c>
      <c r="I24" s="9" t="s">
        <v>227</v>
      </c>
      <c r="J24" s="9"/>
      <c r="K24" s="9" t="s">
        <v>227</v>
      </c>
      <c r="L24" s="9"/>
      <c r="M24" s="9" t="s">
        <v>227</v>
      </c>
      <c r="N24" s="9"/>
      <c r="O24" s="9"/>
      <c r="P24" s="9"/>
      <c r="Q24" s="9"/>
      <c r="R24" s="9"/>
      <c r="S24" s="41"/>
      <c r="T24" s="53"/>
      <c r="U24" s="74"/>
      <c r="V24" s="75"/>
    </row>
    <row r="25" spans="1:22" s="11" customFormat="1">
      <c r="A25" s="9">
        <v>10</v>
      </c>
      <c r="B25" s="9"/>
      <c r="C25" s="9"/>
      <c r="D25" s="9" t="s">
        <v>181</v>
      </c>
      <c r="E25" s="50" t="s">
        <v>120</v>
      </c>
      <c r="F25" s="50"/>
      <c r="G25" s="51" t="s">
        <v>379</v>
      </c>
      <c r="H25" s="51" t="s">
        <v>281</v>
      </c>
      <c r="I25" s="9" t="s">
        <v>227</v>
      </c>
      <c r="J25" s="9"/>
      <c r="K25" s="9" t="s">
        <v>227</v>
      </c>
      <c r="L25" s="9"/>
      <c r="M25" s="9" t="s">
        <v>227</v>
      </c>
      <c r="N25" s="9"/>
      <c r="O25" s="9"/>
      <c r="P25" s="9"/>
      <c r="Q25" s="9"/>
      <c r="R25" s="9"/>
      <c r="S25" s="41"/>
      <c r="T25" s="53"/>
      <c r="U25" s="74"/>
      <c r="V25" s="75"/>
    </row>
    <row r="26" spans="1:22" s="11" customFormat="1">
      <c r="A26" s="9">
        <v>10</v>
      </c>
      <c r="B26" s="9"/>
      <c r="C26" s="9"/>
      <c r="D26" s="9" t="s">
        <v>182</v>
      </c>
      <c r="E26" s="50" t="s">
        <v>120</v>
      </c>
      <c r="F26" s="50"/>
      <c r="G26" s="51" t="s">
        <v>380</v>
      </c>
      <c r="H26" s="51" t="s">
        <v>231</v>
      </c>
      <c r="I26" s="9" t="s">
        <v>227</v>
      </c>
      <c r="J26" s="9"/>
      <c r="K26" s="9" t="s">
        <v>227</v>
      </c>
      <c r="L26" s="9"/>
      <c r="M26" s="9" t="s">
        <v>227</v>
      </c>
      <c r="N26" s="9"/>
      <c r="O26" s="9"/>
      <c r="P26" s="9"/>
      <c r="Q26" s="9"/>
      <c r="R26" s="9"/>
      <c r="S26" s="41"/>
      <c r="T26" s="53"/>
      <c r="U26" s="74"/>
      <c r="V26" s="75"/>
    </row>
    <row r="27" spans="1:22" s="11" customFormat="1">
      <c r="A27" s="9">
        <v>10</v>
      </c>
      <c r="B27" s="9"/>
      <c r="C27" s="9"/>
      <c r="D27" s="9" t="s">
        <v>183</v>
      </c>
      <c r="E27" s="50" t="s">
        <v>120</v>
      </c>
      <c r="F27" s="50"/>
      <c r="G27" s="51" t="s">
        <v>381</v>
      </c>
      <c r="H27" s="51" t="s">
        <v>232</v>
      </c>
      <c r="I27" s="9" t="s">
        <v>227</v>
      </c>
      <c r="J27" s="9"/>
      <c r="K27" s="9" t="s">
        <v>227</v>
      </c>
      <c r="L27" s="9"/>
      <c r="M27" s="9" t="s">
        <v>227</v>
      </c>
      <c r="N27" s="9"/>
      <c r="O27" s="9"/>
      <c r="P27" s="9"/>
      <c r="Q27" s="9"/>
      <c r="R27" s="9"/>
      <c r="S27" s="41"/>
      <c r="T27" s="53"/>
      <c r="U27" s="74"/>
      <c r="V27" s="75"/>
    </row>
    <row r="28" spans="1:22" s="11" customFormat="1">
      <c r="A28" s="9">
        <v>10</v>
      </c>
      <c r="B28" s="9"/>
      <c r="C28" s="9"/>
      <c r="D28" s="9" t="s">
        <v>184</v>
      </c>
      <c r="E28" s="50" t="s">
        <v>120</v>
      </c>
      <c r="F28" s="50"/>
      <c r="G28" s="51" t="s">
        <v>382</v>
      </c>
      <c r="H28" s="51" t="s">
        <v>233</v>
      </c>
      <c r="I28" s="9" t="s">
        <v>227</v>
      </c>
      <c r="J28" s="9"/>
      <c r="K28" s="9" t="s">
        <v>227</v>
      </c>
      <c r="L28" s="9"/>
      <c r="M28" s="9" t="s">
        <v>227</v>
      </c>
      <c r="N28" s="9"/>
      <c r="O28" s="9"/>
      <c r="P28" s="9"/>
      <c r="Q28" s="9"/>
      <c r="R28" s="9"/>
      <c r="S28" s="41"/>
      <c r="T28" s="53"/>
      <c r="U28" s="74"/>
      <c r="V28" s="75"/>
    </row>
    <row r="29" spans="1:22" s="11" customFormat="1">
      <c r="A29" s="9">
        <v>10</v>
      </c>
      <c r="B29" s="9"/>
      <c r="C29" s="9"/>
      <c r="D29" s="9" t="s">
        <v>122</v>
      </c>
      <c r="E29" s="50" t="s">
        <v>123</v>
      </c>
      <c r="F29" s="50"/>
      <c r="G29" s="51" t="s">
        <v>383</v>
      </c>
      <c r="H29" s="51" t="s">
        <v>234</v>
      </c>
      <c r="I29" s="9" t="s">
        <v>227</v>
      </c>
      <c r="J29" s="9"/>
      <c r="K29" s="9" t="s">
        <v>227</v>
      </c>
      <c r="L29" s="9"/>
      <c r="M29" s="9" t="s">
        <v>227</v>
      </c>
      <c r="N29" s="9"/>
      <c r="O29" s="9"/>
      <c r="P29" s="9"/>
      <c r="Q29" s="9"/>
      <c r="R29" s="9"/>
      <c r="S29" s="41"/>
      <c r="T29" s="53"/>
      <c r="U29" s="74"/>
      <c r="V29" s="75"/>
    </row>
    <row r="30" spans="1:22" s="11" customFormat="1" ht="26">
      <c r="A30" s="9">
        <v>10</v>
      </c>
      <c r="B30" s="9"/>
      <c r="C30" s="9"/>
      <c r="D30" s="9" t="s">
        <v>126</v>
      </c>
      <c r="E30" s="50" t="s">
        <v>127</v>
      </c>
      <c r="F30" s="50"/>
      <c r="G30" s="51" t="s">
        <v>384</v>
      </c>
      <c r="H30" s="51" t="s">
        <v>283</v>
      </c>
      <c r="I30" s="9" t="s">
        <v>227</v>
      </c>
      <c r="J30" s="9"/>
      <c r="K30" s="9" t="s">
        <v>227</v>
      </c>
      <c r="L30" s="9"/>
      <c r="M30" s="9" t="s">
        <v>227</v>
      </c>
      <c r="N30" s="9"/>
      <c r="O30" s="9"/>
      <c r="P30" s="9"/>
      <c r="Q30" s="9"/>
      <c r="R30" s="9"/>
      <c r="S30" s="41"/>
      <c r="T30" s="53"/>
      <c r="U30" s="74"/>
      <c r="V30" s="75"/>
    </row>
    <row r="31" spans="1:22" s="11" customFormat="1">
      <c r="A31" s="9">
        <v>10</v>
      </c>
      <c r="B31" s="9"/>
      <c r="C31" s="9"/>
      <c r="D31" s="9" t="s">
        <v>128</v>
      </c>
      <c r="E31" s="50" t="s">
        <v>123</v>
      </c>
      <c r="F31" s="50"/>
      <c r="G31" s="51" t="s">
        <v>385</v>
      </c>
      <c r="H31" s="51" t="s">
        <v>297</v>
      </c>
      <c r="I31" s="9" t="s">
        <v>227</v>
      </c>
      <c r="J31" s="9"/>
      <c r="K31" s="9" t="s">
        <v>227</v>
      </c>
      <c r="L31" s="9"/>
      <c r="M31" s="9" t="s">
        <v>227</v>
      </c>
      <c r="N31" s="9"/>
      <c r="O31" s="9"/>
      <c r="P31" s="9"/>
      <c r="Q31" s="9"/>
      <c r="R31" s="9"/>
      <c r="S31" s="41"/>
      <c r="T31" s="53"/>
      <c r="U31" s="74"/>
      <c r="V31" s="75"/>
    </row>
    <row r="32" spans="1:22" s="11" customFormat="1" ht="26">
      <c r="A32" s="9">
        <v>10</v>
      </c>
      <c r="B32" s="9"/>
      <c r="C32" s="9"/>
      <c r="D32" s="9" t="s">
        <v>130</v>
      </c>
      <c r="E32" s="50" t="s">
        <v>127</v>
      </c>
      <c r="F32" s="50"/>
      <c r="G32" s="51" t="s">
        <v>386</v>
      </c>
      <c r="H32" s="51" t="s">
        <v>236</v>
      </c>
      <c r="I32" s="9" t="s">
        <v>227</v>
      </c>
      <c r="J32" s="9"/>
      <c r="K32" s="9" t="s">
        <v>227</v>
      </c>
      <c r="L32" s="9"/>
      <c r="M32" s="9" t="s">
        <v>227</v>
      </c>
      <c r="N32" s="9"/>
      <c r="O32" s="9"/>
      <c r="P32" s="9"/>
      <c r="Q32" s="9"/>
      <c r="R32" s="9"/>
      <c r="S32" s="41"/>
      <c r="T32" s="53"/>
      <c r="U32" s="74"/>
      <c r="V32" s="75"/>
    </row>
    <row r="33" spans="1:22" s="11" customFormat="1">
      <c r="A33" s="9">
        <v>10</v>
      </c>
      <c r="B33" s="9"/>
      <c r="C33" s="9"/>
      <c r="D33" s="9" t="s">
        <v>131</v>
      </c>
      <c r="E33" s="50" t="s">
        <v>132</v>
      </c>
      <c r="F33" s="50"/>
      <c r="G33" s="51" t="s">
        <v>387</v>
      </c>
      <c r="H33" s="51" t="s">
        <v>237</v>
      </c>
      <c r="I33" s="9" t="s">
        <v>227</v>
      </c>
      <c r="J33" s="9"/>
      <c r="K33" s="9" t="s">
        <v>227</v>
      </c>
      <c r="L33" s="9"/>
      <c r="M33" s="9" t="s">
        <v>227</v>
      </c>
      <c r="N33" s="9"/>
      <c r="O33" s="9"/>
      <c r="P33" s="9"/>
      <c r="Q33" s="9"/>
      <c r="R33" s="9"/>
      <c r="S33" s="41"/>
      <c r="T33" s="53"/>
      <c r="U33" s="74"/>
      <c r="V33" s="75"/>
    </row>
    <row r="34" spans="1:22" s="11" customFormat="1">
      <c r="A34" s="9">
        <v>10</v>
      </c>
      <c r="B34" s="9"/>
      <c r="C34" s="9"/>
      <c r="D34" s="9" t="s">
        <v>135</v>
      </c>
      <c r="E34" s="50" t="s">
        <v>136</v>
      </c>
      <c r="F34" s="50"/>
      <c r="G34" s="51" t="s">
        <v>388</v>
      </c>
      <c r="H34" s="51" t="s">
        <v>238</v>
      </c>
      <c r="I34" s="9" t="s">
        <v>227</v>
      </c>
      <c r="J34" s="9"/>
      <c r="K34" s="9" t="s">
        <v>227</v>
      </c>
      <c r="L34" s="9"/>
      <c r="M34" s="9" t="s">
        <v>227</v>
      </c>
      <c r="N34" s="9"/>
      <c r="O34" s="9"/>
      <c r="P34" s="9"/>
      <c r="Q34" s="9"/>
      <c r="R34" s="9"/>
      <c r="S34" s="41"/>
      <c r="T34" s="53"/>
      <c r="U34" s="74"/>
      <c r="V34" s="75"/>
    </row>
    <row r="35" spans="1:22" s="11" customFormat="1">
      <c r="A35" s="9">
        <v>10</v>
      </c>
      <c r="B35" s="9"/>
      <c r="C35" s="9"/>
      <c r="D35" s="9" t="s">
        <v>139</v>
      </c>
      <c r="E35" s="50" t="s">
        <v>140</v>
      </c>
      <c r="F35" s="50"/>
      <c r="G35" s="51" t="s">
        <v>389</v>
      </c>
      <c r="H35" s="51" t="s">
        <v>285</v>
      </c>
      <c r="I35" s="9" t="s">
        <v>227</v>
      </c>
      <c r="J35" s="9"/>
      <c r="K35" s="9" t="s">
        <v>227</v>
      </c>
      <c r="L35" s="9"/>
      <c r="M35" s="9" t="s">
        <v>227</v>
      </c>
      <c r="N35" s="9"/>
      <c r="O35" s="9"/>
      <c r="P35" s="9"/>
      <c r="Q35" s="9"/>
      <c r="R35" s="9"/>
      <c r="S35" s="41"/>
      <c r="T35" s="53"/>
      <c r="U35" s="74"/>
      <c r="V35" s="75"/>
    </row>
    <row r="36" spans="1:22" s="11" customFormat="1">
      <c r="A36" s="9">
        <v>10</v>
      </c>
      <c r="B36" s="9"/>
      <c r="C36" s="9"/>
      <c r="D36" s="9" t="s">
        <v>143</v>
      </c>
      <c r="E36" s="50" t="s">
        <v>144</v>
      </c>
      <c r="F36" s="50"/>
      <c r="G36" s="51" t="s">
        <v>390</v>
      </c>
      <c r="H36" s="51" t="s">
        <v>286</v>
      </c>
      <c r="I36" s="9" t="s">
        <v>227</v>
      </c>
      <c r="J36" s="9"/>
      <c r="K36" s="9" t="s">
        <v>227</v>
      </c>
      <c r="L36" s="9"/>
      <c r="M36" s="9" t="s">
        <v>227</v>
      </c>
      <c r="N36" s="9"/>
      <c r="O36" s="9"/>
      <c r="P36" s="9"/>
      <c r="Q36" s="9"/>
      <c r="R36" s="9"/>
      <c r="S36" s="41"/>
      <c r="T36" s="53"/>
      <c r="U36" s="74"/>
      <c r="V36" s="75"/>
    </row>
    <row r="37" spans="1:22" s="11" customFormat="1">
      <c r="A37" s="9">
        <v>10</v>
      </c>
      <c r="B37" s="9"/>
      <c r="C37" s="9"/>
      <c r="D37" s="9" t="s">
        <v>147</v>
      </c>
      <c r="E37" s="50" t="s">
        <v>144</v>
      </c>
      <c r="F37" s="50"/>
      <c r="G37" s="51" t="s">
        <v>391</v>
      </c>
      <c r="H37" s="51" t="s">
        <v>242</v>
      </c>
      <c r="I37" s="9" t="s">
        <v>227</v>
      </c>
      <c r="J37" s="9"/>
      <c r="K37" s="9" t="s">
        <v>227</v>
      </c>
      <c r="L37" s="9"/>
      <c r="M37" s="9" t="s">
        <v>227</v>
      </c>
      <c r="N37" s="9"/>
      <c r="O37" s="9"/>
      <c r="P37" s="9"/>
      <c r="Q37" s="9"/>
      <c r="R37" s="9"/>
      <c r="S37" s="41"/>
      <c r="T37" s="53"/>
      <c r="U37" s="74"/>
      <c r="V37" s="75"/>
    </row>
    <row r="38" spans="1:22" s="11" customFormat="1">
      <c r="A38" s="9">
        <v>10</v>
      </c>
      <c r="B38" s="9"/>
      <c r="C38" s="9"/>
      <c r="D38" s="9" t="s">
        <v>149</v>
      </c>
      <c r="E38" s="50" t="s">
        <v>144</v>
      </c>
      <c r="F38" s="50"/>
      <c r="G38" s="51" t="s">
        <v>392</v>
      </c>
      <c r="H38" s="51" t="s">
        <v>243</v>
      </c>
      <c r="I38" s="9" t="s">
        <v>227</v>
      </c>
      <c r="J38" s="9"/>
      <c r="K38" s="9" t="s">
        <v>227</v>
      </c>
      <c r="L38" s="9"/>
      <c r="M38" s="9" t="s">
        <v>227</v>
      </c>
      <c r="N38" s="9"/>
      <c r="O38" s="9"/>
      <c r="P38" s="9"/>
      <c r="Q38" s="9"/>
      <c r="R38" s="9"/>
      <c r="S38" s="41"/>
      <c r="T38" s="53"/>
      <c r="U38" s="74"/>
      <c r="V38" s="75"/>
    </row>
    <row r="39" spans="1:22" s="11" customFormat="1">
      <c r="A39" s="9">
        <v>10</v>
      </c>
      <c r="B39" s="9"/>
      <c r="C39" s="9"/>
      <c r="D39" s="9" t="s">
        <v>151</v>
      </c>
      <c r="E39" s="50" t="s">
        <v>144</v>
      </c>
      <c r="F39" s="50"/>
      <c r="G39" s="51" t="s">
        <v>393</v>
      </c>
      <c r="H39" s="51" t="s">
        <v>244</v>
      </c>
      <c r="I39" s="9" t="s">
        <v>227</v>
      </c>
      <c r="J39" s="9"/>
      <c r="K39" s="9" t="s">
        <v>227</v>
      </c>
      <c r="L39" s="9"/>
      <c r="M39" s="9" t="s">
        <v>227</v>
      </c>
      <c r="N39" s="9"/>
      <c r="O39" s="9"/>
      <c r="P39" s="9"/>
      <c r="Q39" s="9"/>
      <c r="R39" s="9"/>
      <c r="S39" s="41"/>
      <c r="T39" s="53"/>
      <c r="U39" s="74"/>
      <c r="V39" s="75"/>
    </row>
    <row r="40" spans="1:22" s="11" customFormat="1">
      <c r="A40" s="9">
        <v>10</v>
      </c>
      <c r="B40" s="9"/>
      <c r="C40" s="9"/>
      <c r="D40" s="9" t="s">
        <v>153</v>
      </c>
      <c r="E40" s="50" t="s">
        <v>144</v>
      </c>
      <c r="F40" s="50"/>
      <c r="G40" s="51" t="s">
        <v>394</v>
      </c>
      <c r="H40" s="51" t="s">
        <v>287</v>
      </c>
      <c r="I40" s="9" t="s">
        <v>227</v>
      </c>
      <c r="J40" s="9"/>
      <c r="K40" s="9" t="s">
        <v>227</v>
      </c>
      <c r="L40" s="9"/>
      <c r="M40" s="9" t="s">
        <v>227</v>
      </c>
      <c r="N40" s="9"/>
      <c r="O40" s="9"/>
      <c r="P40" s="9"/>
      <c r="Q40" s="9"/>
      <c r="R40" s="9"/>
      <c r="S40" s="41"/>
      <c r="T40" s="53"/>
      <c r="U40" s="74"/>
      <c r="V40" s="75"/>
    </row>
    <row r="41" spans="1:22" s="11" customFormat="1" ht="26">
      <c r="A41" s="9">
        <v>10</v>
      </c>
      <c r="B41" s="9"/>
      <c r="C41" s="9"/>
      <c r="D41" s="9" t="s">
        <v>155</v>
      </c>
      <c r="E41" s="50" t="s">
        <v>144</v>
      </c>
      <c r="F41" s="50"/>
      <c r="G41" s="51" t="s">
        <v>395</v>
      </c>
      <c r="H41" s="51" t="s">
        <v>288</v>
      </c>
      <c r="I41" s="9" t="s">
        <v>227</v>
      </c>
      <c r="J41" s="9"/>
      <c r="K41" s="9" t="s">
        <v>227</v>
      </c>
      <c r="L41" s="9"/>
      <c r="M41" s="9" t="s">
        <v>227</v>
      </c>
      <c r="N41" s="9"/>
      <c r="O41" s="9"/>
      <c r="P41" s="9"/>
      <c r="Q41" s="9"/>
      <c r="R41" s="9"/>
      <c r="S41" s="41"/>
      <c r="T41" s="53"/>
      <c r="U41" s="74"/>
      <c r="V41" s="75"/>
    </row>
    <row r="42" spans="1:22" s="11" customFormat="1">
      <c r="A42" s="9">
        <v>10</v>
      </c>
      <c r="B42" s="9"/>
      <c r="C42" s="9"/>
      <c r="D42" s="9" t="s">
        <v>157</v>
      </c>
      <c r="E42" s="50" t="s">
        <v>158</v>
      </c>
      <c r="F42" s="50"/>
      <c r="G42" s="51" t="s">
        <v>396</v>
      </c>
      <c r="H42" s="51" t="s">
        <v>289</v>
      </c>
      <c r="I42" s="9" t="s">
        <v>227</v>
      </c>
      <c r="J42" s="9"/>
      <c r="K42" s="9" t="s">
        <v>227</v>
      </c>
      <c r="L42" s="9"/>
      <c r="M42" s="9" t="s">
        <v>227</v>
      </c>
      <c r="N42" s="9"/>
      <c r="O42" s="9"/>
      <c r="P42" s="9"/>
      <c r="Q42" s="9"/>
      <c r="R42" s="9"/>
      <c r="S42" s="41"/>
      <c r="T42" s="53"/>
      <c r="U42" s="74"/>
      <c r="V42" s="75"/>
    </row>
    <row r="43" spans="1:22" s="11" customFormat="1">
      <c r="A43" s="9">
        <v>10</v>
      </c>
      <c r="B43" s="9"/>
      <c r="C43" s="9"/>
      <c r="D43" s="9" t="s">
        <v>38</v>
      </c>
      <c r="E43" s="50" t="s">
        <v>40</v>
      </c>
      <c r="F43" s="50"/>
      <c r="G43" s="51" t="s">
        <v>397</v>
      </c>
      <c r="H43" s="51" t="s">
        <v>290</v>
      </c>
      <c r="I43" s="9" t="s">
        <v>227</v>
      </c>
      <c r="J43" s="9"/>
      <c r="K43" s="9" t="s">
        <v>227</v>
      </c>
      <c r="L43" s="9"/>
      <c r="M43" s="9" t="s">
        <v>227</v>
      </c>
      <c r="N43" s="9"/>
      <c r="O43" s="9"/>
      <c r="P43" s="9"/>
      <c r="Q43" s="9"/>
      <c r="R43" s="9"/>
      <c r="S43" s="41"/>
      <c r="T43" s="53"/>
      <c r="U43" s="74"/>
      <c r="V43" s="75"/>
    </row>
    <row r="44" spans="1:22" s="11" customFormat="1">
      <c r="A44" s="9">
        <v>10</v>
      </c>
      <c r="B44" s="9"/>
      <c r="C44" s="9"/>
      <c r="D44" s="9" t="s">
        <v>46</v>
      </c>
      <c r="E44" s="50" t="s">
        <v>47</v>
      </c>
      <c r="F44" s="50"/>
      <c r="G44" s="51" t="s">
        <v>398</v>
      </c>
      <c r="H44" s="51" t="s">
        <v>291</v>
      </c>
      <c r="I44" s="9" t="s">
        <v>227</v>
      </c>
      <c r="J44" s="9"/>
      <c r="K44" s="9" t="s">
        <v>227</v>
      </c>
      <c r="L44" s="9"/>
      <c r="M44" s="9" t="s">
        <v>227</v>
      </c>
      <c r="N44" s="9"/>
      <c r="O44" s="9"/>
      <c r="P44" s="9"/>
      <c r="Q44" s="9"/>
      <c r="R44" s="9"/>
      <c r="S44" s="41"/>
      <c r="T44" s="53"/>
      <c r="U44" s="74"/>
      <c r="V44" s="75"/>
    </row>
    <row r="45" spans="1:22" s="11" customFormat="1">
      <c r="A45" s="9">
        <v>10</v>
      </c>
      <c r="B45" s="9"/>
      <c r="C45" s="9"/>
      <c r="D45" s="9" t="s">
        <v>42</v>
      </c>
      <c r="E45" s="50" t="s">
        <v>44</v>
      </c>
      <c r="F45" s="50"/>
      <c r="G45" s="51" t="s">
        <v>399</v>
      </c>
      <c r="H45" s="51" t="s">
        <v>292</v>
      </c>
      <c r="I45" s="9" t="s">
        <v>227</v>
      </c>
      <c r="J45" s="9"/>
      <c r="K45" s="9" t="s">
        <v>227</v>
      </c>
      <c r="L45" s="9"/>
      <c r="M45" s="9" t="s">
        <v>227</v>
      </c>
      <c r="N45" s="9"/>
      <c r="O45" s="9"/>
      <c r="P45" s="9"/>
      <c r="Q45" s="9"/>
      <c r="R45" s="9"/>
      <c r="S45" s="41"/>
      <c r="T45" s="53"/>
      <c r="U45" s="74"/>
      <c r="V45" s="75"/>
    </row>
    <row r="46" spans="1:22" s="11" customFormat="1">
      <c r="A46" s="9">
        <v>10</v>
      </c>
      <c r="B46" s="9"/>
      <c r="C46" s="9"/>
      <c r="D46" s="9" t="s">
        <v>64</v>
      </c>
      <c r="E46" s="50" t="s">
        <v>48</v>
      </c>
      <c r="F46" s="50"/>
      <c r="G46" s="51" t="s">
        <v>400</v>
      </c>
      <c r="H46" s="51" t="s">
        <v>249</v>
      </c>
      <c r="I46" s="9" t="s">
        <v>227</v>
      </c>
      <c r="J46" s="9"/>
      <c r="K46" s="9" t="s">
        <v>227</v>
      </c>
      <c r="L46" s="9"/>
      <c r="M46" s="9" t="s">
        <v>227</v>
      </c>
      <c r="N46" s="9"/>
      <c r="O46" s="9"/>
      <c r="P46" s="9"/>
      <c r="Q46" s="9"/>
      <c r="R46" s="9"/>
      <c r="S46" s="41"/>
      <c r="T46" s="53"/>
      <c r="U46" s="74"/>
      <c r="V46" s="75"/>
    </row>
    <row r="47" spans="1:22" s="11" customFormat="1">
      <c r="A47" s="9">
        <v>10</v>
      </c>
      <c r="B47" s="9"/>
      <c r="C47" s="9"/>
      <c r="D47" s="9" t="s">
        <v>69</v>
      </c>
      <c r="E47" s="50" t="s">
        <v>70</v>
      </c>
      <c r="F47" s="50"/>
      <c r="G47" s="51" t="s">
        <v>401</v>
      </c>
      <c r="H47" s="51" t="s">
        <v>251</v>
      </c>
      <c r="I47" s="9" t="s">
        <v>227</v>
      </c>
      <c r="J47" s="9"/>
      <c r="K47" s="9" t="s">
        <v>227</v>
      </c>
      <c r="L47" s="9"/>
      <c r="M47" s="9" t="s">
        <v>227</v>
      </c>
      <c r="N47" s="9"/>
      <c r="O47" s="9"/>
      <c r="P47" s="9"/>
      <c r="Q47" s="9"/>
      <c r="R47" s="9"/>
      <c r="S47" s="41"/>
      <c r="T47" s="53"/>
      <c r="U47" s="74"/>
      <c r="V47" s="75"/>
    </row>
    <row r="48" spans="1:22" s="11" customFormat="1">
      <c r="A48" s="54"/>
      <c r="B48" s="55"/>
      <c r="C48" s="55"/>
      <c r="D48" s="27" t="s">
        <v>1</v>
      </c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4"/>
      <c r="T48" s="4"/>
      <c r="U48" s="6"/>
      <c r="V48" s="23"/>
    </row>
    <row r="49" spans="1:22" s="11" customFormat="1">
      <c r="A49" s="83"/>
      <c r="V49" s="56"/>
    </row>
    <row r="50" spans="1:22" s="11" customFormat="1">
      <c r="A50" s="83"/>
      <c r="V50" s="56"/>
    </row>
    <row r="51" spans="1:22" s="11" customFormat="1">
      <c r="A51" s="83"/>
      <c r="V51" s="56"/>
    </row>
    <row r="52" spans="1:22" s="11" customFormat="1">
      <c r="A52" s="88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20"/>
    </row>
  </sheetData>
  <dataConsolidate/>
  <phoneticPr fontId="7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>
    <pageSetUpPr fitToPage="1"/>
  </sheetPr>
  <dimension ref="A1:R30"/>
  <sheetViews>
    <sheetView topLeftCell="I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9" t="s">
        <v>222</v>
      </c>
      <c r="B1" s="79" t="s">
        <v>222</v>
      </c>
      <c r="C1" s="79"/>
      <c r="D1" s="1" t="s">
        <v>20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80" t="s">
        <v>222</v>
      </c>
      <c r="B2" s="81"/>
      <c r="C2" s="81"/>
      <c r="D2" s="91" t="s">
        <v>352</v>
      </c>
      <c r="E2" s="7" t="s">
        <v>11</v>
      </c>
      <c r="F2" s="82" t="str">
        <f>IF(LogicCommon!C2="","",LogicCommon!C2)</f>
        <v>MA</v>
      </c>
      <c r="G2" s="7" t="s">
        <v>8</v>
      </c>
      <c r="H2" s="82" t="str">
        <f>IF(LogicCommon!E2="","",LogicCommon!E2)</f>
        <v>MABGL0110</v>
      </c>
      <c r="I2" s="7" t="s">
        <v>262</v>
      </c>
      <c r="J2" s="9" t="s">
        <v>85</v>
      </c>
      <c r="K2" s="7" t="s">
        <v>221</v>
      </c>
      <c r="L2" s="82" t="str">
        <f>IF(LogicCommon!G2="","",LogicCommon!G2)</f>
        <v>MC</v>
      </c>
      <c r="M2" s="5" t="s">
        <v>263</v>
      </c>
      <c r="N2" s="28" t="s">
        <v>348</v>
      </c>
      <c r="O2" s="7"/>
      <c r="P2" s="7"/>
      <c r="Q2" s="4"/>
      <c r="R2" s="27"/>
    </row>
    <row r="3" spans="1:18" s="11" customFormat="1">
      <c r="A3" s="83" t="s">
        <v>222</v>
      </c>
      <c r="B3" s="84"/>
      <c r="C3" s="84"/>
      <c r="D3" s="85" t="str">
        <f>IF(LogicCommon!A3="","",LogicCommon!A3)</f>
        <v/>
      </c>
      <c r="E3" s="7" t="s">
        <v>12</v>
      </c>
      <c r="F3" s="82" t="str">
        <f>IF(LogicCommon!C3="","",LogicCommon!C3)</f>
        <v>MABG</v>
      </c>
      <c r="G3" s="7" t="s">
        <v>9</v>
      </c>
      <c r="H3" s="82" t="str">
        <f>IF(LogicCommon!E3="","",LogicCommon!E3)</f>
        <v>MABGL_GrpPtn</v>
      </c>
      <c r="I3" s="7" t="s">
        <v>264</v>
      </c>
      <c r="J3" s="9" t="s">
        <v>27</v>
      </c>
      <c r="K3" s="7" t="s">
        <v>265</v>
      </c>
      <c r="L3" s="82" t="str">
        <f>IF(LogicCommon!G3="","",LogicCommon!G3)</f>
        <v/>
      </c>
      <c r="M3" s="86" t="s">
        <v>28</v>
      </c>
      <c r="N3" s="7"/>
      <c r="O3" s="7" t="s">
        <v>223</v>
      </c>
      <c r="P3" s="9" t="s">
        <v>266</v>
      </c>
      <c r="Q3" s="4"/>
      <c r="R3" s="27"/>
    </row>
    <row r="4" spans="1:18" s="11" customFormat="1">
      <c r="A4" s="83" t="s">
        <v>222</v>
      </c>
      <c r="B4" s="84"/>
      <c r="C4" s="84"/>
      <c r="D4" s="4"/>
      <c r="E4" s="7" t="s">
        <v>7</v>
      </c>
      <c r="F4" s="10" t="s">
        <v>214</v>
      </c>
      <c r="G4" s="7" t="s">
        <v>10</v>
      </c>
      <c r="H4" s="82" t="str">
        <f>IF(LogicCommon!E4="","",LogicCommon!E4)</f>
        <v>計算グループパタンマスタ</v>
      </c>
      <c r="I4" s="7" t="s">
        <v>215</v>
      </c>
      <c r="J4" s="9" t="s">
        <v>56</v>
      </c>
      <c r="K4" s="7" t="s">
        <v>224</v>
      </c>
      <c r="L4" s="82" t="str">
        <f>IF(LogicCommon!G4="","",LogicCommon!G4)</f>
        <v>MA.MAUDL5010</v>
      </c>
      <c r="M4" s="87"/>
      <c r="N4" s="28"/>
      <c r="O4" s="14"/>
      <c r="P4" s="4"/>
      <c r="Q4" s="4"/>
      <c r="R4" s="27"/>
    </row>
    <row r="5" spans="1:18" s="11" customFormat="1">
      <c r="A5" s="88" t="s">
        <v>222</v>
      </c>
      <c r="B5" s="79"/>
      <c r="C5" s="79"/>
      <c r="D5" s="26"/>
      <c r="E5" s="7" t="s">
        <v>225</v>
      </c>
      <c r="F5" s="10"/>
      <c r="G5" s="89"/>
      <c r="H5" s="89"/>
      <c r="I5" s="89"/>
      <c r="J5" s="89"/>
      <c r="K5" s="89"/>
      <c r="L5" s="6"/>
      <c r="M5" s="5"/>
      <c r="N5" s="5"/>
      <c r="O5" s="14"/>
      <c r="P5" s="4"/>
      <c r="Q5" s="4"/>
      <c r="R5" s="27"/>
    </row>
    <row r="6" spans="1:18" s="11" customFormat="1">
      <c r="A6" s="83" t="s">
        <v>222</v>
      </c>
      <c r="B6" s="84"/>
      <c r="C6" s="84"/>
      <c r="D6" s="4" t="s">
        <v>5</v>
      </c>
      <c r="E6" s="16" t="s">
        <v>203</v>
      </c>
      <c r="F6" s="16"/>
      <c r="G6" s="16"/>
      <c r="H6" s="16"/>
      <c r="I6" s="16"/>
      <c r="J6" s="16"/>
      <c r="K6" s="16"/>
      <c r="L6" s="90" t="s">
        <v>261</v>
      </c>
      <c r="M6" s="19"/>
      <c r="N6" s="19" t="s">
        <v>261</v>
      </c>
      <c r="O6" s="19"/>
      <c r="P6" s="19"/>
      <c r="Q6" s="19"/>
      <c r="R6" s="27"/>
    </row>
    <row r="7" spans="1:18" s="11" customFormat="1">
      <c r="A7" s="30" t="s">
        <v>16</v>
      </c>
      <c r="B7" s="30"/>
      <c r="C7" s="30"/>
      <c r="D7" s="31"/>
      <c r="E7" s="31"/>
      <c r="F7" s="31"/>
      <c r="G7" s="31"/>
      <c r="H7" s="31"/>
      <c r="I7" s="31" t="s">
        <v>31</v>
      </c>
      <c r="J7" s="31"/>
      <c r="K7" s="33" t="s">
        <v>32</v>
      </c>
      <c r="L7" s="32" t="s">
        <v>81</v>
      </c>
      <c r="M7" s="33" t="s">
        <v>32</v>
      </c>
      <c r="N7" s="32" t="s">
        <v>82</v>
      </c>
      <c r="O7" s="29"/>
      <c r="P7" s="29"/>
      <c r="Q7" s="29"/>
      <c r="R7" s="29"/>
    </row>
    <row r="8" spans="1:18" s="11" customFormat="1" ht="60" customHeight="1">
      <c r="A8" s="50" t="s">
        <v>16</v>
      </c>
      <c r="B8" s="94"/>
      <c r="C8" s="95"/>
      <c r="D8" s="92" t="s">
        <v>353</v>
      </c>
      <c r="E8" s="92" t="s">
        <v>354</v>
      </c>
      <c r="F8" s="90"/>
      <c r="G8" s="92" t="s">
        <v>294</v>
      </c>
      <c r="H8" s="92" t="s">
        <v>355</v>
      </c>
      <c r="I8" s="90"/>
      <c r="J8" s="3"/>
      <c r="K8" s="33" t="s">
        <v>15</v>
      </c>
      <c r="L8" s="34" t="s">
        <v>103</v>
      </c>
      <c r="M8" s="33" t="s">
        <v>15</v>
      </c>
      <c r="N8" s="34" t="s">
        <v>104</v>
      </c>
      <c r="O8" s="96"/>
      <c r="P8" s="97"/>
      <c r="Q8" s="98" t="s">
        <v>364</v>
      </c>
      <c r="R8" s="53"/>
    </row>
    <row r="9" spans="1:18" s="11" customFormat="1" ht="60" customHeight="1">
      <c r="A9" s="9" t="s">
        <v>16</v>
      </c>
      <c r="B9" s="37"/>
      <c r="C9" s="38"/>
      <c r="D9" s="92" t="s">
        <v>356</v>
      </c>
      <c r="E9" s="99" t="s">
        <v>357</v>
      </c>
      <c r="F9" s="92" t="s">
        <v>358</v>
      </c>
      <c r="G9" s="92" t="s">
        <v>359</v>
      </c>
      <c r="H9" s="92" t="s">
        <v>360</v>
      </c>
      <c r="I9" s="100" t="s">
        <v>361</v>
      </c>
      <c r="J9" s="92" t="s">
        <v>362</v>
      </c>
      <c r="K9" s="33"/>
      <c r="L9" s="33"/>
      <c r="M9" s="33"/>
      <c r="N9" s="33"/>
      <c r="O9" s="98" t="s">
        <v>363</v>
      </c>
      <c r="P9" s="53"/>
      <c r="Q9" s="98" t="s">
        <v>365</v>
      </c>
      <c r="R9" s="53"/>
    </row>
    <row r="10" spans="1:18" s="11" customFormat="1" ht="52">
      <c r="A10" s="39" t="s">
        <v>16</v>
      </c>
      <c r="B10" s="40"/>
      <c r="C10" s="40"/>
      <c r="D10" s="41"/>
      <c r="E10" s="42"/>
      <c r="F10" s="42"/>
      <c r="G10" s="43"/>
      <c r="H10" s="43"/>
      <c r="I10" s="42"/>
      <c r="J10" s="42"/>
      <c r="K10" s="93" t="s">
        <v>361</v>
      </c>
      <c r="L10" s="93" t="s">
        <v>362</v>
      </c>
      <c r="M10" s="93" t="s">
        <v>361</v>
      </c>
      <c r="N10" s="93" t="s">
        <v>362</v>
      </c>
      <c r="O10" s="42"/>
      <c r="P10" s="42"/>
      <c r="Q10" s="43"/>
      <c r="R10" s="36"/>
    </row>
    <row r="11" spans="1:18" s="11" customFormat="1">
      <c r="A11" s="9">
        <v>10</v>
      </c>
      <c r="B11" s="37" t="s">
        <v>0</v>
      </c>
      <c r="C11" s="38"/>
      <c r="D11" s="28" t="s">
        <v>63</v>
      </c>
      <c r="E11" s="44" t="s">
        <v>20</v>
      </c>
      <c r="F11" s="45"/>
      <c r="G11" s="28" t="s">
        <v>73</v>
      </c>
      <c r="H11" s="57" t="s">
        <v>343</v>
      </c>
      <c r="I11" s="46"/>
      <c r="J11" s="47"/>
      <c r="K11" s="48" t="s">
        <v>344</v>
      </c>
      <c r="L11" s="48"/>
      <c r="M11" s="48" t="s">
        <v>345</v>
      </c>
      <c r="N11" s="48"/>
      <c r="O11" s="35"/>
      <c r="P11" s="36"/>
      <c r="Q11" s="74"/>
      <c r="R11" s="49"/>
    </row>
    <row r="12" spans="1:18" s="11" customFormat="1">
      <c r="A12" s="9">
        <v>10</v>
      </c>
      <c r="B12" s="9"/>
      <c r="C12" s="9"/>
      <c r="D12" s="9" t="s">
        <v>98</v>
      </c>
      <c r="E12" s="50" t="s">
        <v>107</v>
      </c>
      <c r="F12" s="50"/>
      <c r="G12" s="51" t="s">
        <v>366</v>
      </c>
      <c r="H12" s="51" t="s">
        <v>226</v>
      </c>
      <c r="I12" s="9" t="s">
        <v>227</v>
      </c>
      <c r="J12" s="9"/>
      <c r="K12" s="9" t="s">
        <v>267</v>
      </c>
      <c r="L12" s="9"/>
      <c r="M12" s="9" t="s">
        <v>267</v>
      </c>
      <c r="N12" s="9"/>
      <c r="O12" s="43"/>
      <c r="P12" s="36"/>
      <c r="Q12" s="74"/>
      <c r="R12" s="49"/>
    </row>
    <row r="13" spans="1:18" s="11" customFormat="1">
      <c r="A13" s="9">
        <v>10</v>
      </c>
      <c r="B13" s="9"/>
      <c r="C13" s="9"/>
      <c r="D13" s="9" t="s">
        <v>99</v>
      </c>
      <c r="E13" s="50" t="s">
        <v>109</v>
      </c>
      <c r="F13" s="50"/>
      <c r="G13" s="51" t="s">
        <v>367</v>
      </c>
      <c r="H13" s="51" t="s">
        <v>269</v>
      </c>
      <c r="I13" s="9" t="s">
        <v>227</v>
      </c>
      <c r="J13" s="9"/>
      <c r="K13" s="9" t="s">
        <v>267</v>
      </c>
      <c r="L13" s="9"/>
      <c r="M13" s="9" t="s">
        <v>267</v>
      </c>
      <c r="N13" s="9"/>
      <c r="O13" s="43"/>
      <c r="P13" s="36"/>
      <c r="Q13" s="74"/>
      <c r="R13" s="49"/>
    </row>
    <row r="14" spans="1:18" s="11" customFormat="1">
      <c r="A14" s="9">
        <v>10</v>
      </c>
      <c r="B14" s="9"/>
      <c r="C14" s="9"/>
      <c r="D14" s="9" t="s">
        <v>69</v>
      </c>
      <c r="E14" s="50" t="s">
        <v>70</v>
      </c>
      <c r="F14" s="50"/>
      <c r="G14" s="51" t="s">
        <v>401</v>
      </c>
      <c r="H14" s="51" t="s">
        <v>251</v>
      </c>
      <c r="I14" s="9" t="s">
        <v>267</v>
      </c>
      <c r="J14" s="9"/>
      <c r="K14" s="9" t="s">
        <v>267</v>
      </c>
      <c r="L14" s="9"/>
      <c r="M14" s="9" t="s">
        <v>267</v>
      </c>
      <c r="N14" s="9"/>
      <c r="O14" s="43"/>
      <c r="P14" s="36"/>
      <c r="Q14" s="74"/>
      <c r="R14" s="49"/>
    </row>
    <row r="15" spans="1:18" s="11" customFormat="1">
      <c r="A15" s="54"/>
      <c r="B15" s="55"/>
      <c r="C15" s="55"/>
      <c r="D15" s="27" t="s">
        <v>1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4"/>
      <c r="P15" s="4"/>
      <c r="Q15" s="6"/>
      <c r="R15" s="23"/>
    </row>
    <row r="16" spans="1:18" s="11" customFormat="1">
      <c r="A16" s="83"/>
      <c r="R16" s="56"/>
    </row>
    <row r="17" spans="1:18" s="11" customFormat="1">
      <c r="A17" s="83"/>
      <c r="R17" s="56"/>
    </row>
    <row r="18" spans="1:18" s="11" customFormat="1">
      <c r="A18" s="83"/>
      <c r="R18" s="56"/>
    </row>
    <row r="19" spans="1:18" s="11" customFormat="1">
      <c r="A19" s="83"/>
      <c r="R19" s="56"/>
    </row>
    <row r="20" spans="1:18" s="11" customFormat="1">
      <c r="A20" s="83"/>
      <c r="R20" s="56"/>
    </row>
    <row r="21" spans="1:18" s="11" customFormat="1">
      <c r="A21" s="83"/>
      <c r="R21" s="56"/>
    </row>
    <row r="22" spans="1:18" s="11" customFormat="1">
      <c r="A22" s="83"/>
      <c r="R22" s="56"/>
    </row>
    <row r="23" spans="1:18" s="11" customFormat="1">
      <c r="A23" s="83"/>
      <c r="R23" s="56"/>
    </row>
    <row r="24" spans="1:18" s="11" customFormat="1">
      <c r="A24" s="83"/>
      <c r="R24" s="56"/>
    </row>
    <row r="25" spans="1:18" s="11" customFormat="1">
      <c r="A25" s="83"/>
      <c r="R25" s="56"/>
    </row>
    <row r="26" spans="1:18" s="11" customFormat="1">
      <c r="A26" s="83"/>
      <c r="R26" s="56"/>
    </row>
    <row r="27" spans="1:18" s="11" customFormat="1">
      <c r="A27" s="83"/>
      <c r="R27" s="56"/>
    </row>
    <row r="28" spans="1:18" s="11" customFormat="1">
      <c r="A28" s="83"/>
      <c r="R28" s="56"/>
    </row>
    <row r="29" spans="1:18" s="11" customFormat="1">
      <c r="A29" s="83"/>
      <c r="R29" s="56"/>
    </row>
    <row r="30" spans="1:18" s="11" customFormat="1">
      <c r="A30" s="88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20"/>
    </row>
  </sheetData>
  <dataConsolidate/>
  <phoneticPr fontId="7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72" customWidth="1"/>
    <col min="43" max="44" width="2.08984375" style="73" customWidth="1"/>
    <col min="45" max="71" width="2.08984375" style="72" customWidth="1"/>
    <col min="72" max="16384" width="9" style="72"/>
  </cols>
  <sheetData>
    <row r="1" spans="1:57" s="69" customFormat="1" ht="38.25" customHeight="1" thickBot="1">
      <c r="A1" s="105" t="s">
        <v>21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  <c r="AR1" s="106"/>
      <c r="AS1" s="106"/>
      <c r="AT1" s="106"/>
      <c r="AU1" s="106"/>
      <c r="AV1" s="106"/>
      <c r="AW1" s="106"/>
      <c r="AX1" s="106"/>
      <c r="AY1" s="106"/>
      <c r="AZ1" s="106"/>
      <c r="BA1" s="106"/>
      <c r="BB1" s="106"/>
      <c r="BC1" s="106"/>
      <c r="BD1" s="106"/>
      <c r="BE1" s="107"/>
    </row>
    <row r="2" spans="1:57" s="69" customFormat="1" ht="12" customHeight="1" thickBot="1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1"/>
      <c r="AR2" s="71"/>
    </row>
    <row r="3" spans="1:57" ht="15" customHeight="1" thickBot="1">
      <c r="A3" s="140" t="s">
        <v>22</v>
      </c>
      <c r="B3" s="109"/>
      <c r="C3" s="109"/>
      <c r="D3" s="109"/>
      <c r="E3" s="109"/>
      <c r="F3" s="109"/>
      <c r="G3" s="110"/>
      <c r="H3" s="108" t="s">
        <v>23</v>
      </c>
      <c r="I3" s="109"/>
      <c r="J3" s="109"/>
      <c r="K3" s="109"/>
      <c r="L3" s="109"/>
      <c r="M3" s="109"/>
      <c r="N3" s="110"/>
      <c r="O3" s="108" t="s">
        <v>24</v>
      </c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11"/>
      <c r="AD3" s="111"/>
      <c r="AE3" s="111"/>
      <c r="AF3" s="111"/>
      <c r="AG3" s="111"/>
      <c r="AH3" s="111"/>
      <c r="AI3" s="111"/>
      <c r="AJ3" s="111"/>
      <c r="AK3" s="111"/>
      <c r="AL3" s="111"/>
      <c r="AM3" s="111"/>
      <c r="AN3" s="111"/>
      <c r="AO3" s="111"/>
      <c r="AP3" s="112"/>
      <c r="AQ3" s="113" t="s">
        <v>25</v>
      </c>
      <c r="AR3" s="114"/>
      <c r="AS3" s="114"/>
      <c r="AT3" s="114"/>
      <c r="AU3" s="114"/>
      <c r="AV3" s="114"/>
      <c r="AW3" s="114"/>
      <c r="AX3" s="114"/>
      <c r="AY3" s="114"/>
      <c r="AZ3" s="114"/>
      <c r="BA3" s="114"/>
      <c r="BB3" s="114"/>
      <c r="BC3" s="114"/>
      <c r="BD3" s="114"/>
      <c r="BE3" s="115"/>
    </row>
    <row r="4" spans="1:57" ht="15" customHeight="1">
      <c r="A4" s="141">
        <v>1</v>
      </c>
      <c r="B4" s="142"/>
      <c r="C4" s="142"/>
      <c r="D4" s="142"/>
      <c r="E4" s="142"/>
      <c r="F4" s="142"/>
      <c r="G4" s="143"/>
      <c r="H4" s="133"/>
      <c r="I4" s="134"/>
      <c r="J4" s="134"/>
      <c r="K4" s="134"/>
      <c r="L4" s="134"/>
      <c r="M4" s="134"/>
      <c r="N4" s="135"/>
      <c r="O4" s="133" t="s">
        <v>26</v>
      </c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6"/>
      <c r="AF4" s="136"/>
      <c r="AG4" s="136"/>
      <c r="AH4" s="136"/>
      <c r="AI4" s="136"/>
      <c r="AJ4" s="136"/>
      <c r="AK4" s="136"/>
      <c r="AL4" s="136"/>
      <c r="AM4" s="136"/>
      <c r="AN4" s="136"/>
      <c r="AO4" s="136"/>
      <c r="AP4" s="137"/>
      <c r="AQ4" s="138"/>
      <c r="AR4" s="136"/>
      <c r="AS4" s="136"/>
      <c r="AT4" s="136"/>
      <c r="AU4" s="136"/>
      <c r="AV4" s="136"/>
      <c r="AW4" s="136"/>
      <c r="AX4" s="136"/>
      <c r="AY4" s="136"/>
      <c r="AZ4" s="136"/>
      <c r="BA4" s="136"/>
      <c r="BB4" s="136"/>
      <c r="BC4" s="136"/>
      <c r="BD4" s="136"/>
      <c r="BE4" s="139"/>
    </row>
    <row r="5" spans="1:57" ht="15" customHeight="1">
      <c r="A5" s="116">
        <v>1.1000000000000001</v>
      </c>
      <c r="B5" s="117"/>
      <c r="C5" s="117"/>
      <c r="D5" s="117"/>
      <c r="E5" s="117"/>
      <c r="F5" s="117"/>
      <c r="G5" s="118"/>
      <c r="H5" s="119"/>
      <c r="I5" s="120"/>
      <c r="J5" s="120"/>
      <c r="K5" s="120"/>
      <c r="L5" s="120"/>
      <c r="M5" s="120"/>
      <c r="N5" s="121"/>
      <c r="O5" s="144" t="s">
        <v>447</v>
      </c>
      <c r="P5" s="145"/>
      <c r="Q5" s="145"/>
      <c r="R5" s="145"/>
      <c r="S5" s="145"/>
      <c r="T5" s="145"/>
      <c r="U5" s="145"/>
      <c r="V5" s="145"/>
      <c r="W5" s="145"/>
      <c r="X5" s="145"/>
      <c r="Y5" s="145"/>
      <c r="Z5" s="145"/>
      <c r="AA5" s="145"/>
      <c r="AB5" s="145"/>
      <c r="AC5" s="145"/>
      <c r="AD5" s="145"/>
      <c r="AE5" s="145"/>
      <c r="AF5" s="145"/>
      <c r="AG5" s="145"/>
      <c r="AH5" s="145"/>
      <c r="AI5" s="145"/>
      <c r="AJ5" s="145"/>
      <c r="AK5" s="145"/>
      <c r="AL5" s="145"/>
      <c r="AM5" s="145"/>
      <c r="AN5" s="145"/>
      <c r="AO5" s="145"/>
      <c r="AP5" s="146"/>
      <c r="AQ5" s="147" t="s">
        <v>448</v>
      </c>
      <c r="AR5" s="148"/>
      <c r="AS5" s="148"/>
      <c r="AT5" s="148"/>
      <c r="AU5" s="148"/>
      <c r="AV5" s="148"/>
      <c r="AW5" s="148"/>
      <c r="AX5" s="148"/>
      <c r="AY5" s="148"/>
      <c r="AZ5" s="148"/>
      <c r="BA5" s="148"/>
      <c r="BB5" s="148"/>
      <c r="BC5" s="148"/>
      <c r="BD5" s="148"/>
      <c r="BE5" s="149"/>
    </row>
    <row r="6" spans="1:57" ht="15" customHeight="1">
      <c r="A6" s="116"/>
      <c r="B6" s="117"/>
      <c r="C6" s="117"/>
      <c r="D6" s="117"/>
      <c r="E6" s="117"/>
      <c r="F6" s="117"/>
      <c r="G6" s="118"/>
      <c r="H6" s="119"/>
      <c r="I6" s="120"/>
      <c r="J6" s="120"/>
      <c r="K6" s="120"/>
      <c r="L6" s="120"/>
      <c r="M6" s="120"/>
      <c r="N6" s="121"/>
      <c r="O6" s="119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  <c r="AC6" s="122"/>
      <c r="AD6" s="122"/>
      <c r="AE6" s="122"/>
      <c r="AF6" s="122"/>
      <c r="AG6" s="122"/>
      <c r="AH6" s="122"/>
      <c r="AI6" s="122"/>
      <c r="AJ6" s="122"/>
      <c r="AK6" s="122"/>
      <c r="AL6" s="122"/>
      <c r="AM6" s="122"/>
      <c r="AN6" s="122"/>
      <c r="AO6" s="122"/>
      <c r="AP6" s="123"/>
      <c r="AQ6" s="124"/>
      <c r="AR6" s="122"/>
      <c r="AS6" s="122"/>
      <c r="AT6" s="122"/>
      <c r="AU6" s="122"/>
      <c r="AV6" s="122"/>
      <c r="AW6" s="122"/>
      <c r="AX6" s="122"/>
      <c r="AY6" s="122"/>
      <c r="AZ6" s="122"/>
      <c r="BA6" s="122"/>
      <c r="BB6" s="122"/>
      <c r="BC6" s="122"/>
      <c r="BD6" s="122"/>
      <c r="BE6" s="125"/>
    </row>
    <row r="7" spans="1:57" ht="15" customHeight="1">
      <c r="A7" s="116"/>
      <c r="B7" s="117"/>
      <c r="C7" s="117"/>
      <c r="D7" s="117"/>
      <c r="E7" s="117"/>
      <c r="F7" s="117"/>
      <c r="G7" s="118"/>
      <c r="H7" s="119"/>
      <c r="I7" s="120"/>
      <c r="J7" s="120"/>
      <c r="K7" s="120"/>
      <c r="L7" s="120"/>
      <c r="M7" s="120"/>
      <c r="N7" s="121"/>
      <c r="O7" s="119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  <c r="AA7" s="122"/>
      <c r="AB7" s="122"/>
      <c r="AC7" s="122"/>
      <c r="AD7" s="122"/>
      <c r="AE7" s="122"/>
      <c r="AF7" s="122"/>
      <c r="AG7" s="122"/>
      <c r="AH7" s="122"/>
      <c r="AI7" s="122"/>
      <c r="AJ7" s="122"/>
      <c r="AK7" s="122"/>
      <c r="AL7" s="122"/>
      <c r="AM7" s="122"/>
      <c r="AN7" s="122"/>
      <c r="AO7" s="122"/>
      <c r="AP7" s="123"/>
      <c r="AQ7" s="124"/>
      <c r="AR7" s="122"/>
      <c r="AS7" s="122"/>
      <c r="AT7" s="122"/>
      <c r="AU7" s="122"/>
      <c r="AV7" s="122"/>
      <c r="AW7" s="122"/>
      <c r="AX7" s="122"/>
      <c r="AY7" s="122"/>
      <c r="AZ7" s="122"/>
      <c r="BA7" s="122"/>
      <c r="BB7" s="122"/>
      <c r="BC7" s="122"/>
      <c r="BD7" s="122"/>
      <c r="BE7" s="125"/>
    </row>
    <row r="8" spans="1:57" ht="15" customHeight="1">
      <c r="A8" s="116"/>
      <c r="B8" s="117"/>
      <c r="C8" s="117"/>
      <c r="D8" s="117"/>
      <c r="E8" s="117"/>
      <c r="F8" s="117"/>
      <c r="G8" s="118"/>
      <c r="H8" s="119"/>
      <c r="I8" s="120"/>
      <c r="J8" s="120"/>
      <c r="K8" s="120"/>
      <c r="L8" s="120"/>
      <c r="M8" s="120"/>
      <c r="N8" s="121"/>
      <c r="O8" s="119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2"/>
      <c r="AD8" s="122"/>
      <c r="AE8" s="122"/>
      <c r="AF8" s="122"/>
      <c r="AG8" s="122"/>
      <c r="AH8" s="122"/>
      <c r="AI8" s="122"/>
      <c r="AJ8" s="122"/>
      <c r="AK8" s="122"/>
      <c r="AL8" s="122"/>
      <c r="AM8" s="122"/>
      <c r="AN8" s="122"/>
      <c r="AO8" s="122"/>
      <c r="AP8" s="123"/>
      <c r="AQ8" s="124"/>
      <c r="AR8" s="122"/>
      <c r="AS8" s="122"/>
      <c r="AT8" s="122"/>
      <c r="AU8" s="122"/>
      <c r="AV8" s="122"/>
      <c r="AW8" s="122"/>
      <c r="AX8" s="122"/>
      <c r="AY8" s="122"/>
      <c r="AZ8" s="122"/>
      <c r="BA8" s="122"/>
      <c r="BB8" s="122"/>
      <c r="BC8" s="122"/>
      <c r="BD8" s="122"/>
      <c r="BE8" s="125"/>
    </row>
    <row r="9" spans="1:57" ht="15" customHeight="1">
      <c r="A9" s="116"/>
      <c r="B9" s="117"/>
      <c r="C9" s="117"/>
      <c r="D9" s="117"/>
      <c r="E9" s="117"/>
      <c r="F9" s="117"/>
      <c r="G9" s="118"/>
      <c r="H9" s="119"/>
      <c r="I9" s="120"/>
      <c r="J9" s="120"/>
      <c r="K9" s="120"/>
      <c r="L9" s="120"/>
      <c r="M9" s="120"/>
      <c r="N9" s="121"/>
      <c r="O9" s="119"/>
      <c r="P9" s="122"/>
      <c r="Q9" s="122"/>
      <c r="R9" s="122"/>
      <c r="S9" s="122"/>
      <c r="T9" s="122"/>
      <c r="U9" s="122"/>
      <c r="V9" s="122"/>
      <c r="W9" s="122"/>
      <c r="X9" s="122"/>
      <c r="Y9" s="122"/>
      <c r="Z9" s="122"/>
      <c r="AA9" s="122"/>
      <c r="AB9" s="122"/>
      <c r="AC9" s="122"/>
      <c r="AD9" s="122"/>
      <c r="AE9" s="122"/>
      <c r="AF9" s="122"/>
      <c r="AG9" s="122"/>
      <c r="AH9" s="122"/>
      <c r="AI9" s="122"/>
      <c r="AJ9" s="122"/>
      <c r="AK9" s="122"/>
      <c r="AL9" s="122"/>
      <c r="AM9" s="122"/>
      <c r="AN9" s="122"/>
      <c r="AO9" s="122"/>
      <c r="AP9" s="123"/>
      <c r="AQ9" s="124"/>
      <c r="AR9" s="122"/>
      <c r="AS9" s="122"/>
      <c r="AT9" s="122"/>
      <c r="AU9" s="122"/>
      <c r="AV9" s="122"/>
      <c r="AW9" s="122"/>
      <c r="AX9" s="122"/>
      <c r="AY9" s="122"/>
      <c r="AZ9" s="122"/>
      <c r="BA9" s="122"/>
      <c r="BB9" s="122"/>
      <c r="BC9" s="122"/>
      <c r="BD9" s="122"/>
      <c r="BE9" s="125"/>
    </row>
    <row r="10" spans="1:57" ht="15" customHeight="1">
      <c r="A10" s="116"/>
      <c r="B10" s="117"/>
      <c r="C10" s="117"/>
      <c r="D10" s="117"/>
      <c r="E10" s="117"/>
      <c r="F10" s="117"/>
      <c r="G10" s="118"/>
      <c r="H10" s="119"/>
      <c r="I10" s="120"/>
      <c r="J10" s="120"/>
      <c r="K10" s="120"/>
      <c r="L10" s="120"/>
      <c r="M10" s="120"/>
      <c r="N10" s="121"/>
      <c r="O10" s="119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2"/>
      <c r="AG10" s="122"/>
      <c r="AH10" s="122"/>
      <c r="AI10" s="122"/>
      <c r="AJ10" s="122"/>
      <c r="AK10" s="122"/>
      <c r="AL10" s="122"/>
      <c r="AM10" s="122"/>
      <c r="AN10" s="122"/>
      <c r="AO10" s="122"/>
      <c r="AP10" s="123"/>
      <c r="AQ10" s="124"/>
      <c r="AR10" s="122"/>
      <c r="AS10" s="122"/>
      <c r="AT10" s="122"/>
      <c r="AU10" s="122"/>
      <c r="AV10" s="122"/>
      <c r="AW10" s="122"/>
      <c r="AX10" s="122"/>
      <c r="AY10" s="122"/>
      <c r="AZ10" s="122"/>
      <c r="BA10" s="122"/>
      <c r="BB10" s="122"/>
      <c r="BC10" s="122"/>
      <c r="BD10" s="122"/>
      <c r="BE10" s="125"/>
    </row>
    <row r="11" spans="1:57" ht="15" customHeight="1">
      <c r="A11" s="116"/>
      <c r="B11" s="117"/>
      <c r="C11" s="117"/>
      <c r="D11" s="117"/>
      <c r="E11" s="117"/>
      <c r="F11" s="117"/>
      <c r="G11" s="118"/>
      <c r="H11" s="119"/>
      <c r="I11" s="120"/>
      <c r="J11" s="120"/>
      <c r="K11" s="120"/>
      <c r="L11" s="120"/>
      <c r="M11" s="120"/>
      <c r="N11" s="121"/>
      <c r="O11" s="119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  <c r="AB11" s="122"/>
      <c r="AC11" s="122"/>
      <c r="AD11" s="122"/>
      <c r="AE11" s="122"/>
      <c r="AF11" s="122"/>
      <c r="AG11" s="122"/>
      <c r="AH11" s="122"/>
      <c r="AI11" s="122"/>
      <c r="AJ11" s="122"/>
      <c r="AK11" s="122"/>
      <c r="AL11" s="122"/>
      <c r="AM11" s="122"/>
      <c r="AN11" s="122"/>
      <c r="AO11" s="122"/>
      <c r="AP11" s="123"/>
      <c r="AQ11" s="124"/>
      <c r="AR11" s="122"/>
      <c r="AS11" s="122"/>
      <c r="AT11" s="122"/>
      <c r="AU11" s="122"/>
      <c r="AV11" s="122"/>
      <c r="AW11" s="122"/>
      <c r="AX11" s="122"/>
      <c r="AY11" s="122"/>
      <c r="AZ11" s="122"/>
      <c r="BA11" s="122"/>
      <c r="BB11" s="122"/>
      <c r="BC11" s="122"/>
      <c r="BD11" s="122"/>
      <c r="BE11" s="125"/>
    </row>
    <row r="12" spans="1:57" ht="15" customHeight="1">
      <c r="A12" s="116"/>
      <c r="B12" s="117"/>
      <c r="C12" s="117"/>
      <c r="D12" s="117"/>
      <c r="E12" s="117"/>
      <c r="F12" s="117"/>
      <c r="G12" s="118"/>
      <c r="H12" s="119"/>
      <c r="I12" s="120"/>
      <c r="J12" s="120"/>
      <c r="K12" s="120"/>
      <c r="L12" s="120"/>
      <c r="M12" s="120"/>
      <c r="N12" s="121"/>
      <c r="O12" s="119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  <c r="AF12" s="122"/>
      <c r="AG12" s="122"/>
      <c r="AH12" s="122"/>
      <c r="AI12" s="122"/>
      <c r="AJ12" s="122"/>
      <c r="AK12" s="122"/>
      <c r="AL12" s="122"/>
      <c r="AM12" s="122"/>
      <c r="AN12" s="122"/>
      <c r="AO12" s="122"/>
      <c r="AP12" s="123"/>
      <c r="AQ12" s="124"/>
      <c r="AR12" s="122"/>
      <c r="AS12" s="122"/>
      <c r="AT12" s="122"/>
      <c r="AU12" s="122"/>
      <c r="AV12" s="122"/>
      <c r="AW12" s="122"/>
      <c r="AX12" s="122"/>
      <c r="AY12" s="122"/>
      <c r="AZ12" s="122"/>
      <c r="BA12" s="122"/>
      <c r="BB12" s="122"/>
      <c r="BC12" s="122"/>
      <c r="BD12" s="122"/>
      <c r="BE12" s="125"/>
    </row>
    <row r="13" spans="1:57" ht="15" customHeight="1">
      <c r="A13" s="116"/>
      <c r="B13" s="117"/>
      <c r="C13" s="117"/>
      <c r="D13" s="117"/>
      <c r="E13" s="117"/>
      <c r="F13" s="117"/>
      <c r="G13" s="118"/>
      <c r="H13" s="119"/>
      <c r="I13" s="120"/>
      <c r="J13" s="120"/>
      <c r="K13" s="120"/>
      <c r="L13" s="120"/>
      <c r="M13" s="120"/>
      <c r="N13" s="121"/>
      <c r="O13" s="119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  <c r="AF13" s="122"/>
      <c r="AG13" s="122"/>
      <c r="AH13" s="122"/>
      <c r="AI13" s="122"/>
      <c r="AJ13" s="122"/>
      <c r="AK13" s="122"/>
      <c r="AL13" s="122"/>
      <c r="AM13" s="122"/>
      <c r="AN13" s="122"/>
      <c r="AO13" s="122"/>
      <c r="AP13" s="123"/>
      <c r="AQ13" s="124"/>
      <c r="AR13" s="122"/>
      <c r="AS13" s="122"/>
      <c r="AT13" s="122"/>
      <c r="AU13" s="122"/>
      <c r="AV13" s="122"/>
      <c r="AW13" s="122"/>
      <c r="AX13" s="122"/>
      <c r="AY13" s="122"/>
      <c r="AZ13" s="122"/>
      <c r="BA13" s="122"/>
      <c r="BB13" s="122"/>
      <c r="BC13" s="122"/>
      <c r="BD13" s="122"/>
      <c r="BE13" s="125"/>
    </row>
    <row r="14" spans="1:57" ht="15" customHeight="1">
      <c r="A14" s="116"/>
      <c r="B14" s="117"/>
      <c r="C14" s="117"/>
      <c r="D14" s="117"/>
      <c r="E14" s="117"/>
      <c r="F14" s="117"/>
      <c r="G14" s="118"/>
      <c r="H14" s="119"/>
      <c r="I14" s="120"/>
      <c r="J14" s="120"/>
      <c r="K14" s="120"/>
      <c r="L14" s="120"/>
      <c r="M14" s="120"/>
      <c r="N14" s="121"/>
      <c r="O14" s="119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  <c r="AO14" s="122"/>
      <c r="AP14" s="123"/>
      <c r="AQ14" s="124"/>
      <c r="AR14" s="122"/>
      <c r="AS14" s="122"/>
      <c r="AT14" s="122"/>
      <c r="AU14" s="122"/>
      <c r="AV14" s="122"/>
      <c r="AW14" s="122"/>
      <c r="AX14" s="122"/>
      <c r="AY14" s="122"/>
      <c r="AZ14" s="122"/>
      <c r="BA14" s="122"/>
      <c r="BB14" s="122"/>
      <c r="BC14" s="122"/>
      <c r="BD14" s="122"/>
      <c r="BE14" s="125"/>
    </row>
    <row r="15" spans="1:57" ht="15" customHeight="1">
      <c r="A15" s="116"/>
      <c r="B15" s="117"/>
      <c r="C15" s="117"/>
      <c r="D15" s="117"/>
      <c r="E15" s="117"/>
      <c r="F15" s="117"/>
      <c r="G15" s="118"/>
      <c r="H15" s="119"/>
      <c r="I15" s="120"/>
      <c r="J15" s="120"/>
      <c r="K15" s="120"/>
      <c r="L15" s="120"/>
      <c r="M15" s="120"/>
      <c r="N15" s="121"/>
      <c r="O15" s="119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  <c r="AO15" s="122"/>
      <c r="AP15" s="123"/>
      <c r="AQ15" s="124"/>
      <c r="AR15" s="122"/>
      <c r="AS15" s="122"/>
      <c r="AT15" s="122"/>
      <c r="AU15" s="122"/>
      <c r="AV15" s="122"/>
      <c r="AW15" s="122"/>
      <c r="AX15" s="122"/>
      <c r="AY15" s="122"/>
      <c r="AZ15" s="122"/>
      <c r="BA15" s="122"/>
      <c r="BB15" s="122"/>
      <c r="BC15" s="122"/>
      <c r="BD15" s="122"/>
      <c r="BE15" s="125"/>
    </row>
    <row r="16" spans="1:57" ht="15" customHeight="1">
      <c r="A16" s="116"/>
      <c r="B16" s="117"/>
      <c r="C16" s="117"/>
      <c r="D16" s="117"/>
      <c r="E16" s="117"/>
      <c r="F16" s="117"/>
      <c r="G16" s="118"/>
      <c r="H16" s="119"/>
      <c r="I16" s="120"/>
      <c r="J16" s="120"/>
      <c r="K16" s="120"/>
      <c r="L16" s="120"/>
      <c r="M16" s="120"/>
      <c r="N16" s="121"/>
      <c r="O16" s="119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  <c r="AF16" s="122"/>
      <c r="AG16" s="122"/>
      <c r="AH16" s="122"/>
      <c r="AI16" s="122"/>
      <c r="AJ16" s="122"/>
      <c r="AK16" s="122"/>
      <c r="AL16" s="122"/>
      <c r="AM16" s="122"/>
      <c r="AN16" s="122"/>
      <c r="AO16" s="122"/>
      <c r="AP16" s="123"/>
      <c r="AQ16" s="124"/>
      <c r="AR16" s="122"/>
      <c r="AS16" s="122"/>
      <c r="AT16" s="122"/>
      <c r="AU16" s="122"/>
      <c r="AV16" s="122"/>
      <c r="AW16" s="122"/>
      <c r="AX16" s="122"/>
      <c r="AY16" s="122"/>
      <c r="AZ16" s="122"/>
      <c r="BA16" s="122"/>
      <c r="BB16" s="122"/>
      <c r="BC16" s="122"/>
      <c r="BD16" s="122"/>
      <c r="BE16" s="125"/>
    </row>
    <row r="17" spans="1:57" ht="15" customHeight="1">
      <c r="A17" s="116"/>
      <c r="B17" s="117"/>
      <c r="C17" s="117"/>
      <c r="D17" s="117"/>
      <c r="E17" s="117"/>
      <c r="F17" s="117"/>
      <c r="G17" s="118"/>
      <c r="H17" s="119"/>
      <c r="I17" s="120"/>
      <c r="J17" s="120"/>
      <c r="K17" s="120"/>
      <c r="L17" s="120"/>
      <c r="M17" s="120"/>
      <c r="N17" s="121"/>
      <c r="O17" s="119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  <c r="AA17" s="122"/>
      <c r="AB17" s="122"/>
      <c r="AC17" s="122"/>
      <c r="AD17" s="122"/>
      <c r="AE17" s="122"/>
      <c r="AF17" s="122"/>
      <c r="AG17" s="122"/>
      <c r="AH17" s="122"/>
      <c r="AI17" s="122"/>
      <c r="AJ17" s="122"/>
      <c r="AK17" s="122"/>
      <c r="AL17" s="122"/>
      <c r="AM17" s="122"/>
      <c r="AN17" s="122"/>
      <c r="AO17" s="122"/>
      <c r="AP17" s="123"/>
      <c r="AQ17" s="124"/>
      <c r="AR17" s="122"/>
      <c r="AS17" s="122"/>
      <c r="AT17" s="122"/>
      <c r="AU17" s="122"/>
      <c r="AV17" s="122"/>
      <c r="AW17" s="122"/>
      <c r="AX17" s="122"/>
      <c r="AY17" s="122"/>
      <c r="AZ17" s="122"/>
      <c r="BA17" s="122"/>
      <c r="BB17" s="122"/>
      <c r="BC17" s="122"/>
      <c r="BD17" s="122"/>
      <c r="BE17" s="125"/>
    </row>
    <row r="18" spans="1:57" ht="15" customHeight="1">
      <c r="A18" s="116"/>
      <c r="B18" s="117"/>
      <c r="C18" s="117"/>
      <c r="D18" s="117"/>
      <c r="E18" s="117"/>
      <c r="F18" s="117"/>
      <c r="G18" s="118"/>
      <c r="H18" s="119"/>
      <c r="I18" s="120"/>
      <c r="J18" s="120"/>
      <c r="K18" s="120"/>
      <c r="L18" s="120"/>
      <c r="M18" s="120"/>
      <c r="N18" s="121"/>
      <c r="O18" s="119"/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2"/>
      <c r="AB18" s="122"/>
      <c r="AC18" s="122"/>
      <c r="AD18" s="122"/>
      <c r="AE18" s="122"/>
      <c r="AF18" s="122"/>
      <c r="AG18" s="122"/>
      <c r="AH18" s="122"/>
      <c r="AI18" s="122"/>
      <c r="AJ18" s="122"/>
      <c r="AK18" s="122"/>
      <c r="AL18" s="122"/>
      <c r="AM18" s="122"/>
      <c r="AN18" s="122"/>
      <c r="AO18" s="122"/>
      <c r="AP18" s="123"/>
      <c r="AQ18" s="124"/>
      <c r="AR18" s="122"/>
      <c r="AS18" s="122"/>
      <c r="AT18" s="122"/>
      <c r="AU18" s="122"/>
      <c r="AV18" s="122"/>
      <c r="AW18" s="122"/>
      <c r="AX18" s="122"/>
      <c r="AY18" s="122"/>
      <c r="AZ18" s="122"/>
      <c r="BA18" s="122"/>
      <c r="BB18" s="122"/>
      <c r="BC18" s="122"/>
      <c r="BD18" s="122"/>
      <c r="BE18" s="125"/>
    </row>
    <row r="19" spans="1:57" ht="15" customHeight="1">
      <c r="A19" s="116"/>
      <c r="B19" s="117"/>
      <c r="C19" s="117"/>
      <c r="D19" s="117"/>
      <c r="E19" s="117"/>
      <c r="F19" s="117"/>
      <c r="G19" s="118"/>
      <c r="H19" s="119"/>
      <c r="I19" s="120"/>
      <c r="J19" s="120"/>
      <c r="K19" s="120"/>
      <c r="L19" s="120"/>
      <c r="M19" s="120"/>
      <c r="N19" s="121"/>
      <c r="O19" s="119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  <c r="AA19" s="122"/>
      <c r="AB19" s="122"/>
      <c r="AC19" s="122"/>
      <c r="AD19" s="122"/>
      <c r="AE19" s="122"/>
      <c r="AF19" s="122"/>
      <c r="AG19" s="122"/>
      <c r="AH19" s="122"/>
      <c r="AI19" s="122"/>
      <c r="AJ19" s="122"/>
      <c r="AK19" s="122"/>
      <c r="AL19" s="122"/>
      <c r="AM19" s="122"/>
      <c r="AN19" s="122"/>
      <c r="AO19" s="122"/>
      <c r="AP19" s="123"/>
      <c r="AQ19" s="124"/>
      <c r="AR19" s="122"/>
      <c r="AS19" s="122"/>
      <c r="AT19" s="122"/>
      <c r="AU19" s="122"/>
      <c r="AV19" s="122"/>
      <c r="AW19" s="122"/>
      <c r="AX19" s="122"/>
      <c r="AY19" s="122"/>
      <c r="AZ19" s="122"/>
      <c r="BA19" s="122"/>
      <c r="BB19" s="122"/>
      <c r="BC19" s="122"/>
      <c r="BD19" s="122"/>
      <c r="BE19" s="125"/>
    </row>
    <row r="20" spans="1:57" ht="15" customHeight="1">
      <c r="A20" s="116"/>
      <c r="B20" s="117"/>
      <c r="C20" s="117"/>
      <c r="D20" s="117"/>
      <c r="E20" s="117"/>
      <c r="F20" s="117"/>
      <c r="G20" s="118"/>
      <c r="H20" s="119"/>
      <c r="I20" s="120"/>
      <c r="J20" s="120"/>
      <c r="K20" s="120"/>
      <c r="L20" s="120"/>
      <c r="M20" s="120"/>
      <c r="N20" s="121"/>
      <c r="O20" s="119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  <c r="AA20" s="122"/>
      <c r="AB20" s="122"/>
      <c r="AC20" s="122"/>
      <c r="AD20" s="122"/>
      <c r="AE20" s="122"/>
      <c r="AF20" s="122"/>
      <c r="AG20" s="122"/>
      <c r="AH20" s="122"/>
      <c r="AI20" s="122"/>
      <c r="AJ20" s="122"/>
      <c r="AK20" s="122"/>
      <c r="AL20" s="122"/>
      <c r="AM20" s="122"/>
      <c r="AN20" s="122"/>
      <c r="AO20" s="122"/>
      <c r="AP20" s="123"/>
      <c r="AQ20" s="124"/>
      <c r="AR20" s="122"/>
      <c r="AS20" s="122"/>
      <c r="AT20" s="122"/>
      <c r="AU20" s="122"/>
      <c r="AV20" s="122"/>
      <c r="AW20" s="122"/>
      <c r="AX20" s="122"/>
      <c r="AY20" s="122"/>
      <c r="AZ20" s="122"/>
      <c r="BA20" s="122"/>
      <c r="BB20" s="122"/>
      <c r="BC20" s="122"/>
      <c r="BD20" s="122"/>
      <c r="BE20" s="125"/>
    </row>
    <row r="21" spans="1:57" ht="15" customHeight="1">
      <c r="A21" s="116"/>
      <c r="B21" s="117"/>
      <c r="C21" s="117"/>
      <c r="D21" s="117"/>
      <c r="E21" s="117"/>
      <c r="F21" s="117"/>
      <c r="G21" s="118"/>
      <c r="H21" s="119"/>
      <c r="I21" s="120"/>
      <c r="J21" s="120"/>
      <c r="K21" s="120"/>
      <c r="L21" s="120"/>
      <c r="M21" s="120"/>
      <c r="N21" s="121"/>
      <c r="O21" s="119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  <c r="AC21" s="122"/>
      <c r="AD21" s="122"/>
      <c r="AE21" s="122"/>
      <c r="AF21" s="122"/>
      <c r="AG21" s="122"/>
      <c r="AH21" s="122"/>
      <c r="AI21" s="122"/>
      <c r="AJ21" s="122"/>
      <c r="AK21" s="122"/>
      <c r="AL21" s="122"/>
      <c r="AM21" s="122"/>
      <c r="AN21" s="122"/>
      <c r="AO21" s="122"/>
      <c r="AP21" s="123"/>
      <c r="AQ21" s="124"/>
      <c r="AR21" s="122"/>
      <c r="AS21" s="122"/>
      <c r="AT21" s="122"/>
      <c r="AU21" s="122"/>
      <c r="AV21" s="122"/>
      <c r="AW21" s="122"/>
      <c r="AX21" s="122"/>
      <c r="AY21" s="122"/>
      <c r="AZ21" s="122"/>
      <c r="BA21" s="122"/>
      <c r="BB21" s="122"/>
      <c r="BC21" s="122"/>
      <c r="BD21" s="122"/>
      <c r="BE21" s="125"/>
    </row>
    <row r="22" spans="1:57" ht="15" customHeight="1">
      <c r="A22" s="116"/>
      <c r="B22" s="117"/>
      <c r="C22" s="117"/>
      <c r="D22" s="117"/>
      <c r="E22" s="117"/>
      <c r="F22" s="117"/>
      <c r="G22" s="118"/>
      <c r="H22" s="119"/>
      <c r="I22" s="120"/>
      <c r="J22" s="120"/>
      <c r="K22" s="120"/>
      <c r="L22" s="120"/>
      <c r="M22" s="120"/>
      <c r="N22" s="121"/>
      <c r="O22" s="119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  <c r="AA22" s="122"/>
      <c r="AB22" s="122"/>
      <c r="AC22" s="122"/>
      <c r="AD22" s="122"/>
      <c r="AE22" s="122"/>
      <c r="AF22" s="122"/>
      <c r="AG22" s="122"/>
      <c r="AH22" s="122"/>
      <c r="AI22" s="122"/>
      <c r="AJ22" s="122"/>
      <c r="AK22" s="122"/>
      <c r="AL22" s="122"/>
      <c r="AM22" s="122"/>
      <c r="AN22" s="122"/>
      <c r="AO22" s="122"/>
      <c r="AP22" s="123"/>
      <c r="AQ22" s="124"/>
      <c r="AR22" s="122"/>
      <c r="AS22" s="122"/>
      <c r="AT22" s="122"/>
      <c r="AU22" s="122"/>
      <c r="AV22" s="122"/>
      <c r="AW22" s="122"/>
      <c r="AX22" s="122"/>
      <c r="AY22" s="122"/>
      <c r="AZ22" s="122"/>
      <c r="BA22" s="122"/>
      <c r="BB22" s="122"/>
      <c r="BC22" s="122"/>
      <c r="BD22" s="122"/>
      <c r="BE22" s="125"/>
    </row>
    <row r="23" spans="1:57" ht="15" customHeight="1">
      <c r="A23" s="116"/>
      <c r="B23" s="117"/>
      <c r="C23" s="117"/>
      <c r="D23" s="117"/>
      <c r="E23" s="117"/>
      <c r="F23" s="117"/>
      <c r="G23" s="118"/>
      <c r="H23" s="119"/>
      <c r="I23" s="120"/>
      <c r="J23" s="120"/>
      <c r="K23" s="120"/>
      <c r="L23" s="120"/>
      <c r="M23" s="120"/>
      <c r="N23" s="121"/>
      <c r="O23" s="119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  <c r="AA23" s="122"/>
      <c r="AB23" s="122"/>
      <c r="AC23" s="122"/>
      <c r="AD23" s="122"/>
      <c r="AE23" s="122"/>
      <c r="AF23" s="122"/>
      <c r="AG23" s="122"/>
      <c r="AH23" s="122"/>
      <c r="AI23" s="122"/>
      <c r="AJ23" s="122"/>
      <c r="AK23" s="122"/>
      <c r="AL23" s="122"/>
      <c r="AM23" s="122"/>
      <c r="AN23" s="122"/>
      <c r="AO23" s="122"/>
      <c r="AP23" s="123"/>
      <c r="AQ23" s="124"/>
      <c r="AR23" s="122"/>
      <c r="AS23" s="122"/>
      <c r="AT23" s="122"/>
      <c r="AU23" s="122"/>
      <c r="AV23" s="122"/>
      <c r="AW23" s="122"/>
      <c r="AX23" s="122"/>
      <c r="AY23" s="122"/>
      <c r="AZ23" s="122"/>
      <c r="BA23" s="122"/>
      <c r="BB23" s="122"/>
      <c r="BC23" s="122"/>
      <c r="BD23" s="122"/>
      <c r="BE23" s="125"/>
    </row>
    <row r="24" spans="1:57" ht="15" customHeight="1">
      <c r="A24" s="116"/>
      <c r="B24" s="117"/>
      <c r="C24" s="117"/>
      <c r="D24" s="117"/>
      <c r="E24" s="117"/>
      <c r="F24" s="117"/>
      <c r="G24" s="118"/>
      <c r="H24" s="119"/>
      <c r="I24" s="120"/>
      <c r="J24" s="120"/>
      <c r="K24" s="120"/>
      <c r="L24" s="120"/>
      <c r="M24" s="120"/>
      <c r="N24" s="121"/>
      <c r="O24" s="119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  <c r="AC24" s="122"/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  <c r="AO24" s="122"/>
      <c r="AP24" s="123"/>
      <c r="AQ24" s="124"/>
      <c r="AR24" s="122"/>
      <c r="AS24" s="122"/>
      <c r="AT24" s="122"/>
      <c r="AU24" s="122"/>
      <c r="AV24" s="122"/>
      <c r="AW24" s="122"/>
      <c r="AX24" s="122"/>
      <c r="AY24" s="122"/>
      <c r="AZ24" s="122"/>
      <c r="BA24" s="122"/>
      <c r="BB24" s="122"/>
      <c r="BC24" s="122"/>
      <c r="BD24" s="122"/>
      <c r="BE24" s="125"/>
    </row>
    <row r="25" spans="1:57" ht="15" customHeight="1">
      <c r="A25" s="116"/>
      <c r="B25" s="117"/>
      <c r="C25" s="117"/>
      <c r="D25" s="117"/>
      <c r="E25" s="117"/>
      <c r="F25" s="117"/>
      <c r="G25" s="118"/>
      <c r="H25" s="119"/>
      <c r="I25" s="120"/>
      <c r="J25" s="120"/>
      <c r="K25" s="120"/>
      <c r="L25" s="120"/>
      <c r="M25" s="120"/>
      <c r="N25" s="121"/>
      <c r="O25" s="119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  <c r="AC25" s="122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  <c r="AO25" s="122"/>
      <c r="AP25" s="123"/>
      <c r="AQ25" s="124"/>
      <c r="AR25" s="122"/>
      <c r="AS25" s="122"/>
      <c r="AT25" s="122"/>
      <c r="AU25" s="122"/>
      <c r="AV25" s="122"/>
      <c r="AW25" s="122"/>
      <c r="AX25" s="122"/>
      <c r="AY25" s="122"/>
      <c r="AZ25" s="122"/>
      <c r="BA25" s="122"/>
      <c r="BB25" s="122"/>
      <c r="BC25" s="122"/>
      <c r="BD25" s="122"/>
      <c r="BE25" s="125"/>
    </row>
    <row r="26" spans="1:57" ht="15" customHeight="1">
      <c r="A26" s="116"/>
      <c r="B26" s="117"/>
      <c r="C26" s="117"/>
      <c r="D26" s="117"/>
      <c r="E26" s="117"/>
      <c r="F26" s="117"/>
      <c r="G26" s="118"/>
      <c r="H26" s="119"/>
      <c r="I26" s="120"/>
      <c r="J26" s="120"/>
      <c r="K26" s="120"/>
      <c r="L26" s="120"/>
      <c r="M26" s="120"/>
      <c r="N26" s="121"/>
      <c r="O26" s="119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  <c r="AO26" s="122"/>
      <c r="AP26" s="123"/>
      <c r="AQ26" s="124"/>
      <c r="AR26" s="122"/>
      <c r="AS26" s="122"/>
      <c r="AT26" s="122"/>
      <c r="AU26" s="122"/>
      <c r="AV26" s="122"/>
      <c r="AW26" s="122"/>
      <c r="AX26" s="122"/>
      <c r="AY26" s="122"/>
      <c r="AZ26" s="122"/>
      <c r="BA26" s="122"/>
      <c r="BB26" s="122"/>
      <c r="BC26" s="122"/>
      <c r="BD26" s="122"/>
      <c r="BE26" s="125"/>
    </row>
    <row r="27" spans="1:57" ht="15" customHeight="1">
      <c r="A27" s="116"/>
      <c r="B27" s="117"/>
      <c r="C27" s="117"/>
      <c r="D27" s="117"/>
      <c r="E27" s="117"/>
      <c r="F27" s="117"/>
      <c r="G27" s="118"/>
      <c r="H27" s="119"/>
      <c r="I27" s="120"/>
      <c r="J27" s="120"/>
      <c r="K27" s="120"/>
      <c r="L27" s="120"/>
      <c r="M27" s="120"/>
      <c r="N27" s="121"/>
      <c r="O27" s="119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  <c r="AA27" s="122"/>
      <c r="AB27" s="122"/>
      <c r="AC27" s="122"/>
      <c r="AD27" s="122"/>
      <c r="AE27" s="122"/>
      <c r="AF27" s="122"/>
      <c r="AG27" s="122"/>
      <c r="AH27" s="122"/>
      <c r="AI27" s="122"/>
      <c r="AJ27" s="122"/>
      <c r="AK27" s="122"/>
      <c r="AL27" s="122"/>
      <c r="AM27" s="122"/>
      <c r="AN27" s="122"/>
      <c r="AO27" s="122"/>
      <c r="AP27" s="123"/>
      <c r="AQ27" s="124"/>
      <c r="AR27" s="122"/>
      <c r="AS27" s="122"/>
      <c r="AT27" s="122"/>
      <c r="AU27" s="122"/>
      <c r="AV27" s="122"/>
      <c r="AW27" s="122"/>
      <c r="AX27" s="122"/>
      <c r="AY27" s="122"/>
      <c r="AZ27" s="122"/>
      <c r="BA27" s="122"/>
      <c r="BB27" s="122"/>
      <c r="BC27" s="122"/>
      <c r="BD27" s="122"/>
      <c r="BE27" s="125"/>
    </row>
    <row r="28" spans="1:57" ht="15" customHeight="1">
      <c r="A28" s="116"/>
      <c r="B28" s="117"/>
      <c r="C28" s="117"/>
      <c r="D28" s="117"/>
      <c r="E28" s="117"/>
      <c r="F28" s="117"/>
      <c r="G28" s="118"/>
      <c r="H28" s="119"/>
      <c r="I28" s="120"/>
      <c r="J28" s="120"/>
      <c r="K28" s="120"/>
      <c r="L28" s="120"/>
      <c r="M28" s="120"/>
      <c r="N28" s="121"/>
      <c r="O28" s="119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  <c r="AA28" s="122"/>
      <c r="AB28" s="122"/>
      <c r="AC28" s="122"/>
      <c r="AD28" s="122"/>
      <c r="AE28" s="122"/>
      <c r="AF28" s="122"/>
      <c r="AG28" s="122"/>
      <c r="AH28" s="122"/>
      <c r="AI28" s="122"/>
      <c r="AJ28" s="122"/>
      <c r="AK28" s="122"/>
      <c r="AL28" s="122"/>
      <c r="AM28" s="122"/>
      <c r="AN28" s="122"/>
      <c r="AO28" s="122"/>
      <c r="AP28" s="123"/>
      <c r="AQ28" s="124"/>
      <c r="AR28" s="122"/>
      <c r="AS28" s="122"/>
      <c r="AT28" s="122"/>
      <c r="AU28" s="122"/>
      <c r="AV28" s="122"/>
      <c r="AW28" s="122"/>
      <c r="AX28" s="122"/>
      <c r="AY28" s="122"/>
      <c r="AZ28" s="122"/>
      <c r="BA28" s="122"/>
      <c r="BB28" s="122"/>
      <c r="BC28" s="122"/>
      <c r="BD28" s="122"/>
      <c r="BE28" s="125"/>
    </row>
    <row r="29" spans="1:57" ht="15" customHeight="1">
      <c r="A29" s="116"/>
      <c r="B29" s="117"/>
      <c r="C29" s="117"/>
      <c r="D29" s="117"/>
      <c r="E29" s="117"/>
      <c r="F29" s="117"/>
      <c r="G29" s="118"/>
      <c r="H29" s="119"/>
      <c r="I29" s="120"/>
      <c r="J29" s="120"/>
      <c r="K29" s="120"/>
      <c r="L29" s="120"/>
      <c r="M29" s="120"/>
      <c r="N29" s="121"/>
      <c r="O29" s="119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  <c r="AC29" s="122"/>
      <c r="AD29" s="122"/>
      <c r="AE29" s="122"/>
      <c r="AF29" s="122"/>
      <c r="AG29" s="122"/>
      <c r="AH29" s="122"/>
      <c r="AI29" s="122"/>
      <c r="AJ29" s="122"/>
      <c r="AK29" s="122"/>
      <c r="AL29" s="122"/>
      <c r="AM29" s="122"/>
      <c r="AN29" s="122"/>
      <c r="AO29" s="122"/>
      <c r="AP29" s="123"/>
      <c r="AQ29" s="124"/>
      <c r="AR29" s="122"/>
      <c r="AS29" s="122"/>
      <c r="AT29" s="122"/>
      <c r="AU29" s="122"/>
      <c r="AV29" s="122"/>
      <c r="AW29" s="122"/>
      <c r="AX29" s="122"/>
      <c r="AY29" s="122"/>
      <c r="AZ29" s="122"/>
      <c r="BA29" s="122"/>
      <c r="BB29" s="122"/>
      <c r="BC29" s="122"/>
      <c r="BD29" s="122"/>
      <c r="BE29" s="125"/>
    </row>
    <row r="30" spans="1:57" ht="15" customHeight="1">
      <c r="A30" s="116"/>
      <c r="B30" s="117"/>
      <c r="C30" s="117"/>
      <c r="D30" s="117"/>
      <c r="E30" s="117"/>
      <c r="F30" s="117"/>
      <c r="G30" s="118"/>
      <c r="H30" s="119"/>
      <c r="I30" s="120"/>
      <c r="J30" s="120"/>
      <c r="K30" s="120"/>
      <c r="L30" s="120"/>
      <c r="M30" s="120"/>
      <c r="N30" s="121"/>
      <c r="O30" s="119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  <c r="AA30" s="122"/>
      <c r="AB30" s="122"/>
      <c r="AC30" s="122"/>
      <c r="AD30" s="122"/>
      <c r="AE30" s="122"/>
      <c r="AF30" s="122"/>
      <c r="AG30" s="122"/>
      <c r="AH30" s="122"/>
      <c r="AI30" s="122"/>
      <c r="AJ30" s="122"/>
      <c r="AK30" s="122"/>
      <c r="AL30" s="122"/>
      <c r="AM30" s="122"/>
      <c r="AN30" s="122"/>
      <c r="AO30" s="122"/>
      <c r="AP30" s="123"/>
      <c r="AQ30" s="124"/>
      <c r="AR30" s="122"/>
      <c r="AS30" s="122"/>
      <c r="AT30" s="122"/>
      <c r="AU30" s="122"/>
      <c r="AV30" s="122"/>
      <c r="AW30" s="122"/>
      <c r="AX30" s="122"/>
      <c r="AY30" s="122"/>
      <c r="AZ30" s="122"/>
      <c r="BA30" s="122"/>
      <c r="BB30" s="122"/>
      <c r="BC30" s="122"/>
      <c r="BD30" s="122"/>
      <c r="BE30" s="125"/>
    </row>
    <row r="31" spans="1:57" ht="15" customHeight="1">
      <c r="A31" s="116"/>
      <c r="B31" s="117"/>
      <c r="C31" s="117"/>
      <c r="D31" s="117"/>
      <c r="E31" s="117"/>
      <c r="F31" s="117"/>
      <c r="G31" s="118"/>
      <c r="H31" s="119"/>
      <c r="I31" s="120"/>
      <c r="J31" s="120"/>
      <c r="K31" s="120"/>
      <c r="L31" s="120"/>
      <c r="M31" s="120"/>
      <c r="N31" s="121"/>
      <c r="O31" s="119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  <c r="AA31" s="122"/>
      <c r="AB31" s="122"/>
      <c r="AC31" s="122"/>
      <c r="AD31" s="122"/>
      <c r="AE31" s="122"/>
      <c r="AF31" s="122"/>
      <c r="AG31" s="122"/>
      <c r="AH31" s="122"/>
      <c r="AI31" s="122"/>
      <c r="AJ31" s="122"/>
      <c r="AK31" s="122"/>
      <c r="AL31" s="122"/>
      <c r="AM31" s="122"/>
      <c r="AN31" s="122"/>
      <c r="AO31" s="122"/>
      <c r="AP31" s="123"/>
      <c r="AQ31" s="124"/>
      <c r="AR31" s="122"/>
      <c r="AS31" s="122"/>
      <c r="AT31" s="122"/>
      <c r="AU31" s="122"/>
      <c r="AV31" s="122"/>
      <c r="AW31" s="122"/>
      <c r="AX31" s="122"/>
      <c r="AY31" s="122"/>
      <c r="AZ31" s="122"/>
      <c r="BA31" s="122"/>
      <c r="BB31" s="122"/>
      <c r="BC31" s="122"/>
      <c r="BD31" s="122"/>
      <c r="BE31" s="125"/>
    </row>
    <row r="32" spans="1:57" ht="15" customHeight="1">
      <c r="A32" s="116"/>
      <c r="B32" s="117"/>
      <c r="C32" s="117"/>
      <c r="D32" s="117"/>
      <c r="E32" s="117"/>
      <c r="F32" s="117"/>
      <c r="G32" s="118"/>
      <c r="H32" s="119"/>
      <c r="I32" s="120"/>
      <c r="J32" s="120"/>
      <c r="K32" s="120"/>
      <c r="L32" s="120"/>
      <c r="M32" s="120"/>
      <c r="N32" s="121"/>
      <c r="O32" s="119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  <c r="AC32" s="122"/>
      <c r="AD32" s="122"/>
      <c r="AE32" s="122"/>
      <c r="AF32" s="122"/>
      <c r="AG32" s="122"/>
      <c r="AH32" s="122"/>
      <c r="AI32" s="122"/>
      <c r="AJ32" s="122"/>
      <c r="AK32" s="122"/>
      <c r="AL32" s="122"/>
      <c r="AM32" s="122"/>
      <c r="AN32" s="122"/>
      <c r="AO32" s="122"/>
      <c r="AP32" s="123"/>
      <c r="AQ32" s="124"/>
      <c r="AR32" s="122"/>
      <c r="AS32" s="122"/>
      <c r="AT32" s="122"/>
      <c r="AU32" s="122"/>
      <c r="AV32" s="122"/>
      <c r="AW32" s="122"/>
      <c r="AX32" s="122"/>
      <c r="AY32" s="122"/>
      <c r="AZ32" s="122"/>
      <c r="BA32" s="122"/>
      <c r="BB32" s="122"/>
      <c r="BC32" s="122"/>
      <c r="BD32" s="122"/>
      <c r="BE32" s="125"/>
    </row>
    <row r="33" spans="1:57" ht="15" customHeight="1">
      <c r="A33" s="116"/>
      <c r="B33" s="117"/>
      <c r="C33" s="117"/>
      <c r="D33" s="117"/>
      <c r="E33" s="117"/>
      <c r="F33" s="117"/>
      <c r="G33" s="118"/>
      <c r="H33" s="119"/>
      <c r="I33" s="120"/>
      <c r="J33" s="120"/>
      <c r="K33" s="120"/>
      <c r="L33" s="120"/>
      <c r="M33" s="120"/>
      <c r="N33" s="121"/>
      <c r="O33" s="119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  <c r="AC33" s="122"/>
      <c r="AD33" s="122"/>
      <c r="AE33" s="122"/>
      <c r="AF33" s="122"/>
      <c r="AG33" s="122"/>
      <c r="AH33" s="122"/>
      <c r="AI33" s="122"/>
      <c r="AJ33" s="122"/>
      <c r="AK33" s="122"/>
      <c r="AL33" s="122"/>
      <c r="AM33" s="122"/>
      <c r="AN33" s="122"/>
      <c r="AO33" s="122"/>
      <c r="AP33" s="123"/>
      <c r="AQ33" s="124"/>
      <c r="AR33" s="122"/>
      <c r="AS33" s="122"/>
      <c r="AT33" s="122"/>
      <c r="AU33" s="122"/>
      <c r="AV33" s="122"/>
      <c r="AW33" s="122"/>
      <c r="AX33" s="122"/>
      <c r="AY33" s="122"/>
      <c r="AZ33" s="122"/>
      <c r="BA33" s="122"/>
      <c r="BB33" s="122"/>
      <c r="BC33" s="122"/>
      <c r="BD33" s="122"/>
      <c r="BE33" s="125"/>
    </row>
    <row r="34" spans="1:57" ht="15" customHeight="1">
      <c r="A34" s="116"/>
      <c r="B34" s="117"/>
      <c r="C34" s="117"/>
      <c r="D34" s="117"/>
      <c r="E34" s="117"/>
      <c r="F34" s="117"/>
      <c r="G34" s="118"/>
      <c r="H34" s="119"/>
      <c r="I34" s="120"/>
      <c r="J34" s="120"/>
      <c r="K34" s="120"/>
      <c r="L34" s="120"/>
      <c r="M34" s="120"/>
      <c r="N34" s="121"/>
      <c r="O34" s="119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  <c r="AC34" s="122"/>
      <c r="AD34" s="122"/>
      <c r="AE34" s="122"/>
      <c r="AF34" s="122"/>
      <c r="AG34" s="122"/>
      <c r="AH34" s="122"/>
      <c r="AI34" s="122"/>
      <c r="AJ34" s="122"/>
      <c r="AK34" s="122"/>
      <c r="AL34" s="122"/>
      <c r="AM34" s="122"/>
      <c r="AN34" s="122"/>
      <c r="AO34" s="122"/>
      <c r="AP34" s="123"/>
      <c r="AQ34" s="124"/>
      <c r="AR34" s="122"/>
      <c r="AS34" s="122"/>
      <c r="AT34" s="122"/>
      <c r="AU34" s="122"/>
      <c r="AV34" s="122"/>
      <c r="AW34" s="122"/>
      <c r="AX34" s="122"/>
      <c r="AY34" s="122"/>
      <c r="AZ34" s="122"/>
      <c r="BA34" s="122"/>
      <c r="BB34" s="122"/>
      <c r="BC34" s="122"/>
      <c r="BD34" s="122"/>
      <c r="BE34" s="125"/>
    </row>
    <row r="35" spans="1:57" ht="15" customHeight="1" thickBot="1">
      <c r="A35" s="102"/>
      <c r="B35" s="103"/>
      <c r="C35" s="103"/>
      <c r="D35" s="103"/>
      <c r="E35" s="103"/>
      <c r="F35" s="103"/>
      <c r="G35" s="104"/>
      <c r="H35" s="126"/>
      <c r="I35" s="127"/>
      <c r="J35" s="127"/>
      <c r="K35" s="127"/>
      <c r="L35" s="127"/>
      <c r="M35" s="127"/>
      <c r="N35" s="128"/>
      <c r="O35" s="126"/>
      <c r="P35" s="129"/>
      <c r="Q35" s="129"/>
      <c r="R35" s="129"/>
      <c r="S35" s="129"/>
      <c r="T35" s="129"/>
      <c r="U35" s="129"/>
      <c r="V35" s="129"/>
      <c r="W35" s="129"/>
      <c r="X35" s="129"/>
      <c r="Y35" s="129"/>
      <c r="Z35" s="129"/>
      <c r="AA35" s="129"/>
      <c r="AB35" s="129"/>
      <c r="AC35" s="129"/>
      <c r="AD35" s="129"/>
      <c r="AE35" s="129"/>
      <c r="AF35" s="129"/>
      <c r="AG35" s="129"/>
      <c r="AH35" s="129"/>
      <c r="AI35" s="129"/>
      <c r="AJ35" s="129"/>
      <c r="AK35" s="129"/>
      <c r="AL35" s="129"/>
      <c r="AM35" s="129"/>
      <c r="AN35" s="129"/>
      <c r="AO35" s="129"/>
      <c r="AP35" s="130"/>
      <c r="AQ35" s="131"/>
      <c r="AR35" s="129"/>
      <c r="AS35" s="129"/>
      <c r="AT35" s="129"/>
      <c r="AU35" s="129"/>
      <c r="AV35" s="129"/>
      <c r="AW35" s="129"/>
      <c r="AX35" s="129"/>
      <c r="AY35" s="129"/>
      <c r="AZ35" s="129"/>
      <c r="BA35" s="129"/>
      <c r="BB35" s="129"/>
      <c r="BC35" s="129"/>
      <c r="BD35" s="129"/>
      <c r="BE35" s="132"/>
    </row>
  </sheetData>
  <mergeCells count="133"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7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GrpPtn_UpdChk01</vt:lpstr>
      <vt:lpstr>GrpPtn_Upd01</vt:lpstr>
      <vt:lpstr>GrpPtn_DelChk01</vt:lpstr>
      <vt:lpstr>GrpPtn_Del01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2026-03-27T05:44:08Z</dcterms:modified>
  <cp:category/>
</cp:coreProperties>
</file>