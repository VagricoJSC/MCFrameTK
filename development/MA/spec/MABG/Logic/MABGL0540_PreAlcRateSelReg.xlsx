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D970F0C4-9344-4E25-91B5-8A82494830B5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PreAlcRateSel_UpdChk01" sheetId="18" r:id="rId2"/>
    <sheet name="PreAlcRateSel_Upd01" sheetId="15" r:id="rId3"/>
    <sheet name="PreAlcRateSel_DelChk01" sheetId="21" r:id="rId4"/>
    <sheet name="PreAlcRateSe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17"/>
  <c r="L4" i="21"/>
  <c r="N2" i="21" s="1"/>
  <c r="L4" i="15"/>
  <c r="L4" i="18"/>
  <c r="N2" i="18" s="1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<sst xmlns="http://schemas.openxmlformats.org/spreadsheetml/2006/main" count="1284" uniqueCount="334">
  <si>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</si>
  <si>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</si>
  <si>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</si>
  <si>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</si>
  <si>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</si>
  <si>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</si>
  <si>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</si>
  <si>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</si>
  <si>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</si>
  <si>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</si>
  <si>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</si>
  <si>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</si>
  <si>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</si>
  <si>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</si>
  <si>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</si>
  <si>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</si>
  <si>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</si>
  <si>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</si>
  <si>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</si>
  <si>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</si>
  <si>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</si>
  <si>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</si>
  <si>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</si>
  <si>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</si>
  <si>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</si>
  <si>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</si>
  <si>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</si>
  <si>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</si>
  <si>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</si>
  <si>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</si>
  <si>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</si>
  <si>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</si>
  <si>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</si>
  <si>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</si>
  <si>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</si>
  <si>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</si>
  <si>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</si>
  <si>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</si>
  <si>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</si>
  <si>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</si>
  <si>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</si>
  <si>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</si>
  <si>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</si>
  <si>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</si>
  <si>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</si>
  <si>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</si>
  <si>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</si>
  <si>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</si>
  <si>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</si>
  <si>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</si>
  <si>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</si>
  <si>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</si>
  <si>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</si>
  <si>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</si>
  <si>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</si>
  <si>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</si>
  <si>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</si>
  <si>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</si>
  <si>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</si>
  <si>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</si>
  <si>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</si>
  <si>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</si>
  <si>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</si>
  <si>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</si>
  <si>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</si>
  <si>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</si>
  <si>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</si>
  <si>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</si>
  <si>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</si>
  <si>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</si>
  <si>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40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</si>
  <si>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</si>
  <si>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</si>
  <si>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</si>
  <si>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</si>
  <si>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</si>
  <si>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</si>
  <si>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</si>
  <si>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</si>
  <si>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</si>
  <si>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</si>
  <si>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</si>
  <si>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</si>
  <si>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</si>
  <si>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</si>
  <si>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</si>
  <si>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</si>
  <si>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</si>
  <si>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3"/>
  </si>
  <si>
    <t>CALL_OPE01.upd01</t>
    <phoneticPr fontId="3"/>
  </si>
  <si>
    <t>CALL_OPE01.chk01</t>
    <phoneticPr fontId="40"/>
  </si>
  <si>
    <t>CALL_OPE01.del01</t>
    <phoneticPr fontId="40"/>
  </si>
  <si>
    <t>K</t>
    <phoneticPr fontId="3"/>
  </si>
  <si>
    <t>REQUIRED</t>
    <phoneticPr fontId="3"/>
  </si>
  <si>
    <t>MABGL0540</t>
    <phoneticPr fontId="3"/>
  </si>
  <si>
    <t>一次配賦基準選択マスタ登録</t>
    <phoneticPr fontId="3"/>
  </si>
  <si>
    <t>Srch01</t>
  </si>
  <si>
    <t>Upd01</t>
  </si>
  <si>
    <t>Del01</t>
  </si>
  <si>
    <t>PreAlcRateSel_UpdChk01</t>
  </si>
  <si>
    <t>PreAlcRateSel_DelChk01</t>
  </si>
  <si>
    <t>PreAlcRateSel_Upd01</t>
  </si>
  <si>
    <t>PreAlcRateSel_Del01</t>
  </si>
  <si>
    <t>MA</t>
  </si>
  <si>
    <t>MABG</t>
  </si>
  <si>
    <t>PreAlcRateSel_UpdChk01_Dtl</t>
  </si>
  <si>
    <t>PreAlcRateSel_Upd01_Dtl</t>
  </si>
  <si>
    <t>PreAlcRateSel_DelChk01_Dtl</t>
  </si>
  <si>
    <t>PreAlcRateSel_Del01_Dtl</t>
  </si>
  <si>
    <t>OPE.MA.MABGL0540.PreAlcRateSel_UpdChk01</t>
  </si>
  <si>
    <t>OPE.MA.MABGL0540.PreAlcRateSel_Upd01</t>
  </si>
  <si>
    <t>OPE.MA.MABGL0540.PreAlcRateSel_DelChk01</t>
  </si>
  <si>
    <t>OPE.MA.MABGL0540.PreAlcRateSel_Del01</t>
  </si>
  <si>
    <t>calc_ctg_cd</t>
  </si>
  <si>
    <t>calc_ctg_nm</t>
  </si>
  <si>
    <t>term_fr</t>
  </si>
  <si>
    <t>term_to</t>
  </si>
  <si>
    <t>dpt_cd</t>
  </si>
  <si>
    <t>dpt_nm</t>
  </si>
  <si>
    <t>no_dpt_flg</t>
  </si>
  <si>
    <t>alc_ac_cd</t>
  </si>
  <si>
    <t>alc_ac_nm</t>
  </si>
  <si>
    <t>no_alc_ac_flg</t>
  </si>
  <si>
    <t>alc_ac_grp_cd1</t>
  </si>
  <si>
    <t>alc_ac_grp_cd2</t>
  </si>
  <si>
    <t>alc_ac_grp_cd3</t>
  </si>
  <si>
    <t>pre_alc_rate_cd</t>
  </si>
  <si>
    <t>pre_alc_rate_nm</t>
  </si>
  <si>
    <t>#MA.CALC_CTG_CD</t>
  </si>
  <si>
    <t>#MA.CALC_CTG_NM</t>
  </si>
  <si>
    <t>#MA.YM</t>
  </si>
  <si>
    <t>term</t>
  </si>
  <si>
    <t>term_nm</t>
  </si>
  <si>
    <t>pre_alc_dpt_ptn</t>
  </si>
  <si>
    <t>fin_flg</t>
  </si>
  <si>
    <t>#MA.TERM_NM</t>
  </si>
  <si>
    <t>#MA.COST_DPT_CD</t>
  </si>
  <si>
    <t>#MA.COST_DPT_NM</t>
  </si>
  <si>
    <t>#MA.ALC_AC_CD</t>
  </si>
  <si>
    <t>#MA.ALC_AC_NM</t>
  </si>
  <si>
    <t>#MA.PRE_ALC_RATE_CD</t>
  </si>
  <si>
    <t>#MA.PRE_ALC_RATE_NM</t>
  </si>
  <si>
    <t>#MA.PRE_ALC_DPT_PTN</t>
  </si>
  <si>
    <t>LIST_LOGIC</t>
    <phoneticPr fontId="3"/>
  </si>
  <si>
    <t>#MA.ALC_AC_GRP_CD</t>
  </si>
  <si>
    <t>$super$</t>
  </si>
  <si>
    <t>K</t>
  </si>
  <si>
    <t>MABGL_PreAlcRateSelReg</t>
    <phoneticPr fontId="3"/>
  </si>
  <si>
    <t>LIST_OUT</t>
  </si>
  <si>
    <t>LIST_OUT_BASE</t>
  </si>
  <si>
    <t>#MA.FCM_USR_ID</t>
  </si>
  <si>
    <t>#MA.FCM_USR_NM</t>
  </si>
  <si>
    <t>LIST_IN</t>
    <phoneticPr fontId="40"/>
  </si>
  <si>
    <t>LIST_IN_BASE</t>
    <phoneticPr fontId="40"/>
  </si>
  <si>
    <t>wg_cd</t>
    <phoneticPr fontId="40"/>
  </si>
  <si>
    <t>#MA.WG_CD</t>
    <phoneticPr fontId="40"/>
  </si>
  <si>
    <t>wg_cd</t>
    <phoneticPr fontId="3"/>
  </si>
  <si>
    <t>wg_nm</t>
    <phoneticPr fontId="3"/>
  </si>
  <si>
    <t>#MA.WG_CD</t>
    <phoneticPr fontId="3"/>
  </si>
  <si>
    <t>#MA.WG_NM</t>
    <phoneticPr fontId="3"/>
  </si>
  <si>
    <t>ワーキンググループＣＤ</t>
    <phoneticPr fontId="3"/>
  </si>
  <si>
    <t>#MA.WG_NM</t>
    <phoneticPr fontId="3"/>
  </si>
  <si>
    <t>振替ワーキンググループＣＤ</t>
    <phoneticPr fontId="3"/>
  </si>
  <si>
    <t>trd_wg_cd</t>
    <phoneticPr fontId="3"/>
  </si>
  <si>
    <t>trd_alc_ac_cd</t>
    <phoneticPr fontId="40"/>
  </si>
  <si>
    <t>trd_alc_ac_cd</t>
    <phoneticPr fontId="3"/>
  </si>
  <si>
    <t>trd_alc_ac_nm</t>
    <phoneticPr fontId="3"/>
  </si>
  <si>
    <t>trd_wg_cd</t>
    <phoneticPr fontId="3"/>
  </si>
  <si>
    <t>trd_wg_nm</t>
    <phoneticPr fontId="3"/>
  </si>
  <si>
    <t>calc_ctg_cd;wg_cd;term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</si>
  <si>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</si>
  <si>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</si>
  <si>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</si>
  <si>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一次配賦基準選択マスタを削除する</t>
    <rPh sb="12" eb="14">
      <t>サクジョ</t>
    </rPh>
    <phoneticPr fontId="4"/>
  </si>
  <si>
    <t>削除処理</t>
    <rPh sb="0" eb="2">
      <t>サクジョ</t>
    </rPh>
    <rPh sb="2" eb="4">
      <t>ショリ</t>
    </rPh>
    <phoneticPr fontId="4"/>
  </si>
  <si>
    <t>一次配賦基準選択マスタを削除する前のチェックを行う</t>
    <rPh sb="12" eb="14">
      <t>サクジョ</t>
    </rPh>
    <rPh sb="16" eb="17">
      <t>マエ</t>
    </rPh>
    <rPh sb="23" eb="24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</si>
  <si>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</si>
  <si>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一次配賦基準選択マスタを登録する</t>
    <rPh sb="12" eb="14">
      <t>トウロク</t>
    </rPh>
    <phoneticPr fontId="4"/>
  </si>
  <si>
    <t>登録処理</t>
    <rPh sb="0" eb="2">
      <t>トウロク</t>
    </rPh>
    <rPh sb="2" eb="4">
      <t>ショリ</t>
    </rPh>
    <phoneticPr fontId="4"/>
  </si>
  <si>
    <t>一次配賦基準選択マスタを登録する前のチェックを行う</t>
    <rPh sb="12" eb="14">
      <t>トウロク</t>
    </rPh>
    <rPh sb="16" eb="17">
      <t>マエ</t>
    </rPh>
    <rPh sb="23" eb="24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</si>
  <si>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</si>
  <si>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000000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</si>
  <si>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</si>
  <si>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</si>
  <si>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</si>
  <si>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</si>
  <si>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</si>
  <si>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</si>
  <si>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</si>
  <si>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</si>
  <si>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</si>
  <si>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計算カテゴリＣＤ</t>
    <phoneticPr fontId="3"/>
  </si>
  <si>
    <t>E</t>
    <phoneticPr fontId="3"/>
  </si>
  <si>
    <t>E</t>
    <phoneticPr fontId="40"/>
  </si>
  <si>
    <t>MA.MAUAL0010.CalcCtg</t>
    <phoneticPr fontId="3"/>
  </si>
  <si>
    <t>ワーキンググループＣＤ</t>
    <phoneticPr fontId="40"/>
  </si>
  <si>
    <t>MA.MAUAL0010.CostWg</t>
    <phoneticPr fontId="40"/>
  </si>
  <si>
    <t>期</t>
    <phoneticPr fontId="3"/>
  </si>
  <si>
    <t>MA.MAUAL0010.Term</t>
    <phoneticPr fontId="3"/>
  </si>
  <si>
    <t>部門ＣＤ</t>
    <phoneticPr fontId="3"/>
  </si>
  <si>
    <t>MA.MAUAL0010.CostDpt</t>
    <phoneticPr fontId="3"/>
  </si>
  <si>
    <t>term</t>
    <phoneticPr fontId="40"/>
  </si>
  <si>
    <t>ym</t>
    <phoneticPr fontId="40"/>
  </si>
  <si>
    <t>配賦科目ＣＤ</t>
    <phoneticPr fontId="3"/>
  </si>
  <si>
    <t>MA.MAUAL0010.AlcAc</t>
    <phoneticPr fontId="3"/>
  </si>
  <si>
    <t>一次配賦基準ＣＤ</t>
    <phoneticPr fontId="3"/>
  </si>
  <si>
    <t>MA.MAUAL0010.PreAlcRateInPreAlcCtg</t>
    <phoneticPr fontId="3"/>
  </si>
  <si>
    <t>振替配賦科目ＣＤ</t>
    <phoneticPr fontId="3"/>
  </si>
  <si>
    <t>配賦先部門パタン</t>
    <phoneticPr fontId="40"/>
  </si>
  <si>
    <t>MA.MAUAL0010.PreAlcDptInTerm</t>
    <phoneticPr fontId="3"/>
  </si>
  <si>
    <t>終了</t>
    <phoneticPr fontId="3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</si>
  <si>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</si>
  <si>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</si>
  <si>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</si>
  <si>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</si>
  <si>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40"/>
  </si>
  <si>
    <t>super/share</t>
    <phoneticPr fontId="3"/>
  </si>
  <si>
    <t>MA.MABGL0540.PreAlcRateSel_UpdChk01.PreAlcRateSel_UpdChk01_Dtl</t>
    <phoneticPr fontId="3"/>
  </si>
  <si>
    <t>L</t>
    <phoneticPr fontId="40"/>
  </si>
  <si>
    <t>配賦先部門パタン</t>
    <phoneticPr fontId="3"/>
  </si>
  <si>
    <t>更新カウンタ</t>
    <phoneticPr fontId="3"/>
  </si>
  <si>
    <t>MA.MABGL0540.PreAlcRateSel_DelChk01.PreAlcRateSel_DelChk01_Dtl</t>
    <phoneticPr fontId="3"/>
  </si>
  <si>
    <t>計算カテゴリ名</t>
    <phoneticPr fontId="3"/>
  </si>
  <si>
    <t>ワーキンググループ名</t>
    <phoneticPr fontId="3"/>
  </si>
  <si>
    <t>期ＦＲＯＭ</t>
    <phoneticPr fontId="3"/>
  </si>
  <si>
    <t>期ＴＯ</t>
    <phoneticPr fontId="3"/>
  </si>
  <si>
    <t>部門名</t>
    <phoneticPr fontId="3"/>
  </si>
  <si>
    <t>無</t>
    <phoneticPr fontId="3"/>
  </si>
  <si>
    <t>配賦科目名</t>
    <phoneticPr fontId="3"/>
  </si>
  <si>
    <t>配賦科目グループＣＤ１</t>
    <phoneticPr fontId="3"/>
  </si>
  <si>
    <t>配賦科目グループＣＤ２</t>
    <phoneticPr fontId="3"/>
  </si>
  <si>
    <t>配賦科目グループＣＤ３</t>
    <phoneticPr fontId="3"/>
  </si>
  <si>
    <t>一次配賦基準名</t>
    <phoneticPr fontId="3"/>
  </si>
  <si>
    <t>論理削除ＦＬＧ（オフ）</t>
    <phoneticPr fontId="3"/>
  </si>
  <si>
    <t>論理削除ＦＬＧ（オン）</t>
    <phoneticPr fontId="3"/>
  </si>
  <si>
    <t>期名称</t>
    <phoneticPr fontId="3"/>
  </si>
  <si>
    <t>振替配賦科目名</t>
    <phoneticPr fontId="3"/>
  </si>
  <si>
    <t>振替ワーキンググループ名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</si>
  <si>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</si>
  <si>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</si>
  <si>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</si>
  <si>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</si>
  <si>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</si>
  <si>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</si>
  <si>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</si>
  <si>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</si>
  <si>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</si>
  <si>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</si>
  <si>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</si>
  <si>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</si>
  <si>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</si>
  <si>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</si>
  <si>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</si>
  <si>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</si>
  <si>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</si>
  <si>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</si>
  <si>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</si>
  <si>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</si>
  <si>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MA.MABGL0540.PreAlcRateSel_Upd01.PreAlcRateSel_Upd01_Dtl</t>
    <phoneticPr fontId="3"/>
  </si>
  <si>
    <t>PreAlcRateSel_UpdChk01_Dtl</t>
    <phoneticPr fontId="3"/>
  </si>
  <si>
    <t>PreAlcRateSel_Upd01_Dtl</t>
    <phoneticPr fontId="3"/>
  </si>
  <si>
    <t>MA.MABGL0540.PreAlcRateSel_Del01.PreAlcRateSel_Del01_Dtl</t>
    <phoneticPr fontId="3"/>
  </si>
  <si>
    <t>PreAlcRateSel_DelChk01_Dtl</t>
    <phoneticPr fontId="3"/>
  </si>
  <si>
    <t>PreAlcRateSel_Del01_Dtl</t>
    <phoneticPr fontId="3"/>
  </si>
  <si>
    <t>MA.MAUDL5010</t>
    <phoneticPr fontId="3"/>
  </si>
  <si>
    <t>DBC:MA.MAM_PRE_ALC_RATE_SEL</t>
    <phoneticPr fontId="40"/>
  </si>
  <si>
    <t>"mcframe.serverMAUD.MAUDL6010.MAUDL_RLUpdater"</t>
    <phoneticPr fontId="3"/>
  </si>
  <si>
    <t>DBC.MA.MAM_PRE_ALC_RATE_SEL</t>
    <phoneticPr fontId="3"/>
  </si>
  <si>
    <t>DBC.MA.MAM_PRE_ALC_RATE_SEL</t>
    <phoneticPr fontId="40"/>
  </si>
  <si>
    <t>"mcframe.serverMAUD.MAUDL6010.MAUDL_RLDeleter"</t>
    <phoneticPr fontId="3"/>
  </si>
  <si>
    <t>"mcframe.serverMAUD.MAUDL6010.MAUDL_RLSearcher"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</si>
  <si>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</si>
  <si>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</si>
  <si>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</si>
  <si>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</si>
  <si>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</si>
  <si>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</si>
  <si>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</si>
  <si>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</si>
  <si>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</si>
  <si>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</si>
  <si>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</si>
  <si>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</si>
  <si>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</si>
  <si>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</si>
  <si>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</si>
  <si>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</si>
  <si>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Term</t>
  </si>
  <si>
    <t>Dept. cd.</t>
  </si>
  <si>
    <t>Allocation account cd.</t>
  </si>
  <si>
    <t>Departmental alloc. basis cd.</t>
  </si>
  <si>
    <t>Transfer allocation account cd.</t>
  </si>
  <si>
    <t>Transfer WG cd.</t>
  </si>
  <si>
    <t>Allocation destination department pattern</t>
  </si>
  <si>
    <t>End</t>
  </si>
  <si>
    <t>Memo 1</t>
  </si>
  <si>
    <t>Memo 2</t>
  </si>
  <si>
    <t>Memo 3</t>
  </si>
  <si>
    <t>Logical delete</t>
  </si>
  <si>
    <t>Update counter</t>
  </si>
  <si>
    <t>項目名
Field Name</t>
    <phoneticPr fontId="3"/>
  </si>
  <si>
    <t>型
Type</t>
    <phoneticPr fontId="3"/>
  </si>
  <si>
    <t>Calculation category name</t>
  </si>
  <si>
    <t>WG name</t>
  </si>
  <si>
    <t>Term FROM</t>
  </si>
  <si>
    <t>Term TO</t>
  </si>
  <si>
    <t>Dept. name</t>
  </si>
  <si>
    <t>Null</t>
  </si>
  <si>
    <t>Allocation account name</t>
  </si>
  <si>
    <t>Allocation account group cd. 1</t>
  </si>
  <si>
    <t>Allocation account group cd. 2</t>
  </si>
  <si>
    <t>Allocation account group cd. 3</t>
  </si>
  <si>
    <t>Departmental alloc. basis name</t>
  </si>
  <si>
    <t>Logical delete flg. (Off)</t>
  </si>
  <si>
    <t>Logical delete flg. (On)</t>
  </si>
  <si>
    <t>Term name</t>
  </si>
  <si>
    <t>Transfer allocation account name</t>
  </si>
  <si>
    <t>Transfer WG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</si>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</sst>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50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32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38" fontId="32" fillId="0" borderId="0" applyFont="0" applyFill="0" applyBorder="0" applyAlignment="0" applyProtection="0"/>
    <xf numFmtId="0" fontId="46" fillId="0" borderId="0"/>
    <xf numFmtId="0" fontId="39" fillId="0" borderId="0"/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5" fillId="0" borderId="0">
      <alignment vertical="top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45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39" fillId="0" borderId="0"/>
    <xf numFmtId="0" fontId="46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65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2" xr:uid="{00000000-0005-0000-0000-000006000000}"/>
    <cellStyle name="20% - アクセント 1 6" xfId="43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3" xr:uid="{00000000-0005-0000-0000-00000C000000}"/>
    <cellStyle name="20% - アクセント 2 6" xfId="432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4" xr:uid="{00000000-0005-0000-0000-000012000000}"/>
    <cellStyle name="20% - アクセント 3 6" xfId="433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5" xr:uid="{00000000-0005-0000-0000-000018000000}"/>
    <cellStyle name="20% - アクセント 4 6" xfId="434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435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6" xr:uid="{00000000-0005-0000-0000-000023000000}"/>
    <cellStyle name="20% - アクセント 6 6" xfId="436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7" xr:uid="{00000000-0005-0000-0000-000029000000}"/>
    <cellStyle name="40% - アクセント 1 6" xfId="437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438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8" xr:uid="{00000000-0005-0000-0000-000034000000}"/>
    <cellStyle name="40% - アクセント 3 6" xfId="439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9" xr:uid="{00000000-0005-0000-0000-00003A000000}"/>
    <cellStyle name="40% - アクセント 4 6" xfId="440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50" xr:uid="{00000000-0005-0000-0000-000040000000}"/>
    <cellStyle name="40% - アクセント 5 6" xfId="441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51" xr:uid="{00000000-0005-0000-0000-000046000000}"/>
    <cellStyle name="40% - アクセント 6 6" xfId="442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52" xr:uid="{00000000-0005-0000-0000-00004C000000}"/>
    <cellStyle name="60% - アクセント 1 6" xfId="443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3" xr:uid="{00000000-0005-0000-0000-000052000000}"/>
    <cellStyle name="60% - アクセント 2 6" xfId="444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4" xr:uid="{00000000-0005-0000-0000-000058000000}"/>
    <cellStyle name="60% - アクセント 3 6" xfId="445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5" xr:uid="{00000000-0005-0000-0000-00005E000000}"/>
    <cellStyle name="60% - アクセント 4 6" xfId="446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6" xr:uid="{00000000-0005-0000-0000-000064000000}"/>
    <cellStyle name="60% - アクセント 5 6" xfId="447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7" xr:uid="{00000000-0005-0000-0000-00006A000000}"/>
    <cellStyle name="60% - アクセント 6 6" xfId="448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8" xr:uid="{00000000-0005-0000-0000-00007E000000}"/>
    <cellStyle name="アクセント 1 6" xfId="449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9" xr:uid="{00000000-0005-0000-0000-000084000000}"/>
    <cellStyle name="アクセント 2 6" xfId="450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60" xr:uid="{00000000-0005-0000-0000-00008A000000}"/>
    <cellStyle name="アクセント 3 6" xfId="451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61" xr:uid="{00000000-0005-0000-0000-000090000000}"/>
    <cellStyle name="アクセント 4 6" xfId="452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453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62" xr:uid="{00000000-0005-0000-0000-00009B000000}"/>
    <cellStyle name="アクセント 6 6" xfId="45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3" xr:uid="{00000000-0005-0000-0000-0000A1000000}"/>
    <cellStyle name="タイトル 6" xfId="455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456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4" xr:uid="{00000000-0005-0000-0000-0000AC000000}"/>
    <cellStyle name="どちらでもない 6" xfId="457" xr:uid="{00000000-0005-0000-0000-0000AD000000}"/>
    <cellStyle name="ハイパーリンク 2" xfId="34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5" xr:uid="{00000000-0005-0000-0000-0000B3000000}"/>
    <cellStyle name="メモ 6" xfId="458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6" xr:uid="{00000000-0005-0000-0000-0000B9000000}"/>
    <cellStyle name="リンク セル 6" xfId="459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7" xr:uid="{00000000-0005-0000-0000-0000BC000000}"/>
    <cellStyle name="_x001d__x000c_K_x0014__x000d_&gt;V_x0001_&gt;_x0014_n_x001e__x0007__x0001__x0001_ 2 2" xfId="210" xr:uid="{00000000-0005-0000-0000-0000BD000000}"/>
    <cellStyle name="_x001d__x000c_K_x0014__x000d_&gt;V_x0001_&gt;_x0014_n_x001e__x0007__x0001__x0001_ 2 2 2" xfId="282" xr:uid="{00000000-0005-0000-0000-0000BE000000}"/>
    <cellStyle name="_x001d__x000c_K_x0014__x000d_&gt;V_x0001_&gt;_x0014_n_x001e__x0007__x0001__x0001_ 2 2 3" xfId="293" xr:uid="{00000000-0005-0000-0000-0000BF000000}"/>
    <cellStyle name="_x001d__x000c_K_x0014__x000d_&gt;V_x0001_&gt;_x0014_n_x001e__x0007__x0001__x0001_ 2 2 4" xfId="235" xr:uid="{00000000-0005-0000-0000-0000C0000000}"/>
    <cellStyle name="_x001d__x000c_K_x0014__x000d_&gt;V_x0001_&gt;_x0014_n_x001e__x0007__x0001__x0001_ 2 2 5" xfId="304" xr:uid="{00000000-0005-0000-0000-0000C1000000}"/>
    <cellStyle name="_x001d__x000c_K_x0014__x000d_&gt;V_x0001_&gt;_x0014_n_x001e__x0007__x0001__x0001_ 2 3" xfId="267" xr:uid="{00000000-0005-0000-0000-0000C2000000}"/>
    <cellStyle name="_x001d__x000c_K_x0014__x000d_&gt;V_x0001_&gt;_x0014_n_x001e__x0007__x0001__x0001_ 2 3 2" xfId="428" xr:uid="{00000000-0005-0000-0000-0000C3000000}"/>
    <cellStyle name="_x001d__x000c_K_x0014__x000d_&gt;V_x0001_&gt;_x0014_n_x001e__x0007__x0001__x0001_ 2 4" xfId="209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37" xr:uid="{00000000-0005-0000-0000-0000C6000000}"/>
    <cellStyle name="_x001d__x000c_K_x0014__x000d_&gt;V_x0001_&gt;_x0014_n_x001e__x0007__x0001__x0001_ 3 2 2" xfId="473" xr:uid="{00000000-0005-0000-0000-0000C7000000}"/>
    <cellStyle name="_x001d__x000c_K_x0014__x000d_&gt;V_x0001_&gt;_x0014_n_x001e__x0007__x0001__x0001_ 3 2 3" xfId="427" xr:uid="{00000000-0005-0000-0000-0000C8000000}"/>
    <cellStyle name="_x001d__x000c_K_x0014__x000d_&gt;V_x0001_&gt;_x0014_n_x001e__x0007__x0001__x0001_ 3 3" xfId="283" xr:uid="{00000000-0005-0000-0000-0000C9000000}"/>
    <cellStyle name="_x001d__x000c_K_x0014__x000d_&gt;V_x0001_&gt;_x0014_n_x001e__x0007__x0001__x0001_ 3 3 2" xfId="478" xr:uid="{00000000-0005-0000-0000-0000CA000000}"/>
    <cellStyle name="_x001d__x000c_K_x0014__x000d_&gt;V_x0001_&gt;_x0014_n_x001e__x0007__x0001__x0001_ 3 3 3" xfId="425" xr:uid="{00000000-0005-0000-0000-0000CB000000}"/>
    <cellStyle name="_x001d__x000c_K_x0014__x000d_&gt;V_x0001_&gt;_x0014_n_x001e__x0007__x0001__x0001_ 3 4" xfId="294" xr:uid="{00000000-0005-0000-0000-0000CC000000}"/>
    <cellStyle name="_x001d__x000c_K_x0014__x000d_&gt;V_x0001_&gt;_x0014_n_x001e__x0007__x0001__x0001_ 3 5" xfId="236" xr:uid="{00000000-0005-0000-0000-0000CD000000}"/>
    <cellStyle name="_x001d__x000c_K_x0014__x000d_&gt;V_x0001_&gt;_x0014_n_x001e__x0007__x0001__x0001_ 4" xfId="238" xr:uid="{00000000-0005-0000-0000-0000CE000000}"/>
    <cellStyle name="_x001d__x000c_K_x0014__x000d_&gt;V_x0001_&gt;_x0014_n_x001e__x0007__x0001__x0001_ 5" xfId="234" xr:uid="{00000000-0005-0000-0000-0000CF000000}"/>
    <cellStyle name="悪い" xfId="127" builtinId="27" customBuiltin="1"/>
    <cellStyle name="悪い 2" xfId="128" xr:uid="{00000000-0005-0000-0000-0000D1000000}"/>
    <cellStyle name="悪い 3" xfId="129" xr:uid="{00000000-0005-0000-0000-0000D2000000}"/>
    <cellStyle name="悪い 4" xfId="130" xr:uid="{00000000-0005-0000-0000-0000D3000000}"/>
    <cellStyle name="悪い 5" xfId="268" xr:uid="{00000000-0005-0000-0000-0000D4000000}"/>
    <cellStyle name="悪い 6" xfId="460" xr:uid="{00000000-0005-0000-0000-0000D5000000}"/>
    <cellStyle name="計算" xfId="131" builtinId="22" customBuiltin="1"/>
    <cellStyle name="計算 2" xfId="132" xr:uid="{00000000-0005-0000-0000-0000D7000000}"/>
    <cellStyle name="計算 3" xfId="133" xr:uid="{00000000-0005-0000-0000-0000D8000000}"/>
    <cellStyle name="計算 4" xfId="134" xr:uid="{00000000-0005-0000-0000-0000D9000000}"/>
    <cellStyle name="計算 5" xfId="269" xr:uid="{00000000-0005-0000-0000-0000DA000000}"/>
    <cellStyle name="計算 6" xfId="461" xr:uid="{00000000-0005-0000-0000-0000DB000000}"/>
    <cellStyle name="警告文" xfId="135" builtinId="11" customBuiltin="1"/>
    <cellStyle name="警告文 2" xfId="136" xr:uid="{00000000-0005-0000-0000-0000DD000000}"/>
    <cellStyle name="警告文 3" xfId="137" xr:uid="{00000000-0005-0000-0000-0000DE000000}"/>
    <cellStyle name="警告文 4" xfId="138" xr:uid="{00000000-0005-0000-0000-0000DF000000}"/>
    <cellStyle name="警告文 5" xfId="462" xr:uid="{00000000-0005-0000-0000-0000E0000000}"/>
    <cellStyle name="桁区切り 2" xfId="208" xr:uid="{00000000-0005-0000-0000-0000E1000000}"/>
    <cellStyle name="桁区切り 3" xfId="211" xr:uid="{00000000-0005-0000-0000-0000E2000000}"/>
    <cellStyle name="見出し 1" xfId="139" builtinId="16" customBuiltin="1"/>
    <cellStyle name="見出し 1 2" xfId="140" xr:uid="{00000000-0005-0000-0000-0000E4000000}"/>
    <cellStyle name="見出し 1 3" xfId="141" xr:uid="{00000000-0005-0000-0000-0000E5000000}"/>
    <cellStyle name="見出し 1 4" xfId="142" xr:uid="{00000000-0005-0000-0000-0000E6000000}"/>
    <cellStyle name="見出し 1 5" xfId="270" xr:uid="{00000000-0005-0000-0000-0000E7000000}"/>
    <cellStyle name="見出し 1 6" xfId="463" xr:uid="{00000000-0005-0000-0000-0000E8000000}"/>
    <cellStyle name="見出し 2" xfId="143" builtinId="17" customBuiltin="1"/>
    <cellStyle name="見出し 2 2" xfId="144" xr:uid="{00000000-0005-0000-0000-0000EA000000}"/>
    <cellStyle name="見出し 2 3" xfId="145" xr:uid="{00000000-0005-0000-0000-0000EB000000}"/>
    <cellStyle name="見出し 2 4" xfId="146" xr:uid="{00000000-0005-0000-0000-0000EC000000}"/>
    <cellStyle name="見出し 2 5" xfId="271" xr:uid="{00000000-0005-0000-0000-0000ED000000}"/>
    <cellStyle name="見出し 2 6" xfId="464" xr:uid="{00000000-0005-0000-0000-0000EE000000}"/>
    <cellStyle name="見出し 3" xfId="147" builtinId="18" customBuiltin="1"/>
    <cellStyle name="見出し 3 2" xfId="148" xr:uid="{00000000-0005-0000-0000-0000F0000000}"/>
    <cellStyle name="見出し 3 3" xfId="149" xr:uid="{00000000-0005-0000-0000-0000F1000000}"/>
    <cellStyle name="見出し 3 4" xfId="150" xr:uid="{00000000-0005-0000-0000-0000F2000000}"/>
    <cellStyle name="見出し 3 5" xfId="272" xr:uid="{00000000-0005-0000-0000-0000F3000000}"/>
    <cellStyle name="見出し 3 6" xfId="465" xr:uid="{00000000-0005-0000-0000-0000F4000000}"/>
    <cellStyle name="見出し 4" xfId="151" builtinId="19" customBuiltin="1"/>
    <cellStyle name="見出し 4 2" xfId="152" xr:uid="{00000000-0005-0000-0000-0000F6000000}"/>
    <cellStyle name="見出し 4 3" xfId="153" xr:uid="{00000000-0005-0000-0000-0000F7000000}"/>
    <cellStyle name="見出し 4 4" xfId="154" xr:uid="{00000000-0005-0000-0000-0000F8000000}"/>
    <cellStyle name="見出し 4 5" xfId="273" xr:uid="{00000000-0005-0000-0000-0000F9000000}"/>
    <cellStyle name="見出し 4 6" xfId="466" xr:uid="{00000000-0005-0000-0000-0000FA000000}"/>
    <cellStyle name="作業ﾌﾛｰ" xfId="199" xr:uid="{00000000-0005-0000-0000-0000FB000000}"/>
    <cellStyle name="資料" xfId="200" xr:uid="{00000000-0005-0000-0000-0000FC000000}"/>
    <cellStyle name="資料２" xfId="201" xr:uid="{00000000-0005-0000-0000-0000FD000000}"/>
    <cellStyle name="集計" xfId="155" builtinId="25" customBuiltin="1"/>
    <cellStyle name="集計 2" xfId="156" xr:uid="{00000000-0005-0000-0000-0000FF000000}"/>
    <cellStyle name="集計 3" xfId="157" xr:uid="{00000000-0005-0000-0000-000000010000}"/>
    <cellStyle name="集計 4" xfId="158" xr:uid="{00000000-0005-0000-0000-000001010000}"/>
    <cellStyle name="集計 5" xfId="274" xr:uid="{00000000-0005-0000-0000-000002010000}"/>
    <cellStyle name="集計 6" xfId="467" xr:uid="{00000000-0005-0000-0000-000003010000}"/>
    <cellStyle name="出力" xfId="159" builtinId="21" customBuiltin="1"/>
    <cellStyle name="出力 2" xfId="160" xr:uid="{00000000-0005-0000-0000-000005010000}"/>
    <cellStyle name="出力 3" xfId="161" xr:uid="{00000000-0005-0000-0000-000006010000}"/>
    <cellStyle name="出力 4" xfId="162" xr:uid="{00000000-0005-0000-0000-000007010000}"/>
    <cellStyle name="出力 5" xfId="275" xr:uid="{00000000-0005-0000-0000-000008010000}"/>
    <cellStyle name="出力 6" xfId="468" xr:uid="{00000000-0005-0000-0000-000009010000}"/>
    <cellStyle name="説明文" xfId="163" builtinId="53" customBuiltin="1"/>
    <cellStyle name="説明文 2" xfId="164" xr:uid="{00000000-0005-0000-0000-00000B010000}"/>
    <cellStyle name="説明文 3" xfId="165" xr:uid="{00000000-0005-0000-0000-00000C010000}"/>
    <cellStyle name="説明文 4" xfId="166" xr:uid="{00000000-0005-0000-0000-00000D010000}"/>
    <cellStyle name="説明文 5" xfId="469" xr:uid="{00000000-0005-0000-0000-00000E010000}"/>
    <cellStyle name="入力" xfId="167" builtinId="20" customBuiltin="1"/>
    <cellStyle name="入力 2" xfId="168" xr:uid="{00000000-0005-0000-0000-000010010000}"/>
    <cellStyle name="入力 3" xfId="169" xr:uid="{00000000-0005-0000-0000-000011010000}"/>
    <cellStyle name="入力 4" xfId="170" xr:uid="{00000000-0005-0000-0000-000012010000}"/>
    <cellStyle name="入力 5" xfId="276" xr:uid="{00000000-0005-0000-0000-000013010000}"/>
    <cellStyle name="入力 6" xfId="470" xr:uid="{00000000-0005-0000-0000-000014010000}"/>
    <cellStyle name="標準" xfId="0" builtinId="0"/>
    <cellStyle name="標準 10" xfId="188" xr:uid="{00000000-0005-0000-0000-000016010000}"/>
    <cellStyle name="標準 10 2" xfId="292" xr:uid="{00000000-0005-0000-0000-000017010000}"/>
    <cellStyle name="標準 10 2 2" xfId="495" xr:uid="{00000000-0005-0000-0000-000018010000}"/>
    <cellStyle name="標準 10 2 2 2" xfId="647" xr:uid="{00000000-0005-0000-0000-000019010000}"/>
    <cellStyle name="標準 10 2 3" xfId="475" xr:uid="{00000000-0005-0000-0000-00001A010000}"/>
    <cellStyle name="標準 10 2 3 2" xfId="634" xr:uid="{00000000-0005-0000-0000-00001B010000}"/>
    <cellStyle name="標準 10 3" xfId="285" xr:uid="{00000000-0005-0000-0000-00001C010000}"/>
    <cellStyle name="標準 10 4" xfId="233" xr:uid="{00000000-0005-0000-0000-00001D010000}"/>
    <cellStyle name="標準 10 4 2" xfId="482" xr:uid="{00000000-0005-0000-0000-00001E010000}"/>
    <cellStyle name="標準 10 4 2 2" xfId="640" xr:uid="{00000000-0005-0000-0000-00001F010000}"/>
    <cellStyle name="標準 10 5" xfId="305" xr:uid="{00000000-0005-0000-0000-000020010000}"/>
    <cellStyle name="標準 10 6" xfId="424" xr:uid="{00000000-0005-0000-0000-000021010000}"/>
    <cellStyle name="標準 10 6 2" xfId="629" xr:uid="{00000000-0005-0000-0000-000022010000}"/>
    <cellStyle name="標準 11" xfId="216" xr:uid="{00000000-0005-0000-0000-000023010000}"/>
    <cellStyle name="標準 11 2" xfId="496" xr:uid="{00000000-0005-0000-0000-000024010000}"/>
    <cellStyle name="標準 11 2 2" xfId="648" xr:uid="{00000000-0005-0000-0000-000025010000}"/>
    <cellStyle name="標準 11 3" xfId="491" xr:uid="{00000000-0005-0000-0000-000026010000}"/>
    <cellStyle name="標準 11 4" xfId="483" xr:uid="{00000000-0005-0000-0000-000027010000}"/>
    <cellStyle name="標準 11 4 2" xfId="641" xr:uid="{00000000-0005-0000-0000-000028010000}"/>
    <cellStyle name="標準 11 5" xfId="476" xr:uid="{00000000-0005-0000-0000-000029010000}"/>
    <cellStyle name="標準 11 5 2" xfId="635" xr:uid="{00000000-0005-0000-0000-00002A010000}"/>
    <cellStyle name="標準 12" xfId="224" xr:uid="{00000000-0005-0000-0000-00002B010000}"/>
    <cellStyle name="標準 12 2" xfId="497" xr:uid="{00000000-0005-0000-0000-00002C010000}"/>
    <cellStyle name="標準 12 2 2" xfId="649" xr:uid="{00000000-0005-0000-0000-00002D010000}"/>
    <cellStyle name="標準 12 3" xfId="489" xr:uid="{00000000-0005-0000-0000-00002E010000}"/>
    <cellStyle name="標準 12 4" xfId="484" xr:uid="{00000000-0005-0000-0000-00002F010000}"/>
    <cellStyle name="標準 12 4 2" xfId="642" xr:uid="{00000000-0005-0000-0000-000030010000}"/>
    <cellStyle name="標準 12 5" xfId="477" xr:uid="{00000000-0005-0000-0000-000031010000}"/>
    <cellStyle name="標準 12 5 2" xfId="636" xr:uid="{00000000-0005-0000-0000-000032010000}"/>
    <cellStyle name="標準 13" xfId="225" xr:uid="{00000000-0005-0000-0000-000033010000}"/>
    <cellStyle name="標準 13 2" xfId="494" xr:uid="{00000000-0005-0000-0000-000034010000}"/>
    <cellStyle name="標準 13 2 2" xfId="646" xr:uid="{00000000-0005-0000-0000-000035010000}"/>
    <cellStyle name="標準 13 3" xfId="490" xr:uid="{00000000-0005-0000-0000-000036010000}"/>
    <cellStyle name="標準 13 4" xfId="481" xr:uid="{00000000-0005-0000-0000-000037010000}"/>
    <cellStyle name="標準 13 4 2" xfId="639" xr:uid="{00000000-0005-0000-0000-000038010000}"/>
    <cellStyle name="標準 13 5" xfId="474" xr:uid="{00000000-0005-0000-0000-000039010000}"/>
    <cellStyle name="標準 13 5 2" xfId="633" xr:uid="{00000000-0005-0000-0000-00003A010000}"/>
    <cellStyle name="標準 14" xfId="226" xr:uid="{00000000-0005-0000-0000-00003B010000}"/>
    <cellStyle name="標準 14 2" xfId="485" xr:uid="{00000000-0005-0000-0000-00003C010000}"/>
    <cellStyle name="標準 14 2 2" xfId="643" xr:uid="{00000000-0005-0000-0000-00003D010000}"/>
    <cellStyle name="標準 14 3" xfId="487" xr:uid="{00000000-0005-0000-0000-00003E010000}"/>
    <cellStyle name="標準 14 4" xfId="429" xr:uid="{00000000-0005-0000-0000-00003F010000}"/>
    <cellStyle name="標準 14 4 2" xfId="631" xr:uid="{00000000-0005-0000-0000-000040010000}"/>
    <cellStyle name="標準 15" xfId="241" xr:uid="{00000000-0005-0000-0000-000041010000}"/>
    <cellStyle name="標準 16" xfId="227" xr:uid="{00000000-0005-0000-0000-000042010000}"/>
    <cellStyle name="標準 17" xfId="232" xr:uid="{00000000-0005-0000-0000-000043010000}"/>
    <cellStyle name="標準 17 2" xfId="492" xr:uid="{00000000-0005-0000-0000-000044010000}"/>
    <cellStyle name="標準 17 2 2" xfId="644" xr:uid="{00000000-0005-0000-0000-000045010000}"/>
    <cellStyle name="標準 18" xfId="228" xr:uid="{00000000-0005-0000-0000-000046010000}"/>
    <cellStyle name="標準 18 2" xfId="479" xr:uid="{00000000-0005-0000-0000-000047010000}"/>
    <cellStyle name="標準 18 2 2" xfId="637" xr:uid="{00000000-0005-0000-0000-000048010000}"/>
    <cellStyle name="標準 19" xfId="230" xr:uid="{00000000-0005-0000-0000-000049010000}"/>
    <cellStyle name="標準 2" xfId="171" xr:uid="{00000000-0005-0000-0000-00004A010000}"/>
    <cellStyle name="標準 2 2" xfId="202" xr:uid="{00000000-0005-0000-0000-00004B010000}"/>
    <cellStyle name="標準 2 3" xfId="217" xr:uid="{00000000-0005-0000-0000-00004C010000}"/>
    <cellStyle name="標準 2 3 2" xfId="300" xr:uid="{00000000-0005-0000-0000-00004D010000}"/>
    <cellStyle name="標準 2 3 2 2" xfId="366" xr:uid="{00000000-0005-0000-0000-00004E010000}"/>
    <cellStyle name="標準 2 3 2 2 2" xfId="407" xr:uid="{00000000-0005-0000-0000-00004F010000}"/>
    <cellStyle name="標準 2 3 2 2 2 2" xfId="616" xr:uid="{00000000-0005-0000-0000-000050010000}"/>
    <cellStyle name="標準 2 3 2 2 3" xfId="576" xr:uid="{00000000-0005-0000-0000-000051010000}"/>
    <cellStyle name="標準 2 3 2 3" xfId="386" xr:uid="{00000000-0005-0000-0000-000052010000}"/>
    <cellStyle name="標準 2 3 2 3 2" xfId="596" xr:uid="{00000000-0005-0000-0000-000053010000}"/>
    <cellStyle name="標準 2 3 2 4" xfId="344" xr:uid="{00000000-0005-0000-0000-000054010000}"/>
    <cellStyle name="標準 2 3 2 4 2" xfId="556" xr:uid="{00000000-0005-0000-0000-000055010000}"/>
    <cellStyle name="標準 2 3 2 5" xfId="422" xr:uid="{00000000-0005-0000-0000-000056010000}"/>
    <cellStyle name="標準 2 3 2 5 2" xfId="627" xr:uid="{00000000-0005-0000-0000-000057010000}"/>
    <cellStyle name="標準 2 3 2 6" xfId="324" xr:uid="{00000000-0005-0000-0000-000058010000}"/>
    <cellStyle name="標準 2 3 2 6 2" xfId="536" xr:uid="{00000000-0005-0000-0000-000059010000}"/>
    <cellStyle name="標準 2 3 2 7" xfId="516" xr:uid="{00000000-0005-0000-0000-00005A010000}"/>
    <cellStyle name="標準 2 4" xfId="212" xr:uid="{00000000-0005-0000-0000-00005B010000}"/>
    <cellStyle name="標準 2 4 10" xfId="306" xr:uid="{00000000-0005-0000-0000-00005C010000}"/>
    <cellStyle name="標準 2 4 10 2" xfId="518" xr:uid="{00000000-0005-0000-0000-00005D010000}"/>
    <cellStyle name="標準 2 4 11" xfId="498" xr:uid="{00000000-0005-0000-0000-00005E010000}"/>
    <cellStyle name="標準 2 4 2" xfId="221" xr:uid="{00000000-0005-0000-0000-00005F010000}"/>
    <cellStyle name="標準 2 4 2 2" xfId="289" xr:uid="{00000000-0005-0000-0000-000060010000}"/>
    <cellStyle name="標準 2 4 2 2 2" xfId="360" xr:uid="{00000000-0005-0000-0000-000061010000}"/>
    <cellStyle name="標準 2 4 2 2 2 2" xfId="401" xr:uid="{00000000-0005-0000-0000-000062010000}"/>
    <cellStyle name="標準 2 4 2 2 2 2 2" xfId="610" xr:uid="{00000000-0005-0000-0000-000063010000}"/>
    <cellStyle name="標準 2 4 2 2 2 3" xfId="570" xr:uid="{00000000-0005-0000-0000-000064010000}"/>
    <cellStyle name="標準 2 4 2 2 3" xfId="380" xr:uid="{00000000-0005-0000-0000-000065010000}"/>
    <cellStyle name="標準 2 4 2 2 3 2" xfId="590" xr:uid="{00000000-0005-0000-0000-000066010000}"/>
    <cellStyle name="標準 2 4 2 2 4" xfId="338" xr:uid="{00000000-0005-0000-0000-000067010000}"/>
    <cellStyle name="標準 2 4 2 2 4 2" xfId="550" xr:uid="{00000000-0005-0000-0000-000068010000}"/>
    <cellStyle name="標準 2 4 2 2 5" xfId="318" xr:uid="{00000000-0005-0000-0000-000069010000}"/>
    <cellStyle name="標準 2 4 2 2 5 2" xfId="530" xr:uid="{00000000-0005-0000-0000-00006A010000}"/>
    <cellStyle name="標準 2 4 2 2 6" xfId="510" xr:uid="{00000000-0005-0000-0000-00006B010000}"/>
    <cellStyle name="標準 2 4 2 3" xfId="351" xr:uid="{00000000-0005-0000-0000-00006C010000}"/>
    <cellStyle name="標準 2 4 2 3 2" xfId="392" xr:uid="{00000000-0005-0000-0000-00006D010000}"/>
    <cellStyle name="標準 2 4 2 3 2 2" xfId="601" xr:uid="{00000000-0005-0000-0000-00006E010000}"/>
    <cellStyle name="標準 2 4 2 3 3" xfId="561" xr:uid="{00000000-0005-0000-0000-00006F010000}"/>
    <cellStyle name="標準 2 4 2 4" xfId="371" xr:uid="{00000000-0005-0000-0000-000070010000}"/>
    <cellStyle name="標準 2 4 2 4 2" xfId="581" xr:uid="{00000000-0005-0000-0000-000071010000}"/>
    <cellStyle name="標準 2 4 2 5" xfId="329" xr:uid="{00000000-0005-0000-0000-000072010000}"/>
    <cellStyle name="標準 2 4 2 5 2" xfId="541" xr:uid="{00000000-0005-0000-0000-000073010000}"/>
    <cellStyle name="標準 2 4 2 6" xfId="416" xr:uid="{00000000-0005-0000-0000-000074010000}"/>
    <cellStyle name="標準 2 4 2 6 2" xfId="621" xr:uid="{00000000-0005-0000-0000-000075010000}"/>
    <cellStyle name="標準 2 4 2 7" xfId="309" xr:uid="{00000000-0005-0000-0000-000076010000}"/>
    <cellStyle name="標準 2 4 2 7 2" xfId="521" xr:uid="{00000000-0005-0000-0000-000077010000}"/>
    <cellStyle name="標準 2 4 2 8" xfId="501" xr:uid="{00000000-0005-0000-0000-000078010000}"/>
    <cellStyle name="標準 2 4 3" xfId="297" xr:uid="{00000000-0005-0000-0000-000079010000}"/>
    <cellStyle name="標準 2 4 3 2" xfId="363" xr:uid="{00000000-0005-0000-0000-00007A010000}"/>
    <cellStyle name="標準 2 4 3 2 2" xfId="404" xr:uid="{00000000-0005-0000-0000-00007B010000}"/>
    <cellStyle name="標準 2 4 3 2 2 2" xfId="613" xr:uid="{00000000-0005-0000-0000-00007C010000}"/>
    <cellStyle name="標準 2 4 3 2 3" xfId="573" xr:uid="{00000000-0005-0000-0000-00007D010000}"/>
    <cellStyle name="標準 2 4 3 3" xfId="383" xr:uid="{00000000-0005-0000-0000-00007E010000}"/>
    <cellStyle name="標準 2 4 3 3 2" xfId="593" xr:uid="{00000000-0005-0000-0000-00007F010000}"/>
    <cellStyle name="標準 2 4 3 4" xfId="341" xr:uid="{00000000-0005-0000-0000-000080010000}"/>
    <cellStyle name="標準 2 4 3 4 2" xfId="553" xr:uid="{00000000-0005-0000-0000-000081010000}"/>
    <cellStyle name="標準 2 4 3 5" xfId="419" xr:uid="{00000000-0005-0000-0000-000082010000}"/>
    <cellStyle name="標準 2 4 3 5 2" xfId="624" xr:uid="{00000000-0005-0000-0000-000083010000}"/>
    <cellStyle name="標準 2 4 3 6" xfId="321" xr:uid="{00000000-0005-0000-0000-000084010000}"/>
    <cellStyle name="標準 2 4 3 6 2" xfId="533" xr:uid="{00000000-0005-0000-0000-000085010000}"/>
    <cellStyle name="標準 2 4 3 7" xfId="513" xr:uid="{00000000-0005-0000-0000-000086010000}"/>
    <cellStyle name="標準 2 4 4" xfId="286" xr:uid="{00000000-0005-0000-0000-000087010000}"/>
    <cellStyle name="標準 2 4 4 2" xfId="357" xr:uid="{00000000-0005-0000-0000-000088010000}"/>
    <cellStyle name="標準 2 4 4 2 2" xfId="398" xr:uid="{00000000-0005-0000-0000-000089010000}"/>
    <cellStyle name="標準 2 4 4 2 2 2" xfId="607" xr:uid="{00000000-0005-0000-0000-00008A010000}"/>
    <cellStyle name="標準 2 4 4 2 3" xfId="567" xr:uid="{00000000-0005-0000-0000-00008B010000}"/>
    <cellStyle name="標準 2 4 4 3" xfId="377" xr:uid="{00000000-0005-0000-0000-00008C010000}"/>
    <cellStyle name="標準 2 4 4 3 2" xfId="587" xr:uid="{00000000-0005-0000-0000-00008D010000}"/>
    <cellStyle name="標準 2 4 4 4" xfId="335" xr:uid="{00000000-0005-0000-0000-00008E010000}"/>
    <cellStyle name="標準 2 4 4 4 2" xfId="547" xr:uid="{00000000-0005-0000-0000-00008F010000}"/>
    <cellStyle name="標準 2 4 4 5" xfId="315" xr:uid="{00000000-0005-0000-0000-000090010000}"/>
    <cellStyle name="標準 2 4 4 5 2" xfId="527" xr:uid="{00000000-0005-0000-0000-000091010000}"/>
    <cellStyle name="標準 2 4 4 6" xfId="507" xr:uid="{00000000-0005-0000-0000-000092010000}"/>
    <cellStyle name="標準 2 4 5" xfId="279" xr:uid="{00000000-0005-0000-0000-000093010000}"/>
    <cellStyle name="標準 2 4 5 2" xfId="354" xr:uid="{00000000-0005-0000-0000-000094010000}"/>
    <cellStyle name="標準 2 4 5 2 2" xfId="395" xr:uid="{00000000-0005-0000-0000-000095010000}"/>
    <cellStyle name="標準 2 4 5 2 2 2" xfId="604" xr:uid="{00000000-0005-0000-0000-000096010000}"/>
    <cellStyle name="標準 2 4 5 2 3" xfId="564" xr:uid="{00000000-0005-0000-0000-000097010000}"/>
    <cellStyle name="標準 2 4 5 3" xfId="374" xr:uid="{00000000-0005-0000-0000-000098010000}"/>
    <cellStyle name="標準 2 4 5 3 2" xfId="584" xr:uid="{00000000-0005-0000-0000-000099010000}"/>
    <cellStyle name="標準 2 4 5 4" xfId="332" xr:uid="{00000000-0005-0000-0000-00009A010000}"/>
    <cellStyle name="標準 2 4 5 4 2" xfId="544" xr:uid="{00000000-0005-0000-0000-00009B010000}"/>
    <cellStyle name="標準 2 4 5 5" xfId="312" xr:uid="{00000000-0005-0000-0000-00009C010000}"/>
    <cellStyle name="標準 2 4 5 5 2" xfId="524" xr:uid="{00000000-0005-0000-0000-00009D010000}"/>
    <cellStyle name="標準 2 4 5 6" xfId="504" xr:uid="{00000000-0005-0000-0000-00009E010000}"/>
    <cellStyle name="標準 2 4 6" xfId="348" xr:uid="{00000000-0005-0000-0000-00009F010000}"/>
    <cellStyle name="標準 2 4 6 2" xfId="389" xr:uid="{00000000-0005-0000-0000-0000A0010000}"/>
    <cellStyle name="標準 2 4 6 2 2" xfId="598" xr:uid="{00000000-0005-0000-0000-0000A1010000}"/>
    <cellStyle name="標準 2 4 6 3" xfId="558" xr:uid="{00000000-0005-0000-0000-0000A2010000}"/>
    <cellStyle name="標準 2 4 7" xfId="368" xr:uid="{00000000-0005-0000-0000-0000A3010000}"/>
    <cellStyle name="標準 2 4 7 2" xfId="578" xr:uid="{00000000-0005-0000-0000-0000A4010000}"/>
    <cellStyle name="標準 2 4 8" xfId="326" xr:uid="{00000000-0005-0000-0000-0000A5010000}"/>
    <cellStyle name="標準 2 4 8 2" xfId="538" xr:uid="{00000000-0005-0000-0000-0000A6010000}"/>
    <cellStyle name="標準 2 4 9" xfId="413" xr:uid="{00000000-0005-0000-0000-0000A7010000}"/>
    <cellStyle name="標準 2 4 9 2" xfId="618" xr:uid="{00000000-0005-0000-0000-0000A8010000}"/>
    <cellStyle name="標準 20" xfId="229" xr:uid="{00000000-0005-0000-0000-0000A9010000}"/>
    <cellStyle name="標準 21" xfId="231" xr:uid="{00000000-0005-0000-0000-0000AA010000}"/>
    <cellStyle name="標準 22" xfId="347" xr:uid="{00000000-0005-0000-0000-0000AB010000}"/>
    <cellStyle name="標準 23" xfId="388" xr:uid="{00000000-0005-0000-0000-0000AC010000}"/>
    <cellStyle name="標準 24" xfId="409" xr:uid="{00000000-0005-0000-0000-0000AD010000}"/>
    <cellStyle name="標準 25" xfId="412" xr:uid="{00000000-0005-0000-0000-0000AE010000}"/>
    <cellStyle name="標準 26" xfId="410" xr:uid="{00000000-0005-0000-0000-0000AF010000}"/>
    <cellStyle name="標準 27" xfId="411" xr:uid="{00000000-0005-0000-0000-0000B0010000}"/>
    <cellStyle name="標準 3" xfId="172" xr:uid="{00000000-0005-0000-0000-0000B1010000}"/>
    <cellStyle name="標準 3 2" xfId="203" xr:uid="{00000000-0005-0000-0000-0000B2010000}"/>
    <cellStyle name="標準 3 3" xfId="218" xr:uid="{00000000-0005-0000-0000-0000B3010000}"/>
    <cellStyle name="標準 3 3 2" xfId="301" xr:uid="{00000000-0005-0000-0000-0000B4010000}"/>
    <cellStyle name="標準 3 3 2 2" xfId="367" xr:uid="{00000000-0005-0000-0000-0000B5010000}"/>
    <cellStyle name="標準 3 3 2 2 2" xfId="408" xr:uid="{00000000-0005-0000-0000-0000B6010000}"/>
    <cellStyle name="標準 3 3 2 2 2 2" xfId="617" xr:uid="{00000000-0005-0000-0000-0000B7010000}"/>
    <cellStyle name="標準 3 3 2 2 3" xfId="577" xr:uid="{00000000-0005-0000-0000-0000B8010000}"/>
    <cellStyle name="標準 3 3 2 3" xfId="387" xr:uid="{00000000-0005-0000-0000-0000B9010000}"/>
    <cellStyle name="標準 3 3 2 3 2" xfId="597" xr:uid="{00000000-0005-0000-0000-0000BA010000}"/>
    <cellStyle name="標準 3 3 2 4" xfId="345" xr:uid="{00000000-0005-0000-0000-0000BB010000}"/>
    <cellStyle name="標準 3 3 2 4 2" xfId="557" xr:uid="{00000000-0005-0000-0000-0000BC010000}"/>
    <cellStyle name="標準 3 3 2 5" xfId="423" xr:uid="{00000000-0005-0000-0000-0000BD010000}"/>
    <cellStyle name="標準 3 3 2 5 2" xfId="628" xr:uid="{00000000-0005-0000-0000-0000BE010000}"/>
    <cellStyle name="標準 3 3 2 6" xfId="325" xr:uid="{00000000-0005-0000-0000-0000BF010000}"/>
    <cellStyle name="標準 3 3 2 6 2" xfId="537" xr:uid="{00000000-0005-0000-0000-0000C0010000}"/>
    <cellStyle name="標準 3 3 2 7" xfId="517" xr:uid="{00000000-0005-0000-0000-0000C1010000}"/>
    <cellStyle name="標準 3 4" xfId="213" xr:uid="{00000000-0005-0000-0000-0000C2010000}"/>
    <cellStyle name="標準 3 4 10" xfId="307" xr:uid="{00000000-0005-0000-0000-0000C3010000}"/>
    <cellStyle name="標準 3 4 10 2" xfId="519" xr:uid="{00000000-0005-0000-0000-0000C4010000}"/>
    <cellStyle name="標準 3 4 11" xfId="499" xr:uid="{00000000-0005-0000-0000-0000C5010000}"/>
    <cellStyle name="標準 3 4 2" xfId="222" xr:uid="{00000000-0005-0000-0000-0000C6010000}"/>
    <cellStyle name="標準 3 4 2 2" xfId="290" xr:uid="{00000000-0005-0000-0000-0000C7010000}"/>
    <cellStyle name="標準 3 4 2 2 2" xfId="361" xr:uid="{00000000-0005-0000-0000-0000C8010000}"/>
    <cellStyle name="標準 3 4 2 2 2 2" xfId="402" xr:uid="{00000000-0005-0000-0000-0000C9010000}"/>
    <cellStyle name="標準 3 4 2 2 2 2 2" xfId="611" xr:uid="{00000000-0005-0000-0000-0000CA010000}"/>
    <cellStyle name="標準 3 4 2 2 2 3" xfId="571" xr:uid="{00000000-0005-0000-0000-0000CB010000}"/>
    <cellStyle name="標準 3 4 2 2 3" xfId="381" xr:uid="{00000000-0005-0000-0000-0000CC010000}"/>
    <cellStyle name="標準 3 4 2 2 3 2" xfId="591" xr:uid="{00000000-0005-0000-0000-0000CD010000}"/>
    <cellStyle name="標準 3 4 2 2 4" xfId="339" xr:uid="{00000000-0005-0000-0000-0000CE010000}"/>
    <cellStyle name="標準 3 4 2 2 4 2" xfId="551" xr:uid="{00000000-0005-0000-0000-0000CF010000}"/>
    <cellStyle name="標準 3 4 2 2 5" xfId="319" xr:uid="{00000000-0005-0000-0000-0000D0010000}"/>
    <cellStyle name="標準 3 4 2 2 5 2" xfId="531" xr:uid="{00000000-0005-0000-0000-0000D1010000}"/>
    <cellStyle name="標準 3 4 2 2 6" xfId="511" xr:uid="{00000000-0005-0000-0000-0000D2010000}"/>
    <cellStyle name="標準 3 4 2 3" xfId="352" xr:uid="{00000000-0005-0000-0000-0000D3010000}"/>
    <cellStyle name="標準 3 4 2 3 2" xfId="393" xr:uid="{00000000-0005-0000-0000-0000D4010000}"/>
    <cellStyle name="標準 3 4 2 3 2 2" xfId="602" xr:uid="{00000000-0005-0000-0000-0000D5010000}"/>
    <cellStyle name="標準 3 4 2 3 3" xfId="562" xr:uid="{00000000-0005-0000-0000-0000D6010000}"/>
    <cellStyle name="標準 3 4 2 4" xfId="372" xr:uid="{00000000-0005-0000-0000-0000D7010000}"/>
    <cellStyle name="標準 3 4 2 4 2" xfId="582" xr:uid="{00000000-0005-0000-0000-0000D8010000}"/>
    <cellStyle name="標準 3 4 2 5" xfId="330" xr:uid="{00000000-0005-0000-0000-0000D9010000}"/>
    <cellStyle name="標準 3 4 2 5 2" xfId="542" xr:uid="{00000000-0005-0000-0000-0000DA010000}"/>
    <cellStyle name="標準 3 4 2 6" xfId="417" xr:uid="{00000000-0005-0000-0000-0000DB010000}"/>
    <cellStyle name="標準 3 4 2 6 2" xfId="622" xr:uid="{00000000-0005-0000-0000-0000DC010000}"/>
    <cellStyle name="標準 3 4 2 7" xfId="310" xr:uid="{00000000-0005-0000-0000-0000DD010000}"/>
    <cellStyle name="標準 3 4 2 7 2" xfId="522" xr:uid="{00000000-0005-0000-0000-0000DE010000}"/>
    <cellStyle name="標準 3 4 2 8" xfId="502" xr:uid="{00000000-0005-0000-0000-0000DF010000}"/>
    <cellStyle name="標準 3 4 3" xfId="298" xr:uid="{00000000-0005-0000-0000-0000E0010000}"/>
    <cellStyle name="標準 3 4 3 2" xfId="364" xr:uid="{00000000-0005-0000-0000-0000E1010000}"/>
    <cellStyle name="標準 3 4 3 2 2" xfId="405" xr:uid="{00000000-0005-0000-0000-0000E2010000}"/>
    <cellStyle name="標準 3 4 3 2 2 2" xfId="614" xr:uid="{00000000-0005-0000-0000-0000E3010000}"/>
    <cellStyle name="標準 3 4 3 2 3" xfId="574" xr:uid="{00000000-0005-0000-0000-0000E4010000}"/>
    <cellStyle name="標準 3 4 3 3" xfId="384" xr:uid="{00000000-0005-0000-0000-0000E5010000}"/>
    <cellStyle name="標準 3 4 3 3 2" xfId="594" xr:uid="{00000000-0005-0000-0000-0000E6010000}"/>
    <cellStyle name="標準 3 4 3 4" xfId="342" xr:uid="{00000000-0005-0000-0000-0000E7010000}"/>
    <cellStyle name="標準 3 4 3 4 2" xfId="554" xr:uid="{00000000-0005-0000-0000-0000E8010000}"/>
    <cellStyle name="標準 3 4 3 5" xfId="420" xr:uid="{00000000-0005-0000-0000-0000E9010000}"/>
    <cellStyle name="標準 3 4 3 5 2" xfId="625" xr:uid="{00000000-0005-0000-0000-0000EA010000}"/>
    <cellStyle name="標準 3 4 3 6" xfId="322" xr:uid="{00000000-0005-0000-0000-0000EB010000}"/>
    <cellStyle name="標準 3 4 3 6 2" xfId="534" xr:uid="{00000000-0005-0000-0000-0000EC010000}"/>
    <cellStyle name="標準 3 4 3 7" xfId="514" xr:uid="{00000000-0005-0000-0000-0000ED010000}"/>
    <cellStyle name="標準 3 4 4" xfId="287" xr:uid="{00000000-0005-0000-0000-0000EE010000}"/>
    <cellStyle name="標準 3 4 4 2" xfId="358" xr:uid="{00000000-0005-0000-0000-0000EF010000}"/>
    <cellStyle name="標準 3 4 4 2 2" xfId="399" xr:uid="{00000000-0005-0000-0000-0000F0010000}"/>
    <cellStyle name="標準 3 4 4 2 2 2" xfId="608" xr:uid="{00000000-0005-0000-0000-0000F1010000}"/>
    <cellStyle name="標準 3 4 4 2 3" xfId="568" xr:uid="{00000000-0005-0000-0000-0000F2010000}"/>
    <cellStyle name="標準 3 4 4 3" xfId="378" xr:uid="{00000000-0005-0000-0000-0000F3010000}"/>
    <cellStyle name="標準 3 4 4 3 2" xfId="588" xr:uid="{00000000-0005-0000-0000-0000F4010000}"/>
    <cellStyle name="標準 3 4 4 4" xfId="336" xr:uid="{00000000-0005-0000-0000-0000F5010000}"/>
    <cellStyle name="標準 3 4 4 4 2" xfId="548" xr:uid="{00000000-0005-0000-0000-0000F6010000}"/>
    <cellStyle name="標準 3 4 4 5" xfId="316" xr:uid="{00000000-0005-0000-0000-0000F7010000}"/>
    <cellStyle name="標準 3 4 4 5 2" xfId="528" xr:uid="{00000000-0005-0000-0000-0000F8010000}"/>
    <cellStyle name="標準 3 4 4 6" xfId="508" xr:uid="{00000000-0005-0000-0000-0000F9010000}"/>
    <cellStyle name="標準 3 4 5" xfId="280" xr:uid="{00000000-0005-0000-0000-0000FA010000}"/>
    <cellStyle name="標準 3 4 5 2" xfId="355" xr:uid="{00000000-0005-0000-0000-0000FB010000}"/>
    <cellStyle name="標準 3 4 5 2 2" xfId="396" xr:uid="{00000000-0005-0000-0000-0000FC010000}"/>
    <cellStyle name="標準 3 4 5 2 2 2" xfId="605" xr:uid="{00000000-0005-0000-0000-0000FD010000}"/>
    <cellStyle name="標準 3 4 5 2 3" xfId="565" xr:uid="{00000000-0005-0000-0000-0000FE010000}"/>
    <cellStyle name="標準 3 4 5 3" xfId="375" xr:uid="{00000000-0005-0000-0000-0000FF010000}"/>
    <cellStyle name="標準 3 4 5 3 2" xfId="585" xr:uid="{00000000-0005-0000-0000-000000020000}"/>
    <cellStyle name="標準 3 4 5 4" xfId="333" xr:uid="{00000000-0005-0000-0000-000001020000}"/>
    <cellStyle name="標準 3 4 5 4 2" xfId="545" xr:uid="{00000000-0005-0000-0000-000002020000}"/>
    <cellStyle name="標準 3 4 5 5" xfId="313" xr:uid="{00000000-0005-0000-0000-000003020000}"/>
    <cellStyle name="標準 3 4 5 5 2" xfId="525" xr:uid="{00000000-0005-0000-0000-000004020000}"/>
    <cellStyle name="標準 3 4 5 6" xfId="505" xr:uid="{00000000-0005-0000-0000-000005020000}"/>
    <cellStyle name="標準 3 4 6" xfId="349" xr:uid="{00000000-0005-0000-0000-000006020000}"/>
    <cellStyle name="標準 3 4 6 2" xfId="390" xr:uid="{00000000-0005-0000-0000-000007020000}"/>
    <cellStyle name="標準 3 4 6 2 2" xfId="599" xr:uid="{00000000-0005-0000-0000-000008020000}"/>
    <cellStyle name="標準 3 4 6 3" xfId="559" xr:uid="{00000000-0005-0000-0000-000009020000}"/>
    <cellStyle name="標準 3 4 7" xfId="369" xr:uid="{00000000-0005-0000-0000-00000A020000}"/>
    <cellStyle name="標準 3 4 7 2" xfId="579" xr:uid="{00000000-0005-0000-0000-00000B020000}"/>
    <cellStyle name="標準 3 4 8" xfId="327" xr:uid="{00000000-0005-0000-0000-00000C020000}"/>
    <cellStyle name="標準 3 4 8 2" xfId="539" xr:uid="{00000000-0005-0000-0000-00000D020000}"/>
    <cellStyle name="標準 3 4 9" xfId="414" xr:uid="{00000000-0005-0000-0000-00000E020000}"/>
    <cellStyle name="標準 3 4 9 2" xfId="619" xr:uid="{00000000-0005-0000-0000-00000F020000}"/>
    <cellStyle name="標準 4" xfId="173" xr:uid="{00000000-0005-0000-0000-000010020000}"/>
    <cellStyle name="標準 4 2" xfId="219" xr:uid="{00000000-0005-0000-0000-000011020000}"/>
    <cellStyle name="標準 4 2 2" xfId="302" xr:uid="{00000000-0005-0000-0000-000012020000}"/>
    <cellStyle name="標準 4 3" xfId="214" xr:uid="{00000000-0005-0000-0000-000013020000}"/>
    <cellStyle name="標準 5" xfId="174" xr:uid="{00000000-0005-0000-0000-000014020000}"/>
    <cellStyle name="標準 5 2" xfId="220" xr:uid="{00000000-0005-0000-0000-000015020000}"/>
    <cellStyle name="標準 5 3" xfId="215" xr:uid="{00000000-0005-0000-0000-000016020000}"/>
    <cellStyle name="標準 5 3 10" xfId="308" xr:uid="{00000000-0005-0000-0000-000017020000}"/>
    <cellStyle name="標準 5 3 10 2" xfId="520" xr:uid="{00000000-0005-0000-0000-000018020000}"/>
    <cellStyle name="標準 5 3 11" xfId="500" xr:uid="{00000000-0005-0000-0000-000019020000}"/>
    <cellStyle name="標準 5 3 2" xfId="223" xr:uid="{00000000-0005-0000-0000-00001A020000}"/>
    <cellStyle name="標準 5 3 2 2" xfId="291" xr:uid="{00000000-0005-0000-0000-00001B020000}"/>
    <cellStyle name="標準 5 3 2 2 2" xfId="362" xr:uid="{00000000-0005-0000-0000-00001C020000}"/>
    <cellStyle name="標準 5 3 2 2 2 2" xfId="403" xr:uid="{00000000-0005-0000-0000-00001D020000}"/>
    <cellStyle name="標準 5 3 2 2 2 2 2" xfId="612" xr:uid="{00000000-0005-0000-0000-00001E020000}"/>
    <cellStyle name="標準 5 3 2 2 2 3" xfId="572" xr:uid="{00000000-0005-0000-0000-00001F020000}"/>
    <cellStyle name="標準 5 3 2 2 3" xfId="382" xr:uid="{00000000-0005-0000-0000-000020020000}"/>
    <cellStyle name="標準 5 3 2 2 3 2" xfId="592" xr:uid="{00000000-0005-0000-0000-000021020000}"/>
    <cellStyle name="標準 5 3 2 2 4" xfId="340" xr:uid="{00000000-0005-0000-0000-000022020000}"/>
    <cellStyle name="標準 5 3 2 2 4 2" xfId="552" xr:uid="{00000000-0005-0000-0000-000023020000}"/>
    <cellStyle name="標準 5 3 2 2 5" xfId="320" xr:uid="{00000000-0005-0000-0000-000024020000}"/>
    <cellStyle name="標準 5 3 2 2 5 2" xfId="532" xr:uid="{00000000-0005-0000-0000-000025020000}"/>
    <cellStyle name="標準 5 3 2 2 6" xfId="512" xr:uid="{00000000-0005-0000-0000-000026020000}"/>
    <cellStyle name="標準 5 3 2 3" xfId="353" xr:uid="{00000000-0005-0000-0000-000027020000}"/>
    <cellStyle name="標準 5 3 2 3 2" xfId="394" xr:uid="{00000000-0005-0000-0000-000028020000}"/>
    <cellStyle name="標準 5 3 2 3 2 2" xfId="603" xr:uid="{00000000-0005-0000-0000-000029020000}"/>
    <cellStyle name="標準 5 3 2 3 3" xfId="563" xr:uid="{00000000-0005-0000-0000-00002A020000}"/>
    <cellStyle name="標準 5 3 2 4" xfId="373" xr:uid="{00000000-0005-0000-0000-00002B020000}"/>
    <cellStyle name="標準 5 3 2 4 2" xfId="583" xr:uid="{00000000-0005-0000-0000-00002C020000}"/>
    <cellStyle name="標準 5 3 2 5" xfId="331" xr:uid="{00000000-0005-0000-0000-00002D020000}"/>
    <cellStyle name="標準 5 3 2 5 2" xfId="543" xr:uid="{00000000-0005-0000-0000-00002E020000}"/>
    <cellStyle name="標準 5 3 2 6" xfId="418" xr:uid="{00000000-0005-0000-0000-00002F020000}"/>
    <cellStyle name="標準 5 3 2 6 2" xfId="623" xr:uid="{00000000-0005-0000-0000-000030020000}"/>
    <cellStyle name="標準 5 3 2 7" xfId="311" xr:uid="{00000000-0005-0000-0000-000031020000}"/>
    <cellStyle name="標準 5 3 2 7 2" xfId="523" xr:uid="{00000000-0005-0000-0000-000032020000}"/>
    <cellStyle name="標準 5 3 2 8" xfId="503" xr:uid="{00000000-0005-0000-0000-000033020000}"/>
    <cellStyle name="標準 5 3 3" xfId="299" xr:uid="{00000000-0005-0000-0000-000034020000}"/>
    <cellStyle name="標準 5 3 3 2" xfId="365" xr:uid="{00000000-0005-0000-0000-000035020000}"/>
    <cellStyle name="標準 5 3 3 2 2" xfId="406" xr:uid="{00000000-0005-0000-0000-000036020000}"/>
    <cellStyle name="標準 5 3 3 2 2 2" xfId="615" xr:uid="{00000000-0005-0000-0000-000037020000}"/>
    <cellStyle name="標準 5 3 3 2 3" xfId="575" xr:uid="{00000000-0005-0000-0000-000038020000}"/>
    <cellStyle name="標準 5 3 3 3" xfId="385" xr:uid="{00000000-0005-0000-0000-000039020000}"/>
    <cellStyle name="標準 5 3 3 3 2" xfId="595" xr:uid="{00000000-0005-0000-0000-00003A020000}"/>
    <cellStyle name="標準 5 3 3 4" xfId="343" xr:uid="{00000000-0005-0000-0000-00003B020000}"/>
    <cellStyle name="標準 5 3 3 4 2" xfId="555" xr:uid="{00000000-0005-0000-0000-00003C020000}"/>
    <cellStyle name="標準 5 3 3 5" xfId="421" xr:uid="{00000000-0005-0000-0000-00003D020000}"/>
    <cellStyle name="標準 5 3 3 5 2" xfId="626" xr:uid="{00000000-0005-0000-0000-00003E020000}"/>
    <cellStyle name="標準 5 3 3 6" xfId="323" xr:uid="{00000000-0005-0000-0000-00003F020000}"/>
    <cellStyle name="標準 5 3 3 6 2" xfId="535" xr:uid="{00000000-0005-0000-0000-000040020000}"/>
    <cellStyle name="標準 5 3 3 7" xfId="515" xr:uid="{00000000-0005-0000-0000-000041020000}"/>
    <cellStyle name="標準 5 3 4" xfId="288" xr:uid="{00000000-0005-0000-0000-000042020000}"/>
    <cellStyle name="標準 5 3 4 2" xfId="359" xr:uid="{00000000-0005-0000-0000-000043020000}"/>
    <cellStyle name="標準 5 3 4 2 2" xfId="400" xr:uid="{00000000-0005-0000-0000-000044020000}"/>
    <cellStyle name="標準 5 3 4 2 2 2" xfId="609" xr:uid="{00000000-0005-0000-0000-000045020000}"/>
    <cellStyle name="標準 5 3 4 2 3" xfId="569" xr:uid="{00000000-0005-0000-0000-000046020000}"/>
    <cellStyle name="標準 5 3 4 3" xfId="379" xr:uid="{00000000-0005-0000-0000-000047020000}"/>
    <cellStyle name="標準 5 3 4 3 2" xfId="589" xr:uid="{00000000-0005-0000-0000-000048020000}"/>
    <cellStyle name="標準 5 3 4 4" xfId="337" xr:uid="{00000000-0005-0000-0000-000049020000}"/>
    <cellStyle name="標準 5 3 4 4 2" xfId="549" xr:uid="{00000000-0005-0000-0000-00004A020000}"/>
    <cellStyle name="標準 5 3 4 5" xfId="317" xr:uid="{00000000-0005-0000-0000-00004B020000}"/>
    <cellStyle name="標準 5 3 4 5 2" xfId="529" xr:uid="{00000000-0005-0000-0000-00004C020000}"/>
    <cellStyle name="標準 5 3 4 6" xfId="509" xr:uid="{00000000-0005-0000-0000-00004D020000}"/>
    <cellStyle name="標準 5 3 5" xfId="281" xr:uid="{00000000-0005-0000-0000-00004E020000}"/>
    <cellStyle name="標準 5 3 5 2" xfId="356" xr:uid="{00000000-0005-0000-0000-00004F020000}"/>
    <cellStyle name="標準 5 3 5 2 2" xfId="397" xr:uid="{00000000-0005-0000-0000-000050020000}"/>
    <cellStyle name="標準 5 3 5 2 2 2" xfId="606" xr:uid="{00000000-0005-0000-0000-000051020000}"/>
    <cellStyle name="標準 5 3 5 2 3" xfId="566" xr:uid="{00000000-0005-0000-0000-000052020000}"/>
    <cellStyle name="標準 5 3 5 3" xfId="376" xr:uid="{00000000-0005-0000-0000-000053020000}"/>
    <cellStyle name="標準 5 3 5 3 2" xfId="586" xr:uid="{00000000-0005-0000-0000-000054020000}"/>
    <cellStyle name="標準 5 3 5 4" xfId="334" xr:uid="{00000000-0005-0000-0000-000055020000}"/>
    <cellStyle name="標準 5 3 5 4 2" xfId="546" xr:uid="{00000000-0005-0000-0000-000056020000}"/>
    <cellStyle name="標準 5 3 5 5" xfId="314" xr:uid="{00000000-0005-0000-0000-000057020000}"/>
    <cellStyle name="標準 5 3 5 5 2" xfId="526" xr:uid="{00000000-0005-0000-0000-000058020000}"/>
    <cellStyle name="標準 5 3 5 6" xfId="506" xr:uid="{00000000-0005-0000-0000-000059020000}"/>
    <cellStyle name="標準 5 3 6" xfId="350" xr:uid="{00000000-0005-0000-0000-00005A020000}"/>
    <cellStyle name="標準 5 3 6 2" xfId="391" xr:uid="{00000000-0005-0000-0000-00005B020000}"/>
    <cellStyle name="標準 5 3 6 2 2" xfId="600" xr:uid="{00000000-0005-0000-0000-00005C020000}"/>
    <cellStyle name="標準 5 3 6 3" xfId="560" xr:uid="{00000000-0005-0000-0000-00005D020000}"/>
    <cellStyle name="標準 5 3 7" xfId="370" xr:uid="{00000000-0005-0000-0000-00005E020000}"/>
    <cellStyle name="標準 5 3 7 2" xfId="580" xr:uid="{00000000-0005-0000-0000-00005F020000}"/>
    <cellStyle name="標準 5 3 8" xfId="328" xr:uid="{00000000-0005-0000-0000-000060020000}"/>
    <cellStyle name="標準 5 3 8 2" xfId="540" xr:uid="{00000000-0005-0000-0000-000061020000}"/>
    <cellStyle name="標準 5 3 9" xfId="415" xr:uid="{00000000-0005-0000-0000-000062020000}"/>
    <cellStyle name="標準 5 3 9 2" xfId="620" xr:uid="{00000000-0005-0000-0000-000063020000}"/>
    <cellStyle name="標準 6" xfId="175" xr:uid="{00000000-0005-0000-0000-000064020000}"/>
    <cellStyle name="標準 7" xfId="176" xr:uid="{00000000-0005-0000-0000-000065020000}"/>
    <cellStyle name="標準 8" xfId="204" xr:uid="{00000000-0005-0000-0000-000066020000}"/>
    <cellStyle name="標準 8 2" xfId="284" xr:uid="{00000000-0005-0000-0000-000067020000}"/>
    <cellStyle name="標準 8 2 2" xfId="493" xr:uid="{00000000-0005-0000-0000-000068020000}"/>
    <cellStyle name="標準 8 2 2 2" xfId="645" xr:uid="{00000000-0005-0000-0000-000069020000}"/>
    <cellStyle name="標準 8 2 3" xfId="472" xr:uid="{00000000-0005-0000-0000-00006A020000}"/>
    <cellStyle name="標準 8 2 3 2" xfId="632" xr:uid="{00000000-0005-0000-0000-00006B020000}"/>
    <cellStyle name="標準 8 3" xfId="295" xr:uid="{00000000-0005-0000-0000-00006C020000}"/>
    <cellStyle name="標準 8 3 2" xfId="488" xr:uid="{00000000-0005-0000-0000-00006D020000}"/>
    <cellStyle name="標準 8 4" xfId="239" xr:uid="{00000000-0005-0000-0000-00006E020000}"/>
    <cellStyle name="標準 8 4 2" xfId="480" xr:uid="{00000000-0005-0000-0000-00006F020000}"/>
    <cellStyle name="標準 8 4 2 2" xfId="638" xr:uid="{00000000-0005-0000-0000-000070020000}"/>
    <cellStyle name="標準 9" xfId="189" xr:uid="{00000000-0005-0000-0000-000071020000}"/>
    <cellStyle name="標準 9 2" xfId="278" xr:uid="{00000000-0005-0000-0000-000072020000}"/>
    <cellStyle name="標準 9 2 2" xfId="430" xr:uid="{00000000-0005-0000-0000-000073020000}"/>
    <cellStyle name="標準 9 3" xfId="296" xr:uid="{00000000-0005-0000-0000-000074020000}"/>
    <cellStyle name="標準 9 3 2" xfId="486" xr:uid="{00000000-0005-0000-0000-000075020000}"/>
    <cellStyle name="標準 9 4" xfId="240" xr:uid="{00000000-0005-0000-0000-000076020000}"/>
    <cellStyle name="標準 9 5" xfId="303" xr:uid="{00000000-0005-0000-0000-000077020000}"/>
    <cellStyle name="標準 9 6" xfId="426" xr:uid="{00000000-0005-0000-0000-000078020000}"/>
    <cellStyle name="標準 9 6 2" xfId="630" xr:uid="{00000000-0005-0000-0000-000079020000}"/>
    <cellStyle name="標準_02_変更来歴例" xfId="177" xr:uid="{00000000-0005-0000-0000-00007A020000}"/>
    <cellStyle name="標準_A00200 オーダー状況" xfId="178" xr:uid="{00000000-0005-0000-0000-00007B020000}"/>
    <cellStyle name="標準_LogicCommon" xfId="179" xr:uid="{00000000-0005-0000-0000-00007C020000}"/>
    <cellStyle name="標準_Srch01" xfId="180" xr:uid="{00000000-0005-0000-0000-00007D020000}"/>
    <cellStyle name="標準_Srch01_1" xfId="181" xr:uid="{00000000-0005-0000-0000-00007E020000}"/>
    <cellStyle name="標準_変更来歴_1" xfId="182" xr:uid="{00000000-0005-0000-0000-00007F020000}"/>
    <cellStyle name="標準2" xfId="205" xr:uid="{00000000-0005-0000-0000-000080020000}"/>
    <cellStyle name="標準２" xfId="206" xr:uid="{00000000-0005-0000-0000-000081020000}"/>
    <cellStyle name="標準2_DAIICH" xfId="207" xr:uid="{00000000-0005-0000-0000-000082020000}"/>
    <cellStyle name="未定義" xfId="183" xr:uid="{00000000-0005-0000-0000-000083020000}"/>
    <cellStyle name="良い" xfId="184" builtinId="26" customBuiltin="1"/>
    <cellStyle name="良い 2" xfId="185" xr:uid="{00000000-0005-0000-0000-000085020000}"/>
    <cellStyle name="良い 3" xfId="186" xr:uid="{00000000-0005-0000-0000-000086020000}"/>
    <cellStyle name="良い 4" xfId="187" xr:uid="{00000000-0005-0000-0000-000087020000}"/>
    <cellStyle name="良い 5" xfId="277" xr:uid="{00000000-0005-0000-0000-000088020000}"/>
    <cellStyle name="良い 6" xfId="471" xr:uid="{00000000-0005-0000-0000-000089020000}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94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104</v>
      </c>
      <c r="D3" s="7" t="s">
        <v>10</v>
      </c>
      <c r="E3" s="9" t="s">
        <v>147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95</v>
      </c>
      <c r="F4" s="7" t="s">
        <v>5</v>
      </c>
      <c r="G4" s="9" t="s">
        <v>264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1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99</v>
      </c>
      <c r="K2" s="7" t="s">
        <v>39</v>
      </c>
      <c r="L2" s="77" t="str">
        <f>IF(LogicCommon!G2="","",LogicCommon!G2)</f>
        <v>MC</v>
      </c>
      <c r="M2" s="5" t="s">
        <v>185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85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4"/>
      <c r="S3" s="27"/>
      <c r="T3" s="27"/>
      <c r="U3" s="27"/>
      <c r="V3" s="27"/>
      <c r="W3" s="27"/>
    </row>
    <row r="4" spans="1:23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180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8" t="s">
        <v>183</v>
      </c>
      <c r="B6" s="79"/>
      <c r="C6" s="79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3"/>
      <c r="S6" s="3" t="s">
        <v>182</v>
      </c>
      <c r="T6" s="4"/>
      <c r="U6" s="29"/>
      <c r="V6" s="29"/>
      <c r="W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92</v>
      </c>
      <c r="M7" s="32" t="s">
        <v>146</v>
      </c>
      <c r="N7" s="32" t="s">
        <v>146</v>
      </c>
      <c r="O7" s="32" t="s">
        <v>146</v>
      </c>
      <c r="P7" s="32" t="s">
        <v>146</v>
      </c>
      <c r="Q7" s="32"/>
      <c r="R7" s="33" t="s">
        <v>68</v>
      </c>
      <c r="S7" s="32"/>
      <c r="T7" s="29"/>
      <c r="U7" s="29"/>
      <c r="V7" s="29"/>
      <c r="W7" s="29"/>
    </row>
    <row r="8" spans="1:23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9" t="s">
        <v>93</v>
      </c>
      <c r="L8" s="9" t="s">
        <v>143</v>
      </c>
      <c r="M8" s="9" t="s">
        <v>148</v>
      </c>
      <c r="N8" s="9" t="s">
        <v>149</v>
      </c>
      <c r="O8" s="9" t="s">
        <v>152</v>
      </c>
      <c r="P8" s="9" t="s">
        <v>153</v>
      </c>
      <c r="Q8" s="35"/>
      <c r="R8" s="33" t="s">
        <v>69</v>
      </c>
      <c r="S8" s="35"/>
      <c r="T8" s="91"/>
      <c r="U8" s="92"/>
      <c r="V8" s="93" t="s">
        <v>283</v>
      </c>
      <c r="W8" s="53"/>
    </row>
    <row r="9" spans="1:23" s="11" customFormat="1" ht="60" customHeight="1">
      <c r="A9" s="9" t="s">
        <v>17</v>
      </c>
      <c r="B9" s="38"/>
      <c r="C9" s="39"/>
      <c r="D9" s="87" t="s">
        <v>275</v>
      </c>
      <c r="E9" s="94" t="s">
        <v>276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33"/>
      <c r="P9" s="33"/>
      <c r="Q9" s="33"/>
      <c r="R9" s="33"/>
      <c r="S9" s="33"/>
      <c r="T9" s="93" t="s">
        <v>282</v>
      </c>
      <c r="U9" s="53"/>
      <c r="V9" s="93" t="s">
        <v>284</v>
      </c>
      <c r="W9" s="53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8" t="s">
        <v>280</v>
      </c>
      <c r="S10" s="88" t="s">
        <v>281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105</v>
      </c>
      <c r="E11" s="34" t="s">
        <v>66</v>
      </c>
      <c r="F11" s="45"/>
      <c r="G11" s="28" t="s">
        <v>145</v>
      </c>
      <c r="H11" s="46" t="s">
        <v>265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36"/>
      <c r="U11" s="37"/>
      <c r="V11" s="72"/>
      <c r="W11" s="50"/>
    </row>
    <row r="12" spans="1:23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 t="s">
        <v>193</v>
      </c>
      <c r="L12" s="9" t="s">
        <v>194</v>
      </c>
      <c r="M12" s="9"/>
      <c r="N12" s="9"/>
      <c r="O12" s="9"/>
      <c r="P12" s="9"/>
      <c r="Q12" s="9"/>
      <c r="R12" s="9"/>
      <c r="S12" s="9"/>
      <c r="T12" s="42"/>
      <c r="U12" s="53"/>
      <c r="V12" s="144"/>
      <c r="W12" s="145"/>
    </row>
    <row r="13" spans="1:23" s="11" customFormat="1">
      <c r="A13" s="9">
        <v>10</v>
      </c>
      <c r="B13" s="9"/>
      <c r="C13" s="9"/>
      <c r="D13" s="9" t="s">
        <v>154</v>
      </c>
      <c r="E13" s="51" t="s">
        <v>155</v>
      </c>
      <c r="F13" s="51"/>
      <c r="G13" s="52" t="s">
        <v>286</v>
      </c>
      <c r="H13" s="52" t="s">
        <v>195</v>
      </c>
      <c r="I13" s="9" t="s">
        <v>192</v>
      </c>
      <c r="J13" s="9"/>
      <c r="K13" s="9" t="s">
        <v>193</v>
      </c>
      <c r="L13" s="9" t="s">
        <v>196</v>
      </c>
      <c r="M13" s="9"/>
      <c r="N13" s="9"/>
      <c r="O13" s="9"/>
      <c r="P13" s="9"/>
      <c r="Q13" s="9"/>
      <c r="R13" s="9"/>
      <c r="S13" s="9"/>
      <c r="T13" s="42"/>
      <c r="U13" s="53"/>
      <c r="V13" s="144"/>
      <c r="W13" s="145"/>
    </row>
    <row r="14" spans="1:23" s="11" customFormat="1">
      <c r="A14" s="9">
        <v>10</v>
      </c>
      <c r="B14" s="9"/>
      <c r="C14" s="9"/>
      <c r="D14" s="9" t="s">
        <v>131</v>
      </c>
      <c r="E14" s="51" t="s">
        <v>130</v>
      </c>
      <c r="F14" s="51"/>
      <c r="G14" s="52" t="s">
        <v>287</v>
      </c>
      <c r="H14" s="52" t="s">
        <v>197</v>
      </c>
      <c r="I14" s="9" t="s">
        <v>192</v>
      </c>
      <c r="J14" s="9"/>
      <c r="K14" s="9" t="s">
        <v>193</v>
      </c>
      <c r="L14" s="9" t="s">
        <v>198</v>
      </c>
      <c r="M14" s="9"/>
      <c r="N14" s="9"/>
      <c r="O14" s="9"/>
      <c r="P14" s="9"/>
      <c r="Q14" s="9"/>
      <c r="R14" s="9"/>
      <c r="S14" s="9"/>
      <c r="T14" s="42"/>
      <c r="U14" s="53"/>
      <c r="V14" s="144"/>
      <c r="W14" s="145"/>
    </row>
    <row r="15" spans="1:23" s="11" customFormat="1">
      <c r="A15" s="9">
        <v>10</v>
      </c>
      <c r="B15" s="9"/>
      <c r="C15" s="9"/>
      <c r="D15" s="9" t="s">
        <v>117</v>
      </c>
      <c r="E15" s="51" t="s">
        <v>136</v>
      </c>
      <c r="F15" s="51"/>
      <c r="G15" s="52" t="s">
        <v>288</v>
      </c>
      <c r="H15" s="52" t="s">
        <v>199</v>
      </c>
      <c r="I15" s="9" t="s">
        <v>192</v>
      </c>
      <c r="J15" s="9"/>
      <c r="K15" s="9"/>
      <c r="L15" s="9" t="s">
        <v>200</v>
      </c>
      <c r="M15" s="9"/>
      <c r="N15" s="9"/>
      <c r="O15" s="9" t="s">
        <v>201</v>
      </c>
      <c r="P15" s="9" t="s">
        <v>202</v>
      </c>
      <c r="Q15" s="9"/>
      <c r="R15" s="9"/>
      <c r="S15" s="9"/>
      <c r="T15" s="42"/>
      <c r="U15" s="53"/>
      <c r="V15" s="144"/>
      <c r="W15" s="145"/>
    </row>
    <row r="16" spans="1:23" s="11" customFormat="1">
      <c r="A16" s="9">
        <v>10</v>
      </c>
      <c r="B16" s="9"/>
      <c r="C16" s="9"/>
      <c r="D16" s="9" t="s">
        <v>120</v>
      </c>
      <c r="E16" s="51" t="s">
        <v>138</v>
      </c>
      <c r="F16" s="51"/>
      <c r="G16" s="52" t="s">
        <v>289</v>
      </c>
      <c r="H16" s="52" t="s">
        <v>203</v>
      </c>
      <c r="I16" s="9" t="s">
        <v>192</v>
      </c>
      <c r="J16" s="9"/>
      <c r="K16" s="9"/>
      <c r="L16" s="9" t="s">
        <v>204</v>
      </c>
      <c r="M16" s="9"/>
      <c r="N16" s="9"/>
      <c r="O16" s="9"/>
      <c r="P16" s="9"/>
      <c r="Q16" s="9"/>
      <c r="R16" s="9"/>
      <c r="S16" s="9"/>
      <c r="T16" s="42"/>
      <c r="U16" s="53"/>
      <c r="V16" s="144"/>
      <c r="W16" s="145"/>
    </row>
    <row r="17" spans="1:23" s="11" customFormat="1">
      <c r="A17" s="9">
        <v>10</v>
      </c>
      <c r="B17" s="9"/>
      <c r="C17" s="9"/>
      <c r="D17" s="9" t="s">
        <v>126</v>
      </c>
      <c r="E17" s="51" t="s">
        <v>140</v>
      </c>
      <c r="F17" s="51"/>
      <c r="G17" s="52" t="s">
        <v>290</v>
      </c>
      <c r="H17" s="52" t="s">
        <v>205</v>
      </c>
      <c r="I17" s="9" t="s">
        <v>192</v>
      </c>
      <c r="J17" s="9"/>
      <c r="K17" s="9"/>
      <c r="L17" s="9" t="s">
        <v>206</v>
      </c>
      <c r="M17" s="9"/>
      <c r="N17" s="9"/>
      <c r="O17" s="9" t="s">
        <v>169</v>
      </c>
      <c r="P17" s="9" t="s">
        <v>169</v>
      </c>
      <c r="Q17" s="9"/>
      <c r="R17" s="9"/>
      <c r="S17" s="9"/>
      <c r="T17" s="42"/>
      <c r="U17" s="53"/>
      <c r="V17" s="144"/>
      <c r="W17" s="145"/>
    </row>
    <row r="18" spans="1:23" s="11" customFormat="1" ht="26">
      <c r="A18" s="9">
        <v>10</v>
      </c>
      <c r="B18" s="9"/>
      <c r="C18" s="9"/>
      <c r="D18" s="9" t="s">
        <v>164</v>
      </c>
      <c r="E18" s="51" t="s">
        <v>138</v>
      </c>
      <c r="F18" s="51"/>
      <c r="G18" s="52" t="s">
        <v>291</v>
      </c>
      <c r="H18" s="52" t="s">
        <v>207</v>
      </c>
      <c r="I18" s="9" t="s">
        <v>192</v>
      </c>
      <c r="J18" s="9"/>
      <c r="K18" s="9"/>
      <c r="L18" s="9" t="s">
        <v>204</v>
      </c>
      <c r="M18" s="9"/>
      <c r="N18" s="9"/>
      <c r="O18" s="9"/>
      <c r="P18" s="9"/>
      <c r="Q18" s="9"/>
      <c r="R18" s="9"/>
      <c r="S18" s="9"/>
      <c r="T18" s="42"/>
      <c r="U18" s="53"/>
      <c r="V18" s="144"/>
      <c r="W18" s="145"/>
    </row>
    <row r="19" spans="1:23" s="11" customFormat="1">
      <c r="A19" s="9">
        <v>10</v>
      </c>
      <c r="B19" s="9"/>
      <c r="C19" s="9"/>
      <c r="D19" s="9" t="s">
        <v>163</v>
      </c>
      <c r="E19" s="51" t="s">
        <v>158</v>
      </c>
      <c r="F19" s="51"/>
      <c r="G19" s="52" t="s">
        <v>292</v>
      </c>
      <c r="H19" s="52" t="s">
        <v>162</v>
      </c>
      <c r="I19" s="9" t="s">
        <v>192</v>
      </c>
      <c r="J19" s="9"/>
      <c r="K19" s="9"/>
      <c r="L19" s="9" t="s">
        <v>196</v>
      </c>
      <c r="M19" s="9"/>
      <c r="N19" s="9"/>
      <c r="O19" s="9"/>
      <c r="P19" s="9"/>
      <c r="Q19" s="9"/>
      <c r="R19" s="9"/>
      <c r="S19" s="9"/>
      <c r="T19" s="42"/>
      <c r="U19" s="53"/>
      <c r="V19" s="144"/>
      <c r="W19" s="145"/>
    </row>
    <row r="20" spans="1:23" s="11" customFormat="1" ht="26">
      <c r="A20" s="9">
        <v>10</v>
      </c>
      <c r="B20" s="9"/>
      <c r="C20" s="9"/>
      <c r="D20" s="9" t="s">
        <v>133</v>
      </c>
      <c r="E20" s="51" t="s">
        <v>142</v>
      </c>
      <c r="F20" s="51"/>
      <c r="G20" s="52" t="s">
        <v>293</v>
      </c>
      <c r="H20" s="52" t="s">
        <v>208</v>
      </c>
      <c r="I20" s="9" t="s">
        <v>192</v>
      </c>
      <c r="J20" s="9"/>
      <c r="K20" s="9"/>
      <c r="L20" s="9" t="s">
        <v>209</v>
      </c>
      <c r="M20" s="9"/>
      <c r="N20" s="9"/>
      <c r="O20" s="9" t="s">
        <v>201</v>
      </c>
      <c r="P20" s="9" t="s">
        <v>201</v>
      </c>
      <c r="Q20" s="9"/>
      <c r="R20" s="9"/>
      <c r="S20" s="9"/>
      <c r="T20" s="42"/>
      <c r="U20" s="53"/>
      <c r="V20" s="144"/>
      <c r="W20" s="145"/>
    </row>
    <row r="21" spans="1:23" s="11" customFormat="1">
      <c r="A21" s="9">
        <v>10</v>
      </c>
      <c r="B21" s="9"/>
      <c r="C21" s="9"/>
      <c r="D21" s="9" t="s">
        <v>134</v>
      </c>
      <c r="E21" s="51" t="s">
        <v>52</v>
      </c>
      <c r="F21" s="51"/>
      <c r="G21" s="52" t="s">
        <v>294</v>
      </c>
      <c r="H21" s="52" t="s">
        <v>210</v>
      </c>
      <c r="I21" s="9" t="s">
        <v>192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2"/>
      <c r="U21" s="53"/>
      <c r="V21" s="144"/>
      <c r="W21" s="145"/>
    </row>
    <row r="22" spans="1:23" s="11" customFormat="1">
      <c r="A22" s="9">
        <v>10</v>
      </c>
      <c r="B22" s="9"/>
      <c r="C22" s="9"/>
      <c r="D22" s="9" t="s">
        <v>41</v>
      </c>
      <c r="E22" s="51" t="s">
        <v>43</v>
      </c>
      <c r="F22" s="51"/>
      <c r="G22" s="52" t="s">
        <v>295</v>
      </c>
      <c r="H22" s="52" t="s">
        <v>211</v>
      </c>
      <c r="I22" s="9" t="s">
        <v>192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2"/>
      <c r="U22" s="53"/>
      <c r="V22" s="144"/>
      <c r="W22" s="145"/>
    </row>
    <row r="23" spans="1:23" s="11" customFormat="1">
      <c r="A23" s="9">
        <v>10</v>
      </c>
      <c r="B23" s="9"/>
      <c r="C23" s="9"/>
      <c r="D23" s="9" t="s">
        <v>49</v>
      </c>
      <c r="E23" s="51" t="s">
        <v>50</v>
      </c>
      <c r="F23" s="51"/>
      <c r="G23" s="52" t="s">
        <v>296</v>
      </c>
      <c r="H23" s="52" t="s">
        <v>212</v>
      </c>
      <c r="I23" s="9" t="s">
        <v>192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2"/>
      <c r="U23" s="53"/>
      <c r="V23" s="144"/>
      <c r="W23" s="145"/>
    </row>
    <row r="24" spans="1:23" s="11" customFormat="1">
      <c r="A24" s="9">
        <v>10</v>
      </c>
      <c r="B24" s="9"/>
      <c r="C24" s="9"/>
      <c r="D24" s="9" t="s">
        <v>45</v>
      </c>
      <c r="E24" s="51" t="s">
        <v>47</v>
      </c>
      <c r="F24" s="51"/>
      <c r="G24" s="52" t="s">
        <v>297</v>
      </c>
      <c r="H24" s="52" t="s">
        <v>213</v>
      </c>
      <c r="I24" s="9" t="s">
        <v>192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3"/>
      <c r="V24" s="144"/>
      <c r="W24" s="145"/>
    </row>
    <row r="25" spans="1:23" s="11" customFormat="1">
      <c r="A25" s="9">
        <v>10</v>
      </c>
      <c r="B25" s="9"/>
      <c r="C25" s="9"/>
      <c r="D25" s="9" t="s">
        <v>74</v>
      </c>
      <c r="E25" s="51" t="s">
        <v>52</v>
      </c>
      <c r="F25" s="51"/>
      <c r="G25" s="52" t="s">
        <v>298</v>
      </c>
      <c r="H25" s="52" t="s">
        <v>214</v>
      </c>
      <c r="I25" s="9" t="s">
        <v>192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3"/>
      <c r="V25" s="144"/>
      <c r="W25" s="145"/>
    </row>
    <row r="26" spans="1:23" s="11" customFormat="1">
      <c r="A26" s="9">
        <v>10</v>
      </c>
      <c r="B26" s="9"/>
      <c r="C26" s="9"/>
      <c r="D26" s="9" t="s">
        <v>86</v>
      </c>
      <c r="E26" s="51" t="s">
        <v>87</v>
      </c>
      <c r="F26" s="51"/>
      <c r="G26" s="52" t="s">
        <v>299</v>
      </c>
      <c r="H26" s="52" t="s">
        <v>215</v>
      </c>
      <c r="I26" s="9" t="s">
        <v>192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2"/>
      <c r="U26" s="53"/>
      <c r="V26" s="144"/>
      <c r="W26" s="145"/>
    </row>
    <row r="27" spans="1:23" s="11" customFormat="1">
      <c r="A27" s="54"/>
      <c r="B27" s="55"/>
      <c r="C27" s="55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4"/>
      <c r="U27" s="4"/>
      <c r="V27" s="6"/>
      <c r="W27" s="23"/>
    </row>
    <row r="28" spans="1:23" s="11" customFormat="1">
      <c r="A28" s="78"/>
      <c r="W28" s="56"/>
    </row>
    <row r="29" spans="1:23" s="11" customFormat="1">
      <c r="A29" s="78"/>
      <c r="W29" s="56"/>
    </row>
    <row r="30" spans="1:23" s="11" customFormat="1">
      <c r="A30" s="78"/>
      <c r="W30" s="56"/>
    </row>
    <row r="31" spans="1:23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0"/>
    </row>
  </sheetData>
  <dataConsolidate/>
  <mergeCells count="15">
    <mergeCell ref="V12:W12"/>
    <mergeCell ref="V14:W14"/>
    <mergeCell ref="V15:W15"/>
    <mergeCell ref="V16:W16"/>
    <mergeCell ref="V17:W17"/>
    <mergeCell ref="V13:W13"/>
    <mergeCell ref="V22:W22"/>
    <mergeCell ref="V23:W23"/>
    <mergeCell ref="V24:W24"/>
    <mergeCell ref="V26:W26"/>
    <mergeCell ref="V18:W18"/>
    <mergeCell ref="V19:W19"/>
    <mergeCell ref="V20:W20"/>
    <mergeCell ref="V21:W21"/>
    <mergeCell ref="V25:W2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1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101</v>
      </c>
      <c r="K2" s="7" t="s">
        <v>39</v>
      </c>
      <c r="L2" s="77" t="str">
        <f>IF(LogicCommon!G2="","",LogicCommon!G2)</f>
        <v>MC</v>
      </c>
      <c r="M2" s="5" t="s">
        <v>185</v>
      </c>
      <c r="N2" s="28" t="s">
        <v>266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27"/>
      <c r="S3" s="27"/>
      <c r="T3" s="27"/>
      <c r="U3" s="27"/>
      <c r="V3" s="27"/>
    </row>
    <row r="4" spans="1:22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178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183</v>
      </c>
      <c r="B6" s="79"/>
      <c r="C6" s="79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5" t="s">
        <v>182</v>
      </c>
      <c r="M6" s="19"/>
      <c r="N6" s="19" t="s">
        <v>182</v>
      </c>
      <c r="O6" s="19"/>
      <c r="P6" s="19" t="s">
        <v>182</v>
      </c>
      <c r="Q6" s="19"/>
      <c r="R6" s="3" t="s">
        <v>182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33" t="s">
        <v>16</v>
      </c>
      <c r="L8" s="35" t="s">
        <v>268</v>
      </c>
      <c r="M8" s="33" t="s">
        <v>69</v>
      </c>
      <c r="N8" s="35" t="s">
        <v>267</v>
      </c>
      <c r="O8" s="33" t="s">
        <v>69</v>
      </c>
      <c r="P8" s="35"/>
      <c r="Q8" s="33" t="s">
        <v>69</v>
      </c>
      <c r="R8" s="35"/>
      <c r="S8" s="91"/>
      <c r="T8" s="92"/>
      <c r="U8" s="93" t="s">
        <v>283</v>
      </c>
      <c r="V8" s="53"/>
    </row>
    <row r="9" spans="1:22" s="11" customFormat="1" ht="60" customHeight="1">
      <c r="A9" s="9" t="s">
        <v>17</v>
      </c>
      <c r="B9" s="38"/>
      <c r="C9" s="39"/>
      <c r="D9" s="87" t="s">
        <v>300</v>
      </c>
      <c r="E9" s="94" t="s">
        <v>301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33"/>
      <c r="P9" s="33"/>
      <c r="Q9" s="33"/>
      <c r="R9" s="33"/>
      <c r="S9" s="93" t="s">
        <v>282</v>
      </c>
      <c r="T9" s="53"/>
      <c r="U9" s="93" t="s">
        <v>284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280</v>
      </c>
      <c r="L10" s="88" t="s">
        <v>281</v>
      </c>
      <c r="M10" s="88" t="s">
        <v>280</v>
      </c>
      <c r="N10" s="88" t="s">
        <v>281</v>
      </c>
      <c r="O10" s="88" t="s">
        <v>280</v>
      </c>
      <c r="P10" s="88" t="s">
        <v>281</v>
      </c>
      <c r="Q10" s="88" t="s">
        <v>280</v>
      </c>
      <c r="R10" s="88" t="s">
        <v>281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106</v>
      </c>
      <c r="E11" s="34" t="s">
        <v>21</v>
      </c>
      <c r="F11" s="45"/>
      <c r="G11" s="28" t="s">
        <v>84</v>
      </c>
      <c r="H11" s="46" t="s">
        <v>217</v>
      </c>
      <c r="I11" s="47"/>
      <c r="J11" s="48"/>
      <c r="K11" s="49" t="s">
        <v>21</v>
      </c>
      <c r="L11" s="49"/>
      <c r="M11" s="49" t="s">
        <v>218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 t="s">
        <v>192</v>
      </c>
      <c r="L12" s="9"/>
      <c r="M12" s="9" t="s">
        <v>193</v>
      </c>
      <c r="N12" s="9"/>
      <c r="O12" s="9"/>
      <c r="P12" s="9"/>
      <c r="Q12" s="9"/>
      <c r="R12" s="9"/>
      <c r="S12" s="42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154</v>
      </c>
      <c r="E13" s="51" t="s">
        <v>155</v>
      </c>
      <c r="F13" s="51"/>
      <c r="G13" s="52" t="s">
        <v>286</v>
      </c>
      <c r="H13" s="52" t="s">
        <v>195</v>
      </c>
      <c r="I13" s="9" t="s">
        <v>192</v>
      </c>
      <c r="J13" s="9"/>
      <c r="K13" s="9" t="s">
        <v>192</v>
      </c>
      <c r="L13" s="9"/>
      <c r="M13" s="9" t="s">
        <v>193</v>
      </c>
      <c r="N13" s="9"/>
      <c r="O13" s="9"/>
      <c r="P13" s="9"/>
      <c r="Q13" s="9"/>
      <c r="R13" s="9"/>
      <c r="S13" s="42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131</v>
      </c>
      <c r="E14" s="51" t="s">
        <v>130</v>
      </c>
      <c r="F14" s="51"/>
      <c r="G14" s="52" t="s">
        <v>287</v>
      </c>
      <c r="H14" s="52" t="s">
        <v>197</v>
      </c>
      <c r="I14" s="9" t="s">
        <v>192</v>
      </c>
      <c r="J14" s="9"/>
      <c r="K14" s="9" t="s">
        <v>192</v>
      </c>
      <c r="L14" s="9"/>
      <c r="M14" s="9" t="s">
        <v>193</v>
      </c>
      <c r="N14" s="9"/>
      <c r="O14" s="9"/>
      <c r="P14" s="9"/>
      <c r="Q14" s="9"/>
      <c r="R14" s="9"/>
      <c r="S14" s="42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117</v>
      </c>
      <c r="E15" s="51" t="s">
        <v>136</v>
      </c>
      <c r="F15" s="51"/>
      <c r="G15" s="52" t="s">
        <v>288</v>
      </c>
      <c r="H15" s="52" t="s">
        <v>199</v>
      </c>
      <c r="I15" s="9" t="s">
        <v>192</v>
      </c>
      <c r="J15" s="9"/>
      <c r="K15" s="9" t="s">
        <v>192</v>
      </c>
      <c r="L15" s="9"/>
      <c r="M15" s="9" t="s">
        <v>193</v>
      </c>
      <c r="N15" s="9"/>
      <c r="O15" s="9"/>
      <c r="P15" s="9"/>
      <c r="Q15" s="9"/>
      <c r="R15" s="9"/>
      <c r="S15" s="42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120</v>
      </c>
      <c r="E16" s="51" t="s">
        <v>138</v>
      </c>
      <c r="F16" s="51"/>
      <c r="G16" s="52" t="s">
        <v>289</v>
      </c>
      <c r="H16" s="52" t="s">
        <v>203</v>
      </c>
      <c r="I16" s="9" t="s">
        <v>192</v>
      </c>
      <c r="J16" s="9"/>
      <c r="K16" s="9" t="s">
        <v>192</v>
      </c>
      <c r="L16" s="9"/>
      <c r="M16" s="9" t="s">
        <v>193</v>
      </c>
      <c r="N16" s="9"/>
      <c r="O16" s="9"/>
      <c r="P16" s="9"/>
      <c r="Q16" s="9"/>
      <c r="R16" s="9"/>
      <c r="S16" s="42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126</v>
      </c>
      <c r="E17" s="51" t="s">
        <v>140</v>
      </c>
      <c r="F17" s="51"/>
      <c r="G17" s="52" t="s">
        <v>290</v>
      </c>
      <c r="H17" s="52" t="s">
        <v>205</v>
      </c>
      <c r="I17" s="9" t="s">
        <v>192</v>
      </c>
      <c r="J17" s="9"/>
      <c r="K17" s="9" t="s">
        <v>192</v>
      </c>
      <c r="L17" s="9"/>
      <c r="M17" s="9"/>
      <c r="N17" s="9"/>
      <c r="O17" s="9"/>
      <c r="P17" s="9"/>
      <c r="Q17" s="9"/>
      <c r="R17" s="9"/>
      <c r="S17" s="42"/>
      <c r="T17" s="53"/>
      <c r="U17" s="144"/>
      <c r="V17" s="145"/>
    </row>
    <row r="18" spans="1:22" s="11" customFormat="1" ht="26">
      <c r="A18" s="9">
        <v>10</v>
      </c>
      <c r="B18" s="9"/>
      <c r="C18" s="9"/>
      <c r="D18" s="9" t="s">
        <v>164</v>
      </c>
      <c r="E18" s="51" t="s">
        <v>138</v>
      </c>
      <c r="F18" s="51"/>
      <c r="G18" s="52" t="s">
        <v>291</v>
      </c>
      <c r="H18" s="52" t="s">
        <v>207</v>
      </c>
      <c r="I18" s="9" t="s">
        <v>192</v>
      </c>
      <c r="J18" s="9"/>
      <c r="K18" s="9" t="s">
        <v>192</v>
      </c>
      <c r="L18" s="9"/>
      <c r="M18" s="9"/>
      <c r="N18" s="9"/>
      <c r="O18" s="9"/>
      <c r="P18" s="9"/>
      <c r="Q18" s="9"/>
      <c r="R18" s="9"/>
      <c r="S18" s="42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163</v>
      </c>
      <c r="E19" s="51" t="s">
        <v>158</v>
      </c>
      <c r="F19" s="51"/>
      <c r="G19" s="52" t="s">
        <v>292</v>
      </c>
      <c r="H19" s="52" t="s">
        <v>162</v>
      </c>
      <c r="I19" s="9" t="s">
        <v>192</v>
      </c>
      <c r="J19" s="9"/>
      <c r="K19" s="9" t="s">
        <v>192</v>
      </c>
      <c r="L19" s="9"/>
      <c r="M19" s="9"/>
      <c r="N19" s="9"/>
      <c r="O19" s="9"/>
      <c r="P19" s="9"/>
      <c r="Q19" s="9"/>
      <c r="R19" s="9"/>
      <c r="S19" s="42"/>
      <c r="T19" s="53"/>
      <c r="U19" s="144"/>
      <c r="V19" s="145"/>
    </row>
    <row r="20" spans="1:22" s="11" customFormat="1" ht="26">
      <c r="A20" s="9">
        <v>10</v>
      </c>
      <c r="B20" s="9"/>
      <c r="C20" s="9"/>
      <c r="D20" s="9" t="s">
        <v>133</v>
      </c>
      <c r="E20" s="51" t="s">
        <v>142</v>
      </c>
      <c r="F20" s="51"/>
      <c r="G20" s="52" t="s">
        <v>293</v>
      </c>
      <c r="H20" s="52" t="s">
        <v>219</v>
      </c>
      <c r="I20" s="9" t="s">
        <v>192</v>
      </c>
      <c r="J20" s="9"/>
      <c r="K20" s="9" t="s">
        <v>192</v>
      </c>
      <c r="L20" s="9"/>
      <c r="M20" s="9"/>
      <c r="N20" s="9"/>
      <c r="O20" s="9"/>
      <c r="P20" s="9"/>
      <c r="Q20" s="9"/>
      <c r="R20" s="9"/>
      <c r="S20" s="42"/>
      <c r="T20" s="53"/>
      <c r="U20" s="144"/>
      <c r="V20" s="145"/>
    </row>
    <row r="21" spans="1:22" s="11" customFormat="1">
      <c r="A21" s="9">
        <v>10</v>
      </c>
      <c r="B21" s="9"/>
      <c r="C21" s="9"/>
      <c r="D21" s="9" t="s">
        <v>134</v>
      </c>
      <c r="E21" s="51" t="s">
        <v>52</v>
      </c>
      <c r="F21" s="51"/>
      <c r="G21" s="52" t="s">
        <v>294</v>
      </c>
      <c r="H21" s="52" t="s">
        <v>210</v>
      </c>
      <c r="I21" s="9" t="s">
        <v>192</v>
      </c>
      <c r="J21" s="9"/>
      <c r="K21" s="9" t="s">
        <v>192</v>
      </c>
      <c r="L21" s="9"/>
      <c r="M21" s="9"/>
      <c r="N21" s="9"/>
      <c r="O21" s="9"/>
      <c r="P21" s="9"/>
      <c r="Q21" s="9"/>
      <c r="R21" s="9"/>
      <c r="S21" s="42"/>
      <c r="T21" s="53"/>
      <c r="U21" s="144"/>
      <c r="V21" s="145"/>
    </row>
    <row r="22" spans="1:22" s="11" customFormat="1">
      <c r="A22" s="9">
        <v>10</v>
      </c>
      <c r="B22" s="9"/>
      <c r="C22" s="9"/>
      <c r="D22" s="9" t="s">
        <v>41</v>
      </c>
      <c r="E22" s="51" t="s">
        <v>43</v>
      </c>
      <c r="F22" s="51"/>
      <c r="G22" s="52" t="s">
        <v>295</v>
      </c>
      <c r="H22" s="52" t="s">
        <v>211</v>
      </c>
      <c r="I22" s="9" t="s">
        <v>192</v>
      </c>
      <c r="J22" s="9"/>
      <c r="K22" s="9" t="s">
        <v>192</v>
      </c>
      <c r="L22" s="9"/>
      <c r="M22" s="9"/>
      <c r="N22" s="9"/>
      <c r="O22" s="9"/>
      <c r="P22" s="9"/>
      <c r="Q22" s="9"/>
      <c r="R22" s="9"/>
      <c r="S22" s="42"/>
      <c r="T22" s="53"/>
      <c r="U22" s="144"/>
      <c r="V22" s="145"/>
    </row>
    <row r="23" spans="1:22" s="11" customFormat="1">
      <c r="A23" s="9">
        <v>10</v>
      </c>
      <c r="B23" s="9"/>
      <c r="C23" s="9"/>
      <c r="D23" s="9" t="s">
        <v>49</v>
      </c>
      <c r="E23" s="51" t="s">
        <v>50</v>
      </c>
      <c r="F23" s="51"/>
      <c r="G23" s="52" t="s">
        <v>296</v>
      </c>
      <c r="H23" s="52" t="s">
        <v>212</v>
      </c>
      <c r="I23" s="9" t="s">
        <v>192</v>
      </c>
      <c r="J23" s="9"/>
      <c r="K23" s="9" t="s">
        <v>192</v>
      </c>
      <c r="L23" s="9"/>
      <c r="M23" s="9"/>
      <c r="N23" s="9"/>
      <c r="O23" s="9"/>
      <c r="P23" s="9"/>
      <c r="Q23" s="9"/>
      <c r="R23" s="9"/>
      <c r="S23" s="42"/>
      <c r="T23" s="53"/>
      <c r="U23" s="144"/>
      <c r="V23" s="145"/>
    </row>
    <row r="24" spans="1:22" s="11" customFormat="1">
      <c r="A24" s="9">
        <v>10</v>
      </c>
      <c r="B24" s="9"/>
      <c r="C24" s="9"/>
      <c r="D24" s="9" t="s">
        <v>45</v>
      </c>
      <c r="E24" s="51" t="s">
        <v>47</v>
      </c>
      <c r="F24" s="51"/>
      <c r="G24" s="52" t="s">
        <v>297</v>
      </c>
      <c r="H24" s="52" t="s">
        <v>213</v>
      </c>
      <c r="I24" s="9" t="s">
        <v>192</v>
      </c>
      <c r="J24" s="9"/>
      <c r="K24" s="9" t="s">
        <v>192</v>
      </c>
      <c r="L24" s="9"/>
      <c r="M24" s="9"/>
      <c r="N24" s="9"/>
      <c r="O24" s="9"/>
      <c r="P24" s="9"/>
      <c r="Q24" s="9"/>
      <c r="R24" s="9"/>
      <c r="S24" s="42"/>
      <c r="T24" s="53"/>
      <c r="U24" s="144"/>
      <c r="V24" s="145"/>
    </row>
    <row r="25" spans="1:22" s="11" customFormat="1">
      <c r="A25" s="9">
        <v>10</v>
      </c>
      <c r="B25" s="9"/>
      <c r="C25" s="9"/>
      <c r="D25" s="9" t="s">
        <v>74</v>
      </c>
      <c r="E25" s="51" t="s">
        <v>52</v>
      </c>
      <c r="F25" s="51"/>
      <c r="G25" s="52" t="s">
        <v>298</v>
      </c>
      <c r="H25" s="52" t="s">
        <v>214</v>
      </c>
      <c r="I25" s="9" t="s">
        <v>192</v>
      </c>
      <c r="J25" s="9"/>
      <c r="K25" s="9" t="s">
        <v>192</v>
      </c>
      <c r="L25" s="9"/>
      <c r="M25" s="9"/>
      <c r="N25" s="9"/>
      <c r="O25" s="9"/>
      <c r="P25" s="9"/>
      <c r="Q25" s="9"/>
      <c r="R25" s="9"/>
      <c r="S25" s="42"/>
      <c r="T25" s="53"/>
      <c r="U25" s="144"/>
      <c r="V25" s="145"/>
    </row>
    <row r="26" spans="1:22" s="11" customFormat="1">
      <c r="A26" s="9">
        <v>10</v>
      </c>
      <c r="B26" s="9"/>
      <c r="C26" s="9"/>
      <c r="D26" s="9" t="s">
        <v>80</v>
      </c>
      <c r="E26" s="51" t="s">
        <v>81</v>
      </c>
      <c r="F26" s="51"/>
      <c r="G26" s="52" t="s">
        <v>299</v>
      </c>
      <c r="H26" s="52" t="s">
        <v>220</v>
      </c>
      <c r="I26" s="9" t="s">
        <v>192</v>
      </c>
      <c r="J26" s="9"/>
      <c r="K26" s="9" t="s">
        <v>192</v>
      </c>
      <c r="L26" s="9"/>
      <c r="M26" s="9"/>
      <c r="N26" s="9"/>
      <c r="O26" s="9"/>
      <c r="P26" s="9"/>
      <c r="Q26" s="9"/>
      <c r="R26" s="9"/>
      <c r="S26" s="42"/>
      <c r="T26" s="53"/>
      <c r="U26" s="144"/>
      <c r="V26" s="145"/>
    </row>
    <row r="27" spans="1:22" s="11" customFormat="1">
      <c r="A27" s="54"/>
      <c r="B27" s="55"/>
      <c r="C27" s="55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</row>
  </sheetData>
  <dataConsolidate/>
  <mergeCells count="15">
    <mergeCell ref="U18:V18"/>
    <mergeCell ref="U19:V19"/>
    <mergeCell ref="U20:V20"/>
    <mergeCell ref="U21:V21"/>
    <mergeCell ref="U12:V12"/>
    <mergeCell ref="U14:V14"/>
    <mergeCell ref="U15:V15"/>
    <mergeCell ref="U16:V16"/>
    <mergeCell ref="U17:V17"/>
    <mergeCell ref="U13:V13"/>
    <mergeCell ref="U23:V23"/>
    <mergeCell ref="U24:V24"/>
    <mergeCell ref="U25:V25"/>
    <mergeCell ref="U26:V26"/>
    <mergeCell ref="U22:V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100</v>
      </c>
      <c r="K2" s="7" t="s">
        <v>39</v>
      </c>
      <c r="L2" s="77" t="str">
        <f>IF(LogicCommon!G2="","",LogicCommon!G2)</f>
        <v>MC</v>
      </c>
      <c r="M2" s="5" t="s">
        <v>185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85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27"/>
      <c r="S3" s="27"/>
      <c r="T3" s="27"/>
      <c r="U3" s="27"/>
    </row>
    <row r="4" spans="1:21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176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183</v>
      </c>
      <c r="B6" s="79"/>
      <c r="C6" s="79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182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9" t="s">
        <v>93</v>
      </c>
      <c r="L8" s="9"/>
      <c r="M8" s="9"/>
      <c r="N8" s="9"/>
      <c r="O8" s="35"/>
      <c r="P8" s="33" t="s">
        <v>69</v>
      </c>
      <c r="Q8" s="35"/>
      <c r="R8" s="91"/>
      <c r="S8" s="92"/>
      <c r="T8" s="93" t="s">
        <v>283</v>
      </c>
      <c r="U8" s="53"/>
    </row>
    <row r="9" spans="1:21" s="11" customFormat="1" ht="60" customHeight="1">
      <c r="A9" s="9" t="s">
        <v>17</v>
      </c>
      <c r="B9" s="38"/>
      <c r="C9" s="39"/>
      <c r="D9" s="87" t="s">
        <v>300</v>
      </c>
      <c r="E9" s="94" t="s">
        <v>301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33"/>
      <c r="P9" s="33"/>
      <c r="Q9" s="33"/>
      <c r="R9" s="93" t="s">
        <v>282</v>
      </c>
      <c r="S9" s="53"/>
      <c r="T9" s="93" t="s">
        <v>284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280</v>
      </c>
      <c r="Q10" s="88" t="s">
        <v>281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107</v>
      </c>
      <c r="E11" s="34" t="s">
        <v>66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 t="s">
        <v>193</v>
      </c>
      <c r="L12" s="9"/>
      <c r="M12" s="9"/>
      <c r="N12" s="9"/>
      <c r="O12" s="9"/>
      <c r="P12" s="9"/>
      <c r="Q12" s="9"/>
      <c r="R12" s="42"/>
      <c r="S12" s="53"/>
      <c r="T12" s="144"/>
      <c r="U12" s="145"/>
    </row>
    <row r="13" spans="1:21" s="11" customFormat="1">
      <c r="A13" s="9">
        <v>10</v>
      </c>
      <c r="B13" s="9"/>
      <c r="C13" s="9"/>
      <c r="D13" s="9" t="s">
        <v>154</v>
      </c>
      <c r="E13" s="51" t="s">
        <v>155</v>
      </c>
      <c r="F13" s="51"/>
      <c r="G13" s="52" t="s">
        <v>286</v>
      </c>
      <c r="H13" s="52" t="s">
        <v>195</v>
      </c>
      <c r="I13" s="9" t="s">
        <v>192</v>
      </c>
      <c r="J13" s="9"/>
      <c r="K13" s="9" t="s">
        <v>193</v>
      </c>
      <c r="L13" s="9"/>
      <c r="M13" s="9"/>
      <c r="N13" s="9"/>
      <c r="O13" s="9"/>
      <c r="P13" s="9"/>
      <c r="Q13" s="9"/>
      <c r="R13" s="42"/>
      <c r="S13" s="53"/>
      <c r="T13" s="144"/>
      <c r="U13" s="145"/>
    </row>
    <row r="14" spans="1:21" s="11" customFormat="1">
      <c r="A14" s="9">
        <v>10</v>
      </c>
      <c r="B14" s="9"/>
      <c r="C14" s="9"/>
      <c r="D14" s="9" t="s">
        <v>131</v>
      </c>
      <c r="E14" s="51" t="s">
        <v>130</v>
      </c>
      <c r="F14" s="51"/>
      <c r="G14" s="52" t="s">
        <v>287</v>
      </c>
      <c r="H14" s="52" t="s">
        <v>197</v>
      </c>
      <c r="I14" s="9" t="s">
        <v>192</v>
      </c>
      <c r="J14" s="9"/>
      <c r="K14" s="9" t="s">
        <v>193</v>
      </c>
      <c r="L14" s="9"/>
      <c r="M14" s="9"/>
      <c r="N14" s="9"/>
      <c r="O14" s="9"/>
      <c r="P14" s="9"/>
      <c r="Q14" s="9"/>
      <c r="R14" s="42"/>
      <c r="S14" s="53"/>
      <c r="T14" s="144"/>
      <c r="U14" s="145"/>
    </row>
    <row r="15" spans="1:21" s="11" customFormat="1">
      <c r="A15" s="9">
        <v>10</v>
      </c>
      <c r="B15" s="9"/>
      <c r="C15" s="9"/>
      <c r="D15" s="9" t="s">
        <v>117</v>
      </c>
      <c r="E15" s="51" t="s">
        <v>136</v>
      </c>
      <c r="F15" s="51"/>
      <c r="G15" s="52" t="s">
        <v>288</v>
      </c>
      <c r="H15" s="52" t="s">
        <v>199</v>
      </c>
      <c r="I15" s="9" t="s">
        <v>192</v>
      </c>
      <c r="J15" s="9"/>
      <c r="K15" s="9" t="s">
        <v>193</v>
      </c>
      <c r="L15" s="9"/>
      <c r="M15" s="9"/>
      <c r="N15" s="9"/>
      <c r="O15" s="9"/>
      <c r="P15" s="9"/>
      <c r="Q15" s="9"/>
      <c r="R15" s="42"/>
      <c r="S15" s="53"/>
      <c r="T15" s="144"/>
      <c r="U15" s="145"/>
    </row>
    <row r="16" spans="1:21" s="11" customFormat="1">
      <c r="A16" s="9">
        <v>10</v>
      </c>
      <c r="B16" s="9"/>
      <c r="C16" s="9"/>
      <c r="D16" s="9" t="s">
        <v>120</v>
      </c>
      <c r="E16" s="51" t="s">
        <v>138</v>
      </c>
      <c r="F16" s="51"/>
      <c r="G16" s="52" t="s">
        <v>289</v>
      </c>
      <c r="H16" s="52" t="s">
        <v>203</v>
      </c>
      <c r="I16" s="9" t="s">
        <v>192</v>
      </c>
      <c r="J16" s="9"/>
      <c r="K16" s="9" t="s">
        <v>193</v>
      </c>
      <c r="L16" s="9"/>
      <c r="M16" s="9"/>
      <c r="N16" s="9"/>
      <c r="O16" s="9"/>
      <c r="P16" s="9"/>
      <c r="Q16" s="9"/>
      <c r="R16" s="42"/>
      <c r="S16" s="53"/>
      <c r="T16" s="144"/>
      <c r="U16" s="145"/>
    </row>
    <row r="17" spans="1:21" s="11" customFormat="1">
      <c r="A17" s="9">
        <v>10</v>
      </c>
      <c r="B17" s="9"/>
      <c r="C17" s="9"/>
      <c r="D17" s="9" t="s">
        <v>80</v>
      </c>
      <c r="E17" s="51" t="s">
        <v>81</v>
      </c>
      <c r="F17" s="51"/>
      <c r="G17" s="52" t="s">
        <v>299</v>
      </c>
      <c r="H17" s="52" t="s">
        <v>215</v>
      </c>
      <c r="I17" s="9" t="s">
        <v>192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4"/>
      <c r="U17" s="145"/>
    </row>
    <row r="18" spans="1:21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6"/>
      <c r="U18" s="23"/>
    </row>
    <row r="19" spans="1:21" s="11" customFormat="1">
      <c r="A19" s="78"/>
      <c r="U19" s="56"/>
    </row>
    <row r="20" spans="1:21" s="11" customFormat="1">
      <c r="A20" s="78"/>
      <c r="U20" s="56"/>
    </row>
    <row r="21" spans="1:21" s="11" customFormat="1">
      <c r="A21" s="78"/>
      <c r="U21" s="56"/>
    </row>
    <row r="22" spans="1:21" s="11" customFormat="1">
      <c r="A22" s="8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6">
    <mergeCell ref="T12:U12"/>
    <mergeCell ref="T17:U17"/>
    <mergeCell ref="T13:U13"/>
    <mergeCell ref="T14:U14"/>
    <mergeCell ref="T15:U15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6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102</v>
      </c>
      <c r="K2" s="7" t="s">
        <v>39</v>
      </c>
      <c r="L2" s="77" t="str">
        <f>IF(LogicCommon!G2="","",LogicCommon!G2)</f>
        <v>MC</v>
      </c>
      <c r="M2" s="5" t="s">
        <v>185</v>
      </c>
      <c r="N2" s="28" t="s">
        <v>269</v>
      </c>
      <c r="O2" s="7"/>
      <c r="P2" s="7"/>
      <c r="Q2" s="4"/>
      <c r="R2" s="27"/>
    </row>
    <row r="3" spans="1:18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27"/>
    </row>
    <row r="4" spans="1:18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174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183</v>
      </c>
      <c r="B6" s="79"/>
      <c r="C6" s="79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5" t="s">
        <v>182</v>
      </c>
      <c r="M6" s="19"/>
      <c r="N6" s="19" t="s">
        <v>182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33" t="s">
        <v>16</v>
      </c>
      <c r="L8" s="35" t="s">
        <v>267</v>
      </c>
      <c r="M8" s="33" t="s">
        <v>16</v>
      </c>
      <c r="N8" s="35"/>
      <c r="O8" s="91"/>
      <c r="P8" s="92"/>
      <c r="Q8" s="93" t="s">
        <v>283</v>
      </c>
      <c r="R8" s="53"/>
    </row>
    <row r="9" spans="1:18" s="11" customFormat="1" ht="60" customHeight="1">
      <c r="A9" s="9" t="s">
        <v>17</v>
      </c>
      <c r="B9" s="38"/>
      <c r="C9" s="39"/>
      <c r="D9" s="87" t="s">
        <v>300</v>
      </c>
      <c r="E9" s="94" t="s">
        <v>301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93" t="s">
        <v>282</v>
      </c>
      <c r="P9" s="53"/>
      <c r="Q9" s="93" t="s">
        <v>284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280</v>
      </c>
      <c r="L10" s="88" t="s">
        <v>281</v>
      </c>
      <c r="M10" s="88" t="s">
        <v>280</v>
      </c>
      <c r="N10" s="88" t="s">
        <v>281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108</v>
      </c>
      <c r="E11" s="34" t="s">
        <v>66</v>
      </c>
      <c r="F11" s="45"/>
      <c r="G11" s="28" t="s">
        <v>84</v>
      </c>
      <c r="H11" s="46" t="s">
        <v>221</v>
      </c>
      <c r="I11" s="47"/>
      <c r="J11" s="48"/>
      <c r="K11" s="49" t="s">
        <v>218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 t="s">
        <v>193</v>
      </c>
      <c r="L12" s="9"/>
      <c r="M12" s="9"/>
      <c r="N12" s="9"/>
      <c r="O12" s="42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154</v>
      </c>
      <c r="E13" s="51" t="s">
        <v>155</v>
      </c>
      <c r="F13" s="51"/>
      <c r="G13" s="52" t="s">
        <v>286</v>
      </c>
      <c r="H13" s="52" t="s">
        <v>195</v>
      </c>
      <c r="I13" s="9" t="s">
        <v>192</v>
      </c>
      <c r="J13" s="9"/>
      <c r="K13" s="9" t="s">
        <v>193</v>
      </c>
      <c r="L13" s="9"/>
      <c r="M13" s="9"/>
      <c r="N13" s="9"/>
      <c r="O13" s="42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131</v>
      </c>
      <c r="E14" s="51" t="s">
        <v>130</v>
      </c>
      <c r="F14" s="51"/>
      <c r="G14" s="52" t="s">
        <v>287</v>
      </c>
      <c r="H14" s="52" t="s">
        <v>197</v>
      </c>
      <c r="I14" s="9" t="s">
        <v>192</v>
      </c>
      <c r="J14" s="9"/>
      <c r="K14" s="9" t="s">
        <v>193</v>
      </c>
      <c r="L14" s="9"/>
      <c r="M14" s="9"/>
      <c r="N14" s="9"/>
      <c r="O14" s="42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117</v>
      </c>
      <c r="E15" s="51" t="s">
        <v>136</v>
      </c>
      <c r="F15" s="51"/>
      <c r="G15" s="52" t="s">
        <v>288</v>
      </c>
      <c r="H15" s="52" t="s">
        <v>199</v>
      </c>
      <c r="I15" s="9" t="s">
        <v>192</v>
      </c>
      <c r="J15" s="9"/>
      <c r="K15" s="9" t="s">
        <v>193</v>
      </c>
      <c r="L15" s="9"/>
      <c r="M15" s="9"/>
      <c r="N15" s="9"/>
      <c r="O15" s="42"/>
      <c r="P15" s="53"/>
      <c r="Q15" s="144"/>
      <c r="R15" s="145"/>
    </row>
    <row r="16" spans="1:18" s="11" customFormat="1">
      <c r="A16" s="9">
        <v>10</v>
      </c>
      <c r="B16" s="9"/>
      <c r="C16" s="9"/>
      <c r="D16" s="9" t="s">
        <v>120</v>
      </c>
      <c r="E16" s="51" t="s">
        <v>138</v>
      </c>
      <c r="F16" s="51"/>
      <c r="G16" s="52" t="s">
        <v>289</v>
      </c>
      <c r="H16" s="52" t="s">
        <v>203</v>
      </c>
      <c r="I16" s="9" t="s">
        <v>192</v>
      </c>
      <c r="J16" s="9"/>
      <c r="K16" s="9" t="s">
        <v>193</v>
      </c>
      <c r="L16" s="9"/>
      <c r="M16" s="9"/>
      <c r="N16" s="9"/>
      <c r="O16" s="42"/>
      <c r="P16" s="53"/>
      <c r="Q16" s="144"/>
      <c r="R16" s="145"/>
    </row>
    <row r="17" spans="1:18" s="11" customFormat="1">
      <c r="A17" s="9">
        <v>10</v>
      </c>
      <c r="B17" s="9"/>
      <c r="C17" s="9"/>
      <c r="D17" s="9" t="s">
        <v>80</v>
      </c>
      <c r="E17" s="51" t="s">
        <v>81</v>
      </c>
      <c r="F17" s="51"/>
      <c r="G17" s="52" t="s">
        <v>299</v>
      </c>
      <c r="H17" s="52" t="s">
        <v>220</v>
      </c>
      <c r="I17" s="9" t="s">
        <v>192</v>
      </c>
      <c r="J17" s="9"/>
      <c r="K17" s="9" t="s">
        <v>192</v>
      </c>
      <c r="L17" s="9"/>
      <c r="M17" s="9"/>
      <c r="N17" s="9"/>
      <c r="O17" s="44"/>
      <c r="P17" s="37"/>
      <c r="Q17" s="72"/>
      <c r="R17" s="50"/>
    </row>
    <row r="18" spans="1:18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8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5">
    <mergeCell ref="Q12:R12"/>
    <mergeCell ref="Q14:R14"/>
    <mergeCell ref="Q15:R15"/>
    <mergeCell ref="Q16:R16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96</v>
      </c>
      <c r="K2" s="7" t="s">
        <v>39</v>
      </c>
      <c r="L2" s="77" t="str">
        <f>IF(LogicCommon!G2="","",LogicCommon!G2)</f>
        <v>MC</v>
      </c>
      <c r="M2" s="5" t="s">
        <v>185</v>
      </c>
      <c r="N2" s="28" t="s">
        <v>270</v>
      </c>
      <c r="O2" s="7"/>
      <c r="P2" s="7"/>
      <c r="Q2" s="4"/>
      <c r="R2" s="4"/>
    </row>
    <row r="3" spans="1:18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4"/>
    </row>
    <row r="4" spans="1:18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183</v>
      </c>
      <c r="B6" s="79"/>
      <c r="C6" s="79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5" t="s">
        <v>182</v>
      </c>
      <c r="M6" s="19"/>
      <c r="N6" s="19" t="s">
        <v>182</v>
      </c>
      <c r="O6" s="19"/>
      <c r="P6" s="19"/>
      <c r="Q6" s="19"/>
      <c r="R6" s="1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33" t="s">
        <v>16</v>
      </c>
      <c r="L8" s="35" t="s">
        <v>267</v>
      </c>
      <c r="M8" s="33" t="s">
        <v>16</v>
      </c>
      <c r="N8" s="35"/>
      <c r="O8" s="91"/>
      <c r="P8" s="92"/>
      <c r="Q8" s="93" t="s">
        <v>283</v>
      </c>
      <c r="R8" s="53"/>
    </row>
    <row r="9" spans="1:18" s="11" customFormat="1" ht="60" customHeight="1">
      <c r="A9" s="9" t="s">
        <v>17</v>
      </c>
      <c r="B9" s="38"/>
      <c r="C9" s="39"/>
      <c r="D9" s="87" t="s">
        <v>300</v>
      </c>
      <c r="E9" s="94" t="s">
        <v>301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93" t="s">
        <v>282</v>
      </c>
      <c r="P9" s="53"/>
      <c r="Q9" s="93" t="s">
        <v>284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280</v>
      </c>
      <c r="L10" s="88" t="s">
        <v>281</v>
      </c>
      <c r="M10" s="88" t="s">
        <v>280</v>
      </c>
      <c r="N10" s="88" t="s">
        <v>281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/>
      <c r="L12" s="9"/>
      <c r="M12" s="9"/>
      <c r="N12" s="9"/>
      <c r="O12" s="57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114</v>
      </c>
      <c r="E13" s="51" t="s">
        <v>129</v>
      </c>
      <c r="F13" s="51"/>
      <c r="G13" s="52" t="s">
        <v>302</v>
      </c>
      <c r="H13" s="52" t="s">
        <v>222</v>
      </c>
      <c r="I13" s="9" t="s">
        <v>192</v>
      </c>
      <c r="J13" s="9"/>
      <c r="K13" s="9"/>
      <c r="L13" s="9"/>
      <c r="M13" s="9"/>
      <c r="N13" s="9"/>
      <c r="O13" s="57"/>
      <c r="P13" s="53"/>
      <c r="Q13" s="144"/>
      <c r="R13" s="145"/>
    </row>
    <row r="14" spans="1:18" s="11" customFormat="1" ht="26">
      <c r="A14" s="9">
        <v>10</v>
      </c>
      <c r="B14" s="9"/>
      <c r="C14" s="9"/>
      <c r="D14" s="9" t="s">
        <v>156</v>
      </c>
      <c r="E14" s="51" t="s">
        <v>158</v>
      </c>
      <c r="F14" s="51"/>
      <c r="G14" s="52" t="s">
        <v>286</v>
      </c>
      <c r="H14" s="52" t="s">
        <v>160</v>
      </c>
      <c r="I14" s="9" t="s">
        <v>192</v>
      </c>
      <c r="J14" s="9"/>
      <c r="K14" s="9"/>
      <c r="L14" s="9"/>
      <c r="M14" s="9"/>
      <c r="N14" s="9"/>
      <c r="O14" s="57"/>
      <c r="P14" s="53"/>
      <c r="Q14" s="144"/>
      <c r="R14" s="145"/>
    </row>
    <row r="15" spans="1:18" s="11" customFormat="1" ht="26">
      <c r="A15" s="9">
        <v>10</v>
      </c>
      <c r="B15" s="9"/>
      <c r="C15" s="9"/>
      <c r="D15" s="9" t="s">
        <v>157</v>
      </c>
      <c r="E15" s="51" t="s">
        <v>159</v>
      </c>
      <c r="F15" s="51"/>
      <c r="G15" s="52" t="s">
        <v>303</v>
      </c>
      <c r="H15" s="52" t="s">
        <v>223</v>
      </c>
      <c r="I15" s="9" t="s">
        <v>192</v>
      </c>
      <c r="J15" s="9"/>
      <c r="K15" s="9"/>
      <c r="L15" s="9"/>
      <c r="M15" s="9"/>
      <c r="N15" s="9"/>
      <c r="O15" s="57"/>
      <c r="P15" s="53"/>
      <c r="Q15" s="144"/>
      <c r="R15" s="145"/>
    </row>
    <row r="16" spans="1:18" s="11" customFormat="1">
      <c r="A16" s="9">
        <v>10</v>
      </c>
      <c r="B16" s="9"/>
      <c r="C16" s="9"/>
      <c r="D16" s="9" t="s">
        <v>115</v>
      </c>
      <c r="E16" s="51" t="s">
        <v>130</v>
      </c>
      <c r="F16" s="51"/>
      <c r="G16" s="52" t="s">
        <v>304</v>
      </c>
      <c r="H16" s="52" t="s">
        <v>224</v>
      </c>
      <c r="I16" s="9" t="s">
        <v>192</v>
      </c>
      <c r="J16" s="9"/>
      <c r="K16" s="9"/>
      <c r="L16" s="9"/>
      <c r="M16" s="9"/>
      <c r="N16" s="9"/>
      <c r="O16" s="57"/>
      <c r="P16" s="53"/>
      <c r="Q16" s="72"/>
      <c r="R16" s="73"/>
    </row>
    <row r="17" spans="1:18" s="11" customFormat="1">
      <c r="A17" s="9">
        <v>10</v>
      </c>
      <c r="B17" s="9"/>
      <c r="C17" s="9"/>
      <c r="D17" s="9" t="s">
        <v>116</v>
      </c>
      <c r="E17" s="51" t="s">
        <v>130</v>
      </c>
      <c r="F17" s="51"/>
      <c r="G17" s="52" t="s">
        <v>305</v>
      </c>
      <c r="H17" s="52" t="s">
        <v>225</v>
      </c>
      <c r="I17" s="9" t="s">
        <v>192</v>
      </c>
      <c r="J17" s="9"/>
      <c r="K17" s="9"/>
      <c r="L17" s="9"/>
      <c r="M17" s="9"/>
      <c r="N17" s="9"/>
      <c r="O17" s="57"/>
      <c r="P17" s="53"/>
      <c r="Q17" s="72"/>
      <c r="R17" s="73"/>
    </row>
    <row r="18" spans="1:18" s="11" customFormat="1">
      <c r="A18" s="9">
        <v>10</v>
      </c>
      <c r="B18" s="9"/>
      <c r="C18" s="9"/>
      <c r="D18" s="9" t="s">
        <v>117</v>
      </c>
      <c r="E18" s="51" t="s">
        <v>136</v>
      </c>
      <c r="F18" s="51"/>
      <c r="G18" s="52" t="s">
        <v>288</v>
      </c>
      <c r="H18" s="52" t="s">
        <v>199</v>
      </c>
      <c r="I18" s="9" t="s">
        <v>192</v>
      </c>
      <c r="J18" s="9"/>
      <c r="K18" s="9"/>
      <c r="L18" s="9"/>
      <c r="M18" s="9"/>
      <c r="N18" s="9"/>
      <c r="O18" s="57"/>
      <c r="P18" s="53"/>
      <c r="Q18" s="72"/>
      <c r="R18" s="73"/>
    </row>
    <row r="19" spans="1:18" s="11" customFormat="1">
      <c r="A19" s="9">
        <v>10</v>
      </c>
      <c r="B19" s="9"/>
      <c r="C19" s="9"/>
      <c r="D19" s="9" t="s">
        <v>118</v>
      </c>
      <c r="E19" s="51" t="s">
        <v>137</v>
      </c>
      <c r="F19" s="51"/>
      <c r="G19" s="52" t="s">
        <v>306</v>
      </c>
      <c r="H19" s="52" t="s">
        <v>226</v>
      </c>
      <c r="I19" s="9" t="s">
        <v>192</v>
      </c>
      <c r="J19" s="9"/>
      <c r="K19" s="9"/>
      <c r="L19" s="9"/>
      <c r="M19" s="9"/>
      <c r="N19" s="9"/>
      <c r="O19" s="57"/>
      <c r="P19" s="53"/>
      <c r="Q19" s="72"/>
      <c r="R19" s="73"/>
    </row>
    <row r="20" spans="1:18" s="11" customFormat="1">
      <c r="A20" s="9">
        <v>10</v>
      </c>
      <c r="B20" s="9"/>
      <c r="C20" s="9"/>
      <c r="D20" s="9" t="s">
        <v>119</v>
      </c>
      <c r="E20" s="51" t="s">
        <v>52</v>
      </c>
      <c r="F20" s="51"/>
      <c r="G20" s="52" t="s">
        <v>307</v>
      </c>
      <c r="H20" s="52" t="s">
        <v>227</v>
      </c>
      <c r="I20" s="9" t="s">
        <v>192</v>
      </c>
      <c r="J20" s="9"/>
      <c r="K20" s="9"/>
      <c r="L20" s="9"/>
      <c r="M20" s="9"/>
      <c r="N20" s="9"/>
      <c r="O20" s="57"/>
      <c r="P20" s="53"/>
      <c r="Q20" s="72"/>
      <c r="R20" s="73"/>
    </row>
    <row r="21" spans="1:18" s="11" customFormat="1">
      <c r="A21" s="9">
        <v>10</v>
      </c>
      <c r="B21" s="9"/>
      <c r="C21" s="9"/>
      <c r="D21" s="9" t="s">
        <v>120</v>
      </c>
      <c r="E21" s="51" t="s">
        <v>138</v>
      </c>
      <c r="F21" s="51"/>
      <c r="G21" s="52" t="s">
        <v>289</v>
      </c>
      <c r="H21" s="52" t="s">
        <v>203</v>
      </c>
      <c r="I21" s="9" t="s">
        <v>192</v>
      </c>
      <c r="J21" s="9"/>
      <c r="K21" s="9"/>
      <c r="L21" s="9"/>
      <c r="M21" s="9"/>
      <c r="N21" s="9"/>
      <c r="O21" s="57"/>
      <c r="P21" s="53"/>
      <c r="Q21" s="72"/>
      <c r="R21" s="73"/>
    </row>
    <row r="22" spans="1:18" s="11" customFormat="1">
      <c r="A22" s="9">
        <v>10</v>
      </c>
      <c r="B22" s="9"/>
      <c r="C22" s="9"/>
      <c r="D22" s="9" t="s">
        <v>121</v>
      </c>
      <c r="E22" s="51" t="s">
        <v>139</v>
      </c>
      <c r="F22" s="51"/>
      <c r="G22" s="52" t="s">
        <v>308</v>
      </c>
      <c r="H22" s="52" t="s">
        <v>228</v>
      </c>
      <c r="I22" s="9" t="s">
        <v>192</v>
      </c>
      <c r="J22" s="9"/>
      <c r="K22" s="9"/>
      <c r="L22" s="9"/>
      <c r="M22" s="9"/>
      <c r="N22" s="9"/>
      <c r="O22" s="57"/>
      <c r="P22" s="53"/>
      <c r="Q22" s="72"/>
      <c r="R22" s="73"/>
    </row>
    <row r="23" spans="1:18" s="11" customFormat="1">
      <c r="A23" s="9">
        <v>10</v>
      </c>
      <c r="B23" s="9"/>
      <c r="C23" s="9"/>
      <c r="D23" s="9" t="s">
        <v>122</v>
      </c>
      <c r="E23" s="51" t="s">
        <v>52</v>
      </c>
      <c r="F23" s="51"/>
      <c r="G23" s="52" t="s">
        <v>307</v>
      </c>
      <c r="H23" s="52" t="s">
        <v>227</v>
      </c>
      <c r="I23" s="9" t="s">
        <v>192</v>
      </c>
      <c r="J23" s="9"/>
      <c r="K23" s="9"/>
      <c r="L23" s="9"/>
      <c r="M23" s="9"/>
      <c r="N23" s="9"/>
      <c r="O23" s="57"/>
      <c r="P23" s="53"/>
      <c r="Q23" s="72"/>
      <c r="R23" s="73"/>
    </row>
    <row r="24" spans="1:18" s="11" customFormat="1" ht="26">
      <c r="A24" s="9">
        <v>10</v>
      </c>
      <c r="B24" s="9"/>
      <c r="C24" s="9"/>
      <c r="D24" s="9" t="s">
        <v>123</v>
      </c>
      <c r="E24" s="51" t="s">
        <v>144</v>
      </c>
      <c r="F24" s="51"/>
      <c r="G24" s="52" t="s">
        <v>309</v>
      </c>
      <c r="H24" s="52" t="s">
        <v>229</v>
      </c>
      <c r="I24" s="9" t="s">
        <v>192</v>
      </c>
      <c r="J24" s="9"/>
      <c r="K24" s="9"/>
      <c r="L24" s="9"/>
      <c r="M24" s="9"/>
      <c r="N24" s="9"/>
      <c r="O24" s="57"/>
      <c r="P24" s="53"/>
      <c r="Q24" s="72"/>
      <c r="R24" s="73"/>
    </row>
    <row r="25" spans="1:18" s="11" customFormat="1" ht="26">
      <c r="A25" s="9">
        <v>10</v>
      </c>
      <c r="B25" s="9"/>
      <c r="C25" s="9"/>
      <c r="D25" s="9" t="s">
        <v>124</v>
      </c>
      <c r="E25" s="51" t="s">
        <v>144</v>
      </c>
      <c r="F25" s="51"/>
      <c r="G25" s="52" t="s">
        <v>310</v>
      </c>
      <c r="H25" s="52" t="s">
        <v>230</v>
      </c>
      <c r="I25" s="9" t="s">
        <v>192</v>
      </c>
      <c r="J25" s="9"/>
      <c r="K25" s="9"/>
      <c r="L25" s="9"/>
      <c r="M25" s="9"/>
      <c r="N25" s="9"/>
      <c r="O25" s="57"/>
      <c r="P25" s="53"/>
      <c r="Q25" s="72"/>
      <c r="R25" s="73"/>
    </row>
    <row r="26" spans="1:18" s="11" customFormat="1" ht="26">
      <c r="A26" s="9">
        <v>10</v>
      </c>
      <c r="B26" s="9"/>
      <c r="C26" s="9"/>
      <c r="D26" s="9" t="s">
        <v>125</v>
      </c>
      <c r="E26" s="51" t="s">
        <v>144</v>
      </c>
      <c r="F26" s="51"/>
      <c r="G26" s="52" t="s">
        <v>311</v>
      </c>
      <c r="H26" s="52" t="s">
        <v>231</v>
      </c>
      <c r="I26" s="9" t="s">
        <v>192</v>
      </c>
      <c r="J26" s="9"/>
      <c r="K26" s="9"/>
      <c r="L26" s="9"/>
      <c r="M26" s="9"/>
      <c r="N26" s="9"/>
      <c r="O26" s="57"/>
      <c r="P26" s="53"/>
      <c r="Q26" s="72"/>
      <c r="R26" s="73"/>
    </row>
    <row r="27" spans="1:18" s="11" customFormat="1">
      <c r="A27" s="9">
        <v>10</v>
      </c>
      <c r="B27" s="9"/>
      <c r="C27" s="9"/>
      <c r="D27" s="9" t="s">
        <v>126</v>
      </c>
      <c r="E27" s="51" t="s">
        <v>140</v>
      </c>
      <c r="F27" s="51"/>
      <c r="G27" s="52" t="s">
        <v>290</v>
      </c>
      <c r="H27" s="52" t="s">
        <v>205</v>
      </c>
      <c r="I27" s="9" t="s">
        <v>192</v>
      </c>
      <c r="J27" s="9"/>
      <c r="K27" s="9"/>
      <c r="L27" s="9"/>
      <c r="M27" s="9"/>
      <c r="N27" s="9"/>
      <c r="O27" s="57"/>
      <c r="P27" s="53"/>
      <c r="Q27" s="72"/>
      <c r="R27" s="73"/>
    </row>
    <row r="28" spans="1:18" s="11" customFormat="1">
      <c r="A28" s="9">
        <v>10</v>
      </c>
      <c r="B28" s="9"/>
      <c r="C28" s="9"/>
      <c r="D28" s="9" t="s">
        <v>127</v>
      </c>
      <c r="E28" s="51" t="s">
        <v>141</v>
      </c>
      <c r="F28" s="51"/>
      <c r="G28" s="52" t="s">
        <v>312</v>
      </c>
      <c r="H28" s="52" t="s">
        <v>232</v>
      </c>
      <c r="I28" s="9" t="s">
        <v>192</v>
      </c>
      <c r="J28" s="9"/>
      <c r="K28" s="9"/>
      <c r="L28" s="9"/>
      <c r="M28" s="9"/>
      <c r="N28" s="9"/>
      <c r="O28" s="57"/>
      <c r="P28" s="53"/>
      <c r="Q28" s="72"/>
      <c r="R28" s="73"/>
    </row>
    <row r="29" spans="1:18" s="11" customFormat="1" ht="26">
      <c r="A29" s="9">
        <v>10</v>
      </c>
      <c r="B29" s="9"/>
      <c r="C29" s="9"/>
      <c r="D29" s="9" t="s">
        <v>72</v>
      </c>
      <c r="E29" s="51" t="s">
        <v>63</v>
      </c>
      <c r="F29" s="51"/>
      <c r="G29" s="52" t="s">
        <v>313</v>
      </c>
      <c r="H29" s="52" t="s">
        <v>233</v>
      </c>
      <c r="I29" s="9" t="s">
        <v>192</v>
      </c>
      <c r="J29" s="9"/>
      <c r="K29" s="9"/>
      <c r="L29" s="9"/>
      <c r="M29" s="9"/>
      <c r="N29" s="9"/>
      <c r="O29" s="57"/>
      <c r="P29" s="53"/>
      <c r="Q29" s="144"/>
      <c r="R29" s="145"/>
    </row>
    <row r="30" spans="1:18" s="11" customFormat="1" ht="26">
      <c r="A30" s="9">
        <v>10</v>
      </c>
      <c r="B30" s="9"/>
      <c r="C30" s="9"/>
      <c r="D30" s="9" t="s">
        <v>73</v>
      </c>
      <c r="E30" s="51" t="s">
        <v>53</v>
      </c>
      <c r="F30" s="51"/>
      <c r="G30" s="52" t="s">
        <v>314</v>
      </c>
      <c r="H30" s="52" t="s">
        <v>234</v>
      </c>
      <c r="I30" s="9" t="s">
        <v>192</v>
      </c>
      <c r="J30" s="9"/>
      <c r="K30" s="9"/>
      <c r="L30" s="9"/>
      <c r="M30" s="9"/>
      <c r="N30" s="9"/>
      <c r="O30" s="58"/>
      <c r="P30" s="59"/>
      <c r="Q30" s="146"/>
      <c r="R30" s="145"/>
    </row>
    <row r="31" spans="1:18" s="11" customFormat="1">
      <c r="A31" s="9">
        <v>10</v>
      </c>
      <c r="B31" s="9"/>
      <c r="C31" s="9"/>
      <c r="D31" s="9" t="s">
        <v>42</v>
      </c>
      <c r="E31" s="51" t="s">
        <v>44</v>
      </c>
      <c r="F31" s="51"/>
      <c r="G31" s="52" t="s">
        <v>295</v>
      </c>
      <c r="H31" s="52" t="s">
        <v>211</v>
      </c>
      <c r="I31" s="9" t="s">
        <v>192</v>
      </c>
      <c r="J31" s="9"/>
      <c r="K31" s="9"/>
      <c r="L31" s="9"/>
      <c r="M31" s="9"/>
      <c r="N31" s="9"/>
      <c r="O31" s="57"/>
      <c r="P31" s="53"/>
      <c r="Q31" s="144"/>
      <c r="R31" s="145"/>
    </row>
    <row r="32" spans="1:18" s="11" customFormat="1">
      <c r="A32" s="9">
        <v>10</v>
      </c>
      <c r="B32" s="9"/>
      <c r="C32" s="9"/>
      <c r="D32" s="9" t="s">
        <v>252</v>
      </c>
      <c r="E32" s="51" t="s">
        <v>253</v>
      </c>
      <c r="F32" s="51"/>
      <c r="G32" s="52" t="s">
        <v>296</v>
      </c>
      <c r="H32" s="52" t="s">
        <v>212</v>
      </c>
      <c r="I32" s="9" t="s">
        <v>192</v>
      </c>
      <c r="J32" s="9"/>
      <c r="K32" s="9"/>
      <c r="L32" s="9"/>
      <c r="M32" s="9"/>
      <c r="N32" s="9"/>
      <c r="O32" s="58"/>
      <c r="P32" s="59"/>
      <c r="Q32" s="146"/>
      <c r="R32" s="145"/>
    </row>
    <row r="33" spans="1:18" s="11" customFormat="1">
      <c r="A33" s="9">
        <v>10</v>
      </c>
      <c r="B33" s="9"/>
      <c r="C33" s="9"/>
      <c r="D33" s="9" t="s">
        <v>46</v>
      </c>
      <c r="E33" s="51" t="s">
        <v>48</v>
      </c>
      <c r="F33" s="51"/>
      <c r="G33" s="52" t="s">
        <v>297</v>
      </c>
      <c r="H33" s="52" t="s">
        <v>213</v>
      </c>
      <c r="I33" s="9" t="s">
        <v>192</v>
      </c>
      <c r="J33" s="9"/>
      <c r="K33" s="9"/>
      <c r="L33" s="9"/>
      <c r="M33" s="9"/>
      <c r="N33" s="9"/>
      <c r="O33" s="58"/>
      <c r="P33" s="59"/>
      <c r="Q33" s="146"/>
      <c r="R33" s="145"/>
    </row>
    <row r="34" spans="1:18" s="11" customFormat="1">
      <c r="A34" s="78"/>
      <c r="R34" s="56"/>
    </row>
    <row r="35" spans="1:18" s="11" customFormat="1">
      <c r="A35" s="9">
        <v>20</v>
      </c>
      <c r="B35" s="38" t="s">
        <v>0</v>
      </c>
      <c r="C35" s="39"/>
      <c r="D35" s="28" t="s">
        <v>254</v>
      </c>
      <c r="E35" s="34" t="s">
        <v>30</v>
      </c>
      <c r="F35" s="60"/>
      <c r="G35" s="28"/>
      <c r="H35" s="46"/>
      <c r="I35" s="61"/>
      <c r="J35" s="62"/>
      <c r="K35" s="49"/>
      <c r="L35" s="49" t="s">
        <v>21</v>
      </c>
      <c r="M35" s="49"/>
      <c r="N35" s="49"/>
      <c r="O35" s="36"/>
      <c r="P35" s="37"/>
      <c r="Q35" s="72"/>
      <c r="R35" s="50"/>
    </row>
    <row r="36" spans="1:18" s="11" customFormat="1">
      <c r="A36" s="9">
        <v>20</v>
      </c>
      <c r="B36" s="9"/>
      <c r="C36" s="9"/>
      <c r="D36" s="9" t="s">
        <v>74</v>
      </c>
      <c r="E36" s="51" t="s">
        <v>53</v>
      </c>
      <c r="F36" s="51"/>
      <c r="G36" s="52" t="s">
        <v>298</v>
      </c>
      <c r="H36" s="52" t="s">
        <v>214</v>
      </c>
      <c r="I36" s="9"/>
      <c r="J36" s="9" t="s">
        <v>192</v>
      </c>
      <c r="K36" s="9"/>
      <c r="L36" s="9" t="s">
        <v>192</v>
      </c>
      <c r="M36" s="9"/>
      <c r="N36" s="9"/>
      <c r="O36" s="57"/>
      <c r="P36" s="53"/>
      <c r="Q36" s="144"/>
      <c r="R36" s="145"/>
    </row>
    <row r="37" spans="1:18" s="11" customFormat="1">
      <c r="A37" s="9">
        <v>20</v>
      </c>
      <c r="B37" s="9"/>
      <c r="C37" s="9"/>
      <c r="D37" s="9" t="s">
        <v>113</v>
      </c>
      <c r="E37" s="51" t="s">
        <v>128</v>
      </c>
      <c r="F37" s="51"/>
      <c r="G37" s="52" t="s">
        <v>285</v>
      </c>
      <c r="H37" s="52" t="s">
        <v>191</v>
      </c>
      <c r="I37" s="9"/>
      <c r="J37" s="9" t="s">
        <v>192</v>
      </c>
      <c r="K37" s="9"/>
      <c r="L37" s="9" t="s">
        <v>192</v>
      </c>
      <c r="M37" s="9"/>
      <c r="N37" s="9"/>
      <c r="O37" s="57"/>
      <c r="P37" s="53"/>
      <c r="Q37" s="144"/>
      <c r="R37" s="145"/>
    </row>
    <row r="38" spans="1:18" s="11" customFormat="1">
      <c r="A38" s="9">
        <v>20</v>
      </c>
      <c r="B38" s="9"/>
      <c r="C38" s="9"/>
      <c r="D38" s="9" t="s">
        <v>114</v>
      </c>
      <c r="E38" s="51" t="s">
        <v>129</v>
      </c>
      <c r="F38" s="51"/>
      <c r="G38" s="52" t="s">
        <v>302</v>
      </c>
      <c r="H38" s="52" t="s">
        <v>222</v>
      </c>
      <c r="I38" s="9"/>
      <c r="J38" s="9" t="s">
        <v>192</v>
      </c>
      <c r="K38" s="9"/>
      <c r="L38" s="9" t="s">
        <v>192</v>
      </c>
      <c r="M38" s="9"/>
      <c r="N38" s="9"/>
      <c r="O38" s="57"/>
      <c r="P38" s="53"/>
      <c r="Q38" s="144"/>
      <c r="R38" s="145"/>
    </row>
    <row r="39" spans="1:18" s="11" customFormat="1" ht="26">
      <c r="A39" s="9">
        <v>20</v>
      </c>
      <c r="B39" s="9"/>
      <c r="C39" s="9"/>
      <c r="D39" s="9" t="s">
        <v>156</v>
      </c>
      <c r="E39" s="51" t="s">
        <v>158</v>
      </c>
      <c r="F39" s="51"/>
      <c r="G39" s="52" t="s">
        <v>286</v>
      </c>
      <c r="H39" s="52" t="s">
        <v>160</v>
      </c>
      <c r="I39" s="9"/>
      <c r="J39" s="9" t="s">
        <v>192</v>
      </c>
      <c r="K39" s="9"/>
      <c r="L39" s="9" t="s">
        <v>192</v>
      </c>
      <c r="M39" s="9"/>
      <c r="N39" s="9"/>
      <c r="O39" s="57"/>
      <c r="P39" s="53"/>
      <c r="Q39" s="144"/>
      <c r="R39" s="145"/>
    </row>
    <row r="40" spans="1:18" s="11" customFormat="1" ht="26">
      <c r="A40" s="9">
        <v>20</v>
      </c>
      <c r="B40" s="9"/>
      <c r="C40" s="9"/>
      <c r="D40" s="9" t="s">
        <v>157</v>
      </c>
      <c r="E40" s="51" t="s">
        <v>159</v>
      </c>
      <c r="F40" s="51"/>
      <c r="G40" s="52" t="s">
        <v>303</v>
      </c>
      <c r="H40" s="52" t="s">
        <v>223</v>
      </c>
      <c r="I40" s="9"/>
      <c r="J40" s="9" t="s">
        <v>192</v>
      </c>
      <c r="K40" s="9"/>
      <c r="L40" s="9" t="s">
        <v>192</v>
      </c>
      <c r="M40" s="9"/>
      <c r="N40" s="9"/>
      <c r="O40" s="57"/>
      <c r="P40" s="53"/>
      <c r="Q40" s="144"/>
      <c r="R40" s="145"/>
    </row>
    <row r="41" spans="1:18" s="11" customFormat="1">
      <c r="A41" s="9">
        <v>20</v>
      </c>
      <c r="B41" s="9"/>
      <c r="C41" s="9"/>
      <c r="D41" s="9" t="s">
        <v>131</v>
      </c>
      <c r="E41" s="51" t="s">
        <v>130</v>
      </c>
      <c r="F41" s="51"/>
      <c r="G41" s="52" t="s">
        <v>287</v>
      </c>
      <c r="H41" s="52" t="s">
        <v>197</v>
      </c>
      <c r="I41" s="9"/>
      <c r="J41" s="9" t="s">
        <v>192</v>
      </c>
      <c r="K41" s="9"/>
      <c r="L41" s="9" t="s">
        <v>192</v>
      </c>
      <c r="M41" s="9"/>
      <c r="N41" s="9"/>
      <c r="O41" s="57"/>
      <c r="P41" s="53"/>
      <c r="Q41" s="72"/>
      <c r="R41" s="73"/>
    </row>
    <row r="42" spans="1:18" s="11" customFormat="1">
      <c r="A42" s="9">
        <v>20</v>
      </c>
      <c r="B42" s="9"/>
      <c r="C42" s="9"/>
      <c r="D42" s="9" t="s">
        <v>132</v>
      </c>
      <c r="E42" s="51" t="s">
        <v>135</v>
      </c>
      <c r="F42" s="51"/>
      <c r="G42" s="52" t="s">
        <v>315</v>
      </c>
      <c r="H42" s="52" t="s">
        <v>235</v>
      </c>
      <c r="I42" s="9"/>
      <c r="J42" s="9" t="s">
        <v>192</v>
      </c>
      <c r="K42" s="9"/>
      <c r="L42" s="9" t="s">
        <v>192</v>
      </c>
      <c r="M42" s="9"/>
      <c r="N42" s="9"/>
      <c r="O42" s="57"/>
      <c r="P42" s="53"/>
      <c r="Q42" s="72"/>
      <c r="R42" s="73"/>
    </row>
    <row r="43" spans="1:18" s="11" customFormat="1">
      <c r="A43" s="9">
        <v>20</v>
      </c>
      <c r="B43" s="9"/>
      <c r="C43" s="9"/>
      <c r="D43" s="9" t="s">
        <v>117</v>
      </c>
      <c r="E43" s="51" t="s">
        <v>136</v>
      </c>
      <c r="F43" s="51"/>
      <c r="G43" s="52" t="s">
        <v>288</v>
      </c>
      <c r="H43" s="52" t="s">
        <v>199</v>
      </c>
      <c r="I43" s="9"/>
      <c r="J43" s="9" t="s">
        <v>192</v>
      </c>
      <c r="K43" s="9"/>
      <c r="L43" s="9" t="s">
        <v>192</v>
      </c>
      <c r="M43" s="9"/>
      <c r="N43" s="9"/>
      <c r="O43" s="57"/>
      <c r="P43" s="53"/>
      <c r="Q43" s="72"/>
      <c r="R43" s="73"/>
    </row>
    <row r="44" spans="1:18" s="11" customFormat="1">
      <c r="A44" s="9">
        <v>20</v>
      </c>
      <c r="B44" s="9"/>
      <c r="C44" s="9"/>
      <c r="D44" s="9" t="s">
        <v>118</v>
      </c>
      <c r="E44" s="51" t="s">
        <v>137</v>
      </c>
      <c r="F44" s="51"/>
      <c r="G44" s="52" t="s">
        <v>306</v>
      </c>
      <c r="H44" s="52" t="s">
        <v>226</v>
      </c>
      <c r="I44" s="9"/>
      <c r="J44" s="9" t="s">
        <v>192</v>
      </c>
      <c r="K44" s="9"/>
      <c r="L44" s="9" t="s">
        <v>192</v>
      </c>
      <c r="M44" s="9"/>
      <c r="N44" s="9"/>
      <c r="O44" s="57"/>
      <c r="P44" s="53"/>
      <c r="Q44" s="72"/>
      <c r="R44" s="73"/>
    </row>
    <row r="45" spans="1:18" s="11" customFormat="1">
      <c r="A45" s="9">
        <v>20</v>
      </c>
      <c r="B45" s="9"/>
      <c r="C45" s="9"/>
      <c r="D45" s="9" t="s">
        <v>120</v>
      </c>
      <c r="E45" s="51" t="s">
        <v>138</v>
      </c>
      <c r="F45" s="51"/>
      <c r="G45" s="52" t="s">
        <v>289</v>
      </c>
      <c r="H45" s="52" t="s">
        <v>203</v>
      </c>
      <c r="I45" s="9"/>
      <c r="J45" s="9" t="s">
        <v>192</v>
      </c>
      <c r="K45" s="9"/>
      <c r="L45" s="9" t="s">
        <v>192</v>
      </c>
      <c r="M45" s="9"/>
      <c r="N45" s="9"/>
      <c r="O45" s="57"/>
      <c r="P45" s="53"/>
      <c r="Q45" s="72"/>
      <c r="R45" s="73"/>
    </row>
    <row r="46" spans="1:18" s="11" customFormat="1">
      <c r="A46" s="9">
        <v>20</v>
      </c>
      <c r="B46" s="9"/>
      <c r="C46" s="9"/>
      <c r="D46" s="9" t="s">
        <v>121</v>
      </c>
      <c r="E46" s="51" t="s">
        <v>139</v>
      </c>
      <c r="F46" s="51"/>
      <c r="G46" s="52" t="s">
        <v>308</v>
      </c>
      <c r="H46" s="52" t="s">
        <v>228</v>
      </c>
      <c r="I46" s="9"/>
      <c r="J46" s="9" t="s">
        <v>192</v>
      </c>
      <c r="K46" s="9"/>
      <c r="L46" s="9" t="s">
        <v>192</v>
      </c>
      <c r="M46" s="9"/>
      <c r="N46" s="9"/>
      <c r="O46" s="57"/>
      <c r="P46" s="53"/>
      <c r="Q46" s="72"/>
      <c r="R46" s="73"/>
    </row>
    <row r="47" spans="1:18" s="11" customFormat="1">
      <c r="A47" s="9">
        <v>20</v>
      </c>
      <c r="B47" s="9"/>
      <c r="C47" s="9"/>
      <c r="D47" s="9" t="s">
        <v>126</v>
      </c>
      <c r="E47" s="51" t="s">
        <v>140</v>
      </c>
      <c r="F47" s="51"/>
      <c r="G47" s="52" t="s">
        <v>290</v>
      </c>
      <c r="H47" s="52" t="s">
        <v>205</v>
      </c>
      <c r="I47" s="9"/>
      <c r="J47" s="9" t="s">
        <v>192</v>
      </c>
      <c r="K47" s="9"/>
      <c r="L47" s="9" t="s">
        <v>192</v>
      </c>
      <c r="M47" s="9"/>
      <c r="N47" s="9"/>
      <c r="O47" s="57"/>
      <c r="P47" s="53"/>
      <c r="Q47" s="72"/>
      <c r="R47" s="73"/>
    </row>
    <row r="48" spans="1:18" s="11" customFormat="1">
      <c r="A48" s="9">
        <v>20</v>
      </c>
      <c r="B48" s="9"/>
      <c r="C48" s="9"/>
      <c r="D48" s="9" t="s">
        <v>127</v>
      </c>
      <c r="E48" s="51" t="s">
        <v>141</v>
      </c>
      <c r="F48" s="51"/>
      <c r="G48" s="52" t="s">
        <v>312</v>
      </c>
      <c r="H48" s="52" t="s">
        <v>232</v>
      </c>
      <c r="I48" s="9"/>
      <c r="J48" s="9" t="s">
        <v>192</v>
      </c>
      <c r="K48" s="9"/>
      <c r="L48" s="9" t="s">
        <v>192</v>
      </c>
      <c r="M48" s="9"/>
      <c r="N48" s="9"/>
      <c r="O48" s="57"/>
      <c r="P48" s="53"/>
      <c r="Q48" s="72"/>
      <c r="R48" s="73"/>
    </row>
    <row r="49" spans="1:18" s="11" customFormat="1" ht="26">
      <c r="A49" s="9">
        <v>20</v>
      </c>
      <c r="B49" s="9"/>
      <c r="C49" s="9"/>
      <c r="D49" s="9" t="s">
        <v>165</v>
      </c>
      <c r="E49" s="51" t="s">
        <v>138</v>
      </c>
      <c r="F49" s="51"/>
      <c r="G49" s="52" t="s">
        <v>291</v>
      </c>
      <c r="H49" s="52" t="s">
        <v>207</v>
      </c>
      <c r="I49" s="9"/>
      <c r="J49" s="9" t="s">
        <v>192</v>
      </c>
      <c r="K49" s="9"/>
      <c r="L49" s="9" t="s">
        <v>192</v>
      </c>
      <c r="M49" s="9"/>
      <c r="N49" s="9"/>
      <c r="O49" s="57"/>
      <c r="P49" s="53"/>
      <c r="Q49" s="72"/>
      <c r="R49" s="73"/>
    </row>
    <row r="50" spans="1:18" s="11" customFormat="1" ht="26">
      <c r="A50" s="9">
        <v>20</v>
      </c>
      <c r="B50" s="9"/>
      <c r="C50" s="9"/>
      <c r="D50" s="9" t="s">
        <v>166</v>
      </c>
      <c r="E50" s="51" t="s">
        <v>139</v>
      </c>
      <c r="F50" s="51"/>
      <c r="G50" s="52" t="s">
        <v>316</v>
      </c>
      <c r="H50" s="52" t="s">
        <v>236</v>
      </c>
      <c r="I50" s="9"/>
      <c r="J50" s="9" t="s">
        <v>192</v>
      </c>
      <c r="K50" s="9"/>
      <c r="L50" s="9" t="s">
        <v>192</v>
      </c>
      <c r="M50" s="9"/>
      <c r="N50" s="9"/>
      <c r="O50" s="57"/>
      <c r="P50" s="53"/>
      <c r="Q50" s="72"/>
      <c r="R50" s="73"/>
    </row>
    <row r="51" spans="1:18" s="11" customFormat="1" ht="26">
      <c r="A51" s="9">
        <v>20</v>
      </c>
      <c r="B51" s="9"/>
      <c r="C51" s="9"/>
      <c r="D51" s="9" t="s">
        <v>167</v>
      </c>
      <c r="E51" s="51" t="s">
        <v>158</v>
      </c>
      <c r="F51" s="51"/>
      <c r="G51" s="52" t="s">
        <v>292</v>
      </c>
      <c r="H51" s="52" t="s">
        <v>162</v>
      </c>
      <c r="I51" s="9"/>
      <c r="J51" s="9" t="s">
        <v>192</v>
      </c>
      <c r="K51" s="9"/>
      <c r="L51" s="9" t="s">
        <v>192</v>
      </c>
      <c r="M51" s="9"/>
      <c r="N51" s="9"/>
      <c r="O51" s="57"/>
      <c r="P51" s="53"/>
      <c r="Q51" s="72"/>
      <c r="R51" s="73"/>
    </row>
    <row r="52" spans="1:18" s="11" customFormat="1" ht="26">
      <c r="A52" s="9">
        <v>20</v>
      </c>
      <c r="B52" s="9"/>
      <c r="C52" s="9"/>
      <c r="D52" s="9" t="s">
        <v>168</v>
      </c>
      <c r="E52" s="51" t="s">
        <v>161</v>
      </c>
      <c r="F52" s="51"/>
      <c r="G52" s="52" t="s">
        <v>317</v>
      </c>
      <c r="H52" s="52" t="s">
        <v>237</v>
      </c>
      <c r="I52" s="9"/>
      <c r="J52" s="9" t="s">
        <v>192</v>
      </c>
      <c r="K52" s="9"/>
      <c r="L52" s="9" t="s">
        <v>192</v>
      </c>
      <c r="M52" s="9"/>
      <c r="N52" s="9"/>
      <c r="O52" s="57"/>
      <c r="P52" s="53"/>
      <c r="Q52" s="72"/>
      <c r="R52" s="73"/>
    </row>
    <row r="53" spans="1:18" s="11" customFormat="1" ht="26">
      <c r="A53" s="9">
        <v>20</v>
      </c>
      <c r="B53" s="9"/>
      <c r="C53" s="9"/>
      <c r="D53" s="9" t="s">
        <v>133</v>
      </c>
      <c r="E53" s="51" t="s">
        <v>142</v>
      </c>
      <c r="F53" s="51"/>
      <c r="G53" s="52" t="s">
        <v>293</v>
      </c>
      <c r="H53" s="52" t="s">
        <v>219</v>
      </c>
      <c r="I53" s="9"/>
      <c r="J53" s="9" t="s">
        <v>192</v>
      </c>
      <c r="K53" s="9"/>
      <c r="L53" s="9" t="s">
        <v>192</v>
      </c>
      <c r="M53" s="9"/>
      <c r="N53" s="9"/>
      <c r="O53" s="57"/>
      <c r="P53" s="53"/>
      <c r="Q53" s="72"/>
      <c r="R53" s="73"/>
    </row>
    <row r="54" spans="1:18" s="11" customFormat="1">
      <c r="A54" s="9">
        <v>20</v>
      </c>
      <c r="B54" s="9"/>
      <c r="C54" s="9"/>
      <c r="D54" s="9" t="s">
        <v>134</v>
      </c>
      <c r="E54" s="51" t="s">
        <v>52</v>
      </c>
      <c r="F54" s="51"/>
      <c r="G54" s="52" t="s">
        <v>294</v>
      </c>
      <c r="H54" s="52" t="s">
        <v>210</v>
      </c>
      <c r="I54" s="9"/>
      <c r="J54" s="9" t="s">
        <v>192</v>
      </c>
      <c r="K54" s="9"/>
      <c r="L54" s="9" t="s">
        <v>192</v>
      </c>
      <c r="M54" s="9"/>
      <c r="N54" s="9"/>
      <c r="O54" s="57"/>
      <c r="P54" s="53"/>
      <c r="Q54" s="72"/>
      <c r="R54" s="73"/>
    </row>
    <row r="55" spans="1:18" s="11" customFormat="1">
      <c r="A55" s="9">
        <v>20</v>
      </c>
      <c r="B55" s="9"/>
      <c r="C55" s="9"/>
      <c r="D55" s="9" t="s">
        <v>41</v>
      </c>
      <c r="E55" s="51" t="s">
        <v>43</v>
      </c>
      <c r="F55" s="51"/>
      <c r="G55" s="52" t="s">
        <v>295</v>
      </c>
      <c r="H55" s="52" t="s">
        <v>211</v>
      </c>
      <c r="I55" s="9"/>
      <c r="J55" s="9" t="s">
        <v>192</v>
      </c>
      <c r="K55" s="9"/>
      <c r="L55" s="9" t="s">
        <v>192</v>
      </c>
      <c r="M55" s="9"/>
      <c r="N55" s="9"/>
      <c r="O55" s="57"/>
      <c r="P55" s="53"/>
      <c r="Q55" s="144"/>
      <c r="R55" s="145"/>
    </row>
    <row r="56" spans="1:18" s="11" customFormat="1">
      <c r="A56" s="9">
        <v>20</v>
      </c>
      <c r="B56" s="9"/>
      <c r="C56" s="9"/>
      <c r="D56" s="9" t="s">
        <v>49</v>
      </c>
      <c r="E56" s="51" t="s">
        <v>50</v>
      </c>
      <c r="F56" s="51"/>
      <c r="G56" s="52" t="s">
        <v>296</v>
      </c>
      <c r="H56" s="52" t="s">
        <v>212</v>
      </c>
      <c r="I56" s="9"/>
      <c r="J56" s="9" t="s">
        <v>192</v>
      </c>
      <c r="K56" s="9"/>
      <c r="L56" s="9" t="s">
        <v>192</v>
      </c>
      <c r="M56" s="9"/>
      <c r="N56" s="9"/>
      <c r="O56" s="57"/>
      <c r="P56" s="53"/>
      <c r="Q56" s="144"/>
      <c r="R56" s="145"/>
    </row>
    <row r="57" spans="1:18" s="11" customFormat="1">
      <c r="A57" s="9">
        <v>20</v>
      </c>
      <c r="B57" s="9"/>
      <c r="C57" s="9"/>
      <c r="D57" s="9" t="s">
        <v>45</v>
      </c>
      <c r="E57" s="51" t="s">
        <v>47</v>
      </c>
      <c r="F57" s="51"/>
      <c r="G57" s="52" t="s">
        <v>297</v>
      </c>
      <c r="H57" s="52" t="s">
        <v>213</v>
      </c>
      <c r="I57" s="9"/>
      <c r="J57" s="9" t="s">
        <v>192</v>
      </c>
      <c r="K57" s="9"/>
      <c r="L57" s="9" t="s">
        <v>192</v>
      </c>
      <c r="M57" s="9"/>
      <c r="N57" s="9"/>
      <c r="O57" s="57"/>
      <c r="P57" s="53"/>
      <c r="Q57" s="144"/>
      <c r="R57" s="145"/>
    </row>
    <row r="58" spans="1:18" s="11" customFormat="1">
      <c r="A58" s="9">
        <v>20</v>
      </c>
      <c r="B58" s="9"/>
      <c r="C58" s="9"/>
      <c r="D58" s="9" t="s">
        <v>255</v>
      </c>
      <c r="E58" s="51" t="s">
        <v>150</v>
      </c>
      <c r="F58" s="51"/>
      <c r="G58" s="52" t="s">
        <v>318</v>
      </c>
      <c r="H58" s="52" t="s">
        <v>238</v>
      </c>
      <c r="I58" s="9"/>
      <c r="J58" s="9" t="s">
        <v>192</v>
      </c>
      <c r="K58" s="9"/>
      <c r="L58" s="9" t="s">
        <v>192</v>
      </c>
      <c r="M58" s="9"/>
      <c r="N58" s="9"/>
      <c r="O58" s="57"/>
      <c r="P58" s="53"/>
      <c r="Q58" s="144"/>
      <c r="R58" s="145"/>
    </row>
    <row r="59" spans="1:18" s="11" customFormat="1">
      <c r="A59" s="9">
        <v>20</v>
      </c>
      <c r="B59" s="9"/>
      <c r="C59" s="9"/>
      <c r="D59" s="9" t="s">
        <v>35</v>
      </c>
      <c r="E59" s="51" t="s">
        <v>151</v>
      </c>
      <c r="F59" s="51"/>
      <c r="G59" s="52" t="s">
        <v>319</v>
      </c>
      <c r="H59" s="52" t="s">
        <v>239</v>
      </c>
      <c r="I59" s="9"/>
      <c r="J59" s="9" t="s">
        <v>192</v>
      </c>
      <c r="K59" s="9"/>
      <c r="L59" s="9" t="s">
        <v>192</v>
      </c>
      <c r="M59" s="9"/>
      <c r="N59" s="9"/>
      <c r="O59" s="57"/>
      <c r="P59" s="53"/>
      <c r="Q59" s="144"/>
      <c r="R59" s="145"/>
    </row>
    <row r="60" spans="1:18" s="11" customFormat="1">
      <c r="A60" s="9">
        <v>20</v>
      </c>
      <c r="B60" s="9"/>
      <c r="C60" s="9"/>
      <c r="D60" s="9" t="s">
        <v>14</v>
      </c>
      <c r="E60" s="51" t="s">
        <v>51</v>
      </c>
      <c r="F60" s="51"/>
      <c r="G60" s="52" t="s">
        <v>320</v>
      </c>
      <c r="H60" s="52" t="s">
        <v>240</v>
      </c>
      <c r="I60" s="9"/>
      <c r="J60" s="9" t="s">
        <v>192</v>
      </c>
      <c r="K60" s="9"/>
      <c r="L60" s="9" t="s">
        <v>192</v>
      </c>
      <c r="M60" s="9"/>
      <c r="N60" s="9"/>
      <c r="O60" s="57"/>
      <c r="P60" s="53"/>
      <c r="Q60" s="144"/>
      <c r="R60" s="145"/>
    </row>
    <row r="61" spans="1:18" s="11" customFormat="1">
      <c r="A61" s="9">
        <v>20</v>
      </c>
      <c r="B61" s="9"/>
      <c r="C61" s="9"/>
      <c r="D61" s="9" t="s">
        <v>54</v>
      </c>
      <c r="E61" s="51" t="s">
        <v>58</v>
      </c>
      <c r="F61" s="51"/>
      <c r="G61" s="52" t="s">
        <v>321</v>
      </c>
      <c r="H61" s="52" t="s">
        <v>241</v>
      </c>
      <c r="I61" s="9"/>
      <c r="J61" s="9" t="s">
        <v>192</v>
      </c>
      <c r="K61" s="9"/>
      <c r="L61" s="9" t="s">
        <v>192</v>
      </c>
      <c r="M61" s="9"/>
      <c r="N61" s="9"/>
      <c r="O61" s="57"/>
      <c r="P61" s="53"/>
      <c r="Q61" s="144"/>
      <c r="R61" s="145"/>
    </row>
    <row r="62" spans="1:18" s="11" customFormat="1">
      <c r="A62" s="9">
        <v>20</v>
      </c>
      <c r="B62" s="9"/>
      <c r="C62" s="9"/>
      <c r="D62" s="9" t="s">
        <v>59</v>
      </c>
      <c r="E62" s="51" t="s">
        <v>60</v>
      </c>
      <c r="F62" s="51"/>
      <c r="G62" s="52" t="s">
        <v>322</v>
      </c>
      <c r="H62" s="52" t="s">
        <v>242</v>
      </c>
      <c r="I62" s="9"/>
      <c r="J62" s="9" t="s">
        <v>192</v>
      </c>
      <c r="K62" s="9"/>
      <c r="L62" s="9"/>
      <c r="M62" s="9"/>
      <c r="N62" s="9"/>
      <c r="O62" s="57"/>
      <c r="P62" s="53"/>
      <c r="Q62" s="144"/>
      <c r="R62" s="145"/>
    </row>
    <row r="63" spans="1:18" s="11" customFormat="1">
      <c r="A63" s="9">
        <v>20</v>
      </c>
      <c r="B63" s="9"/>
      <c r="C63" s="9"/>
      <c r="D63" s="9" t="s">
        <v>78</v>
      </c>
      <c r="E63" s="51" t="s">
        <v>79</v>
      </c>
      <c r="F63" s="51"/>
      <c r="G63" s="52" t="s">
        <v>299</v>
      </c>
      <c r="H63" s="52" t="s">
        <v>220</v>
      </c>
      <c r="I63" s="9"/>
      <c r="J63" s="9" t="s">
        <v>192</v>
      </c>
      <c r="K63" s="9"/>
      <c r="L63" s="9" t="s">
        <v>192</v>
      </c>
      <c r="M63" s="9"/>
      <c r="N63" s="9"/>
      <c r="O63" s="57"/>
      <c r="P63" s="53"/>
      <c r="Q63" s="144"/>
      <c r="R63" s="145"/>
    </row>
    <row r="64" spans="1:18" s="11" customFormat="1">
      <c r="A64" s="9">
        <v>20</v>
      </c>
      <c r="B64" s="9"/>
      <c r="C64" s="9"/>
      <c r="D64" s="9" t="s">
        <v>256</v>
      </c>
      <c r="E64" s="51" t="s">
        <v>150</v>
      </c>
      <c r="F64" s="51"/>
      <c r="G64" s="52" t="s">
        <v>323</v>
      </c>
      <c r="H64" s="52" t="s">
        <v>243</v>
      </c>
      <c r="I64" s="9"/>
      <c r="J64" s="9" t="s">
        <v>192</v>
      </c>
      <c r="K64" s="9"/>
      <c r="L64" s="9" t="s">
        <v>192</v>
      </c>
      <c r="M64" s="9"/>
      <c r="N64" s="9"/>
      <c r="O64" s="57"/>
      <c r="P64" s="53"/>
      <c r="Q64" s="144"/>
      <c r="R64" s="145"/>
    </row>
    <row r="65" spans="1:18" s="11" customFormat="1">
      <c r="A65" s="9">
        <v>20</v>
      </c>
      <c r="B65" s="9"/>
      <c r="C65" s="9"/>
      <c r="D65" s="9" t="s">
        <v>36</v>
      </c>
      <c r="E65" s="51" t="s">
        <v>151</v>
      </c>
      <c r="F65" s="51"/>
      <c r="G65" s="52" t="s">
        <v>324</v>
      </c>
      <c r="H65" s="52" t="s">
        <v>244</v>
      </c>
      <c r="I65" s="9"/>
      <c r="J65" s="9" t="s">
        <v>192</v>
      </c>
      <c r="K65" s="9"/>
      <c r="L65" s="9" t="s">
        <v>192</v>
      </c>
      <c r="M65" s="9"/>
      <c r="N65" s="9"/>
      <c r="O65" s="57"/>
      <c r="P65" s="53"/>
      <c r="Q65" s="144"/>
      <c r="R65" s="145"/>
    </row>
    <row r="66" spans="1:18" s="11" customFormat="1">
      <c r="A66" s="9">
        <v>20</v>
      </c>
      <c r="B66" s="9"/>
      <c r="C66" s="9"/>
      <c r="D66" s="9" t="s">
        <v>15</v>
      </c>
      <c r="E66" s="51" t="s">
        <v>257</v>
      </c>
      <c r="F66" s="51"/>
      <c r="G66" s="52" t="s">
        <v>325</v>
      </c>
      <c r="H66" s="52" t="s">
        <v>245</v>
      </c>
      <c r="I66" s="9"/>
      <c r="J66" s="9" t="s">
        <v>192</v>
      </c>
      <c r="K66" s="9"/>
      <c r="L66" s="9" t="s">
        <v>192</v>
      </c>
      <c r="M66" s="9"/>
      <c r="N66" s="9"/>
      <c r="O66" s="57"/>
      <c r="P66" s="53"/>
      <c r="Q66" s="144"/>
      <c r="R66" s="145"/>
    </row>
    <row r="67" spans="1:18" s="11" customFormat="1">
      <c r="A67" s="9">
        <v>20</v>
      </c>
      <c r="B67" s="9"/>
      <c r="C67" s="9"/>
      <c r="D67" s="9" t="s">
        <v>55</v>
      </c>
      <c r="E67" s="51" t="s">
        <v>58</v>
      </c>
      <c r="F67" s="51"/>
      <c r="G67" s="52" t="s">
        <v>326</v>
      </c>
      <c r="H67" s="52" t="s">
        <v>246</v>
      </c>
      <c r="I67" s="9"/>
      <c r="J67" s="9" t="s">
        <v>192</v>
      </c>
      <c r="K67" s="9"/>
      <c r="L67" s="9" t="s">
        <v>192</v>
      </c>
      <c r="M67" s="9"/>
      <c r="N67" s="9"/>
      <c r="O67" s="57"/>
      <c r="P67" s="53"/>
      <c r="Q67" s="144"/>
      <c r="R67" s="145"/>
    </row>
    <row r="68" spans="1:18" s="11" customFormat="1">
      <c r="A68" s="9">
        <v>20</v>
      </c>
      <c r="B68" s="9"/>
      <c r="C68" s="9"/>
      <c r="D68" s="9" t="s">
        <v>61</v>
      </c>
      <c r="E68" s="51" t="s">
        <v>60</v>
      </c>
      <c r="F68" s="51"/>
      <c r="G68" s="52" t="s">
        <v>327</v>
      </c>
      <c r="H68" s="52" t="s">
        <v>247</v>
      </c>
      <c r="I68" s="9"/>
      <c r="J68" s="9" t="s">
        <v>192</v>
      </c>
      <c r="K68" s="9"/>
      <c r="L68" s="9"/>
      <c r="M68" s="9"/>
      <c r="N68" s="9"/>
      <c r="O68" s="57"/>
      <c r="P68" s="53"/>
      <c r="Q68" s="144"/>
      <c r="R68" s="145"/>
    </row>
    <row r="69" spans="1:18" s="11" customFormat="1">
      <c r="A69" s="9">
        <v>20</v>
      </c>
      <c r="B69" s="9"/>
      <c r="C69" s="9"/>
      <c r="D69" s="9" t="s">
        <v>62</v>
      </c>
      <c r="E69" s="51" t="s">
        <v>56</v>
      </c>
      <c r="F69" s="51"/>
      <c r="G69" s="52" t="s">
        <v>328</v>
      </c>
      <c r="H69" s="52" t="s">
        <v>248</v>
      </c>
      <c r="I69" s="9"/>
      <c r="J69" s="9" t="s">
        <v>192</v>
      </c>
      <c r="K69" s="9"/>
      <c r="L69" s="9" t="s">
        <v>192</v>
      </c>
      <c r="M69" s="9"/>
      <c r="N69" s="9"/>
      <c r="O69" s="57"/>
      <c r="P69" s="53"/>
      <c r="Q69" s="144"/>
      <c r="R69" s="145"/>
    </row>
    <row r="70" spans="1:18" s="11" customFormat="1">
      <c r="A70" s="9">
        <v>20</v>
      </c>
      <c r="B70" s="9"/>
      <c r="C70" s="9"/>
      <c r="D70" s="9" t="s">
        <v>75</v>
      </c>
      <c r="E70" s="51" t="s">
        <v>150</v>
      </c>
      <c r="F70" s="51"/>
      <c r="G70" s="52" t="s">
        <v>329</v>
      </c>
      <c r="H70" s="52" t="s">
        <v>249</v>
      </c>
      <c r="I70" s="9"/>
      <c r="J70" s="9" t="s">
        <v>192</v>
      </c>
      <c r="K70" s="9"/>
      <c r="L70" s="9" t="s">
        <v>192</v>
      </c>
      <c r="M70" s="9"/>
      <c r="N70" s="9"/>
      <c r="O70" s="57"/>
      <c r="P70" s="53"/>
      <c r="Q70" s="144"/>
      <c r="R70" s="145"/>
    </row>
    <row r="71" spans="1:18" s="11" customFormat="1">
      <c r="A71" s="9">
        <v>20</v>
      </c>
      <c r="B71" s="9"/>
      <c r="C71" s="9"/>
      <c r="D71" s="9" t="s">
        <v>76</v>
      </c>
      <c r="E71" s="51" t="s">
        <v>151</v>
      </c>
      <c r="F71" s="51"/>
      <c r="G71" s="52" t="s">
        <v>330</v>
      </c>
      <c r="H71" s="52" t="s">
        <v>250</v>
      </c>
      <c r="I71" s="9"/>
      <c r="J71" s="9" t="s">
        <v>192</v>
      </c>
      <c r="K71" s="9"/>
      <c r="L71" s="9" t="s">
        <v>192</v>
      </c>
      <c r="M71" s="9"/>
      <c r="N71" s="9"/>
      <c r="O71" s="57"/>
      <c r="P71" s="53"/>
      <c r="Q71" s="144"/>
      <c r="R71" s="145"/>
    </row>
    <row r="72" spans="1:18" s="11" customFormat="1">
      <c r="A72" s="9">
        <v>20</v>
      </c>
      <c r="B72" s="9"/>
      <c r="C72" s="9"/>
      <c r="D72" s="9" t="s">
        <v>77</v>
      </c>
      <c r="E72" s="51" t="s">
        <v>57</v>
      </c>
      <c r="F72" s="51"/>
      <c r="G72" s="52" t="s">
        <v>331</v>
      </c>
      <c r="H72" s="52" t="s">
        <v>251</v>
      </c>
      <c r="I72" s="9"/>
      <c r="J72" s="9" t="s">
        <v>192</v>
      </c>
      <c r="K72" s="9"/>
      <c r="L72" s="9" t="s">
        <v>192</v>
      </c>
      <c r="M72" s="9"/>
      <c r="N72" s="9"/>
      <c r="O72" s="57"/>
      <c r="P72" s="53"/>
      <c r="Q72" s="144"/>
      <c r="R72" s="145"/>
    </row>
    <row r="73" spans="1:18" s="11" customFormat="1">
      <c r="A73" s="63"/>
      <c r="B73" s="30"/>
      <c r="C73" s="30"/>
      <c r="D73" s="64" t="s">
        <v>4</v>
      </c>
      <c r="E73" s="31"/>
      <c r="F73" s="65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66"/>
    </row>
    <row r="74" spans="1:18" s="11" customFormat="1">
      <c r="A74" s="78"/>
      <c r="R74" s="56"/>
    </row>
    <row r="75" spans="1:18" s="11" customFormat="1">
      <c r="A75" s="78"/>
      <c r="R75" s="56"/>
    </row>
    <row r="76" spans="1:18" s="11" customFormat="1">
      <c r="A76" s="78"/>
      <c r="R76" s="56"/>
    </row>
    <row r="77" spans="1:18" s="11" customFormat="1">
      <c r="A77" s="83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</row>
  </sheetData>
  <mergeCells count="32">
    <mergeCell ref="Q72:R72"/>
    <mergeCell ref="Q12:R12"/>
    <mergeCell ref="Q13:R13"/>
    <mergeCell ref="Q62:R62"/>
    <mergeCell ref="Q58:R58"/>
    <mergeCell ref="Q55:R55"/>
    <mergeCell ref="Q60:R60"/>
    <mergeCell ref="Q69:R69"/>
    <mergeCell ref="Q65:R65"/>
    <mergeCell ref="Q29:R29"/>
    <mergeCell ref="Q32:R32"/>
    <mergeCell ref="Q36:R36"/>
    <mergeCell ref="Q30:R30"/>
    <mergeCell ref="Q37:R37"/>
    <mergeCell ref="Q71:R71"/>
    <mergeCell ref="Q61:R61"/>
    <mergeCell ref="Q70:R70"/>
    <mergeCell ref="Q64:R64"/>
    <mergeCell ref="Q68:R68"/>
    <mergeCell ref="Q67:R67"/>
    <mergeCell ref="Q66:R66"/>
    <mergeCell ref="Q14:R14"/>
    <mergeCell ref="Q15:R15"/>
    <mergeCell ref="Q39:R39"/>
    <mergeCell ref="Q40:R40"/>
    <mergeCell ref="Q63:R63"/>
    <mergeCell ref="Q57:R57"/>
    <mergeCell ref="Q59:R59"/>
    <mergeCell ref="Q31:R31"/>
    <mergeCell ref="Q56:R56"/>
    <mergeCell ref="Q33:R33"/>
    <mergeCell ref="Q38:R38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1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97</v>
      </c>
      <c r="K2" s="7" t="s">
        <v>39</v>
      </c>
      <c r="L2" s="77" t="str">
        <f>IF(LogicCommon!G2="","",LogicCommon!G2)</f>
        <v>MC</v>
      </c>
      <c r="M2" s="5" t="s">
        <v>185</v>
      </c>
      <c r="N2" s="28" t="s">
        <v>266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27"/>
      <c r="S3" s="27"/>
      <c r="T3" s="27"/>
      <c r="U3" s="27"/>
      <c r="V3" s="27"/>
    </row>
    <row r="4" spans="1:22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65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183</v>
      </c>
      <c r="B6" s="79"/>
      <c r="C6" s="79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5" t="s">
        <v>182</v>
      </c>
      <c r="M6" s="19"/>
      <c r="N6" s="19" t="s">
        <v>182</v>
      </c>
      <c r="O6" s="19"/>
      <c r="P6" s="19" t="s">
        <v>182</v>
      </c>
      <c r="Q6" s="19"/>
      <c r="R6" s="3" t="s">
        <v>182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33" t="s">
        <v>16</v>
      </c>
      <c r="L8" s="35" t="s">
        <v>109</v>
      </c>
      <c r="M8" s="33" t="s">
        <v>69</v>
      </c>
      <c r="N8" s="35" t="s">
        <v>110</v>
      </c>
      <c r="O8" s="33" t="s">
        <v>69</v>
      </c>
      <c r="P8" s="35"/>
      <c r="Q8" s="33" t="s">
        <v>69</v>
      </c>
      <c r="R8" s="35"/>
      <c r="S8" s="91"/>
      <c r="T8" s="92"/>
      <c r="U8" s="93" t="s">
        <v>283</v>
      </c>
      <c r="V8" s="53"/>
    </row>
    <row r="9" spans="1:22" s="11" customFormat="1" ht="60" customHeight="1">
      <c r="A9" s="9" t="s">
        <v>17</v>
      </c>
      <c r="B9" s="38"/>
      <c r="C9" s="39"/>
      <c r="D9" s="87" t="s">
        <v>300</v>
      </c>
      <c r="E9" s="94" t="s">
        <v>301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33"/>
      <c r="P9" s="33"/>
      <c r="Q9" s="33"/>
      <c r="R9" s="33"/>
      <c r="S9" s="93" t="s">
        <v>282</v>
      </c>
      <c r="T9" s="53"/>
      <c r="U9" s="93" t="s">
        <v>284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280</v>
      </c>
      <c r="L10" s="88" t="s">
        <v>281</v>
      </c>
      <c r="M10" s="88" t="s">
        <v>280</v>
      </c>
      <c r="N10" s="88" t="s">
        <v>281</v>
      </c>
      <c r="O10" s="88" t="s">
        <v>280</v>
      </c>
      <c r="P10" s="88" t="s">
        <v>281</v>
      </c>
      <c r="Q10" s="88" t="s">
        <v>280</v>
      </c>
      <c r="R10" s="88" t="s">
        <v>281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46" t="s">
        <v>258</v>
      </c>
      <c r="I11" s="47"/>
      <c r="J11" s="48"/>
      <c r="K11" s="49" t="s">
        <v>259</v>
      </c>
      <c r="L11" s="49"/>
      <c r="M11" s="49" t="s">
        <v>260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 t="s">
        <v>192</v>
      </c>
      <c r="L12" s="9"/>
      <c r="M12" s="9" t="s">
        <v>192</v>
      </c>
      <c r="N12" s="9"/>
      <c r="O12" s="9"/>
      <c r="P12" s="9"/>
      <c r="Q12" s="9"/>
      <c r="R12" s="9"/>
      <c r="S12" s="42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156</v>
      </c>
      <c r="E13" s="51" t="s">
        <v>158</v>
      </c>
      <c r="F13" s="51"/>
      <c r="G13" s="52" t="s">
        <v>286</v>
      </c>
      <c r="H13" s="52" t="s">
        <v>160</v>
      </c>
      <c r="I13" s="9" t="s">
        <v>192</v>
      </c>
      <c r="J13" s="9"/>
      <c r="K13" s="9" t="s">
        <v>192</v>
      </c>
      <c r="L13" s="9"/>
      <c r="M13" s="9" t="s">
        <v>192</v>
      </c>
      <c r="N13" s="9"/>
      <c r="O13" s="9"/>
      <c r="P13" s="9"/>
      <c r="Q13" s="9"/>
      <c r="R13" s="9"/>
      <c r="S13" s="42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131</v>
      </c>
      <c r="E14" s="51" t="s">
        <v>130</v>
      </c>
      <c r="F14" s="51"/>
      <c r="G14" s="52" t="s">
        <v>287</v>
      </c>
      <c r="H14" s="52" t="s">
        <v>197</v>
      </c>
      <c r="I14" s="9" t="s">
        <v>192</v>
      </c>
      <c r="J14" s="9"/>
      <c r="K14" s="9" t="s">
        <v>192</v>
      </c>
      <c r="L14" s="9"/>
      <c r="M14" s="9" t="s">
        <v>192</v>
      </c>
      <c r="N14" s="9"/>
      <c r="O14" s="9"/>
      <c r="P14" s="9"/>
      <c r="Q14" s="9"/>
      <c r="R14" s="9"/>
      <c r="S14" s="42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117</v>
      </c>
      <c r="E15" s="51" t="s">
        <v>136</v>
      </c>
      <c r="F15" s="51"/>
      <c r="G15" s="52" t="s">
        <v>288</v>
      </c>
      <c r="H15" s="52" t="s">
        <v>199</v>
      </c>
      <c r="I15" s="9" t="s">
        <v>192</v>
      </c>
      <c r="J15" s="9"/>
      <c r="K15" s="9" t="s">
        <v>192</v>
      </c>
      <c r="L15" s="9"/>
      <c r="M15" s="9" t="s">
        <v>192</v>
      </c>
      <c r="N15" s="9"/>
      <c r="O15" s="9"/>
      <c r="P15" s="9"/>
      <c r="Q15" s="9"/>
      <c r="R15" s="9"/>
      <c r="S15" s="42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120</v>
      </c>
      <c r="E16" s="51" t="s">
        <v>138</v>
      </c>
      <c r="F16" s="51"/>
      <c r="G16" s="52" t="s">
        <v>289</v>
      </c>
      <c r="H16" s="52" t="s">
        <v>203</v>
      </c>
      <c r="I16" s="9" t="s">
        <v>192</v>
      </c>
      <c r="J16" s="9"/>
      <c r="K16" s="9" t="s">
        <v>192</v>
      </c>
      <c r="L16" s="9"/>
      <c r="M16" s="9" t="s">
        <v>192</v>
      </c>
      <c r="N16" s="9"/>
      <c r="O16" s="9"/>
      <c r="P16" s="9"/>
      <c r="Q16" s="9"/>
      <c r="R16" s="9"/>
      <c r="S16" s="42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126</v>
      </c>
      <c r="E17" s="51" t="s">
        <v>140</v>
      </c>
      <c r="F17" s="51"/>
      <c r="G17" s="52" t="s">
        <v>290</v>
      </c>
      <c r="H17" s="52" t="s">
        <v>205</v>
      </c>
      <c r="I17" s="9" t="s">
        <v>192</v>
      </c>
      <c r="J17" s="9"/>
      <c r="K17" s="9" t="s">
        <v>192</v>
      </c>
      <c r="L17" s="9"/>
      <c r="M17" s="9" t="s">
        <v>192</v>
      </c>
      <c r="N17" s="9"/>
      <c r="O17" s="9"/>
      <c r="P17" s="9"/>
      <c r="Q17" s="9"/>
      <c r="R17" s="9"/>
      <c r="S17" s="42"/>
      <c r="T17" s="53"/>
      <c r="U17" s="144"/>
      <c r="V17" s="145"/>
    </row>
    <row r="18" spans="1:22" s="11" customFormat="1" ht="26">
      <c r="A18" s="9">
        <v>10</v>
      </c>
      <c r="B18" s="9"/>
      <c r="C18" s="9"/>
      <c r="D18" s="9" t="s">
        <v>165</v>
      </c>
      <c r="E18" s="51" t="s">
        <v>138</v>
      </c>
      <c r="F18" s="51"/>
      <c r="G18" s="52" t="s">
        <v>291</v>
      </c>
      <c r="H18" s="52" t="s">
        <v>207</v>
      </c>
      <c r="I18" s="9" t="s">
        <v>192</v>
      </c>
      <c r="J18" s="9"/>
      <c r="K18" s="9" t="s">
        <v>192</v>
      </c>
      <c r="L18" s="9"/>
      <c r="M18" s="9" t="s">
        <v>192</v>
      </c>
      <c r="N18" s="9"/>
      <c r="O18" s="9"/>
      <c r="P18" s="9"/>
      <c r="Q18" s="9"/>
      <c r="R18" s="9"/>
      <c r="S18" s="42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163</v>
      </c>
      <c r="E19" s="51" t="s">
        <v>158</v>
      </c>
      <c r="F19" s="51"/>
      <c r="G19" s="52" t="s">
        <v>292</v>
      </c>
      <c r="H19" s="52" t="s">
        <v>162</v>
      </c>
      <c r="I19" s="9" t="s">
        <v>192</v>
      </c>
      <c r="J19" s="9"/>
      <c r="K19" s="9" t="s">
        <v>192</v>
      </c>
      <c r="L19" s="9"/>
      <c r="M19" s="9" t="s">
        <v>192</v>
      </c>
      <c r="N19" s="9"/>
      <c r="O19" s="9"/>
      <c r="P19" s="9"/>
      <c r="Q19" s="9"/>
      <c r="R19" s="9"/>
      <c r="S19" s="42"/>
      <c r="T19" s="53"/>
      <c r="U19" s="144"/>
      <c r="V19" s="145"/>
    </row>
    <row r="20" spans="1:22" s="11" customFormat="1" ht="26">
      <c r="A20" s="9">
        <v>10</v>
      </c>
      <c r="B20" s="9"/>
      <c r="C20" s="9"/>
      <c r="D20" s="9" t="s">
        <v>133</v>
      </c>
      <c r="E20" s="51" t="s">
        <v>142</v>
      </c>
      <c r="F20" s="51"/>
      <c r="G20" s="52" t="s">
        <v>293</v>
      </c>
      <c r="H20" s="52" t="s">
        <v>219</v>
      </c>
      <c r="I20" s="9" t="s">
        <v>192</v>
      </c>
      <c r="J20" s="9"/>
      <c r="K20" s="9" t="s">
        <v>192</v>
      </c>
      <c r="L20" s="9"/>
      <c r="M20" s="9" t="s">
        <v>192</v>
      </c>
      <c r="N20" s="9"/>
      <c r="O20" s="9"/>
      <c r="P20" s="9"/>
      <c r="Q20" s="9"/>
      <c r="R20" s="9"/>
      <c r="S20" s="42"/>
      <c r="T20" s="53"/>
      <c r="U20" s="144"/>
      <c r="V20" s="145"/>
    </row>
    <row r="21" spans="1:22" s="11" customFormat="1">
      <c r="A21" s="9">
        <v>10</v>
      </c>
      <c r="B21" s="9"/>
      <c r="C21" s="9"/>
      <c r="D21" s="9" t="s">
        <v>134</v>
      </c>
      <c r="E21" s="51" t="s">
        <v>52</v>
      </c>
      <c r="F21" s="51"/>
      <c r="G21" s="52" t="s">
        <v>294</v>
      </c>
      <c r="H21" s="52" t="s">
        <v>210</v>
      </c>
      <c r="I21" s="9" t="s">
        <v>192</v>
      </c>
      <c r="J21" s="9"/>
      <c r="K21" s="9" t="s">
        <v>192</v>
      </c>
      <c r="L21" s="9"/>
      <c r="M21" s="9" t="s">
        <v>192</v>
      </c>
      <c r="N21" s="9"/>
      <c r="O21" s="9"/>
      <c r="P21" s="9"/>
      <c r="Q21" s="9"/>
      <c r="R21" s="9"/>
      <c r="S21" s="42"/>
      <c r="T21" s="53"/>
      <c r="U21" s="144"/>
      <c r="V21" s="145"/>
    </row>
    <row r="22" spans="1:22" s="11" customFormat="1">
      <c r="A22" s="9">
        <v>10</v>
      </c>
      <c r="B22" s="9"/>
      <c r="C22" s="9"/>
      <c r="D22" s="9" t="s">
        <v>41</v>
      </c>
      <c r="E22" s="51" t="s">
        <v>43</v>
      </c>
      <c r="F22" s="51"/>
      <c r="G22" s="52" t="s">
        <v>295</v>
      </c>
      <c r="H22" s="52" t="s">
        <v>211</v>
      </c>
      <c r="I22" s="9" t="s">
        <v>192</v>
      </c>
      <c r="J22" s="9"/>
      <c r="K22" s="9" t="s">
        <v>192</v>
      </c>
      <c r="L22" s="9"/>
      <c r="M22" s="9" t="s">
        <v>192</v>
      </c>
      <c r="N22" s="9"/>
      <c r="O22" s="9"/>
      <c r="P22" s="9"/>
      <c r="Q22" s="9"/>
      <c r="R22" s="9"/>
      <c r="S22" s="42"/>
      <c r="T22" s="53"/>
      <c r="U22" s="144"/>
      <c r="V22" s="145"/>
    </row>
    <row r="23" spans="1:22" s="11" customFormat="1">
      <c r="A23" s="9">
        <v>10</v>
      </c>
      <c r="B23" s="9"/>
      <c r="C23" s="9"/>
      <c r="D23" s="9" t="s">
        <v>49</v>
      </c>
      <c r="E23" s="51" t="s">
        <v>50</v>
      </c>
      <c r="F23" s="51"/>
      <c r="G23" s="52" t="s">
        <v>296</v>
      </c>
      <c r="H23" s="52" t="s">
        <v>212</v>
      </c>
      <c r="I23" s="9" t="s">
        <v>192</v>
      </c>
      <c r="J23" s="9"/>
      <c r="K23" s="9" t="s">
        <v>192</v>
      </c>
      <c r="L23" s="9"/>
      <c r="M23" s="9" t="s">
        <v>192</v>
      </c>
      <c r="N23" s="9"/>
      <c r="O23" s="9"/>
      <c r="P23" s="9"/>
      <c r="Q23" s="9"/>
      <c r="R23" s="9"/>
      <c r="S23" s="42"/>
      <c r="T23" s="53"/>
      <c r="U23" s="144"/>
      <c r="V23" s="145"/>
    </row>
    <row r="24" spans="1:22" s="11" customFormat="1">
      <c r="A24" s="9">
        <v>10</v>
      </c>
      <c r="B24" s="9"/>
      <c r="C24" s="9"/>
      <c r="D24" s="9" t="s">
        <v>45</v>
      </c>
      <c r="E24" s="51" t="s">
        <v>47</v>
      </c>
      <c r="F24" s="51"/>
      <c r="G24" s="52" t="s">
        <v>297</v>
      </c>
      <c r="H24" s="52" t="s">
        <v>213</v>
      </c>
      <c r="I24" s="9" t="s">
        <v>192</v>
      </c>
      <c r="J24" s="9"/>
      <c r="K24" s="9" t="s">
        <v>192</v>
      </c>
      <c r="L24" s="9"/>
      <c r="M24" s="9" t="s">
        <v>192</v>
      </c>
      <c r="N24" s="9"/>
      <c r="O24" s="9"/>
      <c r="P24" s="9"/>
      <c r="Q24" s="9"/>
      <c r="R24" s="9"/>
      <c r="S24" s="42"/>
      <c r="T24" s="53"/>
      <c r="U24" s="144"/>
      <c r="V24" s="145"/>
    </row>
    <row r="25" spans="1:22" s="11" customFormat="1">
      <c r="A25" s="9">
        <v>10</v>
      </c>
      <c r="B25" s="9"/>
      <c r="C25" s="9"/>
      <c r="D25" s="9" t="s">
        <v>74</v>
      </c>
      <c r="E25" s="51" t="s">
        <v>52</v>
      </c>
      <c r="F25" s="51"/>
      <c r="G25" s="52" t="s">
        <v>298</v>
      </c>
      <c r="H25" s="52" t="s">
        <v>214</v>
      </c>
      <c r="I25" s="9" t="s">
        <v>192</v>
      </c>
      <c r="J25" s="9"/>
      <c r="K25" s="9" t="s">
        <v>192</v>
      </c>
      <c r="L25" s="9"/>
      <c r="M25" s="9" t="s">
        <v>192</v>
      </c>
      <c r="N25" s="9"/>
      <c r="O25" s="9"/>
      <c r="P25" s="9"/>
      <c r="Q25" s="9"/>
      <c r="R25" s="9"/>
      <c r="S25" s="42"/>
      <c r="T25" s="53"/>
      <c r="U25" s="144"/>
      <c r="V25" s="145"/>
    </row>
    <row r="26" spans="1:22" s="11" customFormat="1">
      <c r="A26" s="9">
        <v>10</v>
      </c>
      <c r="B26" s="9"/>
      <c r="C26" s="9"/>
      <c r="D26" s="9" t="s">
        <v>80</v>
      </c>
      <c r="E26" s="51" t="s">
        <v>81</v>
      </c>
      <c r="F26" s="51"/>
      <c r="G26" s="52" t="s">
        <v>299</v>
      </c>
      <c r="H26" s="52" t="s">
        <v>220</v>
      </c>
      <c r="I26" s="9" t="s">
        <v>192</v>
      </c>
      <c r="J26" s="9"/>
      <c r="K26" s="9" t="s">
        <v>192</v>
      </c>
      <c r="L26" s="9"/>
      <c r="M26" s="9" t="s">
        <v>192</v>
      </c>
      <c r="N26" s="9"/>
      <c r="O26" s="9"/>
      <c r="P26" s="9"/>
      <c r="Q26" s="9"/>
      <c r="R26" s="9"/>
      <c r="S26" s="42"/>
      <c r="T26" s="53"/>
      <c r="U26" s="144"/>
      <c r="V26" s="145"/>
    </row>
    <row r="27" spans="1:22" s="11" customFormat="1">
      <c r="A27" s="54"/>
      <c r="B27" s="55"/>
      <c r="C27" s="55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</row>
  </sheetData>
  <dataConsolidate/>
  <mergeCells count="15">
    <mergeCell ref="U16:V16"/>
    <mergeCell ref="U15:V15"/>
    <mergeCell ref="U14:V14"/>
    <mergeCell ref="U12:V12"/>
    <mergeCell ref="U21:V21"/>
    <mergeCell ref="U20:V20"/>
    <mergeCell ref="U19:V19"/>
    <mergeCell ref="U18:V18"/>
    <mergeCell ref="U17:V17"/>
    <mergeCell ref="U13:V13"/>
    <mergeCell ref="U26:V26"/>
    <mergeCell ref="U24:V24"/>
    <mergeCell ref="U23:V23"/>
    <mergeCell ref="U22:V22"/>
    <mergeCell ref="U25:V2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183</v>
      </c>
      <c r="B1" s="74" t="s">
        <v>183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183</v>
      </c>
      <c r="B2" s="76"/>
      <c r="C2" s="76"/>
      <c r="D2" s="86" t="s">
        <v>271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MABGL0540</v>
      </c>
      <c r="I2" s="7" t="s">
        <v>184</v>
      </c>
      <c r="J2" s="9" t="s">
        <v>98</v>
      </c>
      <c r="K2" s="7" t="s">
        <v>39</v>
      </c>
      <c r="L2" s="77" t="str">
        <f>IF(LogicCommon!G2="","",LogicCommon!G2)</f>
        <v>MC</v>
      </c>
      <c r="M2" s="5" t="s">
        <v>185</v>
      </c>
      <c r="N2" s="28" t="s">
        <v>269</v>
      </c>
      <c r="O2" s="7"/>
      <c r="P2" s="7"/>
      <c r="Q2" s="4"/>
      <c r="R2" s="27"/>
    </row>
    <row r="3" spans="1:18" s="11" customFormat="1">
      <c r="A3" s="78" t="s">
        <v>183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MABGL_PreAlcRateSelReg</v>
      </c>
      <c r="I3" s="7" t="s">
        <v>186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187</v>
      </c>
      <c r="P3" s="9" t="s">
        <v>188</v>
      </c>
      <c r="Q3" s="4"/>
      <c r="R3" s="27"/>
    </row>
    <row r="4" spans="1:18" s="11" customFormat="1">
      <c r="A4" s="78" t="s">
        <v>183</v>
      </c>
      <c r="B4" s="79"/>
      <c r="C4" s="79"/>
      <c r="D4" s="4"/>
      <c r="E4" s="7" t="s">
        <v>8</v>
      </c>
      <c r="F4" s="10" t="s">
        <v>181</v>
      </c>
      <c r="G4" s="7" t="s">
        <v>11</v>
      </c>
      <c r="H4" s="77" t="str">
        <f>IF(LogicCommon!E4="","",LogicCommon!E4)</f>
        <v>一次配賦基準選択マスタ登録</v>
      </c>
      <c r="I4" s="7" t="s">
        <v>189</v>
      </c>
      <c r="J4" s="9" t="s">
        <v>64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183</v>
      </c>
      <c r="B5" s="74"/>
      <c r="C5" s="74"/>
      <c r="D5" s="26"/>
      <c r="E5" s="7" t="s">
        <v>190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183</v>
      </c>
      <c r="B6" s="79"/>
      <c r="C6" s="79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5" t="s">
        <v>182</v>
      </c>
      <c r="M6" s="19"/>
      <c r="N6" s="19" t="s">
        <v>182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272</v>
      </c>
      <c r="E8" s="87" t="s">
        <v>273</v>
      </c>
      <c r="F8" s="85"/>
      <c r="G8" s="87" t="s">
        <v>216</v>
      </c>
      <c r="H8" s="87" t="s">
        <v>274</v>
      </c>
      <c r="I8" s="85"/>
      <c r="J8" s="3"/>
      <c r="K8" s="33" t="s">
        <v>16</v>
      </c>
      <c r="L8" s="35" t="s">
        <v>111</v>
      </c>
      <c r="M8" s="33" t="s">
        <v>16</v>
      </c>
      <c r="N8" s="35" t="s">
        <v>112</v>
      </c>
      <c r="O8" s="91"/>
      <c r="P8" s="92"/>
      <c r="Q8" s="93" t="s">
        <v>283</v>
      </c>
      <c r="R8" s="53"/>
    </row>
    <row r="9" spans="1:18" s="11" customFormat="1" ht="60" customHeight="1">
      <c r="A9" s="9" t="s">
        <v>17</v>
      </c>
      <c r="B9" s="38"/>
      <c r="C9" s="39"/>
      <c r="D9" s="87" t="s">
        <v>300</v>
      </c>
      <c r="E9" s="94" t="s">
        <v>301</v>
      </c>
      <c r="F9" s="87" t="s">
        <v>277</v>
      </c>
      <c r="G9" s="87" t="s">
        <v>278</v>
      </c>
      <c r="H9" s="87" t="s">
        <v>279</v>
      </c>
      <c r="I9" s="95" t="s">
        <v>280</v>
      </c>
      <c r="J9" s="87" t="s">
        <v>281</v>
      </c>
      <c r="K9" s="33"/>
      <c r="L9" s="33"/>
      <c r="M9" s="33"/>
      <c r="N9" s="33"/>
      <c r="O9" s="93" t="s">
        <v>282</v>
      </c>
      <c r="P9" s="53"/>
      <c r="Q9" s="93" t="s">
        <v>284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280</v>
      </c>
      <c r="L10" s="88" t="s">
        <v>281</v>
      </c>
      <c r="M10" s="88" t="s">
        <v>280</v>
      </c>
      <c r="N10" s="88" t="s">
        <v>281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46" t="s">
        <v>261</v>
      </c>
      <c r="I11" s="47"/>
      <c r="J11" s="48"/>
      <c r="K11" s="49" t="s">
        <v>262</v>
      </c>
      <c r="L11" s="49"/>
      <c r="M11" s="49" t="s">
        <v>263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113</v>
      </c>
      <c r="E12" s="51" t="s">
        <v>128</v>
      </c>
      <c r="F12" s="51"/>
      <c r="G12" s="52" t="s">
        <v>285</v>
      </c>
      <c r="H12" s="52" t="s">
        <v>191</v>
      </c>
      <c r="I12" s="9" t="s">
        <v>192</v>
      </c>
      <c r="J12" s="9"/>
      <c r="K12" s="9" t="s">
        <v>192</v>
      </c>
      <c r="L12" s="9"/>
      <c r="M12" s="9" t="s">
        <v>192</v>
      </c>
      <c r="N12" s="9"/>
      <c r="O12" s="42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156</v>
      </c>
      <c r="E13" s="51" t="s">
        <v>158</v>
      </c>
      <c r="F13" s="51"/>
      <c r="G13" s="52" t="s">
        <v>286</v>
      </c>
      <c r="H13" s="52" t="s">
        <v>160</v>
      </c>
      <c r="I13" s="9" t="s">
        <v>192</v>
      </c>
      <c r="J13" s="9"/>
      <c r="K13" s="9" t="s">
        <v>192</v>
      </c>
      <c r="L13" s="9"/>
      <c r="M13" s="9" t="s">
        <v>192</v>
      </c>
      <c r="N13" s="9"/>
      <c r="O13" s="42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131</v>
      </c>
      <c r="E14" s="51" t="s">
        <v>130</v>
      </c>
      <c r="F14" s="51"/>
      <c r="G14" s="52" t="s">
        <v>287</v>
      </c>
      <c r="H14" s="52" t="s">
        <v>197</v>
      </c>
      <c r="I14" s="9" t="s">
        <v>192</v>
      </c>
      <c r="J14" s="9"/>
      <c r="K14" s="9" t="s">
        <v>192</v>
      </c>
      <c r="L14" s="9"/>
      <c r="M14" s="9" t="s">
        <v>192</v>
      </c>
      <c r="N14" s="9"/>
      <c r="O14" s="42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117</v>
      </c>
      <c r="E15" s="51" t="s">
        <v>136</v>
      </c>
      <c r="F15" s="51"/>
      <c r="G15" s="52" t="s">
        <v>288</v>
      </c>
      <c r="H15" s="52" t="s">
        <v>199</v>
      </c>
      <c r="I15" s="9" t="s">
        <v>192</v>
      </c>
      <c r="J15" s="9"/>
      <c r="K15" s="9" t="s">
        <v>192</v>
      </c>
      <c r="L15" s="9"/>
      <c r="M15" s="9" t="s">
        <v>192</v>
      </c>
      <c r="N15" s="9"/>
      <c r="O15" s="42"/>
      <c r="P15" s="53"/>
      <c r="Q15" s="144"/>
      <c r="R15" s="145"/>
    </row>
    <row r="16" spans="1:18" s="11" customFormat="1">
      <c r="A16" s="9">
        <v>10</v>
      </c>
      <c r="B16" s="9"/>
      <c r="C16" s="9"/>
      <c r="D16" s="9" t="s">
        <v>120</v>
      </c>
      <c r="E16" s="51" t="s">
        <v>138</v>
      </c>
      <c r="F16" s="51"/>
      <c r="G16" s="52" t="s">
        <v>289</v>
      </c>
      <c r="H16" s="52" t="s">
        <v>203</v>
      </c>
      <c r="I16" s="9" t="s">
        <v>192</v>
      </c>
      <c r="J16" s="9"/>
      <c r="K16" s="9" t="s">
        <v>192</v>
      </c>
      <c r="L16" s="9"/>
      <c r="M16" s="9" t="s">
        <v>192</v>
      </c>
      <c r="N16" s="9"/>
      <c r="O16" s="42"/>
      <c r="P16" s="53"/>
      <c r="Q16" s="144"/>
      <c r="R16" s="145"/>
    </row>
    <row r="17" spans="1:18" s="11" customFormat="1">
      <c r="A17" s="9">
        <v>10</v>
      </c>
      <c r="B17" s="9"/>
      <c r="C17" s="9"/>
      <c r="D17" s="9" t="s">
        <v>80</v>
      </c>
      <c r="E17" s="51" t="s">
        <v>81</v>
      </c>
      <c r="F17" s="51"/>
      <c r="G17" s="52" t="s">
        <v>299</v>
      </c>
      <c r="H17" s="52" t="s">
        <v>220</v>
      </c>
      <c r="I17" s="9" t="s">
        <v>193</v>
      </c>
      <c r="J17" s="9"/>
      <c r="K17" s="9" t="s">
        <v>193</v>
      </c>
      <c r="L17" s="9"/>
      <c r="M17" s="9" t="s">
        <v>193</v>
      </c>
      <c r="N17" s="9"/>
      <c r="O17" s="44"/>
      <c r="P17" s="37"/>
      <c r="Q17" s="72"/>
      <c r="R17" s="50"/>
    </row>
    <row r="18" spans="1:18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8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5">
    <mergeCell ref="Q12:R12"/>
    <mergeCell ref="Q14:R14"/>
    <mergeCell ref="Q15:R15"/>
    <mergeCell ref="Q16:R16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4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26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27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13"/>
      <c r="I5" s="114"/>
      <c r="J5" s="114"/>
      <c r="K5" s="114"/>
      <c r="L5" s="114"/>
      <c r="M5" s="114"/>
      <c r="N5" s="115"/>
      <c r="O5" s="138" t="s">
        <v>332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333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10"/>
      <c r="B7" s="111"/>
      <c r="C7" s="111"/>
      <c r="D7" s="111"/>
      <c r="E7" s="111"/>
      <c r="F7" s="111"/>
      <c r="G7" s="11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10"/>
      <c r="B8" s="111"/>
      <c r="C8" s="111"/>
      <c r="D8" s="111"/>
      <c r="E8" s="111"/>
      <c r="F8" s="111"/>
      <c r="G8" s="11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10"/>
      <c r="B9" s="111"/>
      <c r="C9" s="111"/>
      <c r="D9" s="111"/>
      <c r="E9" s="111"/>
      <c r="F9" s="111"/>
      <c r="G9" s="11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PreAlcRateSel_UpdChk01</vt:lpstr>
      <vt:lpstr>PreAlcRateSel_Upd01</vt:lpstr>
      <vt:lpstr>PreAlcRateSel_DelChk01</vt:lpstr>
      <vt:lpstr>PreAlcRateSel_Del01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2026-03-27T05:44:22Z</dcterms:modified>
  <cp:category/>
</cp:coreProperties>
</file>