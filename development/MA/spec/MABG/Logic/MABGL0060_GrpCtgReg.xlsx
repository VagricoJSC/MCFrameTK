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E3DA4FB4-215D-44EF-B887-B4B14A032B22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GrpCtg_UpdChk01" sheetId="18" r:id="rId2"/>
    <sheet name="GrpCtg_Upd01" sheetId="15" r:id="rId3"/>
    <sheet name="GrpCtg_DelChk01" sheetId="21" r:id="rId4"/>
    <sheet name="GrpCtg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<sst xmlns="http://schemas.openxmlformats.org/spreadsheetml/2006/main" count="775" uniqueCount="181">
  <si>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</si>
  <si>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</si>
  <si>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</si>
  <si>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</si>
  <si>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</si>
  <si>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</si>
  <si>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</si>
  <si>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</si>
  <si>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</si>
  <si>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</si>
  <si>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</si>
  <si>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</si>
  <si>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</si>
  <si>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</si>
  <si>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</si>
  <si>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</si>
  <si>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</si>
  <si>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</si>
  <si>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</si>
  <si>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</si>
  <si>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</si>
  <si>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</si>
  <si>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</si>
  <si>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</si>
  <si>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</si>
  <si>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</si>
  <si>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Srch01</t>
    <phoneticPr fontId="2"/>
  </si>
  <si>
    <t>@</t>
    <phoneticPr fontId="2"/>
  </si>
  <si>
    <t>ReportID :</t>
    <phoneticPr fontId="2"/>
  </si>
  <si>
    <t>Upd01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</si>
  <si>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</si>
  <si>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</si>
  <si>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</si>
  <si>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</si>
  <si>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</si>
  <si>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ID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</si>
  <si>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</si>
  <si>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</si>
  <si>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</si>
  <si>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</si>
  <si>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</si>
  <si>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Del01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</si>
  <si>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</si>
  <si>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</si>
  <si>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</si>
  <si>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</si>
  <si>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</si>
  <si>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39"/>
  </si>
  <si>
    <t>UPDATE.updMaster</t>
    <phoneticPr fontId="2"/>
  </si>
  <si>
    <t>MAIN.chkMaster</t>
    <phoneticPr fontId="39"/>
  </si>
  <si>
    <t>$share$</t>
  </si>
  <si>
    <t>@</t>
  </si>
  <si>
    <t>K</t>
  </si>
  <si>
    <t>REQUIRED</t>
  </si>
  <si>
    <t>CALL_OPE01.chk01</t>
    <phoneticPr fontId="2"/>
  </si>
  <si>
    <t>CALL_OPE01.upd01</t>
    <phoneticPr fontId="2"/>
  </si>
  <si>
    <t>CALL_OPE01.chk01</t>
    <phoneticPr fontId="39"/>
  </si>
  <si>
    <t>CALL_OPE01.del01</t>
    <phoneticPr fontId="39"/>
  </si>
  <si>
    <t>K</t>
    <phoneticPr fontId="39"/>
  </si>
  <si>
    <t>CONST</t>
    <phoneticPr fontId="39"/>
  </si>
  <si>
    <t>K</t>
    <phoneticPr fontId="2"/>
  </si>
  <si>
    <t>CONST</t>
    <phoneticPr fontId="2"/>
  </si>
  <si>
    <t>$super$</t>
    <phoneticPr fontId="39"/>
  </si>
  <si>
    <t>計算グループカテゴリマスタ登録</t>
  </si>
  <si>
    <t>MABG</t>
  </si>
  <si>
    <t>MABGL0060</t>
  </si>
  <si>
    <t>MABGL_GrpCtgReg</t>
  </si>
  <si>
    <t>GrpCtg_UpdChk01</t>
  </si>
  <si>
    <t>GrpCtg_Upd01</t>
  </si>
  <si>
    <t>GrpCtg_DelChk01</t>
  </si>
  <si>
    <t>GrpCtg_DelChk01_Dtl</t>
  </si>
  <si>
    <t>GrpCtg_Del01</t>
  </si>
  <si>
    <t>GrpCtg_Del01_Dtl</t>
  </si>
  <si>
    <t>OPE.MA.MABGL0060.GrpCtg_UpdChk01</t>
  </si>
  <si>
    <t>OPE.MA.MABGL0060.GrpCtg_Upd01</t>
  </si>
  <si>
    <t>OPE.MA.MABGL0060.GrpCtg_DelChk01</t>
  </si>
  <si>
    <t>OPE.MA.MABGL0060.GrpCtg_Del01</t>
  </si>
  <si>
    <t>calc_grp_cd</t>
  </si>
  <si>
    <t>calc_grp_nm</t>
  </si>
  <si>
    <t>#MA.CALC_GRP_CD</t>
  </si>
  <si>
    <t>#MA.CALC_GRP_NM</t>
  </si>
  <si>
    <t>calc_ctg_typ</t>
    <phoneticPr fontId="2"/>
  </si>
  <si>
    <t>calc_ctg_nm</t>
    <phoneticPr fontId="2"/>
  </si>
  <si>
    <t>#MA.CALC_CTG_NM</t>
    <phoneticPr fontId="2"/>
  </si>
  <si>
    <t>ctg_prio</t>
    <phoneticPr fontId="2"/>
  </si>
  <si>
    <t>#MA.CALC_CTG_TYP</t>
    <phoneticPr fontId="2"/>
  </si>
  <si>
    <t>K</t>
    <phoneticPr fontId="39"/>
  </si>
  <si>
    <t>LIST_LOGIC</t>
    <phoneticPr fontId="39"/>
  </si>
  <si>
    <t>GrpCtg_Upd01_Dtl</t>
    <phoneticPr fontId="39"/>
  </si>
  <si>
    <t>del_flg</t>
  </si>
  <si>
    <t>#MA.FLG</t>
  </si>
  <si>
    <t>calc_grp_cd</t>
    <phoneticPr fontId="2"/>
  </si>
  <si>
    <t>GrpCtg_UpdChk01_Dtl</t>
    <phoneticPr fontId="39"/>
  </si>
  <si>
    <t>calc_grp_cd</t>
    <phoneticPr fontId="39"/>
  </si>
  <si>
    <t>calc_grp_cd</t>
    <phoneticPr fontId="2"/>
  </si>
  <si>
    <t>upd_cntr</t>
  </si>
  <si>
    <t>#MA.UPD_CNT</t>
  </si>
  <si>
    <t>#MA.UPD_CNT</t>
    <phoneticPr fontId="2"/>
  </si>
  <si>
    <t>SMALL_LARGE</t>
  </si>
  <si>
    <t>K</t>
    <phoneticPr fontId="39"/>
  </si>
  <si>
    <t>Srch01_Rslt</t>
    <phoneticPr fontId="2"/>
  </si>
  <si>
    <t>Upd01_Rslt</t>
    <phoneticPr fontId="2"/>
  </si>
  <si>
    <t>Del01_Rslt</t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</si>
  <si>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</si>
  <si>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</si>
  <si>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</si>
  <si>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計算グループカテゴリマスタを削除する</t>
    <rPh sb="14" eb="16">
      <t>サクジョ</t>
    </rPh>
    <phoneticPr fontId="3"/>
  </si>
  <si>
    <t>削除処理</t>
    <rPh sb="0" eb="2">
      <t>サクジョ</t>
    </rPh>
    <rPh sb="2" eb="4">
      <t>ショリ</t>
    </rPh>
    <phoneticPr fontId="3"/>
  </si>
  <si>
    <t>計算グループカテゴリマスタを削除する前のチェックを行う</t>
    <rPh sb="14" eb="16">
      <t>サクジョ</t>
    </rPh>
    <rPh sb="18" eb="19">
      <t>マエ</t>
    </rPh>
    <rPh sb="25" eb="26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</si>
  <si>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</si>
  <si>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計算グループカテゴリマスタを登録する</t>
    <rPh sb="14" eb="16">
      <t>トウロク</t>
    </rPh>
    <phoneticPr fontId="3"/>
  </si>
  <si>
    <t>登録処理</t>
    <rPh sb="0" eb="2">
      <t>トウロク</t>
    </rPh>
    <rPh sb="2" eb="4">
      <t>ショリ</t>
    </rPh>
    <phoneticPr fontId="3"/>
  </si>
  <si>
    <t>計算グループカテゴリマスタを登録する前のチェックを行う</t>
    <rPh sb="14" eb="16">
      <t>トウロク</t>
    </rPh>
    <rPh sb="18" eb="19">
      <t>マエ</t>
    </rPh>
    <rPh sb="25" eb="26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</si>
  <si>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</si>
  <si>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2"/>
  </si>
  <si>
    <t>計算グループ</t>
    <phoneticPr fontId="2"/>
  </si>
  <si>
    <t>更新カウンタ</t>
    <phoneticPr fontId="2"/>
  </si>
  <si>
    <t>calc_ctg_cd</t>
    <phoneticPr fontId="2"/>
  </si>
  <si>
    <t>#MA.CALC_CTG_CD</t>
    <phoneticPr fontId="2"/>
  </si>
  <si>
    <t>#MA.INT2</t>
    <phoneticPr fontId="2"/>
  </si>
  <si>
    <t>super/share</t>
    <phoneticPr fontId="2"/>
  </si>
  <si>
    <t>Ope.Method :</t>
    <phoneticPr fontId="2"/>
  </si>
  <si>
    <t>*</t>
    <phoneticPr fontId="2"/>
  </si>
  <si>
    <t>Ope.ID :</t>
    <phoneticPr fontId="2"/>
  </si>
  <si>
    <t xml:space="preserve">Ope.Body : 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</si>
  <si>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</si>
  <si>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</si>
  <si>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</si>
  <si>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</si>
  <si>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E</t>
    <phoneticPr fontId="39"/>
  </si>
  <si>
    <t>MA.MAUAL0010.CalcGrp</t>
    <phoneticPr fontId="2"/>
  </si>
  <si>
    <t>計算カテゴリ区分</t>
    <phoneticPr fontId="2"/>
  </si>
  <si>
    <t>MAC_CALC_CTG_TYP</t>
    <phoneticPr fontId="39"/>
  </si>
  <si>
    <t>計算カテゴリＣＤ</t>
    <phoneticPr fontId="2"/>
  </si>
  <si>
    <t>MA.MAUAL0010.CalcCtg</t>
    <phoneticPr fontId="2"/>
  </si>
  <si>
    <t>優先順位</t>
    <phoneticPr fontId="2"/>
  </si>
  <si>
    <t>0:99</t>
    <phoneticPr fontId="39"/>
  </si>
  <si>
    <t>論理削除</t>
    <phoneticPr fontId="2"/>
  </si>
  <si>
    <t>E</t>
    <phoneticPr fontId="2"/>
  </si>
  <si>
    <t>MA.MABGL0060.GrpCtg_UpdChk01.GrpCtg_UpdChk01_Dtl</t>
    <phoneticPr fontId="2"/>
  </si>
  <si>
    <t>L</t>
    <phoneticPr fontId="39"/>
  </si>
  <si>
    <t>MA.MABGL0060.GrpCtg_DelChk01.GrpCtg_DelChk01_Dtl</t>
    <phoneticPr fontId="2"/>
  </si>
  <si>
    <t>計算グループ名</t>
    <phoneticPr fontId="2"/>
  </si>
  <si>
    <t>計算カテゴリ名</t>
    <phoneticPr fontId="2"/>
  </si>
  <si>
    <t>MA.MABGL0060.GrpCtg_Upd01.GrpCtg_Upd01_Dtl</t>
    <phoneticPr fontId="39"/>
  </si>
  <si>
    <t>GrpCtg_UpdChk01_Dtl</t>
    <phoneticPr fontId="2"/>
  </si>
  <si>
    <t>GrpCtg_Upd01_Dtl</t>
    <phoneticPr fontId="2"/>
  </si>
  <si>
    <t>MA.MABGL0060.GrpCtg_Del01.GrpCtg_Del01_Dtl</t>
    <phoneticPr fontId="39"/>
  </si>
  <si>
    <t>GrpCtg_DelChk01_Dtl</t>
    <phoneticPr fontId="2"/>
  </si>
  <si>
    <t>GrpCtg_Del01_Dtl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</si>
  <si>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</si>
  <si>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</si>
  <si>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</si>
  <si>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</si>
  <si>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DBC:MA.MAM_GRP_CTG</t>
    <phoneticPr fontId="39"/>
  </si>
  <si>
    <t>DBC.MA.MAM_GRP_CTG</t>
    <phoneticPr fontId="2"/>
  </si>
  <si>
    <t>DBC.MA.MAM_GRP_CTG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</si>
  <si>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</si>
  <si>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</si>
  <si>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</si>
  <si>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</si>
  <si>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</si>
  <si>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</si>
  <si>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</si>
  <si>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</si>
  <si>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</si>
  <si>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</si>
  <si>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</si>
  <si>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</si>
  <si>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</si>
  <si>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</si>
  <si>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Calculation group</t>
  </si>
  <si>
    <t>Calculation category type</t>
  </si>
  <si>
    <t>Calculation category cd.</t>
  </si>
  <si>
    <t>Priority</t>
  </si>
  <si>
    <t>Logical delete</t>
  </si>
  <si>
    <t>Update counter</t>
  </si>
  <si>
    <t>Calculation group name</t>
  </si>
  <si>
    <t>Calculation category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</si>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</sst>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6">
    <xf numFmtId="0" fontId="0" fillId="0" borderId="0">
      <alignment vertical="top" wrapText="1"/>
    </xf>
    <xf numFmtId="0" fontId="22" fillId="0" borderId="0"/>
    <xf numFmtId="0" fontId="22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8" fillId="0" borderId="0"/>
    <xf numFmtId="0" fontId="28" fillId="0" borderId="0">
      <alignment vertical="center"/>
    </xf>
    <xf numFmtId="0" fontId="28" fillId="0" borderId="0">
      <alignment vertical="center"/>
    </xf>
    <xf numFmtId="0" fontId="31" fillId="0" borderId="0"/>
    <xf numFmtId="0" fontId="37" fillId="0" borderId="0"/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" fillId="0" borderId="0"/>
    <xf numFmtId="0" fontId="4" fillId="0" borderId="0">
      <alignment vertical="top"/>
    </xf>
    <xf numFmtId="38" fontId="31" fillId="0" borderId="0" applyFont="0" applyFill="0" applyBorder="0" applyAlignment="0" applyProtection="0"/>
    <xf numFmtId="0" fontId="40" fillId="0" borderId="0"/>
    <xf numFmtId="0" fontId="21" fillId="6" borderId="0" applyNumberFormat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49">
    <xf numFmtId="0" fontId="0" fillId="0" borderId="0" xfId="0">
      <alignment vertical="top" wrapText="1"/>
    </xf>
    <xf numFmtId="0" fontId="41" fillId="0" borderId="18" xfId="0" applyFont="1" applyBorder="1" applyAlignment="1">
      <alignment vertical="center"/>
    </xf>
    <xf numFmtId="0" fontId="41" fillId="0" borderId="18" xfId="0" applyFont="1" applyBorder="1" applyAlignment="1">
      <alignment horizontal="left" vertical="top"/>
    </xf>
    <xf numFmtId="0" fontId="41" fillId="0" borderId="18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19" xfId="0" applyFont="1" applyBorder="1" applyAlignment="1">
      <alignment vertical="top"/>
    </xf>
    <xf numFmtId="0" fontId="41" fillId="0" borderId="20" xfId="0" applyFont="1" applyBorder="1" applyAlignment="1">
      <alignment vertical="top"/>
    </xf>
    <xf numFmtId="20" fontId="41" fillId="27" borderId="20" xfId="0" applyNumberFormat="1" applyFont="1" applyFill="1" applyBorder="1" applyAlignment="1">
      <alignment horizontal="left" vertical="top"/>
    </xf>
    <xf numFmtId="0" fontId="41" fillId="27" borderId="20" xfId="0" applyFont="1" applyFill="1" applyBorder="1" applyAlignment="1">
      <alignment vertical="top"/>
    </xf>
    <xf numFmtId="0" fontId="41" fillId="27" borderId="20" xfId="0" quotePrefix="1" applyFont="1" applyFill="1" applyBorder="1" applyAlignment="1">
      <alignment vertical="top"/>
    </xf>
    <xf numFmtId="0" fontId="41" fillId="0" borderId="0" xfId="0" applyFont="1">
      <alignment vertical="top" wrapText="1"/>
    </xf>
    <xf numFmtId="0" fontId="41" fillId="27" borderId="20" xfId="0" applyFont="1" applyFill="1" applyBorder="1" applyAlignment="1">
      <alignment horizontal="left" vertical="top"/>
    </xf>
    <xf numFmtId="0" fontId="41" fillId="28" borderId="20" xfId="179" applyFont="1" applyFill="1" applyBorder="1" applyAlignment="1">
      <alignment vertical="top"/>
    </xf>
    <xf numFmtId="0" fontId="41" fillId="0" borderId="0" xfId="0" applyFont="1" applyAlignment="1"/>
    <xf numFmtId="0" fontId="41" fillId="0" borderId="23" xfId="0" applyFont="1" applyBorder="1" applyAlignment="1">
      <alignment vertical="top"/>
    </xf>
    <xf numFmtId="0" fontId="41" fillId="28" borderId="2" xfId="0" applyFont="1" applyFill="1" applyBorder="1" applyAlignment="1">
      <alignment vertical="top"/>
    </xf>
    <xf numFmtId="0" fontId="41" fillId="28" borderId="2" xfId="0" applyFont="1" applyFill="1" applyBorder="1" applyAlignment="1">
      <alignment horizontal="left" vertical="top"/>
    </xf>
    <xf numFmtId="0" fontId="41" fillId="28" borderId="24" xfId="0" applyFont="1" applyFill="1" applyBorder="1" applyAlignment="1">
      <alignment vertical="top"/>
    </xf>
    <xf numFmtId="0" fontId="41" fillId="0" borderId="18" xfId="0" applyFont="1" applyBorder="1">
      <alignment vertical="top" wrapText="1"/>
    </xf>
    <xf numFmtId="0" fontId="41" fillId="0" borderId="22" xfId="0" applyFont="1" applyBorder="1">
      <alignment vertical="top" wrapText="1"/>
    </xf>
    <xf numFmtId="0" fontId="41" fillId="0" borderId="19" xfId="0" applyFont="1" applyBorder="1" applyAlignment="1">
      <alignment vertical="center"/>
    </xf>
    <xf numFmtId="0" fontId="41" fillId="0" borderId="19" xfId="0" applyFont="1" applyBorder="1" applyAlignment="1">
      <alignment horizontal="left" vertical="top"/>
    </xf>
    <xf numFmtId="0" fontId="41" fillId="0" borderId="21" xfId="0" applyFont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 applyAlignment="1">
      <alignment horizontal="left" vertical="top"/>
    </xf>
    <xf numFmtId="0" fontId="41" fillId="0" borderId="22" xfId="0" applyFont="1" applyBorder="1" applyAlignment="1">
      <alignment vertical="top"/>
    </xf>
    <xf numFmtId="0" fontId="41" fillId="0" borderId="0" xfId="0" applyFont="1" applyAlignment="1" applyProtection="1">
      <alignment vertical="center"/>
      <protection locked="0"/>
    </xf>
    <xf numFmtId="0" fontId="41" fillId="27" borderId="20" xfId="0" applyFont="1" applyFill="1" applyBorder="1" applyAlignment="1">
      <alignment vertical="center"/>
    </xf>
    <xf numFmtId="0" fontId="41" fillId="0" borderId="0" xfId="0" applyFont="1" applyAlignment="1" applyProtection="1">
      <alignment vertical="top"/>
      <protection locked="0"/>
    </xf>
    <xf numFmtId="0" fontId="41" fillId="27" borderId="19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 applyProtection="1">
      <alignment vertical="top"/>
      <protection locked="0"/>
    </xf>
    <xf numFmtId="0" fontId="41" fillId="0" borderId="20" xfId="0" applyFont="1" applyBorder="1" applyAlignment="1" applyProtection="1">
      <alignment vertical="top"/>
      <protection locked="0"/>
    </xf>
    <xf numFmtId="0" fontId="41" fillId="27" borderId="20" xfId="180" applyFont="1" applyFill="1" applyBorder="1" applyAlignment="1">
      <alignment vertical="top"/>
    </xf>
    <xf numFmtId="0" fontId="41" fillId="27" borderId="20" xfId="0" applyFont="1" applyFill="1" applyBorder="1" applyAlignment="1"/>
    <xf numFmtId="0" fontId="41" fillId="27" borderId="27" xfId="0" applyFont="1" applyFill="1" applyBorder="1" applyAlignment="1">
      <alignment vertical="top"/>
    </xf>
    <xf numFmtId="0" fontId="41" fillId="27" borderId="24" xfId="0" applyFont="1" applyFill="1" applyBorder="1" applyAlignment="1">
      <alignment vertical="top"/>
    </xf>
    <xf numFmtId="0" fontId="41" fillId="0" borderId="20" xfId="0" applyFont="1" applyBorder="1" applyAlignment="1" applyProtection="1">
      <protection locked="0"/>
    </xf>
    <xf numFmtId="0" fontId="41" fillId="0" borderId="27" xfId="0" applyFont="1" applyBorder="1" applyAlignment="1" applyProtection="1">
      <protection locked="0"/>
    </xf>
    <xf numFmtId="0" fontId="41" fillId="0" borderId="24" xfId="0" applyFont="1" applyBorder="1" applyAlignment="1" applyProtection="1">
      <protection locked="0"/>
    </xf>
    <xf numFmtId="0" fontId="41" fillId="27" borderId="27" xfId="0" applyFont="1" applyFill="1" applyBorder="1" applyAlignment="1" applyProtection="1">
      <alignment vertical="top"/>
      <protection locked="0"/>
    </xf>
    <xf numFmtId="0" fontId="41" fillId="27" borderId="2" xfId="0" applyFont="1" applyFill="1" applyBorder="1" applyAlignment="1" applyProtection="1">
      <alignment vertical="top"/>
      <protection locked="0"/>
    </xf>
    <xf numFmtId="0" fontId="41" fillId="0" borderId="2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protection locked="0"/>
    </xf>
    <xf numFmtId="0" fontId="41" fillId="0" borderId="2" xfId="0" applyFont="1" applyBorder="1" applyAlignment="1" applyProtection="1">
      <protection locked="0"/>
    </xf>
    <xf numFmtId="0" fontId="41" fillId="0" borderId="24" xfId="0" applyFont="1" applyBorder="1" applyAlignment="1"/>
    <xf numFmtId="0" fontId="41" fillId="27" borderId="24" xfId="0" applyFont="1" applyFill="1" applyBorder="1" applyAlignment="1"/>
    <xf numFmtId="0" fontId="41" fillId="0" borderId="27" xfId="0" applyFont="1" applyBorder="1" applyAlignment="1"/>
    <xf numFmtId="0" fontId="41" fillId="0" borderId="2" xfId="0" applyFont="1" applyBorder="1" applyAlignment="1"/>
    <xf numFmtId="0" fontId="41" fillId="27" borderId="20" xfId="0" applyFont="1" applyFill="1" applyBorder="1" applyAlignment="1" applyProtection="1">
      <protection locked="0"/>
    </xf>
    <xf numFmtId="0" fontId="41" fillId="27" borderId="20" xfId="0" applyFont="1" applyFill="1" applyBorder="1">
      <alignment vertical="top" wrapText="1"/>
    </xf>
    <xf numFmtId="0" fontId="41" fillId="28" borderId="20" xfId="0" applyFont="1" applyFill="1" applyBorder="1">
      <alignment vertical="top" wrapText="1"/>
    </xf>
    <xf numFmtId="0" fontId="41" fillId="0" borderId="24" xfId="0" applyFont="1" applyBorder="1" applyAlignment="1" applyProtection="1">
      <alignment vertical="top"/>
      <protection locked="0"/>
    </xf>
    <xf numFmtId="0" fontId="41" fillId="27" borderId="26" xfId="0" applyFont="1" applyFill="1" applyBorder="1" applyAlignment="1" applyProtection="1">
      <alignment vertical="top"/>
      <protection locked="0"/>
    </xf>
    <xf numFmtId="0" fontId="41" fillId="27" borderId="0" xfId="0" applyFont="1" applyFill="1" applyAlignment="1" applyProtection="1">
      <alignment vertical="top"/>
      <protection locked="0"/>
    </xf>
    <xf numFmtId="0" fontId="41" fillId="0" borderId="23" xfId="0" applyFont="1" applyBorder="1">
      <alignment vertical="top" wrapText="1"/>
    </xf>
    <xf numFmtId="0" fontId="41" fillId="0" borderId="48" xfId="0" applyFont="1" applyBorder="1" applyAlignment="1" applyProtection="1">
      <alignment vertical="top"/>
      <protection locked="0"/>
    </xf>
    <xf numFmtId="0" fontId="41" fillId="0" borderId="27" xfId="0" applyFont="1" applyBorder="1" applyAlignment="1" applyProtection="1">
      <alignment vertical="top"/>
      <protection locked="0"/>
    </xf>
    <xf numFmtId="0" fontId="41" fillId="0" borderId="22" xfId="0" applyFont="1" applyBorder="1" applyAlignment="1"/>
    <xf numFmtId="0" fontId="41" fillId="0" borderId="28" xfId="0" applyFont="1" applyBorder="1" applyAlignment="1"/>
    <xf numFmtId="0" fontId="41" fillId="0" borderId="18" xfId="0" applyFont="1" applyBorder="1" applyAlignment="1"/>
    <xf numFmtId="0" fontId="41" fillId="27" borderId="25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center"/>
      <protection locked="0"/>
    </xf>
    <xf numFmtId="0" fontId="41" fillId="0" borderId="19" xfId="0" applyFont="1" applyBorder="1" applyAlignment="1" applyProtection="1">
      <alignment horizontal="left" vertical="top"/>
      <protection locked="0"/>
    </xf>
    <xf numFmtId="0" fontId="41" fillId="0" borderId="21" xfId="0" applyFont="1" applyBorder="1" applyAlignment="1" applyProtection="1">
      <alignment vertical="top"/>
      <protection locked="0"/>
    </xf>
    <xf numFmtId="0" fontId="44" fillId="0" borderId="0" xfId="178" applyFont="1"/>
    <xf numFmtId="0" fontId="44" fillId="0" borderId="0" xfId="178" applyFont="1" applyAlignment="1">
      <alignment horizontal="center" vertical="center"/>
    </xf>
    <xf numFmtId="0" fontId="44" fillId="0" borderId="0" xfId="178" applyFont="1" applyAlignment="1">
      <alignment horizontal="center"/>
    </xf>
    <xf numFmtId="0" fontId="44" fillId="0" borderId="0" xfId="181" applyFont="1"/>
    <xf numFmtId="0" fontId="44" fillId="0" borderId="0" xfId="181" applyFont="1" applyAlignment="1">
      <alignment horizontal="center"/>
    </xf>
    <xf numFmtId="0" fontId="41" fillId="28" borderId="27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1" fillId="28" borderId="24" xfId="0" applyFont="1" applyFill="1" applyBorder="1" applyAlignment="1" applyProtection="1">
      <protection locked="0"/>
    </xf>
    <xf numFmtId="49" fontId="41" fillId="27" borderId="20" xfId="0" applyNumberFormat="1" applyFont="1" applyFill="1" applyBorder="1" applyAlignment="1">
      <alignment vertical="top"/>
    </xf>
    <xf numFmtId="0" fontId="41" fillId="27" borderId="18" xfId="0" applyFont="1" applyFill="1" applyBorder="1" applyAlignment="1">
      <alignment vertical="top"/>
    </xf>
    <xf numFmtId="0" fontId="41" fillId="27" borderId="25" xfId="0" applyFont="1" applyFill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29" borderId="20" xfId="0" applyFont="1" applyFill="1" applyBorder="1" applyAlignment="1">
      <alignment vertical="top"/>
    </xf>
    <xf numFmtId="0" fontId="41" fillId="27" borderId="26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29" borderId="0" xfId="0" applyFont="1" applyFill="1">
      <alignment vertical="top" wrapText="1"/>
    </xf>
    <xf numFmtId="0" fontId="41" fillId="0" borderId="27" xfId="0" applyFont="1" applyBorder="1" applyAlignment="1">
      <alignment vertical="top"/>
    </xf>
    <xf numFmtId="0" fontId="41" fillId="0" borderId="20" xfId="0" applyFont="1" applyBorder="1" applyAlignment="1">
      <alignment vertical="center"/>
    </xf>
    <xf numFmtId="0" fontId="41" fillId="27" borderId="28" xfId="0" applyFont="1" applyFill="1" applyBorder="1" applyAlignment="1">
      <alignment vertical="top"/>
    </xf>
    <xf numFmtId="0" fontId="41" fillId="0" borderId="2" xfId="0" applyFont="1" applyBorder="1" applyAlignment="1">
      <alignment vertical="top"/>
    </xf>
    <xf numFmtId="0" fontId="41" fillId="0" borderId="28" xfId="0" applyFont="1" applyBorder="1" applyAlignment="1">
      <alignment vertical="top"/>
    </xf>
    <xf numFmtId="0" fontId="41" fillId="0" borderId="19" xfId="0" applyFont="1" applyBorder="1">
      <alignment vertical="top" wrapText="1"/>
    </xf>
    <xf numFmtId="0" fontId="41" fillId="0" borderId="20" xfId="0" applyFont="1" applyBorder="1">
      <alignment vertical="top" wrapText="1"/>
    </xf>
    <xf numFmtId="0" fontId="41" fillId="0" borderId="20" xfId="0" applyFont="1" applyBorder="1" applyProtection="1">
      <alignment vertical="top" wrapText="1"/>
      <protection locked="0"/>
    </xf>
    <xf numFmtId="0" fontId="41" fillId="27" borderId="27" xfId="0" applyFont="1" applyFill="1" applyBorder="1">
      <alignment vertical="top" wrapText="1"/>
    </xf>
    <xf numFmtId="0" fontId="41" fillId="27" borderId="24" xfId="0" applyFont="1" applyFill="1" applyBorder="1">
      <alignment vertical="top" wrapText="1"/>
    </xf>
    <xf numFmtId="0" fontId="41" fillId="0" borderId="18" xfId="0" applyFont="1" applyBorder="1" applyAlignment="1" applyProtection="1">
      <alignment vertical="top"/>
      <protection locked="0"/>
    </xf>
    <xf numFmtId="0" fontId="41" fillId="0" borderId="22" xfId="0" applyFont="1" applyBorder="1" applyAlignment="1" applyProtection="1">
      <alignment vertical="top"/>
      <protection locked="0"/>
    </xf>
    <xf numFmtId="0" fontId="41" fillId="0" borderId="27" xfId="0" applyFont="1" applyBorder="1" applyProtection="1">
      <alignment vertical="top" wrapText="1"/>
      <protection locked="0"/>
    </xf>
    <xf numFmtId="0" fontId="41" fillId="0" borderId="27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0" borderId="47" xfId="0" applyFont="1" applyBorder="1" applyAlignment="1" applyProtection="1">
      <alignment vertical="top"/>
      <protection locked="0"/>
    </xf>
    <xf numFmtId="0" fontId="43" fillId="0" borderId="27" xfId="181" applyFont="1" applyBorder="1" applyAlignment="1">
      <alignment horizontal="left" vertical="center" wrapText="1"/>
    </xf>
    <xf numFmtId="0" fontId="43" fillId="0" borderId="2" xfId="177" applyFont="1" applyBorder="1" applyAlignment="1">
      <alignment horizontal="left" vertical="center" wrapText="1"/>
    </xf>
    <xf numFmtId="0" fontId="43" fillId="0" borderId="24" xfId="177" applyFont="1" applyBorder="1" applyAlignment="1">
      <alignment horizontal="left" vertical="center" wrapText="1"/>
    </xf>
    <xf numFmtId="0" fontId="43" fillId="0" borderId="2" xfId="177" applyFont="1" applyBorder="1" applyAlignment="1">
      <alignment vertical="center" wrapText="1"/>
    </xf>
    <xf numFmtId="0" fontId="43" fillId="0" borderId="24" xfId="177" applyFont="1" applyBorder="1" applyAlignment="1">
      <alignment vertical="center" wrapText="1"/>
    </xf>
    <xf numFmtId="0" fontId="43" fillId="0" borderId="27" xfId="181" applyFont="1" applyBorder="1" applyAlignment="1">
      <alignment vertical="center" wrapText="1"/>
    </xf>
    <xf numFmtId="0" fontId="43" fillId="0" borderId="29" xfId="177" applyFont="1" applyBorder="1" applyAlignment="1">
      <alignment vertical="center" wrapText="1"/>
    </xf>
    <xf numFmtId="0" fontId="43" fillId="0" borderId="27" xfId="181" applyFont="1" applyBorder="1" applyAlignment="1">
      <alignment horizontal="left" vertical="center"/>
    </xf>
    <xf numFmtId="0" fontId="43" fillId="0" borderId="2" xfId="177" applyFont="1" applyBorder="1" applyAlignment="1">
      <alignment horizontal="left" vertical="center"/>
    </xf>
    <xf numFmtId="0" fontId="43" fillId="0" borderId="24" xfId="177" applyFont="1" applyBorder="1" applyAlignment="1">
      <alignment horizontal="left" vertical="center"/>
    </xf>
    <xf numFmtId="0" fontId="43" fillId="0" borderId="27" xfId="181" applyFont="1" applyBorder="1" applyAlignment="1">
      <alignment vertical="center"/>
    </xf>
    <xf numFmtId="0" fontId="43" fillId="0" borderId="2" xfId="177" applyFont="1" applyBorder="1" applyAlignment="1">
      <alignment vertical="center"/>
    </xf>
    <xf numFmtId="0" fontId="43" fillId="0" borderId="29" xfId="177" applyFont="1" applyBorder="1" applyAlignment="1">
      <alignment vertical="center"/>
    </xf>
    <xf numFmtId="0" fontId="43" fillId="0" borderId="30" xfId="181" applyFont="1" applyBorder="1" applyAlignment="1">
      <alignment horizontal="left" vertical="center" wrapText="1"/>
    </xf>
    <xf numFmtId="0" fontId="43" fillId="0" borderId="31" xfId="177" applyFont="1" applyBorder="1" applyAlignment="1">
      <alignment horizontal="left" vertical="center" wrapText="1"/>
    </xf>
    <xf numFmtId="0" fontId="43" fillId="0" borderId="32" xfId="177" applyFont="1" applyBorder="1" applyAlignment="1">
      <alignment horizontal="left" vertical="center" wrapText="1"/>
    </xf>
    <xf numFmtId="0" fontId="43" fillId="0" borderId="31" xfId="177" applyFont="1" applyBorder="1" applyAlignment="1">
      <alignment vertical="center" wrapText="1"/>
    </xf>
    <xf numFmtId="0" fontId="43" fillId="0" borderId="32" xfId="177" applyFont="1" applyBorder="1" applyAlignment="1">
      <alignment vertical="center" wrapText="1"/>
    </xf>
    <xf numFmtId="0" fontId="43" fillId="0" borderId="30" xfId="181" applyFont="1" applyBorder="1" applyAlignment="1">
      <alignment vertical="center" wrapText="1"/>
    </xf>
    <xf numFmtId="0" fontId="43" fillId="0" borderId="33" xfId="177" applyFont="1" applyBorder="1" applyAlignment="1">
      <alignment vertical="center" wrapText="1"/>
    </xf>
    <xf numFmtId="0" fontId="44" fillId="28" borderId="34" xfId="181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5" xfId="177" applyFont="1" applyBorder="1" applyAlignment="1">
      <alignment horizontal="center" vertical="center"/>
    </xf>
    <xf numFmtId="177" fontId="43" fillId="0" borderId="36" xfId="181" applyNumberFormat="1" applyFont="1" applyBorder="1" applyAlignment="1">
      <alignment horizontal="center" vertical="center"/>
    </xf>
    <xf numFmtId="177" fontId="43" fillId="0" borderId="31" xfId="177" applyNumberFormat="1" applyFont="1" applyBorder="1" applyAlignment="1">
      <alignment horizontal="center" vertical="center"/>
    </xf>
    <xf numFmtId="177" fontId="43" fillId="0" borderId="32" xfId="177" applyNumberFormat="1" applyFont="1" applyBorder="1" applyAlignment="1">
      <alignment horizontal="center" vertical="center"/>
    </xf>
    <xf numFmtId="177" fontId="43" fillId="0" borderId="37" xfId="181" applyNumberFormat="1" applyFont="1" applyBorder="1" applyAlignment="1">
      <alignment horizontal="center" vertical="center"/>
    </xf>
    <xf numFmtId="177" fontId="43" fillId="0" borderId="2" xfId="177" applyNumberFormat="1" applyFont="1" applyBorder="1" applyAlignment="1">
      <alignment horizontal="center" vertical="center"/>
    </xf>
    <xf numFmtId="177" fontId="43" fillId="0" borderId="24" xfId="177" applyNumberFormat="1" applyFont="1" applyBorder="1" applyAlignment="1">
      <alignment horizontal="center" vertical="center"/>
    </xf>
    <xf numFmtId="177" fontId="43" fillId="0" borderId="42" xfId="181" applyNumberFormat="1" applyFont="1" applyBorder="1" applyAlignment="1">
      <alignment horizontal="center" vertical="center"/>
    </xf>
    <xf numFmtId="177" fontId="43" fillId="0" borderId="39" xfId="177" applyNumberFormat="1" applyFont="1" applyBorder="1" applyAlignment="1">
      <alignment horizontal="center" vertical="center"/>
    </xf>
    <xf numFmtId="177" fontId="43" fillId="0" borderId="40" xfId="177" applyNumberFormat="1" applyFont="1" applyBorder="1" applyAlignment="1">
      <alignment horizontal="center" vertical="center"/>
    </xf>
    <xf numFmtId="0" fontId="42" fillId="28" borderId="43" xfId="178" applyFont="1" applyFill="1" applyBorder="1" applyAlignment="1">
      <alignment horizontal="center" vertical="center"/>
    </xf>
    <xf numFmtId="0" fontId="43" fillId="0" borderId="3" xfId="177" applyFont="1" applyBorder="1" applyAlignment="1">
      <alignment vertical="center"/>
    </xf>
    <xf numFmtId="0" fontId="43" fillId="0" borderId="44" xfId="177" applyFont="1" applyBorder="1" applyAlignment="1">
      <alignment vertical="center"/>
    </xf>
    <xf numFmtId="0" fontId="44" fillId="28" borderId="45" xfId="181" applyFont="1" applyFill="1" applyBorder="1" applyAlignment="1">
      <alignment horizontal="center" vertical="center"/>
    </xf>
    <xf numFmtId="0" fontId="44" fillId="28" borderId="1" xfId="181" applyFont="1" applyFill="1" applyBorder="1" applyAlignment="1">
      <alignment horizontal="center" vertical="center"/>
    </xf>
    <xf numFmtId="0" fontId="44" fillId="28" borderId="35" xfId="181" applyFont="1" applyFill="1" applyBorder="1" applyAlignment="1">
      <alignment horizontal="center" vertical="center"/>
    </xf>
    <xf numFmtId="0" fontId="44" fillId="28" borderId="45" xfId="177" applyFont="1" applyFill="1" applyBorder="1" applyAlignment="1">
      <alignment horizontal="center" vertical="center"/>
    </xf>
    <xf numFmtId="0" fontId="44" fillId="0" borderId="1" xfId="177" applyFont="1" applyBorder="1" applyAlignment="1">
      <alignment horizontal="center" vertical="center"/>
    </xf>
    <xf numFmtId="0" fontId="44" fillId="0" borderId="46" xfId="177" applyFont="1" applyBorder="1" applyAlignment="1">
      <alignment horizontal="center" vertical="center"/>
    </xf>
    <xf numFmtId="0" fontId="43" fillId="0" borderId="38" xfId="181" applyFont="1" applyBorder="1" applyAlignment="1">
      <alignment horizontal="left" vertical="center" wrapText="1"/>
    </xf>
    <xf numFmtId="0" fontId="43" fillId="0" borderId="39" xfId="177" applyFont="1" applyBorder="1" applyAlignment="1">
      <alignment horizontal="left" vertical="center" wrapText="1"/>
    </xf>
    <xf numFmtId="0" fontId="43" fillId="0" borderId="40" xfId="177" applyFont="1" applyBorder="1" applyAlignment="1">
      <alignment horizontal="left" vertical="center" wrapText="1"/>
    </xf>
    <xf numFmtId="0" fontId="43" fillId="0" borderId="39" xfId="177" applyFont="1" applyBorder="1" applyAlignment="1">
      <alignment vertical="center" wrapText="1"/>
    </xf>
    <xf numFmtId="0" fontId="43" fillId="0" borderId="40" xfId="177" applyFont="1" applyBorder="1" applyAlignment="1">
      <alignment vertical="center" wrapText="1"/>
    </xf>
    <xf numFmtId="0" fontId="43" fillId="0" borderId="38" xfId="181" applyFont="1" applyBorder="1" applyAlignment="1">
      <alignment vertical="center" wrapText="1"/>
    </xf>
    <xf numFmtId="0" fontId="43" fillId="0" borderId="41" xfId="177" applyFont="1" applyBorder="1" applyAlignment="1">
      <alignment vertical="center" wrapText="1"/>
    </xf>
    <xf numFmtId="0" fontId="41" fillId="28" borderId="27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1" fillId="28" borderId="24" xfId="0" applyFont="1" applyFill="1" applyBorder="1" applyAlignment="1" applyProtection="1">
      <protection locked="0"/>
    </xf>
  </cellXfs>
  <cellStyles count="22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5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24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23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22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21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20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19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18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17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16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15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14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13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12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11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10" xr:uid="{00000000-0005-0000-0000-000059000000}"/>
    <cellStyle name="Calc Currency (0)" xfId="75" xr:uid="{00000000-0005-0000-0000-00005A000000}"/>
    <cellStyle name="Header1" xfId="76" xr:uid="{00000000-0005-0000-0000-00005B000000}"/>
    <cellStyle name="Header2" xfId="77" xr:uid="{00000000-0005-0000-0000-00005C000000}"/>
    <cellStyle name="Normal_#18-Internet" xfId="78" xr:uid="{00000000-0005-0000-0000-00005D000000}"/>
    <cellStyle name="PSChar" xfId="79" xr:uid="{00000000-0005-0000-0000-00005E000000}"/>
    <cellStyle name="PSHeading" xfId="80" xr:uid="{00000000-0005-0000-0000-00005F000000}"/>
    <cellStyle name="u" xfId="81" xr:uid="{00000000-0005-0000-0000-000060000000}"/>
    <cellStyle name="アクセント 1" xfId="82" builtinId="29" customBuiltin="1"/>
    <cellStyle name="アクセント 1 2" xfId="83" xr:uid="{00000000-0005-0000-0000-000062000000}"/>
    <cellStyle name="アクセント 1 3" xfId="84" xr:uid="{00000000-0005-0000-0000-000063000000}"/>
    <cellStyle name="アクセント 1 4" xfId="85" xr:uid="{00000000-0005-0000-0000-000064000000}"/>
    <cellStyle name="アクセント 1 5" xfId="209" xr:uid="{00000000-0005-0000-0000-000065000000}"/>
    <cellStyle name="アクセント 2" xfId="86" builtinId="33" customBuiltin="1"/>
    <cellStyle name="アクセント 2 2" xfId="87" xr:uid="{00000000-0005-0000-0000-000067000000}"/>
    <cellStyle name="アクセント 2 3" xfId="88" xr:uid="{00000000-0005-0000-0000-000068000000}"/>
    <cellStyle name="アクセント 2 4" xfId="89" xr:uid="{00000000-0005-0000-0000-000069000000}"/>
    <cellStyle name="アクセント 2 5" xfId="208" xr:uid="{00000000-0005-0000-0000-00006A000000}"/>
    <cellStyle name="アクセント 3" xfId="90" builtinId="37" customBuiltin="1"/>
    <cellStyle name="アクセント 3 2" xfId="91" xr:uid="{00000000-0005-0000-0000-00006C000000}"/>
    <cellStyle name="アクセント 3 3" xfId="92" xr:uid="{00000000-0005-0000-0000-00006D000000}"/>
    <cellStyle name="アクセント 3 4" xfId="93" xr:uid="{00000000-0005-0000-0000-00006E000000}"/>
    <cellStyle name="アクセント 3 5" xfId="207" xr:uid="{00000000-0005-0000-0000-00006F000000}"/>
    <cellStyle name="アクセント 4" xfId="94" builtinId="41" customBuiltin="1"/>
    <cellStyle name="アクセント 4 2" xfId="95" xr:uid="{00000000-0005-0000-0000-000071000000}"/>
    <cellStyle name="アクセント 4 3" xfId="96" xr:uid="{00000000-0005-0000-0000-000072000000}"/>
    <cellStyle name="アクセント 4 4" xfId="97" xr:uid="{00000000-0005-0000-0000-000073000000}"/>
    <cellStyle name="アクセント 4 5" xfId="206" xr:uid="{00000000-0005-0000-0000-000074000000}"/>
    <cellStyle name="アクセント 5" xfId="98" builtinId="45" customBuiltin="1"/>
    <cellStyle name="アクセント 5 2" xfId="99" xr:uid="{00000000-0005-0000-0000-000076000000}"/>
    <cellStyle name="アクセント 5 3" xfId="100" xr:uid="{00000000-0005-0000-0000-000077000000}"/>
    <cellStyle name="アクセント 5 4" xfId="101" xr:uid="{00000000-0005-0000-0000-000078000000}"/>
    <cellStyle name="アクセント 6" xfId="102" builtinId="49" customBuiltin="1"/>
    <cellStyle name="アクセント 6 2" xfId="103" xr:uid="{00000000-0005-0000-0000-00007A000000}"/>
    <cellStyle name="アクセント 6 3" xfId="104" xr:uid="{00000000-0005-0000-0000-00007B000000}"/>
    <cellStyle name="アクセント 6 4" xfId="105" xr:uid="{00000000-0005-0000-0000-00007C000000}"/>
    <cellStyle name="アクセント 6 5" xfId="205" xr:uid="{00000000-0005-0000-0000-00007D000000}"/>
    <cellStyle name="タイトル" xfId="106" builtinId="15" customBuiltin="1"/>
    <cellStyle name="タイトル 2" xfId="107" xr:uid="{00000000-0005-0000-0000-00007F000000}"/>
    <cellStyle name="タイトル 3" xfId="108" xr:uid="{00000000-0005-0000-0000-000080000000}"/>
    <cellStyle name="タイトル 4" xfId="109" xr:uid="{00000000-0005-0000-0000-000081000000}"/>
    <cellStyle name="タイトル 5" xfId="204" xr:uid="{00000000-0005-0000-0000-000082000000}"/>
    <cellStyle name="チェック セル" xfId="110" builtinId="23" customBuiltin="1"/>
    <cellStyle name="チェック セル 2" xfId="111" xr:uid="{00000000-0005-0000-0000-000084000000}"/>
    <cellStyle name="チェック セル 3" xfId="112" xr:uid="{00000000-0005-0000-0000-000085000000}"/>
    <cellStyle name="チェック セル 4" xfId="113" xr:uid="{00000000-0005-0000-0000-000086000000}"/>
    <cellStyle name="どちらでもない" xfId="114" builtinId="28" customBuiltin="1"/>
    <cellStyle name="どちらでもない 2" xfId="115" xr:uid="{00000000-0005-0000-0000-000088000000}"/>
    <cellStyle name="どちらでもない 3" xfId="116" xr:uid="{00000000-0005-0000-0000-000089000000}"/>
    <cellStyle name="どちらでもない 4" xfId="117" xr:uid="{00000000-0005-0000-0000-00008A000000}"/>
    <cellStyle name="どちらでもない 5" xfId="203" xr:uid="{00000000-0005-0000-0000-00008B000000}"/>
    <cellStyle name="メモ" xfId="118" builtinId="10" customBuiltin="1"/>
    <cellStyle name="メモ 2" xfId="119" xr:uid="{00000000-0005-0000-0000-00008D000000}"/>
    <cellStyle name="メモ 3" xfId="120" xr:uid="{00000000-0005-0000-0000-00008E000000}"/>
    <cellStyle name="メモ 4" xfId="121" xr:uid="{00000000-0005-0000-0000-00008F000000}"/>
    <cellStyle name="メモ 5" xfId="202" xr:uid="{00000000-0005-0000-0000-000090000000}"/>
    <cellStyle name="リンク セル" xfId="122" builtinId="24" customBuiltin="1"/>
    <cellStyle name="リンク セル 2" xfId="123" xr:uid="{00000000-0005-0000-0000-000092000000}"/>
    <cellStyle name="リンク セル 3" xfId="124" xr:uid="{00000000-0005-0000-0000-000093000000}"/>
    <cellStyle name="リンク セル 4" xfId="125" xr:uid="{00000000-0005-0000-0000-000094000000}"/>
    <cellStyle name="リンク セル 5" xfId="201" xr:uid="{00000000-0005-0000-0000-000095000000}"/>
    <cellStyle name="_x001d__x000c_K_x0014__x000d_&gt;V_x0001_&gt;_x0014_n_x001e__x0007__x0001__x0001_" xfId="126" xr:uid="{00000000-0005-0000-0000-000096000000}"/>
    <cellStyle name="_x001d__x000c_K_x0014__x000d_&gt;V_x0001_&gt;_x0014_n_x001e__x0007__x0001__x0001_ 2" xfId="190" xr:uid="{00000000-0005-0000-0000-000097000000}"/>
    <cellStyle name="悪い" xfId="127" builtinId="27" customBuiltin="1"/>
    <cellStyle name="悪い 2" xfId="128" xr:uid="{00000000-0005-0000-0000-000099000000}"/>
    <cellStyle name="悪い 3" xfId="129" xr:uid="{00000000-0005-0000-0000-00009A000000}"/>
    <cellStyle name="悪い 4" xfId="130" xr:uid="{00000000-0005-0000-0000-00009B000000}"/>
    <cellStyle name="悪い 5" xfId="200" xr:uid="{00000000-0005-0000-0000-00009C000000}"/>
    <cellStyle name="計算" xfId="131" builtinId="22" customBuiltin="1"/>
    <cellStyle name="計算 2" xfId="132" xr:uid="{00000000-0005-0000-0000-00009E000000}"/>
    <cellStyle name="計算 3" xfId="133" xr:uid="{00000000-0005-0000-0000-00009F000000}"/>
    <cellStyle name="計算 4" xfId="134" xr:uid="{00000000-0005-0000-0000-0000A0000000}"/>
    <cellStyle name="計算 5" xfId="199" xr:uid="{00000000-0005-0000-0000-0000A1000000}"/>
    <cellStyle name="警告文" xfId="135" builtinId="11" customBuiltin="1"/>
    <cellStyle name="警告文 2" xfId="136" xr:uid="{00000000-0005-0000-0000-0000A3000000}"/>
    <cellStyle name="警告文 3" xfId="137" xr:uid="{00000000-0005-0000-0000-0000A4000000}"/>
    <cellStyle name="警告文 4" xfId="138" xr:uid="{00000000-0005-0000-0000-0000A5000000}"/>
    <cellStyle name="桁区切り 2" xfId="189" xr:uid="{00000000-0005-0000-0000-0000A6000000}"/>
    <cellStyle name="見出し 1" xfId="139" builtinId="16" customBuiltin="1"/>
    <cellStyle name="見出し 1 2" xfId="140" xr:uid="{00000000-0005-0000-0000-0000A8000000}"/>
    <cellStyle name="見出し 1 3" xfId="141" xr:uid="{00000000-0005-0000-0000-0000A9000000}"/>
    <cellStyle name="見出し 1 4" xfId="142" xr:uid="{00000000-0005-0000-0000-0000AA000000}"/>
    <cellStyle name="見出し 1 5" xfId="198" xr:uid="{00000000-0005-0000-0000-0000AB000000}"/>
    <cellStyle name="見出し 2" xfId="143" builtinId="17" customBuiltin="1"/>
    <cellStyle name="見出し 2 2" xfId="144" xr:uid="{00000000-0005-0000-0000-0000AD000000}"/>
    <cellStyle name="見出し 2 3" xfId="145" xr:uid="{00000000-0005-0000-0000-0000AE000000}"/>
    <cellStyle name="見出し 2 4" xfId="146" xr:uid="{00000000-0005-0000-0000-0000AF000000}"/>
    <cellStyle name="見出し 2 5" xfId="197" xr:uid="{00000000-0005-0000-0000-0000B0000000}"/>
    <cellStyle name="見出し 3" xfId="147" builtinId="18" customBuiltin="1"/>
    <cellStyle name="見出し 3 2" xfId="148" xr:uid="{00000000-0005-0000-0000-0000B2000000}"/>
    <cellStyle name="見出し 3 3" xfId="149" xr:uid="{00000000-0005-0000-0000-0000B3000000}"/>
    <cellStyle name="見出し 3 4" xfId="150" xr:uid="{00000000-0005-0000-0000-0000B4000000}"/>
    <cellStyle name="見出し 3 5" xfId="196" xr:uid="{00000000-0005-0000-0000-0000B5000000}"/>
    <cellStyle name="見出し 4" xfId="151" builtinId="19" customBuiltin="1"/>
    <cellStyle name="見出し 4 2" xfId="152" xr:uid="{00000000-0005-0000-0000-0000B7000000}"/>
    <cellStyle name="見出し 4 3" xfId="153" xr:uid="{00000000-0005-0000-0000-0000B8000000}"/>
    <cellStyle name="見出し 4 4" xfId="154" xr:uid="{00000000-0005-0000-0000-0000B9000000}"/>
    <cellStyle name="見出し 4 5" xfId="195" xr:uid="{00000000-0005-0000-0000-0000BA000000}"/>
    <cellStyle name="集計" xfId="155" builtinId="25" customBuiltin="1"/>
    <cellStyle name="集計 2" xfId="156" xr:uid="{00000000-0005-0000-0000-0000BC000000}"/>
    <cellStyle name="集計 3" xfId="157" xr:uid="{00000000-0005-0000-0000-0000BD000000}"/>
    <cellStyle name="集計 4" xfId="158" xr:uid="{00000000-0005-0000-0000-0000BE000000}"/>
    <cellStyle name="集計 5" xfId="194" xr:uid="{00000000-0005-0000-0000-0000BF000000}"/>
    <cellStyle name="出力" xfId="159" builtinId="21" customBuiltin="1"/>
    <cellStyle name="出力 2" xfId="160" xr:uid="{00000000-0005-0000-0000-0000C1000000}"/>
    <cellStyle name="出力 3" xfId="161" xr:uid="{00000000-0005-0000-0000-0000C2000000}"/>
    <cellStyle name="出力 4" xfId="162" xr:uid="{00000000-0005-0000-0000-0000C3000000}"/>
    <cellStyle name="出力 5" xfId="193" xr:uid="{00000000-0005-0000-0000-0000C4000000}"/>
    <cellStyle name="説明文" xfId="163" builtinId="53" customBuiltin="1"/>
    <cellStyle name="説明文 2" xfId="164" xr:uid="{00000000-0005-0000-0000-0000C6000000}"/>
    <cellStyle name="説明文 3" xfId="165" xr:uid="{00000000-0005-0000-0000-0000C7000000}"/>
    <cellStyle name="説明文 4" xfId="166" xr:uid="{00000000-0005-0000-0000-0000C8000000}"/>
    <cellStyle name="入力" xfId="167" builtinId="20" customBuiltin="1"/>
    <cellStyle name="入力 2" xfId="168" xr:uid="{00000000-0005-0000-0000-0000CA000000}"/>
    <cellStyle name="入力 3" xfId="169" xr:uid="{00000000-0005-0000-0000-0000CB000000}"/>
    <cellStyle name="入力 4" xfId="170" xr:uid="{00000000-0005-0000-0000-0000CC000000}"/>
    <cellStyle name="入力 5" xfId="192" xr:uid="{00000000-0005-0000-0000-0000CD000000}"/>
    <cellStyle name="標準" xfId="0" builtinId="0"/>
    <cellStyle name="標準 2" xfId="171" xr:uid="{00000000-0005-0000-0000-0000CF000000}"/>
    <cellStyle name="標準 3" xfId="172" xr:uid="{00000000-0005-0000-0000-0000D0000000}"/>
    <cellStyle name="標準 4" xfId="173" xr:uid="{00000000-0005-0000-0000-0000D1000000}"/>
    <cellStyle name="標準 5" xfId="174" xr:uid="{00000000-0005-0000-0000-0000D2000000}"/>
    <cellStyle name="標準 6" xfId="175" xr:uid="{00000000-0005-0000-0000-0000D3000000}"/>
    <cellStyle name="標準 7" xfId="176" xr:uid="{00000000-0005-0000-0000-0000D4000000}"/>
    <cellStyle name="標準 8" xfId="188" xr:uid="{00000000-0005-0000-0000-0000D5000000}"/>
    <cellStyle name="標準 9" xfId="187" xr:uid="{00000000-0005-0000-0000-0000D6000000}"/>
    <cellStyle name="標準_02_変更来歴例" xfId="177" xr:uid="{00000000-0005-0000-0000-0000D7000000}"/>
    <cellStyle name="標準_A00200 オーダー状況" xfId="178" xr:uid="{00000000-0005-0000-0000-0000D8000000}"/>
    <cellStyle name="標準_LogicCommon" xfId="179" xr:uid="{00000000-0005-0000-0000-0000D9000000}"/>
    <cellStyle name="標準_Srch01_1" xfId="180" xr:uid="{00000000-0005-0000-0000-0000DA000000}"/>
    <cellStyle name="標準_変更来歴_1" xfId="181" xr:uid="{00000000-0005-0000-0000-0000DB000000}"/>
    <cellStyle name="未定義" xfId="182" xr:uid="{00000000-0005-0000-0000-0000DC000000}"/>
    <cellStyle name="良い" xfId="183" builtinId="26" customBuiltin="1"/>
    <cellStyle name="良い 2" xfId="184" xr:uid="{00000000-0005-0000-0000-0000DE000000}"/>
    <cellStyle name="良い 3" xfId="185" xr:uid="{00000000-0005-0000-0000-0000DF000000}"/>
    <cellStyle name="良い 4" xfId="186" xr:uid="{00000000-0005-0000-0000-0000E0000000}"/>
    <cellStyle name="良い 5" xfId="191" xr:uid="{00000000-0005-0000-0000-0000E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40</v>
      </c>
      <c r="D2" s="7" t="s">
        <v>9</v>
      </c>
      <c r="E2" s="9" t="s">
        <v>65</v>
      </c>
      <c r="F2" s="7" t="s">
        <v>38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64</v>
      </c>
      <c r="D3" s="7" t="s">
        <v>10</v>
      </c>
      <c r="E3" s="9" t="s">
        <v>66</v>
      </c>
      <c r="F3" s="7" t="s">
        <v>39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63</v>
      </c>
      <c r="F4" s="7" t="s">
        <v>5</v>
      </c>
      <c r="G4" s="9" t="s">
        <v>150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1.6328125" style="29" bestFit="1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122</v>
      </c>
      <c r="B1" s="75" t="s">
        <v>122</v>
      </c>
      <c r="C1" s="7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122</v>
      </c>
      <c r="B2" s="77"/>
      <c r="C2" s="77"/>
      <c r="D2" s="87" t="s">
        <v>157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MABGL0060</v>
      </c>
      <c r="I2" s="7" t="s">
        <v>123</v>
      </c>
      <c r="J2" s="9" t="s">
        <v>67</v>
      </c>
      <c r="K2" s="7" t="s">
        <v>38</v>
      </c>
      <c r="L2" s="78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MABGL_GrpCtgReg</v>
      </c>
      <c r="I3" s="7" t="s">
        <v>121</v>
      </c>
      <c r="J3" s="9" t="s">
        <v>51</v>
      </c>
      <c r="K3" s="7" t="s">
        <v>39</v>
      </c>
      <c r="L3" s="78" t="str">
        <f>IF(LogicCommon!G3="","",LogicCommon!G3)</f>
        <v/>
      </c>
      <c r="M3" s="82" t="s">
        <v>28</v>
      </c>
      <c r="N3" s="7"/>
      <c r="O3" s="7" t="s">
        <v>125</v>
      </c>
      <c r="P3" s="9" t="s">
        <v>126</v>
      </c>
      <c r="Q3" s="4"/>
      <c r="R3" s="27"/>
      <c r="S3" s="27"/>
      <c r="T3" s="27"/>
      <c r="U3" s="27"/>
    </row>
    <row r="4" spans="1:21" s="11" customFormat="1">
      <c r="A4" s="79" t="s">
        <v>122</v>
      </c>
      <c r="B4" s="80"/>
      <c r="C4" s="80"/>
      <c r="D4" s="4"/>
      <c r="E4" s="7" t="s">
        <v>8</v>
      </c>
      <c r="F4" s="10" t="s">
        <v>114</v>
      </c>
      <c r="G4" s="7" t="s">
        <v>11</v>
      </c>
      <c r="H4" s="78" t="str">
        <f>IF(LogicCommon!E4="","",LogicCommon!E4)</f>
        <v>計算グループカテゴリマスタ登録</v>
      </c>
      <c r="I4" s="7" t="s">
        <v>127</v>
      </c>
      <c r="J4" s="9" t="s">
        <v>113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122</v>
      </c>
      <c r="B5" s="75"/>
      <c r="C5" s="75"/>
      <c r="D5" s="26"/>
      <c r="E5" s="7" t="s">
        <v>128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122</v>
      </c>
      <c r="B6" s="80"/>
      <c r="C6" s="80"/>
      <c r="D6" s="4" t="s">
        <v>6</v>
      </c>
      <c r="E6" s="16" t="s">
        <v>112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52</v>
      </c>
      <c r="L7" s="32" t="s">
        <v>58</v>
      </c>
      <c r="M7" s="32" t="s">
        <v>86</v>
      </c>
      <c r="N7" s="32" t="s">
        <v>99</v>
      </c>
      <c r="O7" s="32"/>
      <c r="P7" s="33" t="s">
        <v>45</v>
      </c>
      <c r="Q7" s="32"/>
      <c r="R7" s="29"/>
      <c r="S7" s="29"/>
      <c r="T7" s="29"/>
      <c r="U7" s="29"/>
    </row>
    <row r="8" spans="1:21" s="11" customFormat="1" ht="60" customHeight="1">
      <c r="A8" s="51" t="s">
        <v>15</v>
      </c>
      <c r="B8" s="90"/>
      <c r="C8" s="91"/>
      <c r="D8" s="88" t="s">
        <v>158</v>
      </c>
      <c r="E8" s="88" t="s">
        <v>159</v>
      </c>
      <c r="F8" s="86"/>
      <c r="G8" s="88" t="s">
        <v>120</v>
      </c>
      <c r="H8" s="88" t="s">
        <v>160</v>
      </c>
      <c r="I8" s="86"/>
      <c r="J8" s="3"/>
      <c r="K8" s="34" t="s">
        <v>53</v>
      </c>
      <c r="L8" s="34" t="s">
        <v>59</v>
      </c>
      <c r="M8" s="34" t="s">
        <v>87</v>
      </c>
      <c r="N8" s="9" t="s">
        <v>98</v>
      </c>
      <c r="O8" s="9"/>
      <c r="P8" s="33" t="s">
        <v>46</v>
      </c>
      <c r="Q8" s="34"/>
      <c r="R8" s="92"/>
      <c r="S8" s="93"/>
      <c r="T8" s="94" t="s">
        <v>161</v>
      </c>
      <c r="U8" s="53"/>
    </row>
    <row r="9" spans="1:21" s="11" customFormat="1" ht="60" customHeight="1">
      <c r="A9" s="9" t="s">
        <v>15</v>
      </c>
      <c r="B9" s="36"/>
      <c r="C9" s="37"/>
      <c r="D9" s="88" t="s">
        <v>162</v>
      </c>
      <c r="E9" s="95" t="s">
        <v>163</v>
      </c>
      <c r="F9" s="88" t="s">
        <v>164</v>
      </c>
      <c r="G9" s="88" t="s">
        <v>165</v>
      </c>
      <c r="H9" s="88" t="s">
        <v>166</v>
      </c>
      <c r="I9" s="96" t="s">
        <v>167</v>
      </c>
      <c r="J9" s="88" t="s">
        <v>168</v>
      </c>
      <c r="K9" s="33"/>
      <c r="L9" s="33"/>
      <c r="M9" s="33"/>
      <c r="N9" s="33"/>
      <c r="O9" s="33"/>
      <c r="P9" s="33"/>
      <c r="Q9" s="33"/>
      <c r="R9" s="94" t="s">
        <v>169</v>
      </c>
      <c r="S9" s="53"/>
      <c r="T9" s="94" t="s">
        <v>170</v>
      </c>
      <c r="U9" s="53"/>
    </row>
    <row r="10" spans="1:21" s="11" customFormat="1" ht="52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89" t="s">
        <v>167</v>
      </c>
      <c r="Q10" s="89" t="s">
        <v>168</v>
      </c>
      <c r="R10" s="44"/>
      <c r="S10" s="44"/>
      <c r="T10" s="45"/>
      <c r="U10" s="40"/>
    </row>
    <row r="11" spans="1:21" s="11" customFormat="1">
      <c r="A11" s="9">
        <v>10</v>
      </c>
      <c r="B11" s="36" t="s">
        <v>0</v>
      </c>
      <c r="C11" s="37"/>
      <c r="D11" s="28" t="s">
        <v>92</v>
      </c>
      <c r="E11" s="35" t="s">
        <v>44</v>
      </c>
      <c r="F11" s="46"/>
      <c r="G11" s="28" t="s">
        <v>62</v>
      </c>
      <c r="H11" s="47" t="s">
        <v>154</v>
      </c>
      <c r="I11" s="48"/>
      <c r="J11" s="49"/>
      <c r="K11" s="9"/>
      <c r="L11" s="9"/>
      <c r="M11" s="9"/>
      <c r="N11" s="74"/>
      <c r="O11" s="9"/>
      <c r="P11" s="50"/>
      <c r="Q11" s="50"/>
      <c r="R11" s="39"/>
      <c r="S11" s="40"/>
      <c r="T11" s="71"/>
      <c r="U11" s="73"/>
    </row>
    <row r="12" spans="1:21" s="11" customFormat="1">
      <c r="A12" s="9">
        <v>10</v>
      </c>
      <c r="B12" s="9"/>
      <c r="C12" s="9"/>
      <c r="D12" s="9" t="s">
        <v>93</v>
      </c>
      <c r="E12" s="51" t="s">
        <v>79</v>
      </c>
      <c r="F12" s="51"/>
      <c r="G12" s="52" t="s">
        <v>171</v>
      </c>
      <c r="H12" s="52" t="s">
        <v>115</v>
      </c>
      <c r="I12" s="9" t="s">
        <v>129</v>
      </c>
      <c r="J12" s="9"/>
      <c r="K12" s="9" t="s">
        <v>129</v>
      </c>
      <c r="L12" s="9"/>
      <c r="M12" s="9" t="s">
        <v>130</v>
      </c>
      <c r="N12" s="74"/>
      <c r="O12" s="9"/>
      <c r="P12" s="9"/>
      <c r="Q12" s="9"/>
      <c r="R12" s="43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81</v>
      </c>
      <c r="E13" s="51" t="s">
        <v>85</v>
      </c>
      <c r="F13" s="51"/>
      <c r="G13" s="52" t="s">
        <v>172</v>
      </c>
      <c r="H13" s="52" t="s">
        <v>131</v>
      </c>
      <c r="I13" s="9" t="s">
        <v>129</v>
      </c>
      <c r="J13" s="9"/>
      <c r="K13" s="9" t="s">
        <v>129</v>
      </c>
      <c r="L13" s="9" t="s">
        <v>132</v>
      </c>
      <c r="M13" s="9"/>
      <c r="N13" s="74"/>
      <c r="O13" s="9"/>
      <c r="P13" s="9"/>
      <c r="Q13" s="9"/>
      <c r="R13" s="43"/>
      <c r="S13" s="53"/>
      <c r="T13" s="71"/>
      <c r="U13" s="72"/>
    </row>
    <row r="14" spans="1:21" s="11" customFormat="1">
      <c r="A14" s="9">
        <v>10</v>
      </c>
      <c r="B14" s="9"/>
      <c r="C14" s="9"/>
      <c r="D14" s="9" t="s">
        <v>117</v>
      </c>
      <c r="E14" s="51" t="s">
        <v>118</v>
      </c>
      <c r="F14" s="51"/>
      <c r="G14" s="52" t="s">
        <v>173</v>
      </c>
      <c r="H14" s="52" t="s">
        <v>133</v>
      </c>
      <c r="I14" s="9" t="s">
        <v>129</v>
      </c>
      <c r="J14" s="9"/>
      <c r="K14" s="9" t="s">
        <v>129</v>
      </c>
      <c r="L14" s="9"/>
      <c r="M14" s="9" t="s">
        <v>134</v>
      </c>
      <c r="N14" s="74"/>
      <c r="O14" s="9"/>
      <c r="P14" s="9"/>
      <c r="Q14" s="9"/>
      <c r="R14" s="43"/>
      <c r="S14" s="53"/>
      <c r="T14" s="71"/>
      <c r="U14" s="72"/>
    </row>
    <row r="15" spans="1:21" s="11" customFormat="1">
      <c r="A15" s="9">
        <v>10</v>
      </c>
      <c r="B15" s="9"/>
      <c r="C15" s="9"/>
      <c r="D15" s="9" t="s">
        <v>84</v>
      </c>
      <c r="E15" s="51" t="s">
        <v>119</v>
      </c>
      <c r="F15" s="51"/>
      <c r="G15" s="52" t="s">
        <v>174</v>
      </c>
      <c r="H15" s="52" t="s">
        <v>135</v>
      </c>
      <c r="I15" s="9" t="s">
        <v>129</v>
      </c>
      <c r="J15" s="9"/>
      <c r="K15" s="9" t="s">
        <v>129</v>
      </c>
      <c r="L15" s="9"/>
      <c r="M15" s="9"/>
      <c r="N15" s="74" t="s">
        <v>136</v>
      </c>
      <c r="O15" s="9"/>
      <c r="P15" s="9"/>
      <c r="Q15" s="9"/>
      <c r="R15" s="43"/>
      <c r="S15" s="53"/>
      <c r="T15" s="71"/>
      <c r="U15" s="72"/>
    </row>
    <row r="16" spans="1:21" s="11" customFormat="1">
      <c r="A16" s="9">
        <v>10</v>
      </c>
      <c r="B16" s="9"/>
      <c r="C16" s="9"/>
      <c r="D16" s="9" t="s">
        <v>89</v>
      </c>
      <c r="E16" s="51" t="s">
        <v>90</v>
      </c>
      <c r="F16" s="51"/>
      <c r="G16" s="52" t="s">
        <v>175</v>
      </c>
      <c r="H16" s="52" t="s">
        <v>137</v>
      </c>
      <c r="I16" s="9" t="s">
        <v>138</v>
      </c>
      <c r="J16" s="9"/>
      <c r="K16" s="9"/>
      <c r="L16" s="9"/>
      <c r="M16" s="9"/>
      <c r="N16" s="74"/>
      <c r="O16" s="9"/>
      <c r="P16" s="9"/>
      <c r="Q16" s="9"/>
      <c r="R16" s="43"/>
      <c r="S16" s="53"/>
      <c r="T16" s="146"/>
      <c r="U16" s="147"/>
    </row>
    <row r="17" spans="1:21" s="11" customFormat="1">
      <c r="A17" s="9">
        <v>10</v>
      </c>
      <c r="B17" s="9"/>
      <c r="C17" s="9"/>
      <c r="D17" s="9" t="s">
        <v>95</v>
      </c>
      <c r="E17" s="51" t="s">
        <v>96</v>
      </c>
      <c r="F17" s="51"/>
      <c r="G17" s="52" t="s">
        <v>176</v>
      </c>
      <c r="H17" s="52" t="s">
        <v>116</v>
      </c>
      <c r="I17" s="9" t="s">
        <v>138</v>
      </c>
      <c r="J17" s="9"/>
      <c r="K17" s="9"/>
      <c r="L17" s="9"/>
      <c r="M17" s="9"/>
      <c r="N17" s="74"/>
      <c r="O17" s="9"/>
      <c r="P17" s="9"/>
      <c r="Q17" s="9"/>
      <c r="R17" s="43"/>
      <c r="S17" s="53"/>
      <c r="T17" s="146"/>
      <c r="U17" s="147"/>
    </row>
    <row r="18" spans="1:21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6"/>
      <c r="U18" s="23"/>
    </row>
    <row r="19" spans="1:21" s="11" customFormat="1">
      <c r="A19" s="79"/>
      <c r="U19" s="56"/>
    </row>
    <row r="20" spans="1:21" s="11" customFormat="1">
      <c r="A20" s="79"/>
      <c r="U20" s="56"/>
    </row>
    <row r="21" spans="1:21" s="11" customFormat="1">
      <c r="A21" s="79"/>
      <c r="U21" s="56"/>
    </row>
    <row r="22" spans="1:21" s="11" customFormat="1">
      <c r="A22" s="8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</row>
  </sheetData>
  <dataConsolidate/>
  <mergeCells count="3">
    <mergeCell ref="T12:U12"/>
    <mergeCell ref="T16:U16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5" t="s">
        <v>122</v>
      </c>
      <c r="B1" s="75" t="s">
        <v>122</v>
      </c>
      <c r="C1" s="7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122</v>
      </c>
      <c r="B2" s="77"/>
      <c r="C2" s="77"/>
      <c r="D2" s="87" t="s">
        <v>157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MABGL0060</v>
      </c>
      <c r="I2" s="7" t="s">
        <v>123</v>
      </c>
      <c r="J2" s="9" t="s">
        <v>68</v>
      </c>
      <c r="K2" s="7" t="s">
        <v>38</v>
      </c>
      <c r="L2" s="78" t="str">
        <f>IF(LogicCommon!G2="","",LogicCommon!G2)</f>
        <v>MC</v>
      </c>
      <c r="M2" s="5" t="s">
        <v>124</v>
      </c>
      <c r="N2" s="28" t="s">
        <v>151</v>
      </c>
      <c r="O2" s="7"/>
      <c r="P2" s="7"/>
      <c r="Q2" s="4"/>
      <c r="R2" s="27"/>
    </row>
    <row r="3" spans="1:18" s="11" customFormat="1">
      <c r="A3" s="79" t="s">
        <v>122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MABGL_GrpCtgReg</v>
      </c>
      <c r="I3" s="7" t="s">
        <v>121</v>
      </c>
      <c r="J3" s="9" t="s">
        <v>27</v>
      </c>
      <c r="K3" s="7" t="s">
        <v>39</v>
      </c>
      <c r="L3" s="78" t="str">
        <f>IF(LogicCommon!G3="","",LogicCommon!G3)</f>
        <v/>
      </c>
      <c r="M3" s="82" t="s">
        <v>28</v>
      </c>
      <c r="N3" s="7"/>
      <c r="O3" s="7" t="s">
        <v>125</v>
      </c>
      <c r="P3" s="9" t="s">
        <v>126</v>
      </c>
      <c r="Q3" s="4"/>
      <c r="R3" s="27"/>
    </row>
    <row r="4" spans="1:18" s="11" customFormat="1">
      <c r="A4" s="79" t="s">
        <v>122</v>
      </c>
      <c r="B4" s="80"/>
      <c r="C4" s="80"/>
      <c r="D4" s="4"/>
      <c r="E4" s="7" t="s">
        <v>8</v>
      </c>
      <c r="F4" s="10" t="s">
        <v>114</v>
      </c>
      <c r="G4" s="7" t="s">
        <v>11</v>
      </c>
      <c r="H4" s="78" t="str">
        <f>IF(LogicCommon!E4="","",LogicCommon!E4)</f>
        <v>計算グループカテゴリマスタ登録</v>
      </c>
      <c r="I4" s="7" t="s">
        <v>127</v>
      </c>
      <c r="J4" s="9" t="s">
        <v>111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122</v>
      </c>
      <c r="B5" s="75"/>
      <c r="C5" s="75"/>
      <c r="D5" s="26"/>
      <c r="E5" s="7" t="s">
        <v>128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122</v>
      </c>
      <c r="B6" s="80"/>
      <c r="C6" s="80"/>
      <c r="D6" s="4" t="s">
        <v>6</v>
      </c>
      <c r="E6" s="16" t="s">
        <v>110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48</v>
      </c>
      <c r="M7" s="33" t="s">
        <v>45</v>
      </c>
      <c r="N7" s="32" t="s">
        <v>49</v>
      </c>
      <c r="O7" s="29"/>
      <c r="P7" s="29"/>
      <c r="Q7" s="29"/>
      <c r="R7" s="29"/>
    </row>
    <row r="8" spans="1:18" s="11" customFormat="1" ht="60" customHeight="1">
      <c r="A8" s="51" t="s">
        <v>15</v>
      </c>
      <c r="B8" s="90"/>
      <c r="C8" s="91"/>
      <c r="D8" s="88" t="s">
        <v>158</v>
      </c>
      <c r="E8" s="88" t="s">
        <v>159</v>
      </c>
      <c r="F8" s="86"/>
      <c r="G8" s="88" t="s">
        <v>120</v>
      </c>
      <c r="H8" s="88" t="s">
        <v>160</v>
      </c>
      <c r="I8" s="86"/>
      <c r="J8" s="3"/>
      <c r="K8" s="33" t="s">
        <v>14</v>
      </c>
      <c r="L8" s="34" t="s">
        <v>155</v>
      </c>
      <c r="M8" s="33" t="s">
        <v>46</v>
      </c>
      <c r="N8" s="34" t="s">
        <v>155</v>
      </c>
      <c r="O8" s="92"/>
      <c r="P8" s="93"/>
      <c r="Q8" s="94" t="s">
        <v>161</v>
      </c>
      <c r="R8" s="53"/>
    </row>
    <row r="9" spans="1:18" s="11" customFormat="1" ht="60" customHeight="1">
      <c r="A9" s="9" t="s">
        <v>15</v>
      </c>
      <c r="B9" s="36"/>
      <c r="C9" s="37"/>
      <c r="D9" s="88" t="s">
        <v>162</v>
      </c>
      <c r="E9" s="95" t="s">
        <v>163</v>
      </c>
      <c r="F9" s="88" t="s">
        <v>164</v>
      </c>
      <c r="G9" s="88" t="s">
        <v>165</v>
      </c>
      <c r="H9" s="88" t="s">
        <v>166</v>
      </c>
      <c r="I9" s="96" t="s">
        <v>167</v>
      </c>
      <c r="J9" s="88" t="s">
        <v>168</v>
      </c>
      <c r="K9" s="33"/>
      <c r="L9" s="33"/>
      <c r="M9" s="33"/>
      <c r="N9" s="33"/>
      <c r="O9" s="94" t="s">
        <v>169</v>
      </c>
      <c r="P9" s="53"/>
      <c r="Q9" s="94" t="s">
        <v>170</v>
      </c>
      <c r="R9" s="53"/>
    </row>
    <row r="10" spans="1:18" s="11" customFormat="1" ht="52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89" t="s">
        <v>167</v>
      </c>
      <c r="L10" s="89" t="s">
        <v>168</v>
      </c>
      <c r="M10" s="89" t="s">
        <v>167</v>
      </c>
      <c r="N10" s="89" t="s">
        <v>168</v>
      </c>
      <c r="O10" s="44"/>
      <c r="P10" s="44"/>
      <c r="Q10" s="45"/>
      <c r="R10" s="40"/>
    </row>
    <row r="11" spans="1:18" s="11" customFormat="1">
      <c r="A11" s="9">
        <v>10</v>
      </c>
      <c r="B11" s="36" t="s">
        <v>0</v>
      </c>
      <c r="C11" s="37"/>
      <c r="D11" s="28" t="s">
        <v>88</v>
      </c>
      <c r="E11" s="35" t="s">
        <v>19</v>
      </c>
      <c r="F11" s="46"/>
      <c r="G11" s="28" t="s">
        <v>50</v>
      </c>
      <c r="H11" s="47" t="s">
        <v>139</v>
      </c>
      <c r="I11" s="48"/>
      <c r="J11" s="49"/>
      <c r="K11" s="50" t="s">
        <v>19</v>
      </c>
      <c r="L11" s="50"/>
      <c r="M11" s="50" t="s">
        <v>140</v>
      </c>
      <c r="N11" s="50"/>
      <c r="O11" s="39"/>
      <c r="P11" s="40"/>
      <c r="Q11" s="71"/>
      <c r="R11" s="73"/>
    </row>
    <row r="12" spans="1:18" s="11" customFormat="1">
      <c r="A12" s="9">
        <v>10</v>
      </c>
      <c r="B12" s="9"/>
      <c r="C12" s="9"/>
      <c r="D12" s="9" t="s">
        <v>77</v>
      </c>
      <c r="E12" s="51" t="s">
        <v>79</v>
      </c>
      <c r="F12" s="51"/>
      <c r="G12" s="52" t="s">
        <v>171</v>
      </c>
      <c r="H12" s="52" t="s">
        <v>115</v>
      </c>
      <c r="I12" s="9" t="s">
        <v>129</v>
      </c>
      <c r="J12" s="9"/>
      <c r="K12" s="9" t="s">
        <v>129</v>
      </c>
      <c r="L12" s="9"/>
      <c r="M12" s="9" t="s">
        <v>129</v>
      </c>
      <c r="N12" s="9"/>
      <c r="O12" s="43"/>
      <c r="P12" s="53"/>
      <c r="Q12" s="146"/>
      <c r="R12" s="148"/>
    </row>
    <row r="13" spans="1:18" s="11" customFormat="1">
      <c r="A13" s="9">
        <v>10</v>
      </c>
      <c r="B13" s="9"/>
      <c r="C13" s="9"/>
      <c r="D13" s="9" t="s">
        <v>81</v>
      </c>
      <c r="E13" s="51" t="s">
        <v>85</v>
      </c>
      <c r="F13" s="51"/>
      <c r="G13" s="52" t="s">
        <v>172</v>
      </c>
      <c r="H13" s="52" t="s">
        <v>131</v>
      </c>
      <c r="I13" s="9" t="s">
        <v>129</v>
      </c>
      <c r="J13" s="9"/>
      <c r="K13" s="9" t="s">
        <v>129</v>
      </c>
      <c r="L13" s="9"/>
      <c r="M13" s="9" t="s">
        <v>129</v>
      </c>
      <c r="N13" s="9"/>
      <c r="O13" s="43"/>
      <c r="P13" s="53"/>
      <c r="Q13" s="146"/>
      <c r="R13" s="148"/>
    </row>
    <row r="14" spans="1:18" s="11" customFormat="1">
      <c r="A14" s="9">
        <v>10</v>
      </c>
      <c r="B14" s="9"/>
      <c r="C14" s="9"/>
      <c r="D14" s="9" t="s">
        <v>117</v>
      </c>
      <c r="E14" s="51" t="s">
        <v>118</v>
      </c>
      <c r="F14" s="51"/>
      <c r="G14" s="52" t="s">
        <v>173</v>
      </c>
      <c r="H14" s="52" t="s">
        <v>133</v>
      </c>
      <c r="I14" s="9" t="s">
        <v>138</v>
      </c>
      <c r="J14" s="9"/>
      <c r="K14" s="9" t="s">
        <v>129</v>
      </c>
      <c r="L14" s="9"/>
      <c r="M14" s="9" t="s">
        <v>129</v>
      </c>
      <c r="N14" s="9"/>
      <c r="O14" s="43"/>
      <c r="P14" s="53"/>
      <c r="Q14" s="146"/>
      <c r="R14" s="148"/>
    </row>
    <row r="15" spans="1:18" s="11" customFormat="1">
      <c r="A15" s="9">
        <v>10</v>
      </c>
      <c r="B15" s="9"/>
      <c r="C15" s="9"/>
      <c r="D15" s="9" t="s">
        <v>84</v>
      </c>
      <c r="E15" s="51" t="s">
        <v>119</v>
      </c>
      <c r="F15" s="51"/>
      <c r="G15" s="52" t="s">
        <v>174</v>
      </c>
      <c r="H15" s="52" t="s">
        <v>135</v>
      </c>
      <c r="I15" s="9" t="s">
        <v>129</v>
      </c>
      <c r="J15" s="9"/>
      <c r="K15" s="9" t="s">
        <v>129</v>
      </c>
      <c r="L15" s="9"/>
      <c r="M15" s="9"/>
      <c r="N15" s="9"/>
      <c r="O15" s="43"/>
      <c r="P15" s="53"/>
      <c r="Q15" s="146"/>
      <c r="R15" s="148"/>
    </row>
    <row r="16" spans="1:18" s="11" customFormat="1">
      <c r="A16" s="9">
        <v>10</v>
      </c>
      <c r="B16" s="9"/>
      <c r="C16" s="9"/>
      <c r="D16" s="9" t="s">
        <v>89</v>
      </c>
      <c r="E16" s="51" t="s">
        <v>90</v>
      </c>
      <c r="F16" s="51"/>
      <c r="G16" s="52" t="s">
        <v>175</v>
      </c>
      <c r="H16" s="52" t="s">
        <v>137</v>
      </c>
      <c r="I16" s="9" t="s">
        <v>138</v>
      </c>
      <c r="J16" s="9"/>
      <c r="K16" s="9" t="s">
        <v>129</v>
      </c>
      <c r="L16" s="9"/>
      <c r="M16" s="9"/>
      <c r="N16" s="9"/>
      <c r="O16" s="43"/>
      <c r="P16" s="53"/>
      <c r="Q16" s="146"/>
      <c r="R16" s="148"/>
    </row>
    <row r="17" spans="1:18" s="11" customFormat="1">
      <c r="A17" s="9">
        <v>10</v>
      </c>
      <c r="B17" s="9"/>
      <c r="C17" s="9"/>
      <c r="D17" s="9" t="s">
        <v>95</v>
      </c>
      <c r="E17" s="51" t="s">
        <v>96</v>
      </c>
      <c r="F17" s="51"/>
      <c r="G17" s="52" t="s">
        <v>176</v>
      </c>
      <c r="H17" s="52" t="s">
        <v>116</v>
      </c>
      <c r="I17" s="9" t="s">
        <v>138</v>
      </c>
      <c r="J17" s="9"/>
      <c r="K17" s="9" t="s">
        <v>129</v>
      </c>
      <c r="L17" s="9"/>
      <c r="M17" s="9"/>
      <c r="N17" s="9"/>
      <c r="O17" s="43"/>
      <c r="P17" s="53"/>
      <c r="Q17" s="146"/>
      <c r="R17" s="148"/>
    </row>
    <row r="18" spans="1:18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79"/>
      <c r="R32" s="56"/>
    </row>
    <row r="33" spans="1:18" s="11" customFormat="1">
      <c r="A33" s="79"/>
      <c r="R33" s="56"/>
    </row>
    <row r="34" spans="1:18" s="11" customFormat="1">
      <c r="A34" s="79"/>
      <c r="R34" s="56"/>
    </row>
    <row r="35" spans="1:18" s="11" customFormat="1">
      <c r="A35" s="79"/>
      <c r="R35" s="56"/>
    </row>
    <row r="36" spans="1:18" s="11" customFormat="1">
      <c r="A36" s="79"/>
      <c r="R36" s="56"/>
    </row>
    <row r="37" spans="1:18" s="11" customFormat="1">
      <c r="A37" s="79"/>
      <c r="R37" s="56"/>
    </row>
    <row r="38" spans="1:18" s="11" customFormat="1">
      <c r="A38" s="79"/>
      <c r="R38" s="56"/>
    </row>
    <row r="39" spans="1:18" s="11" customFormat="1">
      <c r="A39" s="79"/>
      <c r="R39" s="56"/>
    </row>
    <row r="40" spans="1:18" s="11" customFormat="1">
      <c r="A40" s="79"/>
      <c r="R40" s="56"/>
    </row>
    <row r="41" spans="1:18" s="11" customFormat="1">
      <c r="A41" s="79"/>
      <c r="R41" s="56"/>
    </row>
    <row r="42" spans="1:18" s="11" customFormat="1">
      <c r="A42" s="79"/>
      <c r="R42" s="56"/>
    </row>
    <row r="43" spans="1:18" s="11" customFormat="1">
      <c r="A43" s="84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</row>
  </sheetData>
  <dataConsolidate/>
  <mergeCells count="6">
    <mergeCell ref="Q17:R17"/>
    <mergeCell ref="Q12:R12"/>
    <mergeCell ref="Q15:R15"/>
    <mergeCell ref="Q13:R13"/>
    <mergeCell ref="Q14:R14"/>
    <mergeCell ref="Q16:R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122</v>
      </c>
      <c r="B1" s="75" t="s">
        <v>122</v>
      </c>
      <c r="C1" s="7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122</v>
      </c>
      <c r="B2" s="77"/>
      <c r="C2" s="77"/>
      <c r="D2" s="87" t="s">
        <v>157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MABGL0060</v>
      </c>
      <c r="I2" s="7" t="s">
        <v>123</v>
      </c>
      <c r="J2" s="9" t="s">
        <v>69</v>
      </c>
      <c r="K2" s="7" t="s">
        <v>38</v>
      </c>
      <c r="L2" s="78" t="str">
        <f>IF(LogicCommon!G2="","",LogicCommon!G2)</f>
        <v>MC</v>
      </c>
      <c r="M2" s="5" t="s">
        <v>124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MABGL_GrpCtgReg</v>
      </c>
      <c r="I3" s="7" t="s">
        <v>121</v>
      </c>
      <c r="J3" s="9" t="s">
        <v>51</v>
      </c>
      <c r="K3" s="7" t="s">
        <v>39</v>
      </c>
      <c r="L3" s="78" t="str">
        <f>IF(LogicCommon!G3="","",LogicCommon!G3)</f>
        <v/>
      </c>
      <c r="M3" s="82" t="s">
        <v>28</v>
      </c>
      <c r="N3" s="7"/>
      <c r="O3" s="7" t="s">
        <v>125</v>
      </c>
      <c r="P3" s="9" t="s">
        <v>126</v>
      </c>
      <c r="Q3" s="4"/>
      <c r="R3" s="27"/>
      <c r="S3" s="27"/>
      <c r="T3" s="27"/>
      <c r="U3" s="27"/>
    </row>
    <row r="4" spans="1:21" s="11" customFormat="1">
      <c r="A4" s="79" t="s">
        <v>122</v>
      </c>
      <c r="B4" s="80"/>
      <c r="C4" s="80"/>
      <c r="D4" s="4"/>
      <c r="E4" s="7" t="s">
        <v>8</v>
      </c>
      <c r="F4" s="10" t="s">
        <v>114</v>
      </c>
      <c r="G4" s="7" t="s">
        <v>11</v>
      </c>
      <c r="H4" s="78" t="str">
        <f>IF(LogicCommon!E4="","",LogicCommon!E4)</f>
        <v>計算グループカテゴリマスタ登録</v>
      </c>
      <c r="I4" s="7" t="s">
        <v>127</v>
      </c>
      <c r="J4" s="9" t="s">
        <v>109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122</v>
      </c>
      <c r="B5" s="75"/>
      <c r="C5" s="75"/>
      <c r="D5" s="26"/>
      <c r="E5" s="7" t="s">
        <v>128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122</v>
      </c>
      <c r="B6" s="80"/>
      <c r="C6" s="80"/>
      <c r="D6" s="4" t="s">
        <v>6</v>
      </c>
      <c r="E6" s="16" t="s">
        <v>108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52</v>
      </c>
      <c r="L7" s="32"/>
      <c r="M7" s="32"/>
      <c r="N7" s="32"/>
      <c r="O7" s="32"/>
      <c r="P7" s="33" t="s">
        <v>45</v>
      </c>
      <c r="Q7" s="32"/>
      <c r="R7" s="29"/>
      <c r="S7" s="29"/>
      <c r="T7" s="29"/>
      <c r="U7" s="29"/>
    </row>
    <row r="8" spans="1:21" s="11" customFormat="1" ht="60" customHeight="1">
      <c r="A8" s="51" t="s">
        <v>15</v>
      </c>
      <c r="B8" s="90"/>
      <c r="C8" s="91"/>
      <c r="D8" s="88" t="s">
        <v>158</v>
      </c>
      <c r="E8" s="88" t="s">
        <v>159</v>
      </c>
      <c r="F8" s="86"/>
      <c r="G8" s="88" t="s">
        <v>120</v>
      </c>
      <c r="H8" s="88" t="s">
        <v>160</v>
      </c>
      <c r="I8" s="86"/>
      <c r="J8" s="3"/>
      <c r="K8" s="34" t="s">
        <v>53</v>
      </c>
      <c r="L8" s="34"/>
      <c r="M8" s="34"/>
      <c r="N8" s="34"/>
      <c r="O8" s="34"/>
      <c r="P8" s="33" t="s">
        <v>46</v>
      </c>
      <c r="Q8" s="34"/>
      <c r="R8" s="92"/>
      <c r="S8" s="93"/>
      <c r="T8" s="94" t="s">
        <v>161</v>
      </c>
      <c r="U8" s="53"/>
    </row>
    <row r="9" spans="1:21" s="11" customFormat="1" ht="60" customHeight="1">
      <c r="A9" s="9" t="s">
        <v>15</v>
      </c>
      <c r="B9" s="36"/>
      <c r="C9" s="37"/>
      <c r="D9" s="88" t="s">
        <v>162</v>
      </c>
      <c r="E9" s="95" t="s">
        <v>163</v>
      </c>
      <c r="F9" s="88" t="s">
        <v>164</v>
      </c>
      <c r="G9" s="88" t="s">
        <v>165</v>
      </c>
      <c r="H9" s="88" t="s">
        <v>166</v>
      </c>
      <c r="I9" s="96" t="s">
        <v>167</v>
      </c>
      <c r="J9" s="88" t="s">
        <v>168</v>
      </c>
      <c r="K9" s="33"/>
      <c r="L9" s="33"/>
      <c r="M9" s="33"/>
      <c r="N9" s="33"/>
      <c r="O9" s="33"/>
      <c r="P9" s="33"/>
      <c r="Q9" s="33"/>
      <c r="R9" s="94" t="s">
        <v>169</v>
      </c>
      <c r="S9" s="53"/>
      <c r="T9" s="94" t="s">
        <v>170</v>
      </c>
      <c r="U9" s="53"/>
    </row>
    <row r="10" spans="1:21" s="11" customFormat="1" ht="39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89" t="s">
        <v>167</v>
      </c>
      <c r="Q10" s="89" t="s">
        <v>168</v>
      </c>
      <c r="R10" s="44"/>
      <c r="S10" s="44"/>
      <c r="T10" s="45"/>
      <c r="U10" s="40"/>
    </row>
    <row r="11" spans="1:21" s="11" customFormat="1">
      <c r="A11" s="9">
        <v>10</v>
      </c>
      <c r="B11" s="36" t="s">
        <v>0</v>
      </c>
      <c r="C11" s="37"/>
      <c r="D11" s="28" t="s">
        <v>70</v>
      </c>
      <c r="E11" s="35" t="s">
        <v>44</v>
      </c>
      <c r="F11" s="46"/>
      <c r="G11" s="28"/>
      <c r="H11" s="47"/>
      <c r="I11" s="48"/>
      <c r="J11" s="49"/>
      <c r="K11" s="50"/>
      <c r="L11" s="50"/>
      <c r="M11" s="50"/>
      <c r="N11" s="50"/>
      <c r="O11" s="50"/>
      <c r="P11" s="50"/>
      <c r="Q11" s="50"/>
      <c r="R11" s="39"/>
      <c r="S11" s="40"/>
      <c r="T11" s="71"/>
      <c r="U11" s="73"/>
    </row>
    <row r="12" spans="1:21" s="11" customFormat="1">
      <c r="A12" s="9">
        <v>10</v>
      </c>
      <c r="B12" s="9"/>
      <c r="C12" s="9"/>
      <c r="D12" s="9" t="s">
        <v>77</v>
      </c>
      <c r="E12" s="51" t="s">
        <v>79</v>
      </c>
      <c r="F12" s="51"/>
      <c r="G12" s="52" t="s">
        <v>171</v>
      </c>
      <c r="H12" s="52" t="s">
        <v>115</v>
      </c>
      <c r="I12" s="9" t="s">
        <v>129</v>
      </c>
      <c r="J12" s="9"/>
      <c r="K12" s="9" t="s">
        <v>129</v>
      </c>
      <c r="L12" s="9"/>
      <c r="M12" s="9"/>
      <c r="N12" s="9"/>
      <c r="O12" s="9"/>
      <c r="P12" s="9"/>
      <c r="Q12" s="9"/>
      <c r="R12" s="43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81</v>
      </c>
      <c r="E13" s="51" t="s">
        <v>85</v>
      </c>
      <c r="F13" s="51"/>
      <c r="G13" s="52" t="s">
        <v>172</v>
      </c>
      <c r="H13" s="52" t="s">
        <v>131</v>
      </c>
      <c r="I13" s="9" t="s">
        <v>129</v>
      </c>
      <c r="J13" s="9"/>
      <c r="K13" s="9" t="s">
        <v>129</v>
      </c>
      <c r="L13" s="9"/>
      <c r="M13" s="9"/>
      <c r="N13" s="9"/>
      <c r="O13" s="9"/>
      <c r="P13" s="9"/>
      <c r="Q13" s="9"/>
      <c r="R13" s="43"/>
      <c r="S13" s="53"/>
      <c r="T13" s="146"/>
      <c r="U13" s="147"/>
    </row>
    <row r="14" spans="1:21" s="11" customFormat="1">
      <c r="A14" s="9">
        <v>10</v>
      </c>
      <c r="B14" s="9"/>
      <c r="C14" s="9"/>
      <c r="D14" s="9" t="s">
        <v>117</v>
      </c>
      <c r="E14" s="51" t="s">
        <v>118</v>
      </c>
      <c r="F14" s="51"/>
      <c r="G14" s="52" t="s">
        <v>173</v>
      </c>
      <c r="H14" s="52" t="s">
        <v>133</v>
      </c>
      <c r="I14" s="9" t="s">
        <v>138</v>
      </c>
      <c r="J14" s="9"/>
      <c r="K14" s="9" t="s">
        <v>129</v>
      </c>
      <c r="L14" s="9"/>
      <c r="M14" s="9"/>
      <c r="N14" s="9"/>
      <c r="O14" s="9"/>
      <c r="P14" s="9"/>
      <c r="Q14" s="9"/>
      <c r="R14" s="43"/>
      <c r="S14" s="53"/>
      <c r="T14" s="146"/>
      <c r="U14" s="147"/>
    </row>
    <row r="15" spans="1:21" s="11" customFormat="1">
      <c r="A15" s="9">
        <v>10</v>
      </c>
      <c r="B15" s="9"/>
      <c r="C15" s="9"/>
      <c r="D15" s="9" t="s">
        <v>95</v>
      </c>
      <c r="E15" s="51" t="s">
        <v>96</v>
      </c>
      <c r="F15" s="51"/>
      <c r="G15" s="52" t="s">
        <v>176</v>
      </c>
      <c r="H15" s="52" t="s">
        <v>116</v>
      </c>
      <c r="I15" s="9" t="s">
        <v>138</v>
      </c>
      <c r="J15" s="9"/>
      <c r="K15" s="9"/>
      <c r="L15" s="9"/>
      <c r="M15" s="9"/>
      <c r="N15" s="9"/>
      <c r="O15" s="9"/>
      <c r="P15" s="9"/>
      <c r="Q15" s="9"/>
      <c r="R15" s="43"/>
      <c r="S15" s="53"/>
      <c r="T15" s="146"/>
      <c r="U15" s="147"/>
    </row>
    <row r="16" spans="1:21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79"/>
      <c r="U17" s="56"/>
    </row>
    <row r="18" spans="1:21" s="11" customFormat="1">
      <c r="A18" s="79"/>
      <c r="U18" s="56"/>
    </row>
    <row r="19" spans="1:21" s="11" customFormat="1">
      <c r="A19" s="79"/>
      <c r="U19" s="56"/>
    </row>
    <row r="20" spans="1:21" s="11" customFormat="1">
      <c r="A20" s="84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4:U14"/>
    <mergeCell ref="T12:U12"/>
    <mergeCell ref="T13:U13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>
      <c r="A1" s="75" t="s">
        <v>122</v>
      </c>
      <c r="B1" s="75" t="s">
        <v>122</v>
      </c>
      <c r="C1" s="7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6" t="s">
        <v>122</v>
      </c>
      <c r="B2" s="77"/>
      <c r="C2" s="77"/>
      <c r="D2" s="87" t="s">
        <v>157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MABGL0060</v>
      </c>
      <c r="I2" s="7" t="s">
        <v>123</v>
      </c>
      <c r="J2" s="9" t="s">
        <v>71</v>
      </c>
      <c r="K2" s="7" t="s">
        <v>38</v>
      </c>
      <c r="L2" s="78" t="str">
        <f>IF(LogicCommon!G2="","",LogicCommon!G2)</f>
        <v>MC</v>
      </c>
      <c r="M2" s="5" t="s">
        <v>124</v>
      </c>
      <c r="N2" s="28" t="s">
        <v>152</v>
      </c>
      <c r="O2" s="7"/>
      <c r="P2" s="7"/>
    </row>
    <row r="3" spans="1:16" s="11" customFormat="1">
      <c r="A3" s="79" t="s">
        <v>122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MABGL_GrpCtgReg</v>
      </c>
      <c r="I3" s="7" t="s">
        <v>121</v>
      </c>
      <c r="J3" s="9" t="s">
        <v>27</v>
      </c>
      <c r="K3" s="7" t="s">
        <v>39</v>
      </c>
      <c r="L3" s="78" t="str">
        <f>IF(LogicCommon!G3="","",LogicCommon!G3)</f>
        <v/>
      </c>
      <c r="M3" s="82" t="s">
        <v>28</v>
      </c>
      <c r="N3" s="7"/>
      <c r="O3" s="7" t="s">
        <v>125</v>
      </c>
      <c r="P3" s="9" t="s">
        <v>126</v>
      </c>
    </row>
    <row r="4" spans="1:16" s="11" customFormat="1">
      <c r="A4" s="79" t="s">
        <v>122</v>
      </c>
      <c r="B4" s="80"/>
      <c r="C4" s="80"/>
      <c r="D4" s="4"/>
      <c r="E4" s="7" t="s">
        <v>8</v>
      </c>
      <c r="F4" s="10" t="s">
        <v>114</v>
      </c>
      <c r="G4" s="7" t="s">
        <v>11</v>
      </c>
      <c r="H4" s="78" t="str">
        <f>IF(LogicCommon!E4="","",LogicCommon!E4)</f>
        <v>計算グループカテゴリマスタ登録</v>
      </c>
      <c r="I4" s="7" t="s">
        <v>127</v>
      </c>
      <c r="J4" s="9" t="s">
        <v>107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</row>
    <row r="5" spans="1:16" s="11" customFormat="1">
      <c r="A5" s="84" t="s">
        <v>122</v>
      </c>
      <c r="B5" s="75"/>
      <c r="C5" s="75"/>
      <c r="D5" s="26"/>
      <c r="E5" s="7" t="s">
        <v>128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</row>
    <row r="6" spans="1:16" s="11" customFormat="1">
      <c r="A6" s="79" t="s">
        <v>122</v>
      </c>
      <c r="B6" s="80"/>
      <c r="C6" s="80"/>
      <c r="D6" s="4" t="s">
        <v>6</v>
      </c>
      <c r="E6" s="16" t="s">
        <v>106</v>
      </c>
      <c r="F6" s="16"/>
      <c r="G6" s="16"/>
      <c r="H6" s="16"/>
      <c r="I6" s="16"/>
      <c r="J6" s="16"/>
      <c r="K6" s="16"/>
      <c r="L6" s="86" t="s">
        <v>35</v>
      </c>
      <c r="M6" s="19"/>
      <c r="N6" s="19"/>
      <c r="O6" s="19"/>
      <c r="P6" s="19"/>
    </row>
    <row r="7" spans="1:16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47</v>
      </c>
      <c r="M7" s="29"/>
      <c r="N7" s="29"/>
      <c r="O7" s="29"/>
      <c r="P7" s="29"/>
    </row>
    <row r="8" spans="1:16" s="11" customFormat="1" ht="60" customHeight="1">
      <c r="A8" s="51" t="s">
        <v>15</v>
      </c>
      <c r="B8" s="90"/>
      <c r="C8" s="91"/>
      <c r="D8" s="88" t="s">
        <v>158</v>
      </c>
      <c r="E8" s="88" t="s">
        <v>159</v>
      </c>
      <c r="F8" s="86"/>
      <c r="G8" s="88" t="s">
        <v>120</v>
      </c>
      <c r="H8" s="88" t="s">
        <v>160</v>
      </c>
      <c r="I8" s="86"/>
      <c r="J8" s="3"/>
      <c r="K8" s="33" t="s">
        <v>14</v>
      </c>
      <c r="L8" s="34" t="s">
        <v>155</v>
      </c>
      <c r="M8" s="92"/>
      <c r="N8" s="93"/>
      <c r="O8" s="94" t="s">
        <v>161</v>
      </c>
      <c r="P8" s="53"/>
    </row>
    <row r="9" spans="1:16" s="11" customFormat="1" ht="60" customHeight="1">
      <c r="A9" s="9" t="s">
        <v>15</v>
      </c>
      <c r="B9" s="36"/>
      <c r="C9" s="37"/>
      <c r="D9" s="88" t="s">
        <v>162</v>
      </c>
      <c r="E9" s="95" t="s">
        <v>163</v>
      </c>
      <c r="F9" s="88" t="s">
        <v>164</v>
      </c>
      <c r="G9" s="88" t="s">
        <v>165</v>
      </c>
      <c r="H9" s="88" t="s">
        <v>166</v>
      </c>
      <c r="I9" s="96" t="s">
        <v>167</v>
      </c>
      <c r="J9" s="88" t="s">
        <v>168</v>
      </c>
      <c r="K9" s="33"/>
      <c r="L9" s="33"/>
      <c r="M9" s="94" t="s">
        <v>169</v>
      </c>
      <c r="N9" s="53"/>
      <c r="O9" s="94" t="s">
        <v>170</v>
      </c>
      <c r="P9" s="53"/>
    </row>
    <row r="10" spans="1:16" s="11" customFormat="1" ht="39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89" t="s">
        <v>167</v>
      </c>
      <c r="L10" s="89" t="s">
        <v>168</v>
      </c>
      <c r="M10" s="44"/>
      <c r="N10" s="44"/>
      <c r="O10" s="45"/>
      <c r="P10" s="40"/>
    </row>
    <row r="11" spans="1:16" s="11" customFormat="1">
      <c r="A11" s="9">
        <v>10</v>
      </c>
      <c r="B11" s="36" t="s">
        <v>0</v>
      </c>
      <c r="C11" s="37"/>
      <c r="D11" s="28" t="s">
        <v>72</v>
      </c>
      <c r="E11" s="35" t="s">
        <v>44</v>
      </c>
      <c r="F11" s="46"/>
      <c r="G11" s="28" t="s">
        <v>50</v>
      </c>
      <c r="H11" s="47" t="s">
        <v>141</v>
      </c>
      <c r="I11" s="48"/>
      <c r="J11" s="49"/>
      <c r="K11" s="50" t="s">
        <v>140</v>
      </c>
      <c r="L11" s="50"/>
      <c r="M11" s="39"/>
      <c r="N11" s="40"/>
      <c r="O11" s="71"/>
      <c r="P11" s="73"/>
    </row>
    <row r="12" spans="1:16" s="11" customFormat="1">
      <c r="A12" s="9">
        <v>10</v>
      </c>
      <c r="B12" s="9"/>
      <c r="C12" s="9"/>
      <c r="D12" s="9" t="s">
        <v>77</v>
      </c>
      <c r="E12" s="51" t="s">
        <v>79</v>
      </c>
      <c r="F12" s="51"/>
      <c r="G12" s="52" t="s">
        <v>171</v>
      </c>
      <c r="H12" s="52" t="s">
        <v>115</v>
      </c>
      <c r="I12" s="9" t="s">
        <v>129</v>
      </c>
      <c r="J12" s="9"/>
      <c r="K12" s="9" t="s">
        <v>129</v>
      </c>
      <c r="L12" s="9"/>
      <c r="M12" s="45"/>
      <c r="N12" s="40"/>
      <c r="O12" s="71"/>
      <c r="P12" s="73"/>
    </row>
    <row r="13" spans="1:16" s="11" customFormat="1">
      <c r="A13" s="9">
        <v>10</v>
      </c>
      <c r="B13" s="9"/>
      <c r="C13" s="9"/>
      <c r="D13" s="9" t="s">
        <v>81</v>
      </c>
      <c r="E13" s="51" t="s">
        <v>85</v>
      </c>
      <c r="F13" s="51"/>
      <c r="G13" s="52" t="s">
        <v>172</v>
      </c>
      <c r="H13" s="52" t="s">
        <v>131</v>
      </c>
      <c r="I13" s="9" t="s">
        <v>129</v>
      </c>
      <c r="J13" s="9"/>
      <c r="K13" s="9" t="s">
        <v>129</v>
      </c>
      <c r="L13" s="9"/>
      <c r="M13" s="45"/>
      <c r="N13" s="40"/>
      <c r="O13" s="71"/>
      <c r="P13" s="73"/>
    </row>
    <row r="14" spans="1:16" s="11" customFormat="1">
      <c r="A14" s="9">
        <v>10</v>
      </c>
      <c r="B14" s="9"/>
      <c r="C14" s="9"/>
      <c r="D14" s="9" t="s">
        <v>117</v>
      </c>
      <c r="E14" s="51" t="s">
        <v>118</v>
      </c>
      <c r="F14" s="51"/>
      <c r="G14" s="52" t="s">
        <v>173</v>
      </c>
      <c r="H14" s="52" t="s">
        <v>133</v>
      </c>
      <c r="I14" s="9" t="s">
        <v>138</v>
      </c>
      <c r="J14" s="9"/>
      <c r="K14" s="9" t="s">
        <v>138</v>
      </c>
      <c r="L14" s="9"/>
      <c r="M14" s="45"/>
      <c r="N14" s="40"/>
      <c r="O14" s="71"/>
      <c r="P14" s="73"/>
    </row>
    <row r="15" spans="1:16" s="11" customFormat="1">
      <c r="A15" s="9">
        <v>10</v>
      </c>
      <c r="B15" s="9"/>
      <c r="C15" s="9"/>
      <c r="D15" s="9" t="s">
        <v>95</v>
      </c>
      <c r="E15" s="51" t="s">
        <v>96</v>
      </c>
      <c r="F15" s="51"/>
      <c r="G15" s="52" t="s">
        <v>176</v>
      </c>
      <c r="H15" s="52" t="s">
        <v>116</v>
      </c>
      <c r="I15" s="9" t="s">
        <v>138</v>
      </c>
      <c r="J15" s="9"/>
      <c r="K15" s="9" t="s">
        <v>138</v>
      </c>
      <c r="L15" s="9"/>
      <c r="M15" s="45"/>
      <c r="N15" s="40"/>
      <c r="O15" s="71"/>
      <c r="P15" s="73"/>
    </row>
    <row r="16" spans="1:16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4"/>
      <c r="N16" s="4"/>
      <c r="O16" s="6"/>
      <c r="P16" s="23"/>
    </row>
    <row r="17" spans="1:16" s="11" customFormat="1">
      <c r="A17" s="79"/>
      <c r="P17" s="56"/>
    </row>
    <row r="18" spans="1:16" s="11" customFormat="1">
      <c r="A18" s="79"/>
      <c r="P18" s="56"/>
    </row>
    <row r="19" spans="1:16" s="11" customFormat="1">
      <c r="A19" s="79"/>
      <c r="P19" s="56"/>
    </row>
    <row r="20" spans="1:16" s="11" customFormat="1">
      <c r="A20" s="79"/>
      <c r="P20" s="56"/>
    </row>
    <row r="21" spans="1:16" s="11" customFormat="1">
      <c r="A21" s="79"/>
      <c r="P21" s="56"/>
    </row>
    <row r="22" spans="1:16" s="11" customFormat="1">
      <c r="A22" s="79"/>
      <c r="P22" s="56"/>
    </row>
    <row r="23" spans="1:16" s="11" customFormat="1">
      <c r="A23" s="79"/>
      <c r="P23" s="56"/>
    </row>
    <row r="24" spans="1:16" s="11" customFormat="1">
      <c r="A24" s="79"/>
      <c r="P24" s="56"/>
    </row>
    <row r="25" spans="1:16" s="11" customFormat="1">
      <c r="A25" s="79"/>
      <c r="P25" s="56"/>
    </row>
    <row r="26" spans="1:16" s="11" customFormat="1">
      <c r="A26" s="79"/>
      <c r="P26" s="56"/>
    </row>
    <row r="27" spans="1:16" s="11" customFormat="1">
      <c r="A27" s="79"/>
      <c r="P27" s="56"/>
    </row>
    <row r="28" spans="1:16" s="11" customFormat="1">
      <c r="A28" s="79"/>
      <c r="P28" s="56"/>
    </row>
    <row r="29" spans="1:16" s="11" customFormat="1">
      <c r="A29" s="79"/>
      <c r="P29" s="56"/>
    </row>
    <row r="30" spans="1:16" s="11" customFormat="1">
      <c r="A30" s="79"/>
      <c r="P30" s="56"/>
    </row>
    <row r="31" spans="1:16" s="11" customFormat="1">
      <c r="A31" s="79"/>
      <c r="P31" s="56"/>
    </row>
    <row r="32" spans="1:16" s="11" customFormat="1">
      <c r="A32" s="79"/>
      <c r="P32" s="56"/>
    </row>
    <row r="33" spans="1:16" s="11" customFormat="1">
      <c r="A33" s="79"/>
      <c r="P33" s="56"/>
    </row>
    <row r="34" spans="1:16" s="11" customFormat="1">
      <c r="A34" s="79"/>
      <c r="P34" s="56"/>
    </row>
    <row r="35" spans="1:16" s="11" customFormat="1">
      <c r="A35" s="79"/>
      <c r="P35" s="56"/>
    </row>
    <row r="36" spans="1:16" s="11" customFormat="1">
      <c r="A36" s="79"/>
      <c r="P36" s="56"/>
    </row>
    <row r="37" spans="1:16" s="11" customFormat="1">
      <c r="A37" s="79"/>
      <c r="P37" s="56"/>
    </row>
    <row r="38" spans="1:16" s="11" customFormat="1">
      <c r="A38" s="79"/>
      <c r="P38" s="56"/>
    </row>
    <row r="39" spans="1:16" s="11" customFormat="1">
      <c r="A39" s="79"/>
      <c r="P39" s="56"/>
    </row>
    <row r="40" spans="1:16" s="11" customFormat="1">
      <c r="A40" s="79"/>
      <c r="P40" s="56"/>
    </row>
    <row r="41" spans="1:16" s="11" customFormat="1">
      <c r="A41" s="79"/>
      <c r="P41" s="56"/>
    </row>
    <row r="42" spans="1:16" s="11" customFormat="1">
      <c r="A42" s="84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12.816406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122</v>
      </c>
      <c r="B1" s="75" t="s">
        <v>122</v>
      </c>
      <c r="C1" s="7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122</v>
      </c>
      <c r="B2" s="77"/>
      <c r="C2" s="77"/>
      <c r="D2" s="87" t="s">
        <v>157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MABGL0060</v>
      </c>
      <c r="I2" s="7" t="s">
        <v>123</v>
      </c>
      <c r="J2" s="9" t="s">
        <v>26</v>
      </c>
      <c r="K2" s="7" t="s">
        <v>38</v>
      </c>
      <c r="L2" s="78" t="str">
        <f>IF(LogicCommon!G2="","",LogicCommon!G2)</f>
        <v>MC</v>
      </c>
      <c r="M2" s="5" t="s">
        <v>124</v>
      </c>
      <c r="N2" s="28" t="s">
        <v>153</v>
      </c>
      <c r="O2" s="7"/>
      <c r="P2" s="7"/>
      <c r="Q2" s="4"/>
      <c r="R2" s="4"/>
      <c r="S2" s="4"/>
    </row>
    <row r="3" spans="1:19" s="11" customFormat="1">
      <c r="A3" s="79" t="s">
        <v>122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MABGL_GrpCtgReg</v>
      </c>
      <c r="I3" s="7" t="s">
        <v>121</v>
      </c>
      <c r="J3" s="9" t="s">
        <v>27</v>
      </c>
      <c r="K3" s="7" t="s">
        <v>39</v>
      </c>
      <c r="L3" s="78" t="str">
        <f>IF(LogicCommon!G3="","",LogicCommon!G3)</f>
        <v/>
      </c>
      <c r="M3" s="82" t="s">
        <v>28</v>
      </c>
      <c r="N3" s="7"/>
      <c r="O3" s="7" t="s">
        <v>125</v>
      </c>
      <c r="P3" s="9" t="s">
        <v>126</v>
      </c>
      <c r="Q3" s="4"/>
      <c r="R3" s="4"/>
      <c r="S3" s="4"/>
    </row>
    <row r="4" spans="1:19" s="11" customFormat="1">
      <c r="A4" s="79" t="s">
        <v>122</v>
      </c>
      <c r="B4" s="80"/>
      <c r="C4" s="80"/>
      <c r="D4" s="4"/>
      <c r="E4" s="7" t="s">
        <v>8</v>
      </c>
      <c r="F4" s="10" t="s">
        <v>114</v>
      </c>
      <c r="G4" s="7" t="s">
        <v>11</v>
      </c>
      <c r="H4" s="78" t="str">
        <f>IF(LogicCommon!E4="","",LogicCommon!E4)</f>
        <v>計算グループカテゴリマスタ登録</v>
      </c>
      <c r="I4" s="7" t="s">
        <v>127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122</v>
      </c>
      <c r="B5" s="75"/>
      <c r="C5" s="75"/>
      <c r="D5" s="26"/>
      <c r="E5" s="7" t="s">
        <v>128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122</v>
      </c>
      <c r="B6" s="80"/>
      <c r="C6" s="80"/>
      <c r="D6" s="4" t="s">
        <v>6</v>
      </c>
      <c r="E6" s="16" t="s">
        <v>105</v>
      </c>
      <c r="F6" s="16"/>
      <c r="G6" s="16"/>
      <c r="H6" s="16"/>
      <c r="I6" s="16"/>
      <c r="J6" s="16"/>
      <c r="K6" s="16"/>
      <c r="L6" s="86"/>
      <c r="M6" s="19" t="s">
        <v>35</v>
      </c>
      <c r="N6" s="19"/>
      <c r="O6" s="19" t="s">
        <v>35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60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>
      <c r="A8" s="51" t="s">
        <v>15</v>
      </c>
      <c r="B8" s="90"/>
      <c r="C8" s="91"/>
      <c r="D8" s="88" t="s">
        <v>158</v>
      </c>
      <c r="E8" s="88" t="s">
        <v>159</v>
      </c>
      <c r="F8" s="86"/>
      <c r="G8" s="88" t="s">
        <v>120</v>
      </c>
      <c r="H8" s="88" t="s">
        <v>160</v>
      </c>
      <c r="I8" s="86"/>
      <c r="J8" s="3"/>
      <c r="K8" s="34" t="s">
        <v>61</v>
      </c>
      <c r="L8" s="33" t="s">
        <v>14</v>
      </c>
      <c r="M8" s="34" t="s">
        <v>156</v>
      </c>
      <c r="N8" s="33" t="s">
        <v>14</v>
      </c>
      <c r="O8" s="34"/>
      <c r="P8" s="92"/>
      <c r="Q8" s="93"/>
      <c r="R8" s="94" t="s">
        <v>161</v>
      </c>
      <c r="S8" s="53"/>
    </row>
    <row r="9" spans="1:19" s="11" customFormat="1" ht="60" customHeight="1">
      <c r="A9" s="9" t="s">
        <v>15</v>
      </c>
      <c r="B9" s="36"/>
      <c r="C9" s="37"/>
      <c r="D9" s="88" t="s">
        <v>162</v>
      </c>
      <c r="E9" s="95" t="s">
        <v>163</v>
      </c>
      <c r="F9" s="88" t="s">
        <v>164</v>
      </c>
      <c r="G9" s="88" t="s">
        <v>165</v>
      </c>
      <c r="H9" s="88" t="s">
        <v>166</v>
      </c>
      <c r="I9" s="96" t="s">
        <v>167</v>
      </c>
      <c r="J9" s="88" t="s">
        <v>168</v>
      </c>
      <c r="K9" s="97"/>
      <c r="L9" s="33"/>
      <c r="M9" s="33"/>
      <c r="N9" s="33"/>
      <c r="O9" s="33"/>
      <c r="P9" s="94" t="s">
        <v>169</v>
      </c>
      <c r="Q9" s="53"/>
      <c r="R9" s="94" t="s">
        <v>170</v>
      </c>
      <c r="S9" s="53"/>
    </row>
    <row r="10" spans="1:19" s="11" customFormat="1" ht="52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57"/>
      <c r="L10" s="89" t="s">
        <v>167</v>
      </c>
      <c r="M10" s="89" t="s">
        <v>168</v>
      </c>
      <c r="N10" s="89" t="s">
        <v>167</v>
      </c>
      <c r="O10" s="89" t="s">
        <v>168</v>
      </c>
      <c r="P10" s="44"/>
      <c r="Q10" s="44"/>
      <c r="R10" s="45"/>
      <c r="S10" s="40"/>
    </row>
    <row r="11" spans="1:19" s="11" customFormat="1">
      <c r="A11" s="9">
        <v>10</v>
      </c>
      <c r="B11" s="36" t="s">
        <v>0</v>
      </c>
      <c r="C11" s="37"/>
      <c r="D11" s="28" t="s">
        <v>17</v>
      </c>
      <c r="E11" s="35" t="s">
        <v>18</v>
      </c>
      <c r="F11" s="46"/>
      <c r="G11" s="28"/>
      <c r="H11" s="47"/>
      <c r="I11" s="48"/>
      <c r="J11" s="49"/>
      <c r="K11" s="38"/>
      <c r="L11" s="50" t="s">
        <v>18</v>
      </c>
      <c r="M11" s="50"/>
      <c r="N11" s="50"/>
      <c r="O11" s="50"/>
      <c r="P11" s="39"/>
      <c r="Q11" s="40"/>
      <c r="R11" s="71"/>
      <c r="S11" s="73"/>
    </row>
    <row r="12" spans="1:19" s="11" customFormat="1">
      <c r="A12" s="9">
        <v>10</v>
      </c>
      <c r="B12" s="9"/>
      <c r="C12" s="9"/>
      <c r="D12" s="9" t="s">
        <v>77</v>
      </c>
      <c r="E12" s="51" t="s">
        <v>79</v>
      </c>
      <c r="F12" s="51"/>
      <c r="G12" s="52" t="s">
        <v>171</v>
      </c>
      <c r="H12" s="52" t="s">
        <v>115</v>
      </c>
      <c r="I12" s="9" t="s">
        <v>138</v>
      </c>
      <c r="J12" s="9"/>
      <c r="K12" s="9"/>
      <c r="L12" s="9" t="s">
        <v>138</v>
      </c>
      <c r="M12" s="9"/>
      <c r="N12" s="9"/>
      <c r="O12" s="9"/>
      <c r="P12" s="58"/>
      <c r="Q12" s="53"/>
      <c r="R12" s="146"/>
      <c r="S12" s="147"/>
    </row>
    <row r="13" spans="1:19" s="11" customFormat="1">
      <c r="A13" s="9">
        <v>10</v>
      </c>
      <c r="B13" s="9"/>
      <c r="C13" s="9"/>
      <c r="D13" s="9" t="s">
        <v>78</v>
      </c>
      <c r="E13" s="51" t="s">
        <v>80</v>
      </c>
      <c r="F13" s="51"/>
      <c r="G13" s="52" t="s">
        <v>177</v>
      </c>
      <c r="H13" s="52" t="s">
        <v>142</v>
      </c>
      <c r="I13" s="9" t="s">
        <v>138</v>
      </c>
      <c r="J13" s="9"/>
      <c r="K13" s="9"/>
      <c r="L13" s="9" t="s">
        <v>138</v>
      </c>
      <c r="M13" s="9"/>
      <c r="N13" s="9"/>
      <c r="O13" s="9"/>
      <c r="P13" s="58"/>
      <c r="Q13" s="53"/>
      <c r="R13" s="146"/>
      <c r="S13" s="147"/>
    </row>
    <row r="14" spans="1:19" s="11" customFormat="1">
      <c r="A14" s="79"/>
      <c r="S14" s="56"/>
    </row>
    <row r="15" spans="1:19" s="11" customFormat="1">
      <c r="A15" s="9">
        <v>20</v>
      </c>
      <c r="B15" s="36" t="s">
        <v>0</v>
      </c>
      <c r="C15" s="37"/>
      <c r="D15" s="28" t="s">
        <v>100</v>
      </c>
      <c r="E15" s="35" t="s">
        <v>30</v>
      </c>
      <c r="F15" s="59"/>
      <c r="G15" s="28"/>
      <c r="H15" s="47"/>
      <c r="I15" s="60"/>
      <c r="J15" s="61"/>
      <c r="K15" s="50"/>
      <c r="L15" s="50"/>
      <c r="M15" s="50" t="s">
        <v>19</v>
      </c>
      <c r="N15" s="50"/>
      <c r="O15" s="50"/>
      <c r="P15" s="39"/>
      <c r="Q15" s="40"/>
      <c r="R15" s="71"/>
      <c r="S15" s="73"/>
    </row>
    <row r="16" spans="1:19" s="11" customFormat="1">
      <c r="A16" s="9">
        <v>20</v>
      </c>
      <c r="B16" s="9"/>
      <c r="C16" s="9"/>
      <c r="D16" s="9" t="s">
        <v>89</v>
      </c>
      <c r="E16" s="51" t="s">
        <v>90</v>
      </c>
      <c r="F16" s="51"/>
      <c r="G16" s="52" t="s">
        <v>175</v>
      </c>
      <c r="H16" s="52" t="s">
        <v>137</v>
      </c>
      <c r="I16" s="9"/>
      <c r="J16" s="9" t="s">
        <v>138</v>
      </c>
      <c r="K16" s="9"/>
      <c r="L16" s="9"/>
      <c r="M16" s="9" t="s">
        <v>138</v>
      </c>
      <c r="N16" s="9"/>
      <c r="O16" s="9"/>
      <c r="P16" s="58"/>
      <c r="Q16" s="53"/>
      <c r="R16" s="146"/>
      <c r="S16" s="147"/>
    </row>
    <row r="17" spans="1:19" s="11" customFormat="1">
      <c r="A17" s="9">
        <v>20</v>
      </c>
      <c r="B17" s="9"/>
      <c r="C17" s="9"/>
      <c r="D17" s="9" t="s">
        <v>94</v>
      </c>
      <c r="E17" s="51" t="s">
        <v>79</v>
      </c>
      <c r="F17" s="51"/>
      <c r="G17" s="52" t="s">
        <v>171</v>
      </c>
      <c r="H17" s="52" t="s">
        <v>115</v>
      </c>
      <c r="I17" s="9"/>
      <c r="J17" s="9" t="s">
        <v>138</v>
      </c>
      <c r="K17" s="9"/>
      <c r="L17" s="9"/>
      <c r="M17" s="9" t="s">
        <v>138</v>
      </c>
      <c r="N17" s="9"/>
      <c r="O17" s="9"/>
      <c r="P17" s="58"/>
      <c r="Q17" s="53"/>
      <c r="R17" s="146"/>
      <c r="S17" s="147"/>
    </row>
    <row r="18" spans="1:19" s="11" customFormat="1">
      <c r="A18" s="9">
        <v>20</v>
      </c>
      <c r="B18" s="9"/>
      <c r="C18" s="9"/>
      <c r="D18" s="9" t="s">
        <v>78</v>
      </c>
      <c r="E18" s="51" t="s">
        <v>80</v>
      </c>
      <c r="F18" s="51"/>
      <c r="G18" s="52" t="s">
        <v>177</v>
      </c>
      <c r="H18" s="52" t="s">
        <v>142</v>
      </c>
      <c r="I18" s="9"/>
      <c r="J18" s="9" t="s">
        <v>138</v>
      </c>
      <c r="K18" s="9"/>
      <c r="L18" s="9"/>
      <c r="M18" s="9" t="s">
        <v>138</v>
      </c>
      <c r="N18" s="9"/>
      <c r="O18" s="9"/>
      <c r="P18" s="58"/>
      <c r="Q18" s="53"/>
      <c r="R18" s="146"/>
      <c r="S18" s="147"/>
    </row>
    <row r="19" spans="1:19" s="11" customFormat="1">
      <c r="A19" s="9">
        <v>20</v>
      </c>
      <c r="B19" s="9"/>
      <c r="C19" s="9"/>
      <c r="D19" s="9" t="s">
        <v>81</v>
      </c>
      <c r="E19" s="51" t="s">
        <v>85</v>
      </c>
      <c r="F19" s="51"/>
      <c r="G19" s="52" t="s">
        <v>172</v>
      </c>
      <c r="H19" s="52" t="s">
        <v>131</v>
      </c>
      <c r="I19" s="9"/>
      <c r="J19" s="9" t="s">
        <v>138</v>
      </c>
      <c r="K19" s="9"/>
      <c r="L19" s="9"/>
      <c r="M19" s="9" t="s">
        <v>138</v>
      </c>
      <c r="N19" s="9"/>
      <c r="O19" s="9"/>
      <c r="P19" s="58"/>
      <c r="Q19" s="53"/>
      <c r="R19" s="146"/>
      <c r="S19" s="147"/>
    </row>
    <row r="20" spans="1:19" s="11" customFormat="1">
      <c r="A20" s="9">
        <v>20</v>
      </c>
      <c r="B20" s="9"/>
      <c r="C20" s="9"/>
      <c r="D20" s="9" t="s">
        <v>117</v>
      </c>
      <c r="E20" s="51" t="s">
        <v>118</v>
      </c>
      <c r="F20" s="51"/>
      <c r="G20" s="52" t="s">
        <v>173</v>
      </c>
      <c r="H20" s="52" t="s">
        <v>133</v>
      </c>
      <c r="I20" s="9"/>
      <c r="J20" s="9" t="s">
        <v>138</v>
      </c>
      <c r="K20" s="9"/>
      <c r="L20" s="9"/>
      <c r="M20" s="9" t="s">
        <v>138</v>
      </c>
      <c r="N20" s="9"/>
      <c r="O20" s="9"/>
      <c r="P20" s="58"/>
      <c r="Q20" s="53"/>
      <c r="R20" s="146"/>
      <c r="S20" s="147"/>
    </row>
    <row r="21" spans="1:19" s="11" customFormat="1">
      <c r="A21" s="9">
        <v>20</v>
      </c>
      <c r="B21" s="9"/>
      <c r="C21" s="9"/>
      <c r="D21" s="9" t="s">
        <v>82</v>
      </c>
      <c r="E21" s="51" t="s">
        <v>83</v>
      </c>
      <c r="F21" s="51"/>
      <c r="G21" s="52" t="s">
        <v>178</v>
      </c>
      <c r="H21" s="52" t="s">
        <v>143</v>
      </c>
      <c r="I21" s="9"/>
      <c r="J21" s="9" t="s">
        <v>138</v>
      </c>
      <c r="K21" s="9"/>
      <c r="L21" s="9"/>
      <c r="M21" s="9" t="s">
        <v>138</v>
      </c>
      <c r="N21" s="9"/>
      <c r="O21" s="9"/>
      <c r="P21" s="58"/>
      <c r="Q21" s="53"/>
      <c r="R21" s="146"/>
      <c r="S21" s="147"/>
    </row>
    <row r="22" spans="1:19" s="11" customFormat="1">
      <c r="A22" s="9">
        <v>20</v>
      </c>
      <c r="B22" s="9"/>
      <c r="C22" s="9"/>
      <c r="D22" s="9" t="s">
        <v>84</v>
      </c>
      <c r="E22" s="51" t="s">
        <v>119</v>
      </c>
      <c r="F22" s="51"/>
      <c r="G22" s="52" t="s">
        <v>174</v>
      </c>
      <c r="H22" s="52" t="s">
        <v>135</v>
      </c>
      <c r="I22" s="9"/>
      <c r="J22" s="9" t="s">
        <v>138</v>
      </c>
      <c r="K22" s="9"/>
      <c r="L22" s="9"/>
      <c r="M22" s="9" t="s">
        <v>138</v>
      </c>
      <c r="N22" s="9"/>
      <c r="O22" s="9"/>
      <c r="P22" s="58"/>
      <c r="Q22" s="53"/>
      <c r="R22" s="146"/>
      <c r="S22" s="147"/>
    </row>
    <row r="23" spans="1:19" s="11" customFormat="1">
      <c r="A23" s="9">
        <v>20</v>
      </c>
      <c r="B23" s="9"/>
      <c r="C23" s="9"/>
      <c r="D23" s="9" t="s">
        <v>95</v>
      </c>
      <c r="E23" s="51" t="s">
        <v>97</v>
      </c>
      <c r="F23" s="51"/>
      <c r="G23" s="52" t="s">
        <v>176</v>
      </c>
      <c r="H23" s="52" t="s">
        <v>116</v>
      </c>
      <c r="I23" s="9"/>
      <c r="J23" s="9" t="s">
        <v>138</v>
      </c>
      <c r="K23" s="9"/>
      <c r="L23" s="9"/>
      <c r="M23" s="9" t="s">
        <v>138</v>
      </c>
      <c r="N23" s="9"/>
      <c r="O23" s="9"/>
      <c r="P23" s="58"/>
      <c r="Q23" s="53"/>
      <c r="R23" s="146"/>
      <c r="S23" s="147"/>
    </row>
    <row r="24" spans="1:19" s="11" customFormat="1">
      <c r="A24" s="62"/>
      <c r="B24" s="30"/>
      <c r="C24" s="30"/>
      <c r="D24" s="63" t="s">
        <v>4</v>
      </c>
      <c r="E24" s="31"/>
      <c r="F24" s="64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65"/>
    </row>
    <row r="25" spans="1:19" s="11" customFormat="1">
      <c r="A25" s="79"/>
      <c r="S25" s="56"/>
    </row>
    <row r="26" spans="1:19" s="11" customFormat="1">
      <c r="A26" s="79"/>
      <c r="S26" s="56"/>
    </row>
    <row r="27" spans="1:19" s="11" customFormat="1">
      <c r="A27" s="79"/>
      <c r="S27" s="56"/>
    </row>
    <row r="28" spans="1:19" s="11" customFormat="1">
      <c r="A28" s="8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20"/>
    </row>
  </sheetData>
  <mergeCells count="10">
    <mergeCell ref="R23:S23"/>
    <mergeCell ref="R21:S21"/>
    <mergeCell ref="R12:S12"/>
    <mergeCell ref="R13:S13"/>
    <mergeCell ref="R22:S22"/>
    <mergeCell ref="R17:S17"/>
    <mergeCell ref="R18:S18"/>
    <mergeCell ref="R20:S20"/>
    <mergeCell ref="R19:S19"/>
    <mergeCell ref="R16:S1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9.453125" style="29" bestFit="1" customWidth="1"/>
    <col min="17" max="17" width="20.453125" style="27" bestFit="1" customWidth="1"/>
    <col min="18" max="18" width="9" style="27"/>
    <col min="19" max="19" width="13.90625" style="27" bestFit="1" customWidth="1"/>
    <col min="20" max="16384" width="9" style="27"/>
  </cols>
  <sheetData>
    <row r="1" spans="1:18" s="11" customFormat="1">
      <c r="A1" s="75" t="s">
        <v>122</v>
      </c>
      <c r="B1" s="75" t="s">
        <v>122</v>
      </c>
      <c r="C1" s="7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122</v>
      </c>
      <c r="B2" s="77"/>
      <c r="C2" s="77"/>
      <c r="D2" s="87" t="s">
        <v>157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MABGL0060</v>
      </c>
      <c r="I2" s="7" t="s">
        <v>123</v>
      </c>
      <c r="J2" s="9" t="s">
        <v>29</v>
      </c>
      <c r="K2" s="7" t="s">
        <v>38</v>
      </c>
      <c r="L2" s="78" t="str">
        <f>IF(LogicCommon!G2="","",LogicCommon!G2)</f>
        <v>MC</v>
      </c>
      <c r="M2" s="5" t="s">
        <v>124</v>
      </c>
      <c r="N2" s="28" t="s">
        <v>151</v>
      </c>
      <c r="O2" s="7"/>
      <c r="P2" s="7"/>
      <c r="Q2" s="4"/>
      <c r="R2" s="27"/>
    </row>
    <row r="3" spans="1:18" s="11" customFormat="1">
      <c r="A3" s="79" t="s">
        <v>122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MABGL_GrpCtgReg</v>
      </c>
      <c r="I3" s="7" t="s">
        <v>121</v>
      </c>
      <c r="J3" s="9" t="s">
        <v>27</v>
      </c>
      <c r="K3" s="7" t="s">
        <v>39</v>
      </c>
      <c r="L3" s="78" t="str">
        <f>IF(LogicCommon!G3="","",LogicCommon!G3)</f>
        <v/>
      </c>
      <c r="M3" s="82" t="s">
        <v>28</v>
      </c>
      <c r="N3" s="7"/>
      <c r="O3" s="7" t="s">
        <v>125</v>
      </c>
      <c r="P3" s="9" t="s">
        <v>126</v>
      </c>
      <c r="Q3" s="4"/>
      <c r="R3" s="27"/>
    </row>
    <row r="4" spans="1:18" s="11" customFormat="1">
      <c r="A4" s="79" t="s">
        <v>122</v>
      </c>
      <c r="B4" s="80"/>
      <c r="C4" s="80"/>
      <c r="D4" s="4"/>
      <c r="E4" s="7" t="s">
        <v>8</v>
      </c>
      <c r="F4" s="10" t="s">
        <v>114</v>
      </c>
      <c r="G4" s="7" t="s">
        <v>11</v>
      </c>
      <c r="H4" s="78" t="str">
        <f>IF(LogicCommon!E4="","",LogicCommon!E4)</f>
        <v>計算グループカテゴリマスタ登録</v>
      </c>
      <c r="I4" s="7" t="s">
        <v>127</v>
      </c>
      <c r="J4" s="9" t="s">
        <v>43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122</v>
      </c>
      <c r="B5" s="75"/>
      <c r="C5" s="75"/>
      <c r="D5" s="26"/>
      <c r="E5" s="7" t="s">
        <v>128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122</v>
      </c>
      <c r="B6" s="80"/>
      <c r="C6" s="80"/>
      <c r="D6" s="4" t="s">
        <v>6</v>
      </c>
      <c r="E6" s="16" t="s">
        <v>104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16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54</v>
      </c>
      <c r="M7" s="33" t="s">
        <v>45</v>
      </c>
      <c r="N7" s="32" t="s">
        <v>55</v>
      </c>
      <c r="O7" s="29"/>
      <c r="P7" s="29"/>
      <c r="Q7" s="29"/>
      <c r="R7" s="29"/>
    </row>
    <row r="8" spans="1:18" s="11" customFormat="1" ht="60" customHeight="1">
      <c r="A8" s="51" t="s">
        <v>15</v>
      </c>
      <c r="B8" s="90"/>
      <c r="C8" s="91"/>
      <c r="D8" s="88" t="s">
        <v>158</v>
      </c>
      <c r="E8" s="88" t="s">
        <v>159</v>
      </c>
      <c r="F8" s="86"/>
      <c r="G8" s="88" t="s">
        <v>120</v>
      </c>
      <c r="H8" s="88" t="s">
        <v>160</v>
      </c>
      <c r="I8" s="86"/>
      <c r="J8" s="3"/>
      <c r="K8" s="33" t="s">
        <v>14</v>
      </c>
      <c r="L8" s="34" t="s">
        <v>73</v>
      </c>
      <c r="M8" s="33" t="s">
        <v>46</v>
      </c>
      <c r="N8" s="34" t="s">
        <v>74</v>
      </c>
      <c r="O8" s="92"/>
      <c r="P8" s="93"/>
      <c r="Q8" s="94" t="s">
        <v>161</v>
      </c>
      <c r="R8" s="53"/>
    </row>
    <row r="9" spans="1:18" s="11" customFormat="1" ht="60" customHeight="1">
      <c r="A9" s="9" t="s">
        <v>15</v>
      </c>
      <c r="B9" s="36"/>
      <c r="C9" s="37"/>
      <c r="D9" s="88" t="s">
        <v>162</v>
      </c>
      <c r="E9" s="95" t="s">
        <v>163</v>
      </c>
      <c r="F9" s="88" t="s">
        <v>164</v>
      </c>
      <c r="G9" s="88" t="s">
        <v>165</v>
      </c>
      <c r="H9" s="88" t="s">
        <v>166</v>
      </c>
      <c r="I9" s="96" t="s">
        <v>167</v>
      </c>
      <c r="J9" s="88" t="s">
        <v>168</v>
      </c>
      <c r="K9" s="33"/>
      <c r="L9" s="33"/>
      <c r="M9" s="33"/>
      <c r="N9" s="33"/>
      <c r="O9" s="94" t="s">
        <v>169</v>
      </c>
      <c r="P9" s="53"/>
      <c r="Q9" s="94" t="s">
        <v>170</v>
      </c>
      <c r="R9" s="53"/>
    </row>
    <row r="10" spans="1:18" s="11" customFormat="1" ht="39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89" t="s">
        <v>167</v>
      </c>
      <c r="L10" s="89" t="s">
        <v>168</v>
      </c>
      <c r="M10" s="89" t="s">
        <v>167</v>
      </c>
      <c r="N10" s="89" t="s">
        <v>168</v>
      </c>
      <c r="O10" s="44"/>
      <c r="P10" s="44"/>
      <c r="Q10" s="45"/>
      <c r="R10" s="40"/>
    </row>
    <row r="11" spans="1:18" s="11" customFormat="1">
      <c r="A11" s="9">
        <v>10</v>
      </c>
      <c r="B11" s="36" t="s">
        <v>0</v>
      </c>
      <c r="C11" s="37"/>
      <c r="D11" s="28" t="s">
        <v>101</v>
      </c>
      <c r="E11" s="35" t="s">
        <v>19</v>
      </c>
      <c r="F11" s="46"/>
      <c r="G11" s="28" t="s">
        <v>50</v>
      </c>
      <c r="H11" s="47" t="s">
        <v>144</v>
      </c>
      <c r="I11" s="48"/>
      <c r="J11" s="49"/>
      <c r="K11" s="50" t="s">
        <v>145</v>
      </c>
      <c r="L11" s="50"/>
      <c r="M11" s="50" t="s">
        <v>146</v>
      </c>
      <c r="N11" s="50"/>
      <c r="O11" s="39"/>
      <c r="P11" s="40"/>
      <c r="Q11" s="71"/>
      <c r="R11" s="73"/>
    </row>
    <row r="12" spans="1:18" s="11" customFormat="1">
      <c r="A12" s="9">
        <v>10</v>
      </c>
      <c r="B12" s="9"/>
      <c r="C12" s="9"/>
      <c r="D12" s="9" t="s">
        <v>89</v>
      </c>
      <c r="E12" s="51" t="s">
        <v>90</v>
      </c>
      <c r="F12" s="51"/>
      <c r="G12" s="52" t="s">
        <v>175</v>
      </c>
      <c r="H12" s="52" t="s">
        <v>137</v>
      </c>
      <c r="I12" s="9" t="s">
        <v>138</v>
      </c>
      <c r="J12" s="9"/>
      <c r="K12" s="9" t="s">
        <v>138</v>
      </c>
      <c r="L12" s="9"/>
      <c r="M12" s="9" t="s">
        <v>138</v>
      </c>
      <c r="N12" s="9"/>
      <c r="O12" s="45"/>
      <c r="P12" s="40"/>
      <c r="Q12" s="71"/>
      <c r="R12" s="73"/>
    </row>
    <row r="13" spans="1:18" s="11" customFormat="1">
      <c r="A13" s="9">
        <v>10</v>
      </c>
      <c r="B13" s="9"/>
      <c r="C13" s="9"/>
      <c r="D13" s="9" t="s">
        <v>91</v>
      </c>
      <c r="E13" s="51" t="s">
        <v>79</v>
      </c>
      <c r="F13" s="51"/>
      <c r="G13" s="52" t="s">
        <v>171</v>
      </c>
      <c r="H13" s="52" t="s">
        <v>115</v>
      </c>
      <c r="I13" s="9" t="s">
        <v>138</v>
      </c>
      <c r="J13" s="9"/>
      <c r="K13" s="9" t="s">
        <v>138</v>
      </c>
      <c r="L13" s="9"/>
      <c r="M13" s="9" t="s">
        <v>138</v>
      </c>
      <c r="N13" s="9"/>
      <c r="O13" s="43"/>
      <c r="P13" s="53"/>
      <c r="Q13" s="146"/>
      <c r="R13" s="147"/>
    </row>
    <row r="14" spans="1:18" s="11" customFormat="1">
      <c r="A14" s="9">
        <v>10</v>
      </c>
      <c r="B14" s="9"/>
      <c r="C14" s="9"/>
      <c r="D14" s="9" t="s">
        <v>84</v>
      </c>
      <c r="E14" s="51" t="s">
        <v>119</v>
      </c>
      <c r="F14" s="51"/>
      <c r="G14" s="52" t="s">
        <v>174</v>
      </c>
      <c r="H14" s="52" t="s">
        <v>135</v>
      </c>
      <c r="I14" s="9" t="s">
        <v>138</v>
      </c>
      <c r="J14" s="9"/>
      <c r="K14" s="9" t="s">
        <v>138</v>
      </c>
      <c r="L14" s="9"/>
      <c r="M14" s="9" t="s">
        <v>138</v>
      </c>
      <c r="N14" s="9"/>
      <c r="O14" s="43"/>
      <c r="P14" s="53"/>
      <c r="Q14" s="71"/>
      <c r="R14" s="72"/>
    </row>
    <row r="15" spans="1:18" s="11" customFormat="1">
      <c r="A15" s="9">
        <v>10</v>
      </c>
      <c r="B15" s="9"/>
      <c r="C15" s="9"/>
      <c r="D15" s="9" t="s">
        <v>81</v>
      </c>
      <c r="E15" s="51" t="s">
        <v>85</v>
      </c>
      <c r="F15" s="51"/>
      <c r="G15" s="52" t="s">
        <v>172</v>
      </c>
      <c r="H15" s="52" t="s">
        <v>131</v>
      </c>
      <c r="I15" s="9" t="s">
        <v>138</v>
      </c>
      <c r="J15" s="9"/>
      <c r="K15" s="9" t="s">
        <v>138</v>
      </c>
      <c r="L15" s="9"/>
      <c r="M15" s="9" t="s">
        <v>138</v>
      </c>
      <c r="N15" s="9"/>
      <c r="O15" s="43"/>
      <c r="P15" s="53"/>
      <c r="Q15" s="71"/>
      <c r="R15" s="72"/>
    </row>
    <row r="16" spans="1:18" s="11" customFormat="1">
      <c r="A16" s="9">
        <v>10</v>
      </c>
      <c r="B16" s="9"/>
      <c r="C16" s="9"/>
      <c r="D16" s="9" t="s">
        <v>117</v>
      </c>
      <c r="E16" s="51" t="s">
        <v>118</v>
      </c>
      <c r="F16" s="51"/>
      <c r="G16" s="52" t="s">
        <v>173</v>
      </c>
      <c r="H16" s="52" t="s">
        <v>133</v>
      </c>
      <c r="I16" s="9" t="s">
        <v>138</v>
      </c>
      <c r="J16" s="9"/>
      <c r="K16" s="9" t="s">
        <v>138</v>
      </c>
      <c r="L16" s="9"/>
      <c r="M16" s="9" t="s">
        <v>138</v>
      </c>
      <c r="N16" s="9"/>
      <c r="O16" s="43"/>
      <c r="P16" s="53"/>
      <c r="Q16" s="71"/>
      <c r="R16" s="72"/>
    </row>
    <row r="17" spans="1:18" s="11" customFormat="1">
      <c r="A17" s="9">
        <v>10</v>
      </c>
      <c r="B17" s="9"/>
      <c r="C17" s="9"/>
      <c r="D17" s="9" t="s">
        <v>95</v>
      </c>
      <c r="E17" s="51" t="s">
        <v>96</v>
      </c>
      <c r="F17" s="51"/>
      <c r="G17" s="52" t="s">
        <v>176</v>
      </c>
      <c r="H17" s="52" t="s">
        <v>116</v>
      </c>
      <c r="I17" s="9" t="s">
        <v>138</v>
      </c>
      <c r="J17" s="9"/>
      <c r="K17" s="9" t="s">
        <v>129</v>
      </c>
      <c r="L17" s="9"/>
      <c r="M17" s="9" t="s">
        <v>129</v>
      </c>
      <c r="N17" s="9"/>
      <c r="O17" s="43"/>
      <c r="P17" s="53"/>
      <c r="Q17" s="71"/>
      <c r="R17" s="72"/>
    </row>
    <row r="18" spans="1:18" s="11" customFormat="1">
      <c r="A18" s="54"/>
      <c r="B18" s="55"/>
      <c r="C18" s="55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4"/>
      <c r="P18" s="4"/>
      <c r="Q18" s="6"/>
      <c r="R18" s="23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84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mergeCells count="1"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122</v>
      </c>
      <c r="B1" s="75" t="s">
        <v>122</v>
      </c>
      <c r="C1" s="7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122</v>
      </c>
      <c r="B2" s="77"/>
      <c r="C2" s="77"/>
      <c r="D2" s="87" t="s">
        <v>157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MABGL0060</v>
      </c>
      <c r="I2" s="7" t="s">
        <v>123</v>
      </c>
      <c r="J2" s="9" t="s">
        <v>41</v>
      </c>
      <c r="K2" s="7" t="s">
        <v>38</v>
      </c>
      <c r="L2" s="78" t="str">
        <f>IF(LogicCommon!G2="","",LogicCommon!G2)</f>
        <v>MC</v>
      </c>
      <c r="M2" s="5" t="s">
        <v>124</v>
      </c>
      <c r="N2" s="28" t="s">
        <v>152</v>
      </c>
      <c r="O2" s="7"/>
      <c r="P2" s="7"/>
      <c r="Q2" s="4"/>
      <c r="R2" s="27"/>
    </row>
    <row r="3" spans="1:18" s="11" customFormat="1">
      <c r="A3" s="79" t="s">
        <v>122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MABGL_GrpCtgReg</v>
      </c>
      <c r="I3" s="7" t="s">
        <v>121</v>
      </c>
      <c r="J3" s="9" t="s">
        <v>27</v>
      </c>
      <c r="K3" s="7" t="s">
        <v>39</v>
      </c>
      <c r="L3" s="78" t="str">
        <f>IF(LogicCommon!G3="","",LogicCommon!G3)</f>
        <v/>
      </c>
      <c r="M3" s="82" t="s">
        <v>28</v>
      </c>
      <c r="N3" s="7"/>
      <c r="O3" s="7" t="s">
        <v>125</v>
      </c>
      <c r="P3" s="9" t="s">
        <v>126</v>
      </c>
      <c r="Q3" s="4"/>
      <c r="R3" s="27"/>
    </row>
    <row r="4" spans="1:18" s="11" customFormat="1">
      <c r="A4" s="79" t="s">
        <v>122</v>
      </c>
      <c r="B4" s="80"/>
      <c r="C4" s="80"/>
      <c r="D4" s="4"/>
      <c r="E4" s="7" t="s">
        <v>8</v>
      </c>
      <c r="F4" s="10" t="s">
        <v>114</v>
      </c>
      <c r="G4" s="7" t="s">
        <v>11</v>
      </c>
      <c r="H4" s="78" t="str">
        <f>IF(LogicCommon!E4="","",LogicCommon!E4)</f>
        <v>計算グループカテゴリマスタ登録</v>
      </c>
      <c r="I4" s="7" t="s">
        <v>127</v>
      </c>
      <c r="J4" s="9" t="s">
        <v>42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122</v>
      </c>
      <c r="B5" s="75"/>
      <c r="C5" s="75"/>
      <c r="D5" s="26"/>
      <c r="E5" s="7" t="s">
        <v>128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122</v>
      </c>
      <c r="B6" s="80"/>
      <c r="C6" s="80"/>
      <c r="D6" s="4" t="s">
        <v>6</v>
      </c>
      <c r="E6" s="16" t="s">
        <v>103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15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56</v>
      </c>
      <c r="M7" s="33" t="s">
        <v>33</v>
      </c>
      <c r="N7" s="32" t="s">
        <v>57</v>
      </c>
      <c r="O7" s="29"/>
      <c r="P7" s="29"/>
      <c r="Q7" s="29"/>
      <c r="R7" s="29"/>
    </row>
    <row r="8" spans="1:18" s="11" customFormat="1" ht="60" customHeight="1">
      <c r="A8" s="51" t="s">
        <v>15</v>
      </c>
      <c r="B8" s="90"/>
      <c r="C8" s="91"/>
      <c r="D8" s="88" t="s">
        <v>158</v>
      </c>
      <c r="E8" s="88" t="s">
        <v>159</v>
      </c>
      <c r="F8" s="86"/>
      <c r="G8" s="88" t="s">
        <v>120</v>
      </c>
      <c r="H8" s="88" t="s">
        <v>160</v>
      </c>
      <c r="I8" s="86"/>
      <c r="J8" s="3"/>
      <c r="K8" s="33" t="s">
        <v>14</v>
      </c>
      <c r="L8" s="34" t="s">
        <v>75</v>
      </c>
      <c r="M8" s="33" t="s">
        <v>14</v>
      </c>
      <c r="N8" s="34" t="s">
        <v>76</v>
      </c>
      <c r="O8" s="92"/>
      <c r="P8" s="93"/>
      <c r="Q8" s="94" t="s">
        <v>161</v>
      </c>
      <c r="R8" s="53"/>
    </row>
    <row r="9" spans="1:18" s="11" customFormat="1" ht="60" customHeight="1">
      <c r="A9" s="9" t="s">
        <v>15</v>
      </c>
      <c r="B9" s="36"/>
      <c r="C9" s="37"/>
      <c r="D9" s="88" t="s">
        <v>162</v>
      </c>
      <c r="E9" s="95" t="s">
        <v>163</v>
      </c>
      <c r="F9" s="88" t="s">
        <v>164</v>
      </c>
      <c r="G9" s="88" t="s">
        <v>165</v>
      </c>
      <c r="H9" s="88" t="s">
        <v>166</v>
      </c>
      <c r="I9" s="96" t="s">
        <v>167</v>
      </c>
      <c r="J9" s="88" t="s">
        <v>168</v>
      </c>
      <c r="K9" s="33"/>
      <c r="L9" s="33"/>
      <c r="M9" s="33"/>
      <c r="N9" s="33"/>
      <c r="O9" s="94" t="s">
        <v>169</v>
      </c>
      <c r="P9" s="53"/>
      <c r="Q9" s="94" t="s">
        <v>170</v>
      </c>
      <c r="R9" s="53"/>
    </row>
    <row r="10" spans="1:18" s="11" customFormat="1" ht="52">
      <c r="A10" s="41" t="s">
        <v>15</v>
      </c>
      <c r="B10" s="42"/>
      <c r="C10" s="42"/>
      <c r="D10" s="43"/>
      <c r="E10" s="44"/>
      <c r="F10" s="44"/>
      <c r="G10" s="45"/>
      <c r="H10" s="45"/>
      <c r="I10" s="44"/>
      <c r="J10" s="44"/>
      <c r="K10" s="89" t="s">
        <v>167</v>
      </c>
      <c r="L10" s="89" t="s">
        <v>168</v>
      </c>
      <c r="M10" s="89" t="s">
        <v>167</v>
      </c>
      <c r="N10" s="89" t="s">
        <v>168</v>
      </c>
      <c r="O10" s="44"/>
      <c r="P10" s="44"/>
      <c r="Q10" s="45"/>
      <c r="R10" s="40"/>
    </row>
    <row r="11" spans="1:18" s="11" customFormat="1">
      <c r="A11" s="9">
        <v>10</v>
      </c>
      <c r="B11" s="36" t="s">
        <v>0</v>
      </c>
      <c r="C11" s="37"/>
      <c r="D11" s="28" t="s">
        <v>102</v>
      </c>
      <c r="E11" s="35" t="s">
        <v>19</v>
      </c>
      <c r="F11" s="46"/>
      <c r="G11" s="28" t="s">
        <v>50</v>
      </c>
      <c r="H11" s="47" t="s">
        <v>147</v>
      </c>
      <c r="I11" s="48"/>
      <c r="J11" s="49"/>
      <c r="K11" s="50" t="s">
        <v>148</v>
      </c>
      <c r="L11" s="50"/>
      <c r="M11" s="50" t="s">
        <v>149</v>
      </c>
      <c r="N11" s="50"/>
      <c r="O11" s="39"/>
      <c r="P11" s="40"/>
      <c r="Q11" s="71"/>
      <c r="R11" s="73"/>
    </row>
    <row r="12" spans="1:18" s="11" customFormat="1">
      <c r="A12" s="9">
        <v>10</v>
      </c>
      <c r="B12" s="9"/>
      <c r="C12" s="9"/>
      <c r="D12" s="9" t="s">
        <v>77</v>
      </c>
      <c r="E12" s="51" t="s">
        <v>79</v>
      </c>
      <c r="F12" s="51"/>
      <c r="G12" s="52" t="s">
        <v>171</v>
      </c>
      <c r="H12" s="52" t="s">
        <v>115</v>
      </c>
      <c r="I12" s="9" t="s">
        <v>138</v>
      </c>
      <c r="J12" s="9"/>
      <c r="K12" s="9" t="s">
        <v>129</v>
      </c>
      <c r="L12" s="9"/>
      <c r="M12" s="9" t="s">
        <v>129</v>
      </c>
      <c r="N12" s="9"/>
      <c r="O12" s="45"/>
      <c r="P12" s="40"/>
      <c r="Q12" s="71"/>
      <c r="R12" s="73"/>
    </row>
    <row r="13" spans="1:18" s="11" customFormat="1">
      <c r="A13" s="9">
        <v>10</v>
      </c>
      <c r="B13" s="9"/>
      <c r="C13" s="9"/>
      <c r="D13" s="9" t="s">
        <v>81</v>
      </c>
      <c r="E13" s="51" t="s">
        <v>85</v>
      </c>
      <c r="F13" s="51"/>
      <c r="G13" s="52" t="s">
        <v>172</v>
      </c>
      <c r="H13" s="52" t="s">
        <v>131</v>
      </c>
      <c r="I13" s="9" t="s">
        <v>138</v>
      </c>
      <c r="J13" s="9"/>
      <c r="K13" s="9" t="s">
        <v>129</v>
      </c>
      <c r="L13" s="9"/>
      <c r="M13" s="9" t="s">
        <v>129</v>
      </c>
      <c r="N13" s="9"/>
      <c r="O13" s="45"/>
      <c r="P13" s="40"/>
      <c r="Q13" s="71"/>
      <c r="R13" s="73"/>
    </row>
    <row r="14" spans="1:18" s="11" customFormat="1">
      <c r="A14" s="9">
        <v>10</v>
      </c>
      <c r="B14" s="9"/>
      <c r="C14" s="9"/>
      <c r="D14" s="9" t="s">
        <v>117</v>
      </c>
      <c r="E14" s="51" t="s">
        <v>118</v>
      </c>
      <c r="F14" s="51"/>
      <c r="G14" s="52" t="s">
        <v>173</v>
      </c>
      <c r="H14" s="52" t="s">
        <v>133</v>
      </c>
      <c r="I14" s="9" t="s">
        <v>138</v>
      </c>
      <c r="J14" s="9"/>
      <c r="K14" s="9" t="s">
        <v>129</v>
      </c>
      <c r="L14" s="9"/>
      <c r="M14" s="9" t="s">
        <v>129</v>
      </c>
      <c r="N14" s="9"/>
      <c r="O14" s="45"/>
      <c r="P14" s="40"/>
      <c r="Q14" s="71"/>
      <c r="R14" s="73"/>
    </row>
    <row r="15" spans="1:18" s="11" customFormat="1">
      <c r="A15" s="9">
        <v>10</v>
      </c>
      <c r="B15" s="9"/>
      <c r="C15" s="9"/>
      <c r="D15" s="9" t="s">
        <v>95</v>
      </c>
      <c r="E15" s="51" t="s">
        <v>96</v>
      </c>
      <c r="F15" s="51"/>
      <c r="G15" s="52" t="s">
        <v>176</v>
      </c>
      <c r="H15" s="52" t="s">
        <v>116</v>
      </c>
      <c r="I15" s="9" t="s">
        <v>138</v>
      </c>
      <c r="J15" s="9"/>
      <c r="K15" s="9" t="s">
        <v>129</v>
      </c>
      <c r="L15" s="9"/>
      <c r="M15" s="9" t="s">
        <v>129</v>
      </c>
      <c r="N15" s="9"/>
      <c r="O15" s="43"/>
      <c r="P15" s="53"/>
      <c r="Q15" s="71"/>
      <c r="R15" s="72"/>
    </row>
    <row r="16" spans="1:18" s="11" customFormat="1">
      <c r="A16" s="54"/>
      <c r="B16" s="55"/>
      <c r="C16" s="55"/>
      <c r="D16" s="27" t="s">
        <v>1</v>
      </c>
      <c r="E16" s="29"/>
      <c r="F16" s="29"/>
      <c r="G16" s="29"/>
      <c r="H16" s="29"/>
      <c r="I16" s="31"/>
      <c r="J16" s="31"/>
      <c r="K16" s="29"/>
      <c r="L16" s="29"/>
      <c r="M16" s="29"/>
      <c r="N16" s="29"/>
      <c r="O16" s="29"/>
      <c r="P16" s="29"/>
      <c r="Q16" s="2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8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30" t="s">
        <v>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2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18" t="s">
        <v>21</v>
      </c>
      <c r="B3" s="119"/>
      <c r="C3" s="119"/>
      <c r="D3" s="119"/>
      <c r="E3" s="119"/>
      <c r="F3" s="119"/>
      <c r="G3" s="120"/>
      <c r="H3" s="133" t="s">
        <v>22</v>
      </c>
      <c r="I3" s="119"/>
      <c r="J3" s="119"/>
      <c r="K3" s="119"/>
      <c r="L3" s="119"/>
      <c r="M3" s="119"/>
      <c r="N3" s="120"/>
      <c r="O3" s="133" t="s">
        <v>23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5"/>
      <c r="AQ3" s="136" t="s">
        <v>24</v>
      </c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</row>
    <row r="4" spans="1:57" ht="15" customHeight="1">
      <c r="A4" s="121">
        <v>1</v>
      </c>
      <c r="B4" s="122"/>
      <c r="C4" s="122"/>
      <c r="D4" s="122"/>
      <c r="E4" s="122"/>
      <c r="F4" s="122"/>
      <c r="G4" s="123"/>
      <c r="H4" s="111"/>
      <c r="I4" s="112"/>
      <c r="J4" s="112"/>
      <c r="K4" s="112"/>
      <c r="L4" s="112"/>
      <c r="M4" s="112"/>
      <c r="N4" s="113"/>
      <c r="O4" s="111" t="s">
        <v>25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124">
        <v>1.1000000000000001</v>
      </c>
      <c r="B5" s="125"/>
      <c r="C5" s="125"/>
      <c r="D5" s="125"/>
      <c r="E5" s="125"/>
      <c r="F5" s="125"/>
      <c r="G5" s="126"/>
      <c r="H5" s="98"/>
      <c r="I5" s="99"/>
      <c r="J5" s="99"/>
      <c r="K5" s="99"/>
      <c r="L5" s="99"/>
      <c r="M5" s="99"/>
      <c r="N5" s="100"/>
      <c r="O5" s="105" t="s">
        <v>179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180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>
      <c r="A6" s="124"/>
      <c r="B6" s="125"/>
      <c r="C6" s="125"/>
      <c r="D6" s="125"/>
      <c r="E6" s="125"/>
      <c r="F6" s="125"/>
      <c r="G6" s="126"/>
      <c r="H6" s="98"/>
      <c r="I6" s="99"/>
      <c r="J6" s="99"/>
      <c r="K6" s="99"/>
      <c r="L6" s="99"/>
      <c r="M6" s="99"/>
      <c r="N6" s="100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>
      <c r="A7" s="124"/>
      <c r="B7" s="125"/>
      <c r="C7" s="125"/>
      <c r="D7" s="125"/>
      <c r="E7" s="125"/>
      <c r="F7" s="125"/>
      <c r="G7" s="126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>
      <c r="A8" s="124"/>
      <c r="B8" s="125"/>
      <c r="C8" s="125"/>
      <c r="D8" s="125"/>
      <c r="E8" s="125"/>
      <c r="F8" s="125"/>
      <c r="G8" s="126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>
      <c r="A9" s="124"/>
      <c r="B9" s="125"/>
      <c r="C9" s="125"/>
      <c r="D9" s="125"/>
      <c r="E9" s="125"/>
      <c r="F9" s="125"/>
      <c r="G9" s="126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>
      <c r="A10" s="124"/>
      <c r="B10" s="125"/>
      <c r="C10" s="125"/>
      <c r="D10" s="125"/>
      <c r="E10" s="125"/>
      <c r="F10" s="125"/>
      <c r="G10" s="126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>
      <c r="A11" s="124"/>
      <c r="B11" s="125"/>
      <c r="C11" s="125"/>
      <c r="D11" s="125"/>
      <c r="E11" s="125"/>
      <c r="F11" s="125"/>
      <c r="G11" s="126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>
      <c r="A12" s="124"/>
      <c r="B12" s="125"/>
      <c r="C12" s="125"/>
      <c r="D12" s="125"/>
      <c r="E12" s="125"/>
      <c r="F12" s="125"/>
      <c r="G12" s="126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>
      <c r="A13" s="124"/>
      <c r="B13" s="125"/>
      <c r="C13" s="125"/>
      <c r="D13" s="125"/>
      <c r="E13" s="125"/>
      <c r="F13" s="125"/>
      <c r="G13" s="126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>
      <c r="A14" s="124"/>
      <c r="B14" s="125"/>
      <c r="C14" s="125"/>
      <c r="D14" s="125"/>
      <c r="E14" s="125"/>
      <c r="F14" s="125"/>
      <c r="G14" s="126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>
      <c r="A15" s="124"/>
      <c r="B15" s="125"/>
      <c r="C15" s="125"/>
      <c r="D15" s="125"/>
      <c r="E15" s="125"/>
      <c r="F15" s="125"/>
      <c r="G15" s="126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>
      <c r="A16" s="124"/>
      <c r="B16" s="125"/>
      <c r="C16" s="125"/>
      <c r="D16" s="125"/>
      <c r="E16" s="125"/>
      <c r="F16" s="125"/>
      <c r="G16" s="126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>
      <c r="A17" s="124"/>
      <c r="B17" s="125"/>
      <c r="C17" s="125"/>
      <c r="D17" s="125"/>
      <c r="E17" s="125"/>
      <c r="F17" s="125"/>
      <c r="G17" s="126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>
      <c r="A18" s="124"/>
      <c r="B18" s="125"/>
      <c r="C18" s="125"/>
      <c r="D18" s="125"/>
      <c r="E18" s="125"/>
      <c r="F18" s="125"/>
      <c r="G18" s="126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>
      <c r="A19" s="124"/>
      <c r="B19" s="125"/>
      <c r="C19" s="125"/>
      <c r="D19" s="125"/>
      <c r="E19" s="125"/>
      <c r="F19" s="125"/>
      <c r="G19" s="126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>
      <c r="A20" s="124"/>
      <c r="B20" s="125"/>
      <c r="C20" s="125"/>
      <c r="D20" s="125"/>
      <c r="E20" s="125"/>
      <c r="F20" s="125"/>
      <c r="G20" s="126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>
      <c r="A21" s="124"/>
      <c r="B21" s="125"/>
      <c r="C21" s="125"/>
      <c r="D21" s="125"/>
      <c r="E21" s="125"/>
      <c r="F21" s="125"/>
      <c r="G21" s="126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>
      <c r="A22" s="124"/>
      <c r="B22" s="125"/>
      <c r="C22" s="125"/>
      <c r="D22" s="125"/>
      <c r="E22" s="125"/>
      <c r="F22" s="125"/>
      <c r="G22" s="126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>
      <c r="A23" s="124"/>
      <c r="B23" s="125"/>
      <c r="C23" s="125"/>
      <c r="D23" s="125"/>
      <c r="E23" s="125"/>
      <c r="F23" s="125"/>
      <c r="G23" s="126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>
      <c r="A24" s="124"/>
      <c r="B24" s="125"/>
      <c r="C24" s="125"/>
      <c r="D24" s="125"/>
      <c r="E24" s="125"/>
      <c r="F24" s="125"/>
      <c r="G24" s="126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>
      <c r="A25" s="124"/>
      <c r="B25" s="125"/>
      <c r="C25" s="125"/>
      <c r="D25" s="125"/>
      <c r="E25" s="125"/>
      <c r="F25" s="125"/>
      <c r="G25" s="126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>
      <c r="A26" s="124"/>
      <c r="B26" s="125"/>
      <c r="C26" s="125"/>
      <c r="D26" s="125"/>
      <c r="E26" s="125"/>
      <c r="F26" s="125"/>
      <c r="G26" s="126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>
      <c r="A27" s="124"/>
      <c r="B27" s="125"/>
      <c r="C27" s="125"/>
      <c r="D27" s="125"/>
      <c r="E27" s="125"/>
      <c r="F27" s="125"/>
      <c r="G27" s="126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>
      <c r="A28" s="124"/>
      <c r="B28" s="125"/>
      <c r="C28" s="125"/>
      <c r="D28" s="125"/>
      <c r="E28" s="125"/>
      <c r="F28" s="125"/>
      <c r="G28" s="126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>
      <c r="A29" s="124"/>
      <c r="B29" s="125"/>
      <c r="C29" s="125"/>
      <c r="D29" s="125"/>
      <c r="E29" s="125"/>
      <c r="F29" s="125"/>
      <c r="G29" s="126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>
      <c r="A30" s="124"/>
      <c r="B30" s="125"/>
      <c r="C30" s="125"/>
      <c r="D30" s="125"/>
      <c r="E30" s="125"/>
      <c r="F30" s="125"/>
      <c r="G30" s="126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>
      <c r="A31" s="124"/>
      <c r="B31" s="125"/>
      <c r="C31" s="125"/>
      <c r="D31" s="125"/>
      <c r="E31" s="125"/>
      <c r="F31" s="125"/>
      <c r="G31" s="126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>
      <c r="A32" s="124"/>
      <c r="B32" s="125"/>
      <c r="C32" s="125"/>
      <c r="D32" s="125"/>
      <c r="E32" s="125"/>
      <c r="F32" s="125"/>
      <c r="G32" s="126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>
      <c r="A33" s="124"/>
      <c r="B33" s="125"/>
      <c r="C33" s="125"/>
      <c r="D33" s="125"/>
      <c r="E33" s="125"/>
      <c r="F33" s="125"/>
      <c r="G33" s="126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>
      <c r="A34" s="124"/>
      <c r="B34" s="125"/>
      <c r="C34" s="125"/>
      <c r="D34" s="125"/>
      <c r="E34" s="125"/>
      <c r="F34" s="125"/>
      <c r="G34" s="126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>
      <c r="A35" s="127"/>
      <c r="B35" s="128"/>
      <c r="C35" s="128"/>
      <c r="D35" s="128"/>
      <c r="E35" s="128"/>
      <c r="F35" s="128"/>
      <c r="G35" s="129"/>
      <c r="H35" s="139"/>
      <c r="I35" s="140"/>
      <c r="J35" s="140"/>
      <c r="K35" s="140"/>
      <c r="L35" s="140"/>
      <c r="M35" s="140"/>
      <c r="N35" s="141"/>
      <c r="O35" s="139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3"/>
      <c r="AQ35" s="144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GrpCtg_UpdChk01</vt:lpstr>
      <vt:lpstr>GrpCtg_Upd01</vt:lpstr>
      <vt:lpstr>GrpCtg_DelChk01</vt:lpstr>
      <vt:lpstr>GrpCtg_Del01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2026-03-27T05:44:07Z</dcterms:modified>
  <cp:category/>
</cp:coreProperties>
</file>