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Logic\"/>
    </mc:Choice>
  </mc:AlternateContent>
  <xr:revisionPtr revIDLastSave="0" documentId="13_ncr:1_{3584E3F8-A192-48C0-811F-2E3701B8A110}" xr6:coauthVersionLast="47" xr6:coauthVersionMax="47" xr10:uidLastSave="{00000000-0000-0000-0000-000000000000}"/>
  <bookViews>
    <workbookView xWindow="1710" yWindow="1710" windowWidth="21600" windowHeight="11265" tabRatio="807" firstSheet="1" activeTab="8" xr2:uid="{00000000-000D-0000-FFFF-FFFF00000000}"/>
  </bookViews>
  <sheets>
    <sheet name="LogicCommon" sheetId="10" r:id="rId1"/>
    <sheet name="GrpWg_UpdChk01" sheetId="18" r:id="rId2"/>
    <sheet name="GrpWg_Upd01" sheetId="15" r:id="rId3"/>
    <sheet name="GrpWg_DelChk01" sheetId="21" r:id="rId4"/>
    <sheet name="GrpWg_Del01" sheetId="17" r:id="rId5"/>
    <sheet name="Srch01" sheetId="1" r:id="rId6"/>
    <sheet name="Upd01" sheetId="11" r:id="rId7"/>
    <sheet name="Del01" sheetId="14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1" l="1"/>
  <c r="L4" i="21" l="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<sst xmlns="http://schemas.openxmlformats.org/spreadsheetml/2006/main" count="945" uniqueCount="247">
  <si>
    <t>*</t>
  </si>
  <si>
    <t>詳細 :</t>
  </si>
  <si>
    <t>検索</t>
    <rPh sb="0" eb="2">
      <t>ケンサク</t>
    </rPh>
    <phoneticPr fontId="2"/>
  </si>
  <si>
    <t>ロジック共通定義</t>
    <rPh sb="4" eb="6">
      <t>キョウツウ</t>
    </rPh>
    <rPh sb="6" eb="8">
      <t>テイギ</t>
    </rPh>
    <phoneticPr fontId="2"/>
  </si>
  <si>
    <t>詳細 :</t>
    <rPh sb="0" eb="2">
      <t>ショウサイ</t>
    </rPh>
    <phoneticPr fontId="2"/>
  </si>
  <si>
    <t>SuperLogicID :</t>
    <phoneticPr fontId="2"/>
  </si>
  <si>
    <t>概要 :</t>
    <phoneticPr fontId="2"/>
  </si>
  <si>
    <t>MC</t>
  </si>
  <si>
    <t>Version :</t>
  </si>
  <si>
    <t>LogicID :</t>
    <phoneticPr fontId="2"/>
  </si>
  <si>
    <t>LogicClass :</t>
    <phoneticPr fontId="2"/>
  </si>
  <si>
    <t>LogicName :</t>
    <phoneticPr fontId="2"/>
  </si>
  <si>
    <t>ModuleID :</t>
    <phoneticPr fontId="2"/>
  </si>
  <si>
    <t>SubModuleID :</t>
    <phoneticPr fontId="2"/>
  </si>
  <si>
    <t>ins_ts</t>
  </si>
  <si>
    <t>upd_ts</t>
  </si>
  <si>
    <t>TargetName</t>
    <phoneticPr fontId="2"/>
  </si>
  <si>
    <t>#</t>
    <phoneticPr fontId="2"/>
  </si>
  <si>
    <t>#</t>
    <phoneticPr fontId="2"/>
  </si>
  <si>
    <t>Srch01_Cnd</t>
    <phoneticPr fontId="2"/>
  </si>
  <si>
    <t>R</t>
    <phoneticPr fontId="2"/>
  </si>
  <si>
    <t>L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</si>
  <si>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</si>
  <si>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</si>
  <si>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</si>
  <si>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</si>
  <si>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</si>
  <si>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</si>
  <si>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2"/>
  </si>
  <si>
    <t>ReportID :</t>
    <phoneticPr fontId="2"/>
  </si>
  <si>
    <t>L</t>
    <phoneticPr fontId="2"/>
  </si>
  <si>
    <t>#</t>
    <phoneticPr fontId="2"/>
  </si>
  <si>
    <t>U</t>
    <phoneticPr fontId="2"/>
  </si>
  <si>
    <t>o</t>
    <phoneticPr fontId="2"/>
  </si>
  <si>
    <t>SELECT.c0</t>
    <phoneticPr fontId="2"/>
  </si>
  <si>
    <t>ins_usr_nm</t>
    <phoneticPr fontId="2"/>
  </si>
  <si>
    <t>upd_usr_nm</t>
    <phoneticPr fontId="2"/>
  </si>
  <si>
    <t>ID</t>
    <phoneticPr fontId="2"/>
  </si>
  <si>
    <t>U</t>
    <phoneticPr fontId="2"/>
  </si>
  <si>
    <t>o</t>
    <phoneticPr fontId="2"/>
  </si>
  <si>
    <t>Pj.ID :</t>
    <phoneticPr fontId="2"/>
  </si>
  <si>
    <t>SuperClassPj.ID :</t>
    <phoneticPr fontId="2"/>
  </si>
  <si>
    <t>memo1</t>
  </si>
  <si>
    <t>memo1</t>
    <phoneticPr fontId="2"/>
  </si>
  <si>
    <t>#MA.MST_MEMO1</t>
  </si>
  <si>
    <t>#MA.MST_MEMO1</t>
    <phoneticPr fontId="2"/>
  </si>
  <si>
    <t>memo3</t>
  </si>
  <si>
    <t>memo3</t>
    <phoneticPr fontId="2"/>
  </si>
  <si>
    <t>#MA.MST_MEMO3</t>
  </si>
  <si>
    <t>#MA.MST_MEMO3</t>
    <phoneticPr fontId="2"/>
  </si>
  <si>
    <t>memo2</t>
  </si>
  <si>
    <t>#MA.MST_MEMO2</t>
  </si>
  <si>
    <t>#MA.FLG</t>
  </si>
  <si>
    <t>#MA.FLG</t>
    <phoneticPr fontId="2"/>
  </si>
  <si>
    <t>ins_func_id</t>
    <phoneticPr fontId="2"/>
  </si>
  <si>
    <t>upd_func_id</t>
    <phoneticPr fontId="2"/>
  </si>
  <si>
    <t>#MA.SRV_REQ_NO</t>
  </si>
  <si>
    <t>#MA.SYS_TS</t>
  </si>
  <si>
    <t>ins_func_nm</t>
    <phoneticPr fontId="2"/>
  </si>
  <si>
    <t>upd_func_nm</t>
    <phoneticPr fontId="2"/>
  </si>
  <si>
    <t>upd_srv_req_no</t>
    <phoneticPr fontId="2"/>
  </si>
  <si>
    <t>#MA.FLG</t>
    <phoneticPr fontId="2"/>
  </si>
  <si>
    <t>削除</t>
    <phoneticPr fontId="2"/>
  </si>
  <si>
    <t>登録</t>
    <rPh sb="0" eb="2">
      <t>トウロク</t>
    </rPh>
    <phoneticPr fontId="2"/>
  </si>
  <si>
    <t>L</t>
  </si>
  <si>
    <t>Upd01_Dtl1</t>
    <phoneticPr fontId="2"/>
  </si>
  <si>
    <t>o</t>
  </si>
  <si>
    <t>TargetName</t>
  </si>
  <si>
    <t>UPDATE.updMaster1</t>
    <phoneticPr fontId="21"/>
  </si>
  <si>
    <t>Del01_Dtl1</t>
    <phoneticPr fontId="2"/>
  </si>
  <si>
    <t>off_del_flg</t>
  </si>
  <si>
    <t>on_del_flg</t>
  </si>
  <si>
    <t>del_flg</t>
  </si>
  <si>
    <t>del_usr_id</t>
  </si>
  <si>
    <t>del_usr_nm</t>
  </si>
  <si>
    <t>del_ts</t>
  </si>
  <si>
    <t>upd_cntr</t>
    <phoneticPr fontId="2"/>
  </si>
  <si>
    <t>upd_cntr</t>
  </si>
  <si>
    <t>#MA.UPD_CNT</t>
  </si>
  <si>
    <t>UPDATE.updMaster</t>
    <phoneticPr fontId="2"/>
  </si>
  <si>
    <t>MAIN.chkMaster</t>
    <phoneticPr fontId="21"/>
  </si>
  <si>
    <t>$share$</t>
  </si>
  <si>
    <t>@</t>
  </si>
  <si>
    <t>upd_cntr</t>
    <phoneticPr fontId="21"/>
  </si>
  <si>
    <t>#MA.UPD_CNT</t>
    <phoneticPr fontId="21"/>
  </si>
  <si>
    <t>CALL_OPE01.chk01</t>
    <phoneticPr fontId="2"/>
  </si>
  <si>
    <t>CALL_OPE01.upd01</t>
    <phoneticPr fontId="2"/>
  </si>
  <si>
    <t>CALL_OPE01.chk01</t>
    <phoneticPr fontId="21"/>
  </si>
  <si>
    <t>CALL_OPE01.del01</t>
    <phoneticPr fontId="21"/>
  </si>
  <si>
    <t>K</t>
    <phoneticPr fontId="2"/>
  </si>
  <si>
    <t>REQUIRED</t>
    <phoneticPr fontId="2"/>
  </si>
  <si>
    <t>MA</t>
  </si>
  <si>
    <t>K</t>
  </si>
  <si>
    <t>CONST</t>
  </si>
  <si>
    <t>Del01</t>
    <phoneticPr fontId="21"/>
  </si>
  <si>
    <t>Srch01</t>
    <phoneticPr fontId="2"/>
  </si>
  <si>
    <t>Upd01</t>
    <phoneticPr fontId="2"/>
  </si>
  <si>
    <t>MABG</t>
  </si>
  <si>
    <t>calc_grp_cd</t>
  </si>
  <si>
    <t>#MA.CALC_GRP_CD</t>
  </si>
  <si>
    <t>K</t>
    <phoneticPr fontId="21"/>
  </si>
  <si>
    <t>LIST_LOGIC</t>
  </si>
  <si>
    <t>calc_grp_nm</t>
  </si>
  <si>
    <t>#MA.CALC_GRP_NM</t>
  </si>
  <si>
    <t>$super$</t>
  </si>
  <si>
    <t>#MA.FUNC_ID</t>
  </si>
  <si>
    <t>#MA.FUNC_NM</t>
  </si>
  <si>
    <t>#MA.FCM_USR_ID</t>
  </si>
  <si>
    <t>#MA.FCM_USR_NM</t>
  </si>
  <si>
    <t>計算グループＷＧマスタ登録</t>
  </si>
  <si>
    <t>#MA.WG_CD</t>
  </si>
  <si>
    <t>#MA.WG_NM</t>
  </si>
  <si>
    <t>wg_cd</t>
  </si>
  <si>
    <t>wg_nm</t>
  </si>
  <si>
    <t>MABGL0070</t>
  </si>
  <si>
    <t>MABGL_GrpWgReg</t>
  </si>
  <si>
    <t>GrpWg_UpdChk01</t>
  </si>
  <si>
    <t>GrpWg_UpdChk01_Dtl</t>
  </si>
  <si>
    <t>GrpWg_Upd01</t>
  </si>
  <si>
    <t>GrpWg_Upd01_Dtl</t>
  </si>
  <si>
    <t>GrpWg_DelChk01</t>
  </si>
  <si>
    <t>GrpWg_DelChk01_Dtl</t>
  </si>
  <si>
    <t>GrpWg_Del01</t>
  </si>
  <si>
    <t>GrpWg_Del01_Dtl</t>
  </si>
  <si>
    <t>OPE.MA.MABGL0070.GrpWg_UpdChk01</t>
  </si>
  <si>
    <t>OPE.MA.MABGL0070.GrpWg_Upd01</t>
  </si>
  <si>
    <t>OPE.MA.MABGL0070.GrpWg_DelChk01</t>
  </si>
  <si>
    <t>OPE.MA.MABGL0070.GrpWg_Del01</t>
  </si>
  <si>
    <t>wg_prio</t>
    <phoneticPr fontId="21"/>
  </si>
  <si>
    <t>#MA.INT2</t>
    <phoneticPr fontId="21"/>
  </si>
  <si>
    <t>SMALL_LARGE</t>
  </si>
  <si>
    <t>削除処理を行う</t>
    <rPh sb="0" eb="2">
      <t>サクジョ</t>
    </rPh>
    <rPh sb="2" eb="4">
      <t>ショリ</t>
    </rPh>
    <rPh sb="5" eb="6">
      <t>オコナ</t>
    </rPh>
    <phoneticPr fontId="2"/>
  </si>
  <si>
    <t>登録処理を行う</t>
    <rPh sb="0" eb="2">
      <t>トウロク</t>
    </rPh>
    <rPh sb="2" eb="4">
      <t>ショリ</t>
    </rPh>
    <rPh sb="5" eb="6">
      <t>オコナ</t>
    </rPh>
    <phoneticPr fontId="2"/>
  </si>
  <si>
    <t>検索処理を行う</t>
    <rPh sb="0" eb="2">
      <t>ケンサク</t>
    </rPh>
    <rPh sb="2" eb="4">
      <t>ショリ</t>
    </rPh>
    <rPh sb="5" eb="6">
      <t>オコナ</t>
    </rPh>
    <phoneticPr fontId="2"/>
  </si>
  <si>
    <t>削除処理</t>
    <rPh sb="0" eb="2">
      <t>サクジョ</t>
    </rPh>
    <rPh sb="2" eb="4">
      <t>ショリ</t>
    </rPh>
    <phoneticPr fontId="1"/>
  </si>
  <si>
    <t>削除前チェック</t>
    <rPh sb="0" eb="2">
      <t>サクジョ</t>
    </rPh>
    <rPh sb="2" eb="3">
      <t>マエ</t>
    </rPh>
    <phoneticPr fontId="1"/>
  </si>
  <si>
    <t>登録処理</t>
    <rPh sb="0" eb="2">
      <t>トウロク</t>
    </rPh>
    <rPh sb="2" eb="4">
      <t>ショリ</t>
    </rPh>
    <phoneticPr fontId="1"/>
  </si>
  <si>
    <t>登録前チェック</t>
    <rPh sb="0" eb="2">
      <t>トウロク</t>
    </rPh>
    <rPh sb="2" eb="3">
      <t>マエ</t>
    </rPh>
    <phoneticPr fontId="1"/>
  </si>
  <si>
    <t>計算グループＷＧマスタを削除する</t>
    <rPh sb="12" eb="14">
      <t>サクジョ</t>
    </rPh>
    <phoneticPr fontId="1"/>
  </si>
  <si>
    <t>計算グループＷＧマスタを削除する前のチェックを行う</t>
    <rPh sb="12" eb="14">
      <t>サクジョ</t>
    </rPh>
    <rPh sb="16" eb="17">
      <t>マエ</t>
    </rPh>
    <rPh sb="23" eb="24">
      <t>オコナ</t>
    </rPh>
    <phoneticPr fontId="1"/>
  </si>
  <si>
    <t>計算グループＷＧマスタを登録する</t>
    <rPh sb="12" eb="14">
      <t>トウロク</t>
    </rPh>
    <phoneticPr fontId="1"/>
  </si>
  <si>
    <t>計算グループＷＧマスタを登録する前のチェックを行う</t>
    <rPh sb="12" eb="14">
      <t>トウロク</t>
    </rPh>
    <rPh sb="16" eb="17">
      <t>マエ</t>
    </rPh>
    <rPh sb="23" eb="24">
      <t>オコナ</t>
    </rPh>
    <phoneticPr fontId="1"/>
  </si>
  <si>
    <t>000000</t>
    <phoneticPr fontId="2"/>
  </si>
  <si>
    <t>memo2</t>
    <phoneticPr fontId="2"/>
  </si>
  <si>
    <t>#MA.MST_MEMO2</t>
    <phoneticPr fontId="2"/>
  </si>
  <si>
    <t>Srch01_Rslt1</t>
    <phoneticPr fontId="2"/>
  </si>
  <si>
    <t>ins_usr_id</t>
    <phoneticPr fontId="2"/>
  </si>
  <si>
    <t>upd_usr_id</t>
    <phoneticPr fontId="2"/>
  </si>
  <si>
    <t xml:space="preserve">Ope.Body : </t>
    <phoneticPr fontId="2"/>
  </si>
  <si>
    <t>Ope.Method :</t>
    <phoneticPr fontId="2"/>
  </si>
  <si>
    <t>*</t>
    <phoneticPr fontId="2"/>
  </si>
  <si>
    <t>E</t>
    <phoneticPr fontId="2"/>
  </si>
  <si>
    <t>ワーキンググループＣＤ</t>
    <phoneticPr fontId="21"/>
  </si>
  <si>
    <t>優先順位</t>
    <phoneticPr fontId="21"/>
  </si>
  <si>
    <t>メモ３</t>
    <phoneticPr fontId="2"/>
  </si>
  <si>
    <t>論理削除</t>
    <phoneticPr fontId="2"/>
  </si>
  <si>
    <t>更新カウンタ</t>
    <phoneticPr fontId="21"/>
  </si>
  <si>
    <t>ALL</t>
    <phoneticPr fontId="2"/>
  </si>
  <si>
    <t>ACType :</t>
    <phoneticPr fontId="2"/>
  </si>
  <si>
    <t>更新カウンタ</t>
    <phoneticPr fontId="2"/>
  </si>
  <si>
    <t>Ope.ID :</t>
    <phoneticPr fontId="2"/>
  </si>
  <si>
    <t>計算グループ名</t>
    <phoneticPr fontId="2"/>
  </si>
  <si>
    <t>ワーキンググループ名</t>
    <phoneticPr fontId="2"/>
  </si>
  <si>
    <t>論理削除ＦＬＧ（オフ）</t>
    <phoneticPr fontId="2"/>
  </si>
  <si>
    <t>論理削除ＦＬＧ（オン）</t>
    <phoneticPr fontId="2"/>
  </si>
  <si>
    <t>登録日時</t>
    <phoneticPr fontId="2"/>
  </si>
  <si>
    <t>更新ユーザＩＤ</t>
    <phoneticPr fontId="2"/>
  </si>
  <si>
    <t>更新ユーザ名</t>
    <phoneticPr fontId="2"/>
  </si>
  <si>
    <t>更新日時</t>
    <phoneticPr fontId="2"/>
  </si>
  <si>
    <t>更新機能ＩＤ</t>
    <phoneticPr fontId="2"/>
  </si>
  <si>
    <t>更新機能名</t>
    <phoneticPr fontId="2"/>
  </si>
  <si>
    <t>論理削除ユーザＩＤ</t>
    <phoneticPr fontId="2"/>
  </si>
  <si>
    <t>論理削除ユーザ名</t>
    <phoneticPr fontId="2"/>
  </si>
  <si>
    <t>論理削除日時</t>
    <phoneticPr fontId="2"/>
  </si>
  <si>
    <t>Gene.Type :</t>
    <phoneticPr fontId="2"/>
  </si>
  <si>
    <t xml:space="preserve">Ope.Name : </t>
    <phoneticPr fontId="2"/>
  </si>
  <si>
    <t>L</t>
    <phoneticPr fontId="21"/>
  </si>
  <si>
    <t>計算グループＣＤ</t>
    <phoneticPr fontId="2"/>
  </si>
  <si>
    <t>E</t>
    <phoneticPr fontId="21"/>
  </si>
  <si>
    <t>MA.MAUAL0010.CalcGrp</t>
    <phoneticPr fontId="2"/>
  </si>
  <si>
    <t>MA.MAUAL0010.CostWg</t>
    <phoneticPr fontId="2"/>
  </si>
  <si>
    <t>0:99</t>
    <phoneticPr fontId="2"/>
  </si>
  <si>
    <t>メモ１</t>
    <phoneticPr fontId="2"/>
  </si>
  <si>
    <t>メモ２</t>
    <phoneticPr fontId="2"/>
  </si>
  <si>
    <t>super/share</t>
    <phoneticPr fontId="2"/>
  </si>
  <si>
    <t>MA.MABGL0070.GrpWg_UpdChk01.GrpWg_UpdChk01_Dtl</t>
    <phoneticPr fontId="2"/>
  </si>
  <si>
    <t>MA.MABGL0070.GrpWg_DelChk01.GrpWg_DelChk01_Dtl</t>
    <phoneticPr fontId="2"/>
  </si>
  <si>
    <t>ワーキンググループＣＤ</t>
    <phoneticPr fontId="2"/>
  </si>
  <si>
    <t>登録ユーザＩＤ</t>
    <phoneticPr fontId="2"/>
  </si>
  <si>
    <t>登録ユーザ名</t>
    <phoneticPr fontId="2"/>
  </si>
  <si>
    <t>登録機能ＩＤ</t>
    <phoneticPr fontId="2"/>
  </si>
  <si>
    <t>登録機能名</t>
    <phoneticPr fontId="2"/>
  </si>
  <si>
    <t>更新リクエストＮＯ</t>
    <phoneticPr fontId="2"/>
  </si>
  <si>
    <t>MA.MABGL0070.GrpWg_Upd01.GrpWg_Upd01_Dtl</t>
    <phoneticPr fontId="2"/>
  </si>
  <si>
    <t>GrpWg_UpdChk01_Dtl</t>
    <phoneticPr fontId="2"/>
  </si>
  <si>
    <t>GrpWg_Upd01_Dtl</t>
    <phoneticPr fontId="2"/>
  </si>
  <si>
    <t>MA.MABGL0070.GrpWg_Del01.GrpWg_Del01_Dtl</t>
    <phoneticPr fontId="2"/>
  </si>
  <si>
    <t>GrpWg_DelChk01_Dtl</t>
    <phoneticPr fontId="2"/>
  </si>
  <si>
    <t>GrpWg_Del01_Dtl</t>
    <phoneticPr fontId="2"/>
  </si>
  <si>
    <t>MA.MAUDL5010</t>
    <phoneticPr fontId="2"/>
  </si>
  <si>
    <t>"mcframe.serverMAUD.MAUDL6010.MAUDL_RLUpdater"</t>
    <phoneticPr fontId="2"/>
  </si>
  <si>
    <t>DBC.MA.MAM_GRP_WG</t>
    <phoneticPr fontId="2"/>
  </si>
  <si>
    <t>"mcframe.serverMAUD.MAUDL6010.MAUDL_RLDeleter"</t>
    <phoneticPr fontId="2"/>
  </si>
  <si>
    <t>"mcframe.serverMAUD.MAUDL6010.MAUDL_RLSearcher"</t>
    <phoneticPr fontId="2"/>
  </si>
  <si>
    <t>DBC:MA.MAM_GRP_WG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</si>
  <si>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</si>
  <si>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</si>
  <si>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</si>
  <si>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</si>
  <si>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</si>
  <si>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</si>
  <si>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</si>
  <si>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</si>
  <si>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</si>
  <si>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</si>
  <si>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</si>
  <si>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</si>
  <si>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ブロック備考
Block Remarks</t>
    <phoneticPr fontId="2"/>
  </si>
  <si>
    <t>項目備考
Field Remarks</t>
    <phoneticPr fontId="2"/>
  </si>
  <si>
    <t>Calculation group cd.</t>
  </si>
  <si>
    <t>WG cd.</t>
  </si>
  <si>
    <t>Priority</t>
  </si>
  <si>
    <t>Memo 1</t>
  </si>
  <si>
    <t>Memo 2</t>
  </si>
  <si>
    <t>Memo 3</t>
  </si>
  <si>
    <t>Logical delete</t>
  </si>
  <si>
    <t>Update counter</t>
  </si>
  <si>
    <t>Calculation group name</t>
  </si>
  <si>
    <t>WG name</t>
  </si>
  <si>
    <t>Logical delete flg. (Off)</t>
  </si>
  <si>
    <t>Logical delete flg. (On)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</si>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</sst>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7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6">
    <xf numFmtId="0" fontId="0" fillId="0" borderId="0">
      <alignment vertical="top" wrapText="1"/>
    </xf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2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23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23" borderId="12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3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46">
    <xf numFmtId="0" fontId="0" fillId="0" borderId="0" xfId="0">
      <alignment vertical="top" wrapText="1"/>
    </xf>
    <xf numFmtId="0" fontId="23" fillId="0" borderId="13" xfId="0" applyFont="1" applyBorder="1" applyAlignment="1">
      <alignment vertical="center"/>
    </xf>
    <xf numFmtId="0" fontId="23" fillId="0" borderId="13" xfId="0" applyFont="1" applyBorder="1" applyAlignment="1">
      <alignment horizontal="left" vertical="top"/>
    </xf>
    <xf numFmtId="0" fontId="23" fillId="0" borderId="13" xfId="0" applyFont="1" applyBorder="1" applyAlignment="1">
      <alignment vertical="top"/>
    </xf>
    <xf numFmtId="0" fontId="23" fillId="0" borderId="0" xfId="0" applyFont="1" applyAlignment="1">
      <alignment vertical="top"/>
    </xf>
    <xf numFmtId="0" fontId="23" fillId="0" borderId="0" xfId="0" applyFont="1" applyAlignment="1">
      <alignment vertical="center"/>
    </xf>
    <xf numFmtId="0" fontId="23" fillId="0" borderId="14" xfId="0" applyFont="1" applyBorder="1" applyAlignment="1">
      <alignment vertical="top"/>
    </xf>
    <xf numFmtId="0" fontId="23" fillId="0" borderId="15" xfId="0" applyFont="1" applyBorder="1" applyAlignment="1">
      <alignment vertical="top"/>
    </xf>
    <xf numFmtId="20" fontId="23" fillId="24" borderId="15" xfId="0" applyNumberFormat="1" applyFont="1" applyFill="1" applyBorder="1" applyAlignment="1">
      <alignment horizontal="left" vertical="top"/>
    </xf>
    <xf numFmtId="0" fontId="23" fillId="24" borderId="15" xfId="0" applyFont="1" applyFill="1" applyBorder="1" applyAlignment="1">
      <alignment vertical="top"/>
    </xf>
    <xf numFmtId="0" fontId="23" fillId="24" borderId="15" xfId="0" quotePrefix="1" applyFont="1" applyFill="1" applyBorder="1" applyAlignment="1">
      <alignment vertical="top"/>
    </xf>
    <xf numFmtId="0" fontId="23" fillId="0" borderId="0" xfId="0" applyFont="1">
      <alignment vertical="top" wrapText="1"/>
    </xf>
    <xf numFmtId="0" fontId="23" fillId="24" borderId="15" xfId="0" applyFont="1" applyFill="1" applyBorder="1" applyAlignment="1">
      <alignment horizontal="left" vertical="top"/>
    </xf>
    <xf numFmtId="0" fontId="23" fillId="25" borderId="15" xfId="0" applyFont="1" applyFill="1" applyBorder="1" applyAlignment="1">
      <alignment vertical="top"/>
    </xf>
    <xf numFmtId="0" fontId="23" fillId="0" borderId="0" xfId="0" applyFont="1" applyAlignment="1"/>
    <xf numFmtId="0" fontId="23" fillId="0" borderId="18" xfId="0" applyFont="1" applyBorder="1" applyAlignment="1">
      <alignment vertical="top"/>
    </xf>
    <xf numFmtId="0" fontId="23" fillId="25" borderId="2" xfId="0" applyFont="1" applyFill="1" applyBorder="1" applyAlignment="1">
      <alignment vertical="top"/>
    </xf>
    <xf numFmtId="0" fontId="23" fillId="25" borderId="2" xfId="0" applyFont="1" applyFill="1" applyBorder="1" applyAlignment="1">
      <alignment horizontal="left" vertical="top"/>
    </xf>
    <xf numFmtId="0" fontId="23" fillId="25" borderId="19" xfId="0" applyFont="1" applyFill="1" applyBorder="1" applyAlignment="1">
      <alignment vertical="top"/>
    </xf>
    <xf numFmtId="0" fontId="23" fillId="0" borderId="13" xfId="0" applyFont="1" applyBorder="1">
      <alignment vertical="top" wrapText="1"/>
    </xf>
    <xf numFmtId="0" fontId="23" fillId="0" borderId="17" xfId="0" applyFont="1" applyBorder="1">
      <alignment vertical="top" wrapText="1"/>
    </xf>
    <xf numFmtId="0" fontId="23" fillId="0" borderId="14" xfId="0" applyFont="1" applyBorder="1" applyAlignment="1">
      <alignment vertical="center"/>
    </xf>
    <xf numFmtId="0" fontId="23" fillId="0" borderId="14" xfId="0" applyFont="1" applyBorder="1" applyAlignment="1">
      <alignment horizontal="left" vertical="top"/>
    </xf>
    <xf numFmtId="0" fontId="23" fillId="0" borderId="16" xfId="0" applyFont="1" applyBorder="1" applyAlignment="1">
      <alignment vertical="top"/>
    </xf>
    <xf numFmtId="0" fontId="23" fillId="0" borderId="0" xfId="0" applyFont="1" applyAlignment="1">
      <alignment vertical="center" wrapText="1"/>
    </xf>
    <xf numFmtId="0" fontId="23" fillId="0" borderId="0" xfId="0" applyFont="1" applyAlignment="1">
      <alignment horizontal="left" vertical="top"/>
    </xf>
    <xf numFmtId="0" fontId="23" fillId="0" borderId="17" xfId="0" applyFont="1" applyBorder="1" applyAlignment="1">
      <alignment vertical="top"/>
    </xf>
    <xf numFmtId="0" fontId="23" fillId="0" borderId="0" xfId="0" applyFont="1" applyAlignment="1" applyProtection="1">
      <alignment vertical="center"/>
      <protection locked="0"/>
    </xf>
    <xf numFmtId="0" fontId="23" fillId="24" borderId="15" xfId="0" applyFont="1" applyFill="1" applyBorder="1" applyAlignment="1">
      <alignment vertical="center"/>
    </xf>
    <xf numFmtId="0" fontId="23" fillId="0" borderId="0" xfId="0" applyFont="1" applyAlignment="1" applyProtection="1">
      <alignment vertical="top"/>
      <protection locked="0"/>
    </xf>
    <xf numFmtId="0" fontId="23" fillId="24" borderId="14" xfId="0" applyFont="1" applyFill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alignment vertical="top"/>
      <protection locked="0"/>
    </xf>
    <xf numFmtId="0" fontId="23" fillId="24" borderId="15" xfId="0" applyFont="1" applyFill="1" applyBorder="1" applyAlignment="1" applyProtection="1">
      <alignment vertical="top"/>
      <protection locked="0"/>
    </xf>
    <xf numFmtId="0" fontId="23" fillId="0" borderId="15" xfId="0" applyFont="1" applyBorder="1" applyAlignment="1" applyProtection="1">
      <alignment vertical="top"/>
      <protection locked="0"/>
    </xf>
    <xf numFmtId="0" fontId="23" fillId="24" borderId="15" xfId="0" applyFont="1" applyFill="1" applyBorder="1" applyAlignment="1"/>
    <xf numFmtId="0" fontId="23" fillId="0" borderId="22" xfId="0" applyFont="1" applyBorder="1" applyAlignment="1" applyProtection="1">
      <protection locked="0"/>
    </xf>
    <xf numFmtId="0" fontId="23" fillId="0" borderId="19" xfId="0" applyFont="1" applyBorder="1" applyAlignment="1" applyProtection="1">
      <protection locked="0"/>
    </xf>
    <xf numFmtId="0" fontId="23" fillId="24" borderId="22" xfId="0" applyFont="1" applyFill="1" applyBorder="1" applyAlignment="1">
      <alignment vertical="top"/>
    </xf>
    <xf numFmtId="0" fontId="23" fillId="24" borderId="19" xfId="0" applyFont="1" applyFill="1" applyBorder="1" applyAlignment="1">
      <alignment vertical="top"/>
    </xf>
    <xf numFmtId="0" fontId="23" fillId="24" borderId="22" xfId="0" applyFont="1" applyFill="1" applyBorder="1" applyAlignment="1" applyProtection="1">
      <alignment vertical="top"/>
      <protection locked="0"/>
    </xf>
    <xf numFmtId="0" fontId="23" fillId="24" borderId="2" xfId="0" applyFont="1" applyFill="1" applyBorder="1" applyAlignment="1" applyProtection="1">
      <alignment vertical="top"/>
      <protection locked="0"/>
    </xf>
    <xf numFmtId="0" fontId="23" fillId="0" borderId="2" xfId="0" applyFont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protection locked="0"/>
    </xf>
    <xf numFmtId="0" fontId="23" fillId="0" borderId="2" xfId="0" applyFont="1" applyBorder="1" applyAlignment="1" applyProtection="1">
      <protection locked="0"/>
    </xf>
    <xf numFmtId="0" fontId="23" fillId="0" borderId="19" xfId="0" applyFont="1" applyBorder="1" applyAlignment="1"/>
    <xf numFmtId="0" fontId="23" fillId="0" borderId="22" xfId="0" applyFont="1" applyBorder="1" applyAlignment="1"/>
    <xf numFmtId="0" fontId="23" fillId="0" borderId="2" xfId="0" applyFont="1" applyBorder="1" applyAlignment="1"/>
    <xf numFmtId="0" fontId="23" fillId="24" borderId="15" xfId="0" applyFont="1" applyFill="1" applyBorder="1" applyAlignment="1" applyProtection="1">
      <protection locked="0"/>
    </xf>
    <xf numFmtId="0" fontId="23" fillId="25" borderId="19" xfId="0" applyFont="1" applyFill="1" applyBorder="1" applyAlignment="1" applyProtection="1">
      <protection locked="0"/>
    </xf>
    <xf numFmtId="0" fontId="23" fillId="24" borderId="15" xfId="0" applyFont="1" applyFill="1" applyBorder="1">
      <alignment vertical="top" wrapText="1"/>
    </xf>
    <xf numFmtId="0" fontId="23" fillId="25" borderId="15" xfId="0" applyFont="1" applyFill="1" applyBorder="1">
      <alignment vertical="top" wrapText="1"/>
    </xf>
    <xf numFmtId="0" fontId="23" fillId="0" borderId="22" xfId="0" applyFont="1" applyBorder="1" applyAlignment="1" applyProtection="1">
      <alignment vertical="top"/>
      <protection locked="0"/>
    </xf>
    <xf numFmtId="0" fontId="23" fillId="0" borderId="19" xfId="0" applyFont="1" applyBorder="1" applyAlignment="1" applyProtection="1">
      <alignment vertical="top"/>
      <protection locked="0"/>
    </xf>
    <xf numFmtId="0" fontId="23" fillId="24" borderId="21" xfId="0" applyFont="1" applyFill="1" applyBorder="1" applyAlignment="1" applyProtection="1">
      <alignment vertical="top"/>
      <protection locked="0"/>
    </xf>
    <xf numFmtId="0" fontId="23" fillId="24" borderId="0" xfId="0" applyFont="1" applyFill="1" applyAlignment="1" applyProtection="1">
      <alignment vertical="top"/>
      <protection locked="0"/>
    </xf>
    <xf numFmtId="0" fontId="23" fillId="0" borderId="18" xfId="0" applyFont="1" applyBorder="1">
      <alignment vertical="top" wrapText="1"/>
    </xf>
    <xf numFmtId="0" fontId="23" fillId="24" borderId="19" xfId="0" applyFont="1" applyFill="1" applyBorder="1" applyAlignment="1"/>
    <xf numFmtId="0" fontId="23" fillId="0" borderId="42" xfId="0" applyFont="1" applyBorder="1" applyAlignment="1" applyProtection="1">
      <alignment vertical="top"/>
      <protection locked="0"/>
    </xf>
    <xf numFmtId="0" fontId="23" fillId="0" borderId="15" xfId="0" applyFont="1" applyBorder="1" applyAlignment="1"/>
    <xf numFmtId="0" fontId="23" fillId="0" borderId="22" xfId="0" applyFont="1" applyBorder="1" applyAlignment="1">
      <alignment vertical="top"/>
    </xf>
    <xf numFmtId="0" fontId="23" fillId="0" borderId="19" xfId="0" applyFont="1" applyBorder="1" applyAlignment="1">
      <alignment vertical="top"/>
    </xf>
    <xf numFmtId="0" fontId="23" fillId="0" borderId="17" xfId="0" applyFont="1" applyBorder="1" applyAlignment="1"/>
    <xf numFmtId="0" fontId="23" fillId="0" borderId="23" xfId="0" applyFont="1" applyBorder="1" applyAlignment="1"/>
    <xf numFmtId="0" fontId="23" fillId="0" borderId="13" xfId="0" applyFont="1" applyBorder="1" applyAlignment="1"/>
    <xf numFmtId="0" fontId="23" fillId="24" borderId="20" xfId="0" applyFont="1" applyFill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alignment vertical="center"/>
      <protection locked="0"/>
    </xf>
    <xf numFmtId="0" fontId="23" fillId="0" borderId="14" xfId="0" applyFont="1" applyBorder="1" applyAlignment="1" applyProtection="1">
      <alignment horizontal="left" vertical="top"/>
      <protection locked="0"/>
    </xf>
    <xf numFmtId="0" fontId="23" fillId="0" borderId="16" xfId="0" applyFont="1" applyBorder="1" applyAlignment="1" applyProtection="1">
      <alignment vertical="top"/>
      <protection locked="0"/>
    </xf>
    <xf numFmtId="0" fontId="26" fillId="0" borderId="0" xfId="0" applyFont="1">
      <alignment vertical="top" wrapText="1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3" fillId="25" borderId="22" xfId="0" applyFont="1" applyFill="1" applyBorder="1" applyAlignment="1" applyProtection="1">
      <protection locked="0"/>
    </xf>
    <xf numFmtId="49" fontId="23" fillId="24" borderId="15" xfId="0" applyNumberFormat="1" applyFont="1" applyFill="1" applyBorder="1" applyAlignment="1" applyProtection="1">
      <protection locked="0"/>
    </xf>
    <xf numFmtId="49" fontId="23" fillId="24" borderId="15" xfId="0" applyNumberFormat="1" applyFont="1" applyFill="1" applyBorder="1" applyAlignment="1">
      <alignment vertical="top"/>
    </xf>
    <xf numFmtId="0" fontId="23" fillId="24" borderId="13" xfId="0" applyFont="1" applyFill="1" applyBorder="1" applyAlignment="1">
      <alignment vertical="top"/>
    </xf>
    <xf numFmtId="0" fontId="23" fillId="24" borderId="20" xfId="0" applyFont="1" applyFill="1" applyBorder="1" applyAlignment="1">
      <alignment vertical="top"/>
    </xf>
    <xf numFmtId="0" fontId="23" fillId="24" borderId="14" xfId="0" applyFont="1" applyFill="1" applyBorder="1" applyAlignment="1">
      <alignment vertical="top"/>
    </xf>
    <xf numFmtId="0" fontId="23" fillId="26" borderId="15" xfId="0" applyFont="1" applyFill="1" applyBorder="1" applyAlignment="1">
      <alignment vertical="top"/>
    </xf>
    <xf numFmtId="0" fontId="23" fillId="24" borderId="21" xfId="0" applyFont="1" applyFill="1" applyBorder="1" applyAlignment="1">
      <alignment vertical="top"/>
    </xf>
    <xf numFmtId="0" fontId="23" fillId="24" borderId="0" xfId="0" applyFont="1" applyFill="1" applyAlignment="1">
      <alignment vertical="top"/>
    </xf>
    <xf numFmtId="0" fontId="23" fillId="26" borderId="0" xfId="0" applyFont="1" applyFill="1">
      <alignment vertical="top" wrapText="1"/>
    </xf>
    <xf numFmtId="0" fontId="23" fillId="0" borderId="15" xfId="0" applyFont="1" applyBorder="1" applyAlignment="1">
      <alignment vertical="center"/>
    </xf>
    <xf numFmtId="0" fontId="23" fillId="24" borderId="23" xfId="0" applyFont="1" applyFill="1" applyBorder="1" applyAlignment="1">
      <alignment vertical="top"/>
    </xf>
    <xf numFmtId="0" fontId="23" fillId="0" borderId="2" xfId="0" applyFont="1" applyBorder="1" applyAlignment="1">
      <alignment vertical="top"/>
    </xf>
    <xf numFmtId="0" fontId="23" fillId="0" borderId="23" xfId="0" applyFont="1" applyBorder="1" applyAlignment="1">
      <alignment vertical="top"/>
    </xf>
    <xf numFmtId="0" fontId="23" fillId="0" borderId="14" xfId="0" applyFont="1" applyBorder="1">
      <alignment vertical="top" wrapText="1"/>
    </xf>
    <xf numFmtId="0" fontId="23" fillId="0" borderId="15" xfId="0" applyFont="1" applyBorder="1">
      <alignment vertical="top" wrapText="1"/>
    </xf>
    <xf numFmtId="0" fontId="23" fillId="0" borderId="15" xfId="0" applyFont="1" applyBorder="1" applyProtection="1">
      <alignment vertical="top" wrapText="1"/>
      <protection locked="0"/>
    </xf>
    <xf numFmtId="0" fontId="23" fillId="24" borderId="22" xfId="0" applyFont="1" applyFill="1" applyBorder="1">
      <alignment vertical="top" wrapText="1"/>
    </xf>
    <xf numFmtId="0" fontId="23" fillId="24" borderId="19" xfId="0" applyFont="1" applyFill="1" applyBorder="1">
      <alignment vertical="top" wrapText="1"/>
    </xf>
    <xf numFmtId="0" fontId="23" fillId="0" borderId="13" xfId="0" applyFont="1" applyBorder="1" applyAlignment="1" applyProtection="1">
      <alignment vertical="top"/>
      <protection locked="0"/>
    </xf>
    <xf numFmtId="0" fontId="23" fillId="0" borderId="17" xfId="0" applyFont="1" applyBorder="1" applyAlignment="1" applyProtection="1">
      <alignment vertical="top"/>
      <protection locked="0"/>
    </xf>
    <xf numFmtId="0" fontId="23" fillId="0" borderId="22" xfId="0" applyFont="1" applyBorder="1" applyProtection="1">
      <alignment vertical="top" wrapText="1"/>
      <protection locked="0"/>
    </xf>
    <xf numFmtId="0" fontId="23" fillId="0" borderId="22" xfId="0" applyFont="1" applyBorder="1">
      <alignment vertical="top" wrapText="1"/>
    </xf>
    <xf numFmtId="0" fontId="23" fillId="0" borderId="19" xfId="0" applyFont="1" applyBorder="1">
      <alignment vertical="top" wrapText="1"/>
    </xf>
    <xf numFmtId="0" fontId="23" fillId="0" borderId="43" xfId="0" applyFont="1" applyBorder="1" applyAlignment="1" applyProtection="1">
      <alignment vertical="top"/>
      <protection locked="0"/>
    </xf>
    <xf numFmtId="177" fontId="25" fillId="0" borderId="24" xfId="0" applyNumberFormat="1" applyFont="1" applyBorder="1" applyAlignment="1">
      <alignment horizontal="center" vertical="center"/>
    </xf>
    <xf numFmtId="177" fontId="25" fillId="0" borderId="25" xfId="0" applyNumberFormat="1" applyFont="1" applyBorder="1" applyAlignment="1">
      <alignment horizontal="center" vertical="center"/>
    </xf>
    <xf numFmtId="177" fontId="25" fillId="0" borderId="26" xfId="0" applyNumberFormat="1" applyFont="1" applyBorder="1" applyAlignment="1">
      <alignment horizontal="center" vertical="center"/>
    </xf>
    <xf numFmtId="0" fontId="24" fillId="25" borderId="27" xfId="0" applyFont="1" applyFill="1" applyBorder="1" applyAlignment="1">
      <alignment horizontal="center" vertical="center"/>
    </xf>
    <xf numFmtId="0" fontId="25" fillId="0" borderId="3" xfId="0" applyFont="1" applyBorder="1" applyAlignment="1">
      <alignment vertical="center"/>
    </xf>
    <xf numFmtId="0" fontId="25" fillId="0" borderId="28" xfId="0" applyFont="1" applyBorder="1" applyAlignment="1">
      <alignment vertical="center"/>
    </xf>
    <xf numFmtId="0" fontId="26" fillId="25" borderId="29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6" fillId="25" borderId="1" xfId="0" applyFont="1" applyFill="1" applyBorder="1" applyAlignment="1">
      <alignment horizontal="center" vertical="center"/>
    </xf>
    <xf numFmtId="0" fontId="26" fillId="25" borderId="30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/>
    </xf>
    <xf numFmtId="177" fontId="25" fillId="0" borderId="32" xfId="0" applyNumberFormat="1" applyFont="1" applyBorder="1" applyAlignment="1">
      <alignment horizontal="center" vertical="center"/>
    </xf>
    <xf numFmtId="177" fontId="25" fillId="0" borderId="2" xfId="0" applyNumberFormat="1" applyFont="1" applyBorder="1" applyAlignment="1">
      <alignment horizontal="center" vertical="center"/>
    </xf>
    <xf numFmtId="177" fontId="25" fillId="0" borderId="19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left" vertical="center" wrapText="1"/>
    </xf>
    <xf numFmtId="0" fontId="25" fillId="0" borderId="2" xfId="0" applyFont="1" applyBorder="1" applyAlignment="1">
      <alignment horizontal="left" vertical="center" wrapText="1"/>
    </xf>
    <xf numFmtId="0" fontId="25" fillId="0" borderId="19" xfId="0" applyFont="1" applyBorder="1" applyAlignment="1">
      <alignment horizontal="left" vertical="center" wrapText="1"/>
    </xf>
    <xf numFmtId="0" fontId="25" fillId="0" borderId="2" xfId="0" applyFont="1" applyBorder="1" applyAlignment="1">
      <alignment vertical="center" wrapText="1"/>
    </xf>
    <xf numFmtId="0" fontId="25" fillId="0" borderId="19" xfId="0" applyFont="1" applyBorder="1" applyAlignment="1">
      <alignment vertical="center" wrapText="1"/>
    </xf>
    <xf numFmtId="0" fontId="25" fillId="0" borderId="22" xfId="0" applyFont="1" applyBorder="1" applyAlignment="1">
      <alignment vertical="center" wrapText="1"/>
    </xf>
    <xf numFmtId="0" fontId="25" fillId="0" borderId="33" xfId="0" applyFont="1" applyBorder="1" applyAlignment="1">
      <alignment vertical="center" wrapText="1"/>
    </xf>
    <xf numFmtId="0" fontId="25" fillId="0" borderId="34" xfId="0" applyFont="1" applyBorder="1" applyAlignment="1">
      <alignment horizontal="left" vertical="center" wrapText="1"/>
    </xf>
    <xf numFmtId="0" fontId="25" fillId="0" borderId="25" xfId="0" applyFont="1" applyBorder="1" applyAlignment="1">
      <alignment horizontal="left" vertical="center" wrapText="1"/>
    </xf>
    <xf numFmtId="0" fontId="25" fillId="0" borderId="26" xfId="0" applyFont="1" applyBorder="1" applyAlignment="1">
      <alignment horizontal="left" vertical="center" wrapText="1"/>
    </xf>
    <xf numFmtId="0" fontId="25" fillId="0" borderId="25" xfId="0" applyFont="1" applyBorder="1" applyAlignment="1">
      <alignment vertical="center" wrapText="1"/>
    </xf>
    <xf numFmtId="0" fontId="25" fillId="0" borderId="26" xfId="0" applyFont="1" applyBorder="1" applyAlignment="1">
      <alignment vertical="center" wrapText="1"/>
    </xf>
    <xf numFmtId="0" fontId="25" fillId="0" borderId="34" xfId="0" applyFont="1" applyBorder="1" applyAlignment="1">
      <alignment vertical="center" wrapText="1"/>
    </xf>
    <xf numFmtId="0" fontId="25" fillId="0" borderId="35" xfId="0" applyFont="1" applyBorder="1" applyAlignment="1">
      <alignment vertical="center" wrapText="1"/>
    </xf>
    <xf numFmtId="0" fontId="25" fillId="0" borderId="36" xfId="0" applyFont="1" applyBorder="1" applyAlignment="1">
      <alignment horizontal="left" vertical="center" wrapText="1"/>
    </xf>
    <xf numFmtId="0" fontId="25" fillId="0" borderId="37" xfId="0" applyFont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 wrapText="1"/>
    </xf>
    <xf numFmtId="0" fontId="25" fillId="0" borderId="37" xfId="0" applyFont="1" applyBorder="1" applyAlignment="1">
      <alignment vertical="center" wrapText="1"/>
    </xf>
    <xf numFmtId="0" fontId="25" fillId="0" borderId="38" xfId="0" applyFont="1" applyBorder="1" applyAlignment="1">
      <alignment vertical="center" wrapText="1"/>
    </xf>
    <xf numFmtId="0" fontId="25" fillId="0" borderId="36" xfId="0" applyFont="1" applyBorder="1" applyAlignment="1">
      <alignment vertical="center" wrapText="1"/>
    </xf>
    <xf numFmtId="0" fontId="25" fillId="0" borderId="39" xfId="0" applyFont="1" applyBorder="1" applyAlignment="1">
      <alignment vertical="center" wrapText="1"/>
    </xf>
    <xf numFmtId="0" fontId="26" fillId="25" borderId="40" xfId="0" applyFont="1" applyFill="1" applyBorder="1" applyAlignment="1">
      <alignment horizontal="center" vertical="center"/>
    </xf>
    <xf numFmtId="177" fontId="25" fillId="0" borderId="41" xfId="0" applyNumberFormat="1" applyFont="1" applyBorder="1" applyAlignment="1">
      <alignment horizontal="center" vertical="center"/>
    </xf>
    <xf numFmtId="177" fontId="25" fillId="0" borderId="37" xfId="0" applyNumberFormat="1" applyFont="1" applyBorder="1" applyAlignment="1">
      <alignment horizontal="center" vertical="center"/>
    </xf>
    <xf numFmtId="177" fontId="25" fillId="0" borderId="38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left" vertical="center"/>
    </xf>
    <xf numFmtId="0" fontId="25" fillId="0" borderId="2" xfId="0" applyFont="1" applyBorder="1" applyAlignment="1">
      <alignment horizontal="left" vertical="center"/>
    </xf>
    <xf numFmtId="0" fontId="25" fillId="0" borderId="19" xfId="0" applyFont="1" applyBorder="1" applyAlignment="1">
      <alignment horizontal="left" vertical="center"/>
    </xf>
    <xf numFmtId="0" fontId="25" fillId="0" borderId="22" xfId="0" applyFont="1" applyBorder="1" applyAlignment="1">
      <alignment vertical="center"/>
    </xf>
    <xf numFmtId="0" fontId="25" fillId="0" borderId="2" xfId="0" applyFont="1" applyBorder="1" applyAlignment="1">
      <alignment vertical="center"/>
    </xf>
    <xf numFmtId="0" fontId="25" fillId="0" borderId="33" xfId="0" applyFont="1" applyBorder="1" applyAlignment="1">
      <alignment vertical="center"/>
    </xf>
    <xf numFmtId="0" fontId="23" fillId="25" borderId="22" xfId="0" applyFont="1" applyFill="1" applyBorder="1" applyAlignment="1" applyProtection="1">
      <protection locked="0"/>
    </xf>
    <xf numFmtId="0" fontId="23" fillId="25" borderId="19" xfId="0" applyFont="1" applyFill="1" applyBorder="1" applyAlignment="1"/>
    <xf numFmtId="0" fontId="23" fillId="25" borderId="22" xfId="0" applyFont="1" applyFill="1" applyBorder="1" applyAlignment="1"/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71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91</v>
      </c>
      <c r="D2" s="7" t="s">
        <v>9</v>
      </c>
      <c r="E2" s="9" t="s">
        <v>114</v>
      </c>
      <c r="F2" s="7" t="s">
        <v>40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97</v>
      </c>
      <c r="D3" s="7" t="s">
        <v>10</v>
      </c>
      <c r="E3" s="9" t="s">
        <v>115</v>
      </c>
      <c r="F3" s="7" t="s">
        <v>41</v>
      </c>
      <c r="G3" s="9"/>
      <c r="H3" s="7"/>
      <c r="I3" s="9"/>
    </row>
    <row r="4" spans="1:12" x14ac:dyDescent="0.2">
      <c r="A4" s="3"/>
      <c r="B4" s="7"/>
      <c r="C4" s="7"/>
      <c r="D4" s="7" t="s">
        <v>11</v>
      </c>
      <c r="E4" s="13" t="s">
        <v>109</v>
      </c>
      <c r="F4" s="7" t="s">
        <v>5</v>
      </c>
      <c r="G4" s="9" t="s">
        <v>199</v>
      </c>
      <c r="H4" s="14"/>
      <c r="I4" s="15"/>
    </row>
    <row r="5" spans="1:12" x14ac:dyDescent="0.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5"/>
    </row>
    <row r="8" spans="1:12" x14ac:dyDescent="0.2">
      <c r="B8" s="4"/>
      <c r="I8" s="15"/>
    </row>
    <row r="9" spans="1:12" x14ac:dyDescent="0.2">
      <c r="B9" s="4"/>
      <c r="I9" s="15"/>
      <c r="J9" s="4"/>
    </row>
    <row r="10" spans="1:12" x14ac:dyDescent="0.2">
      <c r="B10" s="4"/>
      <c r="I10" s="15"/>
      <c r="J10" s="4"/>
    </row>
    <row r="11" spans="1:12" x14ac:dyDescent="0.2">
      <c r="B11" s="4"/>
      <c r="I11" s="15"/>
      <c r="J11" s="4"/>
    </row>
    <row r="12" spans="1:12" x14ac:dyDescent="0.2">
      <c r="B12" s="4"/>
      <c r="I12" s="15"/>
      <c r="J12" s="4"/>
    </row>
    <row r="13" spans="1:12" x14ac:dyDescent="0.2">
      <c r="B13" s="4"/>
      <c r="I13" s="15"/>
      <c r="J13" s="4"/>
    </row>
    <row r="14" spans="1:12" x14ac:dyDescent="0.2">
      <c r="B14" s="4"/>
      <c r="I14" s="15"/>
      <c r="J14" s="4"/>
    </row>
    <row r="15" spans="1:12" x14ac:dyDescent="0.2">
      <c r="B15" s="4"/>
      <c r="I15" s="15"/>
      <c r="J15" s="4"/>
    </row>
    <row r="16" spans="1:12" x14ac:dyDescent="0.2">
      <c r="B16" s="4"/>
      <c r="I16" s="15"/>
      <c r="J16" s="4"/>
    </row>
    <row r="17" spans="1:10" x14ac:dyDescent="0.2">
      <c r="B17" s="4"/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W24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22.81640625" style="29" bestFit="1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11.6328125" style="27" bestFit="1" customWidth="1"/>
    <col min="19" max="19" width="27.1796875" style="27" bestFit="1" customWidth="1"/>
    <col min="20" max="20" width="30.81640625" style="27" customWidth="1"/>
    <col min="21" max="21" width="9" style="27"/>
    <col min="22" max="22" width="15.81640625" style="27" customWidth="1"/>
    <col min="23" max="16384" width="9" style="27"/>
  </cols>
  <sheetData>
    <row r="1" spans="1:23" s="11" customFormat="1" x14ac:dyDescent="0.2">
      <c r="A1" s="74" t="s">
        <v>150</v>
      </c>
      <c r="B1" s="74" t="s">
        <v>150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27"/>
      <c r="U1" s="27"/>
      <c r="V1" s="27"/>
      <c r="W1" s="27"/>
    </row>
    <row r="2" spans="1:23" s="11" customFormat="1" ht="40" customHeight="1" x14ac:dyDescent="0.2">
      <c r="A2" s="75" t="s">
        <v>150</v>
      </c>
      <c r="B2" s="76"/>
      <c r="C2" s="76"/>
      <c r="D2" s="85" t="s">
        <v>205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MABGL0070</v>
      </c>
      <c r="I2" s="7" t="s">
        <v>160</v>
      </c>
      <c r="J2" s="9" t="s">
        <v>116</v>
      </c>
      <c r="K2" s="7" t="s">
        <v>40</v>
      </c>
      <c r="L2" s="77" t="str">
        <f>IF(LogicCommon!G2="","",LogicCommon!G2)</f>
        <v>MC</v>
      </c>
      <c r="M2" s="5" t="s">
        <v>148</v>
      </c>
      <c r="N2" s="28" t="str">
        <f>L4 &amp; ".Checker"</f>
        <v>MA.MAUDL5010.Checker</v>
      </c>
      <c r="O2" s="7"/>
      <c r="P2" s="7"/>
      <c r="Q2" s="4"/>
      <c r="R2" s="4"/>
      <c r="S2" s="27"/>
      <c r="T2" s="27"/>
      <c r="U2" s="27"/>
      <c r="V2" s="27"/>
      <c r="W2" s="27"/>
    </row>
    <row r="3" spans="1:23" s="11" customFormat="1" x14ac:dyDescent="0.2">
      <c r="A3" s="78" t="s">
        <v>150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MABG</v>
      </c>
      <c r="G3" s="7" t="s">
        <v>10</v>
      </c>
      <c r="H3" s="77" t="str">
        <f>IF(LogicCommon!E3="","",LogicCommon!E3)</f>
        <v>MABGL_GrpWgReg</v>
      </c>
      <c r="I3" s="7" t="s">
        <v>149</v>
      </c>
      <c r="J3" s="9" t="s">
        <v>82</v>
      </c>
      <c r="K3" s="7" t="s">
        <v>41</v>
      </c>
      <c r="L3" s="77" t="str">
        <f>IF(LogicCommon!G3="","",LogicCommon!G3)</f>
        <v/>
      </c>
      <c r="M3" s="59" t="s">
        <v>29</v>
      </c>
      <c r="N3" s="7"/>
      <c r="O3" s="7" t="s">
        <v>174</v>
      </c>
      <c r="P3" s="9" t="s">
        <v>157</v>
      </c>
      <c r="Q3" s="4"/>
      <c r="R3" s="4"/>
      <c r="S3" s="27"/>
      <c r="T3" s="27"/>
      <c r="U3" s="27"/>
      <c r="V3" s="27"/>
      <c r="W3" s="27"/>
    </row>
    <row r="4" spans="1:23" s="11" customFormat="1" x14ac:dyDescent="0.2">
      <c r="A4" s="78" t="s">
        <v>150</v>
      </c>
      <c r="B4" s="79"/>
      <c r="C4" s="79"/>
      <c r="D4" s="4"/>
      <c r="E4" s="7" t="s">
        <v>8</v>
      </c>
      <c r="F4" s="10" t="s">
        <v>142</v>
      </c>
      <c r="G4" s="7" t="s">
        <v>11</v>
      </c>
      <c r="H4" s="77" t="str">
        <f>IF(LogicCommon!E4="","",LogicCommon!E4)</f>
        <v>計算グループＷＧマスタ登録</v>
      </c>
      <c r="I4" s="7" t="s">
        <v>175</v>
      </c>
      <c r="J4" s="9" t="s">
        <v>137</v>
      </c>
      <c r="K4" s="7" t="s">
        <v>5</v>
      </c>
      <c r="L4" s="77" t="str">
        <f>IF(LogicCommon!G4="","",LogicCommon!G4)</f>
        <v>MA.MAUDL5010</v>
      </c>
      <c r="M4" s="81"/>
      <c r="N4" s="28"/>
      <c r="O4" s="14"/>
      <c r="P4" s="4"/>
      <c r="Q4" s="4"/>
      <c r="R4" s="4"/>
      <c r="S4" s="27"/>
      <c r="T4" s="27"/>
      <c r="U4" s="27"/>
      <c r="V4" s="27"/>
      <c r="W4" s="27"/>
    </row>
    <row r="5" spans="1:23" s="11" customFormat="1" x14ac:dyDescent="0.2">
      <c r="A5" s="82" t="s">
        <v>150</v>
      </c>
      <c r="B5" s="74"/>
      <c r="C5" s="74"/>
      <c r="D5" s="26"/>
      <c r="E5" s="7" t="s">
        <v>158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4"/>
      <c r="S5" s="27"/>
      <c r="T5" s="27"/>
      <c r="U5" s="27"/>
      <c r="V5" s="27"/>
      <c r="W5" s="27"/>
    </row>
    <row r="6" spans="1:23" s="11" customFormat="1" x14ac:dyDescent="0.2">
      <c r="A6" s="78" t="s">
        <v>150</v>
      </c>
      <c r="B6" s="79"/>
      <c r="C6" s="79"/>
      <c r="D6" s="4" t="s">
        <v>6</v>
      </c>
      <c r="E6" s="16" t="s">
        <v>141</v>
      </c>
      <c r="F6" s="16"/>
      <c r="G6" s="16"/>
      <c r="H6" s="16"/>
      <c r="I6" s="16"/>
      <c r="J6" s="16"/>
      <c r="K6" s="16"/>
      <c r="L6" s="84"/>
      <c r="M6" s="19"/>
      <c r="N6" s="19"/>
      <c r="O6" s="19"/>
      <c r="P6" s="19"/>
      <c r="Q6" s="19" t="s">
        <v>37</v>
      </c>
      <c r="R6" s="3"/>
      <c r="S6" s="3" t="s">
        <v>37</v>
      </c>
      <c r="T6" s="4"/>
      <c r="U6" s="29"/>
      <c r="V6" s="29"/>
      <c r="W6" s="27"/>
    </row>
    <row r="7" spans="1:23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89</v>
      </c>
      <c r="L7" s="32" t="s">
        <v>100</v>
      </c>
      <c r="M7" s="32" t="s">
        <v>100</v>
      </c>
      <c r="N7" s="32"/>
      <c r="O7" s="32"/>
      <c r="P7" s="33" t="s">
        <v>66</v>
      </c>
      <c r="Q7" s="32"/>
      <c r="R7" s="33" t="s">
        <v>66</v>
      </c>
      <c r="S7" s="32"/>
      <c r="T7" s="29"/>
      <c r="U7" s="29"/>
      <c r="V7" s="29"/>
      <c r="W7" s="29"/>
    </row>
    <row r="8" spans="1:23" s="11" customFormat="1" ht="60" customHeight="1" x14ac:dyDescent="0.2">
      <c r="A8" s="49" t="s">
        <v>17</v>
      </c>
      <c r="B8" s="88"/>
      <c r="C8" s="89"/>
      <c r="D8" s="86" t="s">
        <v>206</v>
      </c>
      <c r="E8" s="86" t="s">
        <v>207</v>
      </c>
      <c r="F8" s="84"/>
      <c r="G8" s="86" t="s">
        <v>184</v>
      </c>
      <c r="H8" s="86" t="s">
        <v>208</v>
      </c>
      <c r="I8" s="84"/>
      <c r="J8" s="3"/>
      <c r="K8" s="9" t="s">
        <v>90</v>
      </c>
      <c r="L8" s="9" t="s">
        <v>101</v>
      </c>
      <c r="M8" s="9" t="s">
        <v>130</v>
      </c>
      <c r="N8" s="9"/>
      <c r="O8" s="9"/>
      <c r="P8" s="33" t="s">
        <v>67</v>
      </c>
      <c r="Q8" s="9"/>
      <c r="R8" s="33" t="s">
        <v>67</v>
      </c>
      <c r="S8" s="9"/>
      <c r="T8" s="90"/>
      <c r="U8" s="91"/>
      <c r="V8" s="92" t="s">
        <v>217</v>
      </c>
      <c r="W8" s="52"/>
    </row>
    <row r="9" spans="1:23" s="11" customFormat="1" ht="60" customHeight="1" x14ac:dyDescent="0.2">
      <c r="A9" s="9" t="s">
        <v>17</v>
      </c>
      <c r="B9" s="37"/>
      <c r="C9" s="38"/>
      <c r="D9" s="86" t="s">
        <v>209</v>
      </c>
      <c r="E9" s="93" t="s">
        <v>210</v>
      </c>
      <c r="F9" s="86" t="s">
        <v>211</v>
      </c>
      <c r="G9" s="86" t="s">
        <v>212</v>
      </c>
      <c r="H9" s="86" t="s">
        <v>213</v>
      </c>
      <c r="I9" s="94" t="s">
        <v>214</v>
      </c>
      <c r="J9" s="86" t="s">
        <v>215</v>
      </c>
      <c r="K9" s="33"/>
      <c r="L9" s="33"/>
      <c r="M9" s="33"/>
      <c r="N9" s="33"/>
      <c r="O9" s="33"/>
      <c r="P9" s="33"/>
      <c r="Q9" s="33"/>
      <c r="R9" s="33"/>
      <c r="S9" s="33"/>
      <c r="T9" s="92" t="s">
        <v>216</v>
      </c>
      <c r="U9" s="52"/>
      <c r="V9" s="92" t="s">
        <v>218</v>
      </c>
      <c r="W9" s="52"/>
    </row>
    <row r="10" spans="1:23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33"/>
      <c r="N10" s="33"/>
      <c r="O10" s="33"/>
      <c r="P10" s="87" t="s">
        <v>214</v>
      </c>
      <c r="Q10" s="87" t="s">
        <v>215</v>
      </c>
      <c r="R10" s="87" t="s">
        <v>214</v>
      </c>
      <c r="S10" s="87" t="s">
        <v>215</v>
      </c>
      <c r="T10" s="42"/>
      <c r="U10" s="42"/>
      <c r="V10" s="43"/>
      <c r="W10" s="36"/>
    </row>
    <row r="11" spans="1:23" s="11" customFormat="1" x14ac:dyDescent="0.2">
      <c r="A11" s="9">
        <v>10</v>
      </c>
      <c r="B11" s="37" t="s">
        <v>0</v>
      </c>
      <c r="C11" s="38"/>
      <c r="D11" s="28" t="s">
        <v>117</v>
      </c>
      <c r="E11" s="34" t="s">
        <v>64</v>
      </c>
      <c r="F11" s="44"/>
      <c r="G11" s="28" t="s">
        <v>104</v>
      </c>
      <c r="H11" s="9" t="s">
        <v>204</v>
      </c>
      <c r="I11" s="45"/>
      <c r="J11" s="46"/>
      <c r="K11" s="47"/>
      <c r="L11" s="47"/>
      <c r="M11" s="72"/>
      <c r="N11" s="47"/>
      <c r="O11" s="47"/>
      <c r="P11" s="47" t="s">
        <v>176</v>
      </c>
      <c r="Q11" s="47"/>
      <c r="R11" s="47" t="s">
        <v>176</v>
      </c>
      <c r="S11" s="47"/>
      <c r="T11" s="35"/>
      <c r="U11" s="36"/>
      <c r="V11" s="71"/>
      <c r="W11" s="48"/>
    </row>
    <row r="12" spans="1:23" s="11" customFormat="1" x14ac:dyDescent="0.2">
      <c r="A12" s="9">
        <v>10</v>
      </c>
      <c r="B12" s="9"/>
      <c r="C12" s="9"/>
      <c r="D12" s="9" t="s">
        <v>98</v>
      </c>
      <c r="E12" s="49" t="s">
        <v>99</v>
      </c>
      <c r="F12" s="49"/>
      <c r="G12" s="50" t="s">
        <v>219</v>
      </c>
      <c r="H12" s="50" t="s">
        <v>177</v>
      </c>
      <c r="I12" s="9" t="s">
        <v>151</v>
      </c>
      <c r="J12" s="9"/>
      <c r="K12" s="9" t="s">
        <v>178</v>
      </c>
      <c r="L12" s="9" t="s">
        <v>179</v>
      </c>
      <c r="M12" s="73"/>
      <c r="N12" s="9"/>
      <c r="O12" s="9"/>
      <c r="P12" s="9"/>
      <c r="Q12" s="9"/>
      <c r="R12" s="9"/>
      <c r="S12" s="9"/>
      <c r="T12" s="51"/>
      <c r="U12" s="52"/>
      <c r="V12" s="143"/>
      <c r="W12" s="144"/>
    </row>
    <row r="13" spans="1:23" s="11" customFormat="1" x14ac:dyDescent="0.2">
      <c r="A13" s="9">
        <v>10</v>
      </c>
      <c r="B13" s="9"/>
      <c r="C13" s="9"/>
      <c r="D13" s="9" t="s">
        <v>112</v>
      </c>
      <c r="E13" s="49" t="s">
        <v>110</v>
      </c>
      <c r="F13" s="49"/>
      <c r="G13" s="50" t="s">
        <v>220</v>
      </c>
      <c r="H13" s="50" t="s">
        <v>152</v>
      </c>
      <c r="I13" s="9" t="s">
        <v>151</v>
      </c>
      <c r="J13" s="9"/>
      <c r="K13" s="9" t="s">
        <v>178</v>
      </c>
      <c r="L13" s="9" t="s">
        <v>180</v>
      </c>
      <c r="M13" s="73"/>
      <c r="N13" s="9"/>
      <c r="O13" s="9"/>
      <c r="P13" s="9"/>
      <c r="Q13" s="9"/>
      <c r="R13" s="9"/>
      <c r="S13" s="9"/>
      <c r="T13" s="51"/>
      <c r="U13" s="52"/>
      <c r="V13" s="143"/>
      <c r="W13" s="144"/>
    </row>
    <row r="14" spans="1:23" s="11" customFormat="1" x14ac:dyDescent="0.2">
      <c r="A14" s="9">
        <v>10</v>
      </c>
      <c r="B14" s="9"/>
      <c r="C14" s="9"/>
      <c r="D14" s="9" t="s">
        <v>128</v>
      </c>
      <c r="E14" s="49" t="s">
        <v>129</v>
      </c>
      <c r="F14" s="49"/>
      <c r="G14" s="50" t="s">
        <v>221</v>
      </c>
      <c r="H14" s="50" t="s">
        <v>153</v>
      </c>
      <c r="I14" s="9" t="s">
        <v>151</v>
      </c>
      <c r="J14" s="9"/>
      <c r="K14" s="9"/>
      <c r="L14" s="9"/>
      <c r="M14" s="73" t="s">
        <v>181</v>
      </c>
      <c r="N14" s="9"/>
      <c r="O14" s="9"/>
      <c r="P14" s="9"/>
      <c r="Q14" s="9"/>
      <c r="R14" s="9"/>
      <c r="S14" s="9"/>
      <c r="T14" s="51"/>
      <c r="U14" s="52"/>
      <c r="V14" s="143"/>
      <c r="W14" s="144"/>
    </row>
    <row r="15" spans="1:23" s="11" customFormat="1" x14ac:dyDescent="0.2">
      <c r="A15" s="9">
        <v>10</v>
      </c>
      <c r="B15" s="9"/>
      <c r="C15" s="9"/>
      <c r="D15" s="9" t="s">
        <v>42</v>
      </c>
      <c r="E15" s="49" t="s">
        <v>44</v>
      </c>
      <c r="F15" s="49"/>
      <c r="G15" s="50" t="s">
        <v>222</v>
      </c>
      <c r="H15" s="50" t="s">
        <v>182</v>
      </c>
      <c r="I15" s="9" t="s">
        <v>151</v>
      </c>
      <c r="J15" s="9"/>
      <c r="K15" s="9"/>
      <c r="L15" s="9"/>
      <c r="M15" s="73"/>
      <c r="N15" s="9"/>
      <c r="O15" s="9"/>
      <c r="P15" s="9"/>
      <c r="Q15" s="9"/>
      <c r="R15" s="9"/>
      <c r="S15" s="9"/>
      <c r="T15" s="51"/>
      <c r="U15" s="52"/>
      <c r="V15" s="143"/>
      <c r="W15" s="144"/>
    </row>
    <row r="16" spans="1:23" s="11" customFormat="1" x14ac:dyDescent="0.2">
      <c r="A16" s="9">
        <v>10</v>
      </c>
      <c r="B16" s="9"/>
      <c r="C16" s="9"/>
      <c r="D16" s="9" t="s">
        <v>50</v>
      </c>
      <c r="E16" s="49" t="s">
        <v>51</v>
      </c>
      <c r="F16" s="49"/>
      <c r="G16" s="50" t="s">
        <v>223</v>
      </c>
      <c r="H16" s="50" t="s">
        <v>183</v>
      </c>
      <c r="I16" s="9" t="s">
        <v>151</v>
      </c>
      <c r="J16" s="9"/>
      <c r="K16" s="9"/>
      <c r="L16" s="9"/>
      <c r="M16" s="73"/>
      <c r="N16" s="9"/>
      <c r="O16" s="9"/>
      <c r="P16" s="9"/>
      <c r="Q16" s="9"/>
      <c r="R16" s="9"/>
      <c r="S16" s="9"/>
      <c r="T16" s="51"/>
      <c r="U16" s="52"/>
      <c r="V16" s="143"/>
      <c r="W16" s="144"/>
    </row>
    <row r="17" spans="1:23" s="11" customFormat="1" x14ac:dyDescent="0.2">
      <c r="A17" s="9">
        <v>10</v>
      </c>
      <c r="B17" s="9"/>
      <c r="C17" s="9"/>
      <c r="D17" s="9" t="s">
        <v>46</v>
      </c>
      <c r="E17" s="49" t="s">
        <v>48</v>
      </c>
      <c r="F17" s="49"/>
      <c r="G17" s="50" t="s">
        <v>224</v>
      </c>
      <c r="H17" s="50" t="s">
        <v>154</v>
      </c>
      <c r="I17" s="9" t="s">
        <v>151</v>
      </c>
      <c r="J17" s="9"/>
      <c r="K17" s="9"/>
      <c r="L17" s="9"/>
      <c r="M17" s="73"/>
      <c r="N17" s="9"/>
      <c r="O17" s="9"/>
      <c r="P17" s="9"/>
      <c r="Q17" s="9"/>
      <c r="R17" s="9"/>
      <c r="S17" s="9"/>
      <c r="T17" s="51"/>
      <c r="U17" s="52"/>
      <c r="V17" s="143"/>
      <c r="W17" s="144"/>
    </row>
    <row r="18" spans="1:23" s="11" customFormat="1" x14ac:dyDescent="0.2">
      <c r="A18" s="9">
        <v>10</v>
      </c>
      <c r="B18" s="9"/>
      <c r="C18" s="9"/>
      <c r="D18" s="9" t="s">
        <v>72</v>
      </c>
      <c r="E18" s="49" t="s">
        <v>52</v>
      </c>
      <c r="F18" s="49"/>
      <c r="G18" s="50" t="s">
        <v>225</v>
      </c>
      <c r="H18" s="50" t="s">
        <v>155</v>
      </c>
      <c r="I18" s="9" t="s">
        <v>151</v>
      </c>
      <c r="J18" s="9"/>
      <c r="K18" s="9"/>
      <c r="L18" s="9"/>
      <c r="M18" s="73"/>
      <c r="N18" s="9"/>
      <c r="O18" s="9"/>
      <c r="P18" s="9"/>
      <c r="Q18" s="9"/>
      <c r="R18" s="9"/>
      <c r="S18" s="9"/>
      <c r="T18" s="51"/>
      <c r="U18" s="52"/>
      <c r="V18" s="143"/>
      <c r="W18" s="144"/>
    </row>
    <row r="19" spans="1:23" s="11" customFormat="1" x14ac:dyDescent="0.2">
      <c r="A19" s="9">
        <v>10</v>
      </c>
      <c r="B19" s="9"/>
      <c r="C19" s="9"/>
      <c r="D19" s="9" t="s">
        <v>83</v>
      </c>
      <c r="E19" s="49" t="s">
        <v>84</v>
      </c>
      <c r="F19" s="49"/>
      <c r="G19" s="50" t="s">
        <v>226</v>
      </c>
      <c r="H19" s="50" t="s">
        <v>156</v>
      </c>
      <c r="I19" s="9" t="s">
        <v>151</v>
      </c>
      <c r="J19" s="9"/>
      <c r="K19" s="9"/>
      <c r="L19" s="9"/>
      <c r="M19" s="73"/>
      <c r="N19" s="9"/>
      <c r="O19" s="9"/>
      <c r="P19" s="9"/>
      <c r="Q19" s="9"/>
      <c r="R19" s="9"/>
      <c r="S19" s="9"/>
      <c r="T19" s="51"/>
      <c r="U19" s="52"/>
      <c r="V19" s="143"/>
      <c r="W19" s="144"/>
    </row>
    <row r="20" spans="1:23" s="11" customFormat="1" x14ac:dyDescent="0.2">
      <c r="A20" s="53"/>
      <c r="B20" s="54"/>
      <c r="C20" s="54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4"/>
      <c r="U20" s="4"/>
      <c r="V20" s="6"/>
      <c r="W20" s="23"/>
    </row>
    <row r="21" spans="1:23" s="11" customFormat="1" x14ac:dyDescent="0.2">
      <c r="A21" s="78"/>
      <c r="W21" s="55"/>
    </row>
    <row r="22" spans="1:23" s="11" customFormat="1" x14ac:dyDescent="0.2">
      <c r="A22" s="78"/>
      <c r="W22" s="55"/>
    </row>
    <row r="23" spans="1:23" s="11" customFormat="1" x14ac:dyDescent="0.2">
      <c r="A23" s="78"/>
      <c r="W23" s="55"/>
    </row>
    <row r="24" spans="1:23" s="11" customFormat="1" x14ac:dyDescent="0.2">
      <c r="A24" s="82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20"/>
    </row>
  </sheetData>
  <dataConsolidate/>
  <mergeCells count="8">
    <mergeCell ref="V16:W16"/>
    <mergeCell ref="V17:W17"/>
    <mergeCell ref="V19:W19"/>
    <mergeCell ref="V18:W18"/>
    <mergeCell ref="V12:W12"/>
    <mergeCell ref="V14:W14"/>
    <mergeCell ref="V15:W15"/>
    <mergeCell ref="V13:W13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24"/>
  <sheetViews>
    <sheetView topLeftCell="J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4" t="s">
        <v>150</v>
      </c>
      <c r="B1" s="74" t="s">
        <v>150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5" t="s">
        <v>150</v>
      </c>
      <c r="B2" s="76"/>
      <c r="C2" s="76"/>
      <c r="D2" s="85" t="s">
        <v>205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MABGL0070</v>
      </c>
      <c r="I2" s="7" t="s">
        <v>160</v>
      </c>
      <c r="J2" s="9" t="s">
        <v>118</v>
      </c>
      <c r="K2" s="7" t="s">
        <v>40</v>
      </c>
      <c r="L2" s="77" t="str">
        <f>IF(LogicCommon!G2="","",LogicCommon!G2)</f>
        <v>MC</v>
      </c>
      <c r="M2" s="5" t="s">
        <v>148</v>
      </c>
      <c r="N2" s="28" t="s">
        <v>200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8" t="s">
        <v>150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MABG</v>
      </c>
      <c r="G3" s="7" t="s">
        <v>10</v>
      </c>
      <c r="H3" s="77" t="str">
        <f>IF(LogicCommon!E3="","",LogicCommon!E3)</f>
        <v>MABGL_GrpWgReg</v>
      </c>
      <c r="I3" s="7" t="s">
        <v>149</v>
      </c>
      <c r="J3" s="9" t="s">
        <v>28</v>
      </c>
      <c r="K3" s="7" t="s">
        <v>41</v>
      </c>
      <c r="L3" s="77" t="str">
        <f>IF(LogicCommon!G3="","",LogicCommon!G3)</f>
        <v/>
      </c>
      <c r="M3" s="59" t="s">
        <v>29</v>
      </c>
      <c r="N3" s="7"/>
      <c r="O3" s="7" t="s">
        <v>174</v>
      </c>
      <c r="P3" s="9" t="s">
        <v>157</v>
      </c>
      <c r="Q3" s="4"/>
      <c r="R3" s="27"/>
      <c r="S3" s="27"/>
      <c r="T3" s="27"/>
      <c r="U3" s="27"/>
      <c r="V3" s="27"/>
    </row>
    <row r="4" spans="1:22" s="11" customFormat="1" x14ac:dyDescent="0.2">
      <c r="A4" s="78" t="s">
        <v>150</v>
      </c>
      <c r="B4" s="79"/>
      <c r="C4" s="79"/>
      <c r="D4" s="4"/>
      <c r="E4" s="7" t="s">
        <v>8</v>
      </c>
      <c r="F4" s="10" t="s">
        <v>142</v>
      </c>
      <c r="G4" s="7" t="s">
        <v>11</v>
      </c>
      <c r="H4" s="77" t="str">
        <f>IF(LogicCommon!E4="","",LogicCommon!E4)</f>
        <v>計算グループＷＧマスタ登録</v>
      </c>
      <c r="I4" s="7" t="s">
        <v>175</v>
      </c>
      <c r="J4" s="9" t="s">
        <v>136</v>
      </c>
      <c r="K4" s="7" t="s">
        <v>5</v>
      </c>
      <c r="L4" s="77" t="str">
        <f>IF(LogicCommon!G4="","",LogicCommon!G4)</f>
        <v>MA.MAUDL5010</v>
      </c>
      <c r="M4" s="81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82" t="s">
        <v>150</v>
      </c>
      <c r="B5" s="74"/>
      <c r="C5" s="74"/>
      <c r="D5" s="26"/>
      <c r="E5" s="7" t="s">
        <v>158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8" t="s">
        <v>150</v>
      </c>
      <c r="B6" s="79"/>
      <c r="C6" s="79"/>
      <c r="D6" s="4" t="s">
        <v>6</v>
      </c>
      <c r="E6" s="16" t="s">
        <v>140</v>
      </c>
      <c r="F6" s="16"/>
      <c r="G6" s="16"/>
      <c r="H6" s="16"/>
      <c r="I6" s="16"/>
      <c r="J6" s="16"/>
      <c r="K6" s="16"/>
      <c r="L6" s="84" t="s">
        <v>37</v>
      </c>
      <c r="M6" s="19"/>
      <c r="N6" s="19" t="s">
        <v>37</v>
      </c>
      <c r="O6" s="19"/>
      <c r="P6" s="19" t="s">
        <v>37</v>
      </c>
      <c r="Q6" s="19"/>
      <c r="R6" s="3" t="s">
        <v>37</v>
      </c>
      <c r="S6" s="4"/>
      <c r="T6" s="29"/>
      <c r="U6" s="29"/>
      <c r="V6" s="27"/>
    </row>
    <row r="7" spans="1:22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79</v>
      </c>
      <c r="M7" s="33" t="s">
        <v>66</v>
      </c>
      <c r="N7" s="32" t="s">
        <v>80</v>
      </c>
      <c r="O7" s="33" t="s">
        <v>66</v>
      </c>
      <c r="P7" s="32"/>
      <c r="Q7" s="33" t="s">
        <v>66</v>
      </c>
      <c r="R7" s="32"/>
      <c r="S7" s="29"/>
      <c r="T7" s="29"/>
      <c r="U7" s="29"/>
      <c r="V7" s="29"/>
    </row>
    <row r="8" spans="1:22" s="11" customFormat="1" ht="60" customHeight="1" x14ac:dyDescent="0.2">
      <c r="A8" s="49" t="s">
        <v>17</v>
      </c>
      <c r="B8" s="88"/>
      <c r="C8" s="89"/>
      <c r="D8" s="86" t="s">
        <v>206</v>
      </c>
      <c r="E8" s="86" t="s">
        <v>207</v>
      </c>
      <c r="F8" s="84"/>
      <c r="G8" s="86" t="s">
        <v>184</v>
      </c>
      <c r="H8" s="86" t="s">
        <v>208</v>
      </c>
      <c r="I8" s="84"/>
      <c r="J8" s="3"/>
      <c r="K8" s="33" t="s">
        <v>16</v>
      </c>
      <c r="L8" s="9" t="s">
        <v>201</v>
      </c>
      <c r="M8" s="33" t="s">
        <v>67</v>
      </c>
      <c r="N8" s="9" t="s">
        <v>201</v>
      </c>
      <c r="O8" s="33" t="s">
        <v>67</v>
      </c>
      <c r="P8" s="9"/>
      <c r="Q8" s="33" t="s">
        <v>67</v>
      </c>
      <c r="R8" s="9"/>
      <c r="S8" s="90"/>
      <c r="T8" s="91"/>
      <c r="U8" s="92" t="s">
        <v>217</v>
      </c>
      <c r="V8" s="52"/>
    </row>
    <row r="9" spans="1:22" s="11" customFormat="1" ht="60" customHeight="1" x14ac:dyDescent="0.2">
      <c r="A9" s="9" t="s">
        <v>17</v>
      </c>
      <c r="B9" s="37"/>
      <c r="C9" s="38"/>
      <c r="D9" s="86" t="s">
        <v>209</v>
      </c>
      <c r="E9" s="93" t="s">
        <v>210</v>
      </c>
      <c r="F9" s="86" t="s">
        <v>211</v>
      </c>
      <c r="G9" s="86" t="s">
        <v>212</v>
      </c>
      <c r="H9" s="86" t="s">
        <v>213</v>
      </c>
      <c r="I9" s="94" t="s">
        <v>214</v>
      </c>
      <c r="J9" s="86" t="s">
        <v>215</v>
      </c>
      <c r="K9" s="33"/>
      <c r="L9" s="33"/>
      <c r="M9" s="33"/>
      <c r="N9" s="33"/>
      <c r="O9" s="33"/>
      <c r="P9" s="33"/>
      <c r="Q9" s="33"/>
      <c r="R9" s="33"/>
      <c r="S9" s="92" t="s">
        <v>216</v>
      </c>
      <c r="T9" s="52"/>
      <c r="U9" s="92" t="s">
        <v>218</v>
      </c>
      <c r="V9" s="52"/>
    </row>
    <row r="10" spans="1:22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7" t="s">
        <v>214</v>
      </c>
      <c r="L10" s="87" t="s">
        <v>215</v>
      </c>
      <c r="M10" s="87" t="s">
        <v>214</v>
      </c>
      <c r="N10" s="87" t="s">
        <v>215</v>
      </c>
      <c r="O10" s="87" t="s">
        <v>214</v>
      </c>
      <c r="P10" s="87" t="s">
        <v>215</v>
      </c>
      <c r="Q10" s="87" t="s">
        <v>214</v>
      </c>
      <c r="R10" s="87" t="s">
        <v>215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119</v>
      </c>
      <c r="E11" s="34" t="s">
        <v>21</v>
      </c>
      <c r="F11" s="44"/>
      <c r="G11" s="28" t="s">
        <v>81</v>
      </c>
      <c r="H11" s="56" t="s">
        <v>185</v>
      </c>
      <c r="I11" s="45"/>
      <c r="J11" s="46"/>
      <c r="K11" s="47" t="s">
        <v>21</v>
      </c>
      <c r="L11" s="47"/>
      <c r="M11" s="47" t="s">
        <v>176</v>
      </c>
      <c r="N11" s="47"/>
      <c r="O11" s="47"/>
      <c r="P11" s="47"/>
      <c r="Q11" s="47"/>
      <c r="R11" s="47"/>
      <c r="S11" s="35"/>
      <c r="T11" s="36"/>
      <c r="U11" s="71"/>
      <c r="V11" s="48"/>
    </row>
    <row r="12" spans="1:22" s="11" customFormat="1" x14ac:dyDescent="0.2">
      <c r="A12" s="9">
        <v>10</v>
      </c>
      <c r="B12" s="9"/>
      <c r="C12" s="9"/>
      <c r="D12" s="9" t="s">
        <v>98</v>
      </c>
      <c r="E12" s="49" t="s">
        <v>99</v>
      </c>
      <c r="F12" s="49"/>
      <c r="G12" s="50" t="s">
        <v>219</v>
      </c>
      <c r="H12" s="50" t="s">
        <v>177</v>
      </c>
      <c r="I12" s="9" t="s">
        <v>151</v>
      </c>
      <c r="J12" s="9"/>
      <c r="K12" s="9" t="s">
        <v>151</v>
      </c>
      <c r="L12" s="9"/>
      <c r="M12" s="9" t="s">
        <v>178</v>
      </c>
      <c r="N12" s="9"/>
      <c r="O12" s="9"/>
      <c r="P12" s="9"/>
      <c r="Q12" s="9"/>
      <c r="R12" s="9"/>
      <c r="S12" s="41"/>
      <c r="T12" s="52"/>
      <c r="U12" s="143"/>
      <c r="V12" s="144"/>
    </row>
    <row r="13" spans="1:22" s="11" customFormat="1" x14ac:dyDescent="0.2">
      <c r="A13" s="9">
        <v>10</v>
      </c>
      <c r="B13" s="9"/>
      <c r="C13" s="9"/>
      <c r="D13" s="9" t="s">
        <v>112</v>
      </c>
      <c r="E13" s="49" t="s">
        <v>110</v>
      </c>
      <c r="F13" s="49"/>
      <c r="G13" s="50" t="s">
        <v>220</v>
      </c>
      <c r="H13" s="50" t="s">
        <v>152</v>
      </c>
      <c r="I13" s="9" t="s">
        <v>151</v>
      </c>
      <c r="J13" s="9"/>
      <c r="K13" s="9" t="s">
        <v>151</v>
      </c>
      <c r="L13" s="9"/>
      <c r="M13" s="9" t="s">
        <v>178</v>
      </c>
      <c r="N13" s="9"/>
      <c r="O13" s="9"/>
      <c r="P13" s="9"/>
      <c r="Q13" s="9"/>
      <c r="R13" s="9"/>
      <c r="S13" s="41"/>
      <c r="T13" s="52"/>
      <c r="U13" s="143"/>
      <c r="V13" s="144"/>
    </row>
    <row r="14" spans="1:22" s="11" customFormat="1" x14ac:dyDescent="0.2">
      <c r="A14" s="9">
        <v>10</v>
      </c>
      <c r="B14" s="9"/>
      <c r="C14" s="9"/>
      <c r="D14" s="9" t="s">
        <v>128</v>
      </c>
      <c r="E14" s="49" t="s">
        <v>129</v>
      </c>
      <c r="F14" s="49"/>
      <c r="G14" s="50" t="s">
        <v>221</v>
      </c>
      <c r="H14" s="50" t="s">
        <v>153</v>
      </c>
      <c r="I14" s="9" t="s">
        <v>151</v>
      </c>
      <c r="J14" s="9"/>
      <c r="K14" s="9" t="s">
        <v>151</v>
      </c>
      <c r="L14" s="9"/>
      <c r="M14" s="9"/>
      <c r="N14" s="9"/>
      <c r="O14" s="9"/>
      <c r="P14" s="9"/>
      <c r="Q14" s="9"/>
      <c r="R14" s="9"/>
      <c r="S14" s="41"/>
      <c r="T14" s="52"/>
      <c r="U14" s="143"/>
      <c r="V14" s="144"/>
    </row>
    <row r="15" spans="1:22" s="11" customFormat="1" x14ac:dyDescent="0.2">
      <c r="A15" s="9">
        <v>10</v>
      </c>
      <c r="B15" s="9"/>
      <c r="C15" s="9"/>
      <c r="D15" s="9" t="s">
        <v>42</v>
      </c>
      <c r="E15" s="49" t="s">
        <v>44</v>
      </c>
      <c r="F15" s="49"/>
      <c r="G15" s="50" t="s">
        <v>222</v>
      </c>
      <c r="H15" s="50" t="s">
        <v>182</v>
      </c>
      <c r="I15" s="9" t="s">
        <v>151</v>
      </c>
      <c r="J15" s="9"/>
      <c r="K15" s="9" t="s">
        <v>151</v>
      </c>
      <c r="L15" s="9"/>
      <c r="M15" s="9"/>
      <c r="N15" s="9"/>
      <c r="O15" s="9"/>
      <c r="P15" s="9"/>
      <c r="Q15" s="9"/>
      <c r="R15" s="9"/>
      <c r="S15" s="41"/>
      <c r="T15" s="52"/>
      <c r="U15" s="143"/>
      <c r="V15" s="144"/>
    </row>
    <row r="16" spans="1:22" s="11" customFormat="1" x14ac:dyDescent="0.2">
      <c r="A16" s="9">
        <v>10</v>
      </c>
      <c r="B16" s="9"/>
      <c r="C16" s="9"/>
      <c r="D16" s="9" t="s">
        <v>50</v>
      </c>
      <c r="E16" s="49" t="s">
        <v>51</v>
      </c>
      <c r="F16" s="49"/>
      <c r="G16" s="50" t="s">
        <v>223</v>
      </c>
      <c r="H16" s="50" t="s">
        <v>183</v>
      </c>
      <c r="I16" s="9" t="s">
        <v>151</v>
      </c>
      <c r="J16" s="9"/>
      <c r="K16" s="9" t="s">
        <v>151</v>
      </c>
      <c r="L16" s="9"/>
      <c r="M16" s="9"/>
      <c r="N16" s="9"/>
      <c r="O16" s="9"/>
      <c r="P16" s="9"/>
      <c r="Q16" s="9"/>
      <c r="R16" s="9"/>
      <c r="S16" s="41"/>
      <c r="T16" s="52"/>
      <c r="U16" s="143"/>
      <c r="V16" s="144"/>
    </row>
    <row r="17" spans="1:22" s="11" customFormat="1" x14ac:dyDescent="0.2">
      <c r="A17" s="9">
        <v>10</v>
      </c>
      <c r="B17" s="9"/>
      <c r="C17" s="9"/>
      <c r="D17" s="9" t="s">
        <v>46</v>
      </c>
      <c r="E17" s="49" t="s">
        <v>48</v>
      </c>
      <c r="F17" s="49"/>
      <c r="G17" s="50" t="s">
        <v>224</v>
      </c>
      <c r="H17" s="50" t="s">
        <v>154</v>
      </c>
      <c r="I17" s="9" t="s">
        <v>151</v>
      </c>
      <c r="J17" s="9"/>
      <c r="K17" s="9" t="s">
        <v>151</v>
      </c>
      <c r="L17" s="9"/>
      <c r="M17" s="9"/>
      <c r="N17" s="9"/>
      <c r="O17" s="9"/>
      <c r="P17" s="9"/>
      <c r="Q17" s="9"/>
      <c r="R17" s="9"/>
      <c r="S17" s="41"/>
      <c r="T17" s="52"/>
      <c r="U17" s="143"/>
      <c r="V17" s="144"/>
    </row>
    <row r="18" spans="1:22" s="11" customFormat="1" x14ac:dyDescent="0.2">
      <c r="A18" s="9">
        <v>10</v>
      </c>
      <c r="B18" s="9"/>
      <c r="C18" s="9"/>
      <c r="D18" s="9" t="s">
        <v>72</v>
      </c>
      <c r="E18" s="49" t="s">
        <v>52</v>
      </c>
      <c r="F18" s="49"/>
      <c r="G18" s="50" t="s">
        <v>225</v>
      </c>
      <c r="H18" s="50" t="s">
        <v>155</v>
      </c>
      <c r="I18" s="9" t="s">
        <v>151</v>
      </c>
      <c r="J18" s="9"/>
      <c r="K18" s="9" t="s">
        <v>151</v>
      </c>
      <c r="L18" s="9"/>
      <c r="M18" s="9"/>
      <c r="N18" s="9"/>
      <c r="O18" s="9"/>
      <c r="P18" s="9"/>
      <c r="Q18" s="9"/>
      <c r="R18" s="9"/>
      <c r="S18" s="41"/>
      <c r="T18" s="52"/>
      <c r="U18" s="143"/>
      <c r="V18" s="144"/>
    </row>
    <row r="19" spans="1:22" s="11" customFormat="1" x14ac:dyDescent="0.2">
      <c r="A19" s="9">
        <v>10</v>
      </c>
      <c r="B19" s="9"/>
      <c r="C19" s="9"/>
      <c r="D19" s="9" t="s">
        <v>77</v>
      </c>
      <c r="E19" s="49" t="s">
        <v>78</v>
      </c>
      <c r="F19" s="49"/>
      <c r="G19" s="50" t="s">
        <v>226</v>
      </c>
      <c r="H19" s="50" t="s">
        <v>159</v>
      </c>
      <c r="I19" s="9" t="s">
        <v>151</v>
      </c>
      <c r="J19" s="9"/>
      <c r="K19" s="9" t="s">
        <v>151</v>
      </c>
      <c r="L19" s="9"/>
      <c r="M19" s="9"/>
      <c r="N19" s="9"/>
      <c r="O19" s="9"/>
      <c r="P19" s="9"/>
      <c r="Q19" s="9"/>
      <c r="R19" s="9"/>
      <c r="S19" s="41"/>
      <c r="T19" s="52"/>
      <c r="U19" s="143"/>
      <c r="V19" s="144"/>
    </row>
    <row r="20" spans="1:22" s="11" customFormat="1" x14ac:dyDescent="0.2">
      <c r="A20" s="53"/>
      <c r="B20" s="54"/>
      <c r="C20" s="54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4"/>
      <c r="T20" s="4"/>
      <c r="U20" s="6"/>
      <c r="V20" s="23"/>
    </row>
    <row r="21" spans="1:22" s="11" customFormat="1" x14ac:dyDescent="0.2">
      <c r="A21" s="78"/>
      <c r="V21" s="55"/>
    </row>
    <row r="22" spans="1:22" s="11" customFormat="1" x14ac:dyDescent="0.2">
      <c r="A22" s="78"/>
      <c r="V22" s="55"/>
    </row>
    <row r="23" spans="1:22" s="11" customFormat="1" x14ac:dyDescent="0.2">
      <c r="A23" s="78"/>
      <c r="V23" s="55"/>
    </row>
    <row r="24" spans="1:22" s="11" customFormat="1" x14ac:dyDescent="0.2">
      <c r="A24" s="82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20"/>
    </row>
  </sheetData>
  <dataConsolidate/>
  <mergeCells count="8">
    <mergeCell ref="U17:V17"/>
    <mergeCell ref="U18:V18"/>
    <mergeCell ref="U19:V19"/>
    <mergeCell ref="U15:V15"/>
    <mergeCell ref="U12:V12"/>
    <mergeCell ref="U14:V14"/>
    <mergeCell ref="U16:V16"/>
    <mergeCell ref="U13:V13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U19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 x14ac:dyDescent="0.2">
      <c r="A1" s="74" t="s">
        <v>150</v>
      </c>
      <c r="B1" s="74" t="s">
        <v>150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 x14ac:dyDescent="0.2">
      <c r="A2" s="75" t="s">
        <v>150</v>
      </c>
      <c r="B2" s="76"/>
      <c r="C2" s="76"/>
      <c r="D2" s="85" t="s">
        <v>205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MABGL0070</v>
      </c>
      <c r="I2" s="7" t="s">
        <v>160</v>
      </c>
      <c r="J2" s="9" t="s">
        <v>120</v>
      </c>
      <c r="K2" s="7" t="s">
        <v>40</v>
      </c>
      <c r="L2" s="77" t="str">
        <f>IF(LogicCommon!G2="","",LogicCommon!G2)</f>
        <v>MC</v>
      </c>
      <c r="M2" s="5" t="s">
        <v>148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 x14ac:dyDescent="0.2">
      <c r="A3" s="78" t="s">
        <v>150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MABG</v>
      </c>
      <c r="G3" s="7" t="s">
        <v>10</v>
      </c>
      <c r="H3" s="77" t="str">
        <f>IF(LogicCommon!E3="","",LogicCommon!E3)</f>
        <v>MABGL_GrpWgReg</v>
      </c>
      <c r="I3" s="7" t="s">
        <v>149</v>
      </c>
      <c r="J3" s="9" t="s">
        <v>82</v>
      </c>
      <c r="K3" s="7" t="s">
        <v>41</v>
      </c>
      <c r="L3" s="77" t="str">
        <f>IF(LogicCommon!G3="","",LogicCommon!G3)</f>
        <v/>
      </c>
      <c r="M3" s="59" t="s">
        <v>29</v>
      </c>
      <c r="N3" s="7"/>
      <c r="O3" s="7" t="s">
        <v>174</v>
      </c>
      <c r="P3" s="9" t="s">
        <v>157</v>
      </c>
      <c r="Q3" s="4"/>
      <c r="R3" s="27"/>
      <c r="S3" s="27"/>
      <c r="T3" s="27"/>
      <c r="U3" s="27"/>
    </row>
    <row r="4" spans="1:21" s="11" customFormat="1" x14ac:dyDescent="0.2">
      <c r="A4" s="78" t="s">
        <v>150</v>
      </c>
      <c r="B4" s="79"/>
      <c r="C4" s="79"/>
      <c r="D4" s="4"/>
      <c r="E4" s="7" t="s">
        <v>8</v>
      </c>
      <c r="F4" s="10" t="s">
        <v>142</v>
      </c>
      <c r="G4" s="7" t="s">
        <v>11</v>
      </c>
      <c r="H4" s="77" t="str">
        <f>IF(LogicCommon!E4="","",LogicCommon!E4)</f>
        <v>計算グループＷＧマスタ登録</v>
      </c>
      <c r="I4" s="7" t="s">
        <v>175</v>
      </c>
      <c r="J4" s="9" t="s">
        <v>135</v>
      </c>
      <c r="K4" s="7" t="s">
        <v>5</v>
      </c>
      <c r="L4" s="77" t="str">
        <f>IF(LogicCommon!G4="","",LogicCommon!G4)</f>
        <v>MA.MAUDL5010</v>
      </c>
      <c r="M4" s="81"/>
      <c r="N4" s="28"/>
      <c r="O4" s="14"/>
      <c r="P4" s="4"/>
      <c r="Q4" s="4"/>
      <c r="R4" s="27"/>
      <c r="S4" s="27"/>
      <c r="T4" s="27"/>
      <c r="U4" s="27"/>
    </row>
    <row r="5" spans="1:21" s="11" customFormat="1" x14ac:dyDescent="0.2">
      <c r="A5" s="82" t="s">
        <v>150</v>
      </c>
      <c r="B5" s="74"/>
      <c r="C5" s="74"/>
      <c r="D5" s="26"/>
      <c r="E5" s="7" t="s">
        <v>158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 x14ac:dyDescent="0.2">
      <c r="A6" s="78" t="s">
        <v>150</v>
      </c>
      <c r="B6" s="79"/>
      <c r="C6" s="79"/>
      <c r="D6" s="4" t="s">
        <v>6</v>
      </c>
      <c r="E6" s="16" t="s">
        <v>139</v>
      </c>
      <c r="F6" s="16"/>
      <c r="G6" s="16"/>
      <c r="H6" s="16"/>
      <c r="I6" s="16"/>
      <c r="J6" s="16"/>
      <c r="K6" s="16"/>
      <c r="L6" s="84"/>
      <c r="M6" s="19"/>
      <c r="N6" s="19"/>
      <c r="O6" s="19"/>
      <c r="P6" s="19"/>
      <c r="Q6" s="19" t="s">
        <v>37</v>
      </c>
      <c r="R6" s="4"/>
      <c r="S6" s="29"/>
      <c r="T6" s="29"/>
      <c r="U6" s="27"/>
    </row>
    <row r="7" spans="1:21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89</v>
      </c>
      <c r="L7" s="32"/>
      <c r="M7" s="32"/>
      <c r="N7" s="32"/>
      <c r="O7" s="32"/>
      <c r="P7" s="33" t="s">
        <v>66</v>
      </c>
      <c r="Q7" s="32"/>
      <c r="R7" s="29"/>
      <c r="S7" s="29"/>
      <c r="T7" s="29"/>
      <c r="U7" s="29"/>
    </row>
    <row r="8" spans="1:21" s="11" customFormat="1" ht="60" customHeight="1" x14ac:dyDescent="0.2">
      <c r="A8" s="49" t="s">
        <v>17</v>
      </c>
      <c r="B8" s="88"/>
      <c r="C8" s="89"/>
      <c r="D8" s="86" t="s">
        <v>206</v>
      </c>
      <c r="E8" s="86" t="s">
        <v>207</v>
      </c>
      <c r="F8" s="84"/>
      <c r="G8" s="86" t="s">
        <v>184</v>
      </c>
      <c r="H8" s="86" t="s">
        <v>208</v>
      </c>
      <c r="I8" s="84"/>
      <c r="J8" s="3"/>
      <c r="K8" s="9" t="s">
        <v>90</v>
      </c>
      <c r="L8" s="9"/>
      <c r="M8" s="9"/>
      <c r="N8" s="9"/>
      <c r="O8" s="9"/>
      <c r="P8" s="33" t="s">
        <v>67</v>
      </c>
      <c r="Q8" s="9"/>
      <c r="R8" s="90"/>
      <c r="S8" s="91"/>
      <c r="T8" s="92" t="s">
        <v>217</v>
      </c>
      <c r="U8" s="52"/>
    </row>
    <row r="9" spans="1:21" s="11" customFormat="1" ht="60" customHeight="1" x14ac:dyDescent="0.2">
      <c r="A9" s="9" t="s">
        <v>17</v>
      </c>
      <c r="B9" s="37"/>
      <c r="C9" s="38"/>
      <c r="D9" s="86" t="s">
        <v>209</v>
      </c>
      <c r="E9" s="93" t="s">
        <v>210</v>
      </c>
      <c r="F9" s="86" t="s">
        <v>211</v>
      </c>
      <c r="G9" s="86" t="s">
        <v>212</v>
      </c>
      <c r="H9" s="86" t="s">
        <v>213</v>
      </c>
      <c r="I9" s="94" t="s">
        <v>214</v>
      </c>
      <c r="J9" s="86" t="s">
        <v>215</v>
      </c>
      <c r="K9" s="33"/>
      <c r="L9" s="33"/>
      <c r="M9" s="33"/>
      <c r="N9" s="33"/>
      <c r="O9" s="33"/>
      <c r="P9" s="33"/>
      <c r="Q9" s="33"/>
      <c r="R9" s="92" t="s">
        <v>216</v>
      </c>
      <c r="S9" s="52"/>
      <c r="T9" s="92" t="s">
        <v>218</v>
      </c>
      <c r="U9" s="52"/>
    </row>
    <row r="10" spans="1:21" s="11" customFormat="1" ht="39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33"/>
      <c r="N10" s="33"/>
      <c r="O10" s="33"/>
      <c r="P10" s="87" t="s">
        <v>214</v>
      </c>
      <c r="Q10" s="87" t="s">
        <v>215</v>
      </c>
      <c r="R10" s="42"/>
      <c r="S10" s="42"/>
      <c r="T10" s="43"/>
      <c r="U10" s="36"/>
    </row>
    <row r="11" spans="1:21" s="11" customFormat="1" x14ac:dyDescent="0.2">
      <c r="A11" s="9">
        <v>10</v>
      </c>
      <c r="B11" s="37" t="s">
        <v>0</v>
      </c>
      <c r="C11" s="38"/>
      <c r="D11" s="28" t="s">
        <v>121</v>
      </c>
      <c r="E11" s="34" t="s">
        <v>64</v>
      </c>
      <c r="F11" s="44"/>
      <c r="G11" s="28"/>
      <c r="H11" s="56"/>
      <c r="I11" s="45"/>
      <c r="J11" s="46"/>
      <c r="K11" s="47"/>
      <c r="L11" s="47"/>
      <c r="M11" s="47"/>
      <c r="N11" s="47"/>
      <c r="O11" s="47"/>
      <c r="P11" s="47"/>
      <c r="Q11" s="47"/>
      <c r="R11" s="35"/>
      <c r="S11" s="36"/>
      <c r="T11" s="71"/>
      <c r="U11" s="48"/>
    </row>
    <row r="12" spans="1:21" s="11" customFormat="1" x14ac:dyDescent="0.2">
      <c r="A12" s="9">
        <v>10</v>
      </c>
      <c r="B12" s="9"/>
      <c r="C12" s="9"/>
      <c r="D12" s="9" t="s">
        <v>98</v>
      </c>
      <c r="E12" s="49" t="s">
        <v>99</v>
      </c>
      <c r="F12" s="49"/>
      <c r="G12" s="50" t="s">
        <v>219</v>
      </c>
      <c r="H12" s="50" t="s">
        <v>177</v>
      </c>
      <c r="I12" s="9" t="s">
        <v>151</v>
      </c>
      <c r="J12" s="9"/>
      <c r="K12" s="9" t="s">
        <v>178</v>
      </c>
      <c r="L12" s="9"/>
      <c r="M12" s="9"/>
      <c r="N12" s="9"/>
      <c r="O12" s="9"/>
      <c r="P12" s="9"/>
      <c r="Q12" s="9"/>
      <c r="R12" s="41"/>
      <c r="S12" s="52"/>
      <c r="T12" s="143"/>
      <c r="U12" s="144"/>
    </row>
    <row r="13" spans="1:21" s="11" customFormat="1" x14ac:dyDescent="0.2">
      <c r="A13" s="9">
        <v>10</v>
      </c>
      <c r="B13" s="9"/>
      <c r="C13" s="9"/>
      <c r="D13" s="9" t="s">
        <v>112</v>
      </c>
      <c r="E13" s="49" t="s">
        <v>110</v>
      </c>
      <c r="F13" s="49"/>
      <c r="G13" s="50" t="s">
        <v>220</v>
      </c>
      <c r="H13" s="50" t="s">
        <v>152</v>
      </c>
      <c r="I13" s="9" t="s">
        <v>151</v>
      </c>
      <c r="J13" s="9"/>
      <c r="K13" s="9" t="s">
        <v>178</v>
      </c>
      <c r="L13" s="9"/>
      <c r="M13" s="9"/>
      <c r="N13" s="9"/>
      <c r="O13" s="9"/>
      <c r="P13" s="9"/>
      <c r="Q13" s="9"/>
      <c r="R13" s="41"/>
      <c r="S13" s="52"/>
      <c r="T13" s="143"/>
      <c r="U13" s="144"/>
    </row>
    <row r="14" spans="1:21" s="11" customFormat="1" x14ac:dyDescent="0.2">
      <c r="A14" s="9">
        <v>10</v>
      </c>
      <c r="B14" s="9"/>
      <c r="C14" s="9"/>
      <c r="D14" s="9" t="s">
        <v>77</v>
      </c>
      <c r="E14" s="49" t="s">
        <v>78</v>
      </c>
      <c r="F14" s="49"/>
      <c r="G14" s="50" t="s">
        <v>226</v>
      </c>
      <c r="H14" s="50" t="s">
        <v>156</v>
      </c>
      <c r="I14" s="9" t="s">
        <v>151</v>
      </c>
      <c r="J14" s="9"/>
      <c r="K14" s="9"/>
      <c r="L14" s="9"/>
      <c r="M14" s="9"/>
      <c r="N14" s="9"/>
      <c r="O14" s="9"/>
      <c r="P14" s="9"/>
      <c r="Q14" s="9"/>
      <c r="R14" s="41"/>
      <c r="S14" s="52"/>
      <c r="T14" s="143"/>
      <c r="U14" s="144"/>
    </row>
    <row r="15" spans="1:21" s="11" customFormat="1" x14ac:dyDescent="0.2">
      <c r="A15" s="53"/>
      <c r="B15" s="54"/>
      <c r="C15" s="54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4"/>
      <c r="S15" s="4"/>
      <c r="T15" s="6"/>
      <c r="U15" s="23"/>
    </row>
    <row r="16" spans="1:21" s="11" customFormat="1" x14ac:dyDescent="0.2">
      <c r="A16" s="78"/>
      <c r="U16" s="55"/>
    </row>
    <row r="17" spans="1:21" s="11" customFormat="1" x14ac:dyDescent="0.2">
      <c r="A17" s="78"/>
      <c r="U17" s="55"/>
    </row>
    <row r="18" spans="1:21" s="11" customFormat="1" x14ac:dyDescent="0.2">
      <c r="A18" s="78"/>
      <c r="U18" s="55"/>
    </row>
    <row r="19" spans="1:21" s="11" customFormat="1" x14ac:dyDescent="0.2">
      <c r="A19" s="82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20"/>
    </row>
  </sheetData>
  <dataConsolidate/>
  <mergeCells count="3">
    <mergeCell ref="T14:U14"/>
    <mergeCell ref="T12:U12"/>
    <mergeCell ref="T13:U13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43"/>
  <sheetViews>
    <sheetView topLeftCell="I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4" t="s">
        <v>150</v>
      </c>
      <c r="B1" s="74" t="s">
        <v>150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5" t="s">
        <v>150</v>
      </c>
      <c r="B2" s="76"/>
      <c r="C2" s="76"/>
      <c r="D2" s="85" t="s">
        <v>205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MABGL0070</v>
      </c>
      <c r="I2" s="7" t="s">
        <v>160</v>
      </c>
      <c r="J2" s="9" t="s">
        <v>122</v>
      </c>
      <c r="K2" s="7" t="s">
        <v>40</v>
      </c>
      <c r="L2" s="77" t="str">
        <f>IF(LogicCommon!G2="","",LogicCommon!G2)</f>
        <v>MC</v>
      </c>
      <c r="M2" s="5" t="s">
        <v>148</v>
      </c>
      <c r="N2" s="28" t="s">
        <v>202</v>
      </c>
      <c r="O2" s="7"/>
      <c r="P2" s="7"/>
      <c r="Q2" s="4"/>
      <c r="R2" s="27"/>
    </row>
    <row r="3" spans="1:18" s="11" customFormat="1" x14ac:dyDescent="0.2">
      <c r="A3" s="78" t="s">
        <v>150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MABG</v>
      </c>
      <c r="G3" s="7" t="s">
        <v>10</v>
      </c>
      <c r="H3" s="77" t="str">
        <f>IF(LogicCommon!E3="","",LogicCommon!E3)</f>
        <v>MABGL_GrpWgReg</v>
      </c>
      <c r="I3" s="7" t="s">
        <v>149</v>
      </c>
      <c r="J3" s="9" t="s">
        <v>28</v>
      </c>
      <c r="K3" s="7" t="s">
        <v>41</v>
      </c>
      <c r="L3" s="77" t="str">
        <f>IF(LogicCommon!G3="","",LogicCommon!G3)</f>
        <v/>
      </c>
      <c r="M3" s="59" t="s">
        <v>29</v>
      </c>
      <c r="N3" s="7"/>
      <c r="O3" s="7" t="s">
        <v>174</v>
      </c>
      <c r="P3" s="9" t="s">
        <v>157</v>
      </c>
      <c r="Q3" s="4"/>
      <c r="R3" s="27"/>
    </row>
    <row r="4" spans="1:18" s="11" customFormat="1" x14ac:dyDescent="0.2">
      <c r="A4" s="78" t="s">
        <v>150</v>
      </c>
      <c r="B4" s="79"/>
      <c r="C4" s="79"/>
      <c r="D4" s="4"/>
      <c r="E4" s="7" t="s">
        <v>8</v>
      </c>
      <c r="F4" s="10" t="s">
        <v>142</v>
      </c>
      <c r="G4" s="7" t="s">
        <v>11</v>
      </c>
      <c r="H4" s="77" t="str">
        <f>IF(LogicCommon!E4="","",LogicCommon!E4)</f>
        <v>計算グループＷＧマスタ登録</v>
      </c>
      <c r="I4" s="7" t="s">
        <v>175</v>
      </c>
      <c r="J4" s="9" t="s">
        <v>134</v>
      </c>
      <c r="K4" s="7" t="s">
        <v>5</v>
      </c>
      <c r="L4" s="77" t="str">
        <f>IF(LogicCommon!G4="","",LogicCommon!G4)</f>
        <v>MA.MAUDL5010</v>
      </c>
      <c r="M4" s="81"/>
      <c r="N4" s="28"/>
      <c r="O4" s="14"/>
      <c r="P4" s="4"/>
      <c r="Q4" s="4"/>
      <c r="R4" s="27"/>
    </row>
    <row r="5" spans="1:18" s="11" customFormat="1" x14ac:dyDescent="0.2">
      <c r="A5" s="82" t="s">
        <v>150</v>
      </c>
      <c r="B5" s="74"/>
      <c r="C5" s="74"/>
      <c r="D5" s="26"/>
      <c r="E5" s="7" t="s">
        <v>158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8" t="s">
        <v>150</v>
      </c>
      <c r="B6" s="79"/>
      <c r="C6" s="79"/>
      <c r="D6" s="4" t="s">
        <v>6</v>
      </c>
      <c r="E6" s="16" t="s">
        <v>138</v>
      </c>
      <c r="F6" s="16"/>
      <c r="G6" s="16"/>
      <c r="H6" s="16"/>
      <c r="I6" s="16"/>
      <c r="J6" s="16"/>
      <c r="K6" s="16"/>
      <c r="L6" s="84" t="s">
        <v>37</v>
      </c>
      <c r="M6" s="19"/>
      <c r="N6" s="19" t="s">
        <v>37</v>
      </c>
      <c r="O6" s="19"/>
      <c r="P6" s="19"/>
      <c r="Q6" s="19"/>
      <c r="R6" s="27"/>
    </row>
    <row r="7" spans="1:18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68</v>
      </c>
      <c r="M7" s="33" t="s">
        <v>33</v>
      </c>
      <c r="N7" s="32"/>
      <c r="O7" s="29"/>
      <c r="P7" s="29"/>
      <c r="Q7" s="29"/>
      <c r="R7" s="29"/>
    </row>
    <row r="8" spans="1:18" s="11" customFormat="1" ht="60" customHeight="1" x14ac:dyDescent="0.2">
      <c r="A8" s="49" t="s">
        <v>17</v>
      </c>
      <c r="B8" s="88"/>
      <c r="C8" s="89"/>
      <c r="D8" s="86" t="s">
        <v>206</v>
      </c>
      <c r="E8" s="86" t="s">
        <v>207</v>
      </c>
      <c r="F8" s="84"/>
      <c r="G8" s="86" t="s">
        <v>184</v>
      </c>
      <c r="H8" s="86" t="s">
        <v>208</v>
      </c>
      <c r="I8" s="84"/>
      <c r="J8" s="3"/>
      <c r="K8" s="33" t="s">
        <v>16</v>
      </c>
      <c r="L8" s="9" t="s">
        <v>201</v>
      </c>
      <c r="M8" s="33" t="s">
        <v>16</v>
      </c>
      <c r="N8" s="9"/>
      <c r="O8" s="90"/>
      <c r="P8" s="91"/>
      <c r="Q8" s="92" t="s">
        <v>217</v>
      </c>
      <c r="R8" s="52"/>
    </row>
    <row r="9" spans="1:18" s="11" customFormat="1" ht="60" customHeight="1" x14ac:dyDescent="0.2">
      <c r="A9" s="9" t="s">
        <v>17</v>
      </c>
      <c r="B9" s="37"/>
      <c r="C9" s="38"/>
      <c r="D9" s="86" t="s">
        <v>209</v>
      </c>
      <c r="E9" s="93" t="s">
        <v>210</v>
      </c>
      <c r="F9" s="86" t="s">
        <v>211</v>
      </c>
      <c r="G9" s="86" t="s">
        <v>212</v>
      </c>
      <c r="H9" s="86" t="s">
        <v>213</v>
      </c>
      <c r="I9" s="94" t="s">
        <v>214</v>
      </c>
      <c r="J9" s="86" t="s">
        <v>215</v>
      </c>
      <c r="K9" s="33"/>
      <c r="L9" s="33"/>
      <c r="M9" s="33"/>
      <c r="N9" s="33"/>
      <c r="O9" s="92" t="s">
        <v>216</v>
      </c>
      <c r="P9" s="52"/>
      <c r="Q9" s="92" t="s">
        <v>218</v>
      </c>
      <c r="R9" s="52"/>
    </row>
    <row r="10" spans="1:18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7" t="s">
        <v>214</v>
      </c>
      <c r="L10" s="87" t="s">
        <v>215</v>
      </c>
      <c r="M10" s="87" t="s">
        <v>214</v>
      </c>
      <c r="N10" s="87" t="s">
        <v>215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123</v>
      </c>
      <c r="E11" s="34" t="s">
        <v>64</v>
      </c>
      <c r="F11" s="44"/>
      <c r="G11" s="28" t="s">
        <v>81</v>
      </c>
      <c r="H11" s="56" t="s">
        <v>186</v>
      </c>
      <c r="I11" s="45"/>
      <c r="J11" s="46"/>
      <c r="K11" s="47" t="s">
        <v>176</v>
      </c>
      <c r="L11" s="47"/>
      <c r="M11" s="47"/>
      <c r="N11" s="47"/>
      <c r="O11" s="35"/>
      <c r="P11" s="36"/>
      <c r="Q11" s="71"/>
      <c r="R11" s="48"/>
    </row>
    <row r="12" spans="1:18" s="11" customFormat="1" x14ac:dyDescent="0.2">
      <c r="A12" s="9">
        <v>10</v>
      </c>
      <c r="B12" s="9"/>
      <c r="C12" s="9"/>
      <c r="D12" s="9" t="s">
        <v>98</v>
      </c>
      <c r="E12" s="49" t="s">
        <v>99</v>
      </c>
      <c r="F12" s="49"/>
      <c r="G12" s="50" t="s">
        <v>219</v>
      </c>
      <c r="H12" s="50" t="s">
        <v>177</v>
      </c>
      <c r="I12" s="9" t="s">
        <v>151</v>
      </c>
      <c r="J12" s="9"/>
      <c r="K12" s="9" t="s">
        <v>178</v>
      </c>
      <c r="L12" s="9"/>
      <c r="M12" s="9"/>
      <c r="N12" s="9"/>
      <c r="O12" s="41"/>
      <c r="P12" s="52"/>
      <c r="Q12" s="143"/>
      <c r="R12" s="144"/>
    </row>
    <row r="13" spans="1:18" s="11" customFormat="1" x14ac:dyDescent="0.2">
      <c r="A13" s="9">
        <v>10</v>
      </c>
      <c r="B13" s="9"/>
      <c r="C13" s="9"/>
      <c r="D13" s="9" t="s">
        <v>112</v>
      </c>
      <c r="E13" s="49" t="s">
        <v>110</v>
      </c>
      <c r="F13" s="49"/>
      <c r="G13" s="50" t="s">
        <v>220</v>
      </c>
      <c r="H13" s="50" t="s">
        <v>152</v>
      </c>
      <c r="I13" s="9" t="s">
        <v>151</v>
      </c>
      <c r="J13" s="9"/>
      <c r="K13" s="9" t="s">
        <v>178</v>
      </c>
      <c r="L13" s="9"/>
      <c r="M13" s="9"/>
      <c r="N13" s="9"/>
      <c r="O13" s="41"/>
      <c r="P13" s="52"/>
      <c r="Q13" s="143"/>
      <c r="R13" s="144"/>
    </row>
    <row r="14" spans="1:18" s="11" customFormat="1" x14ac:dyDescent="0.2">
      <c r="A14" s="9">
        <v>10</v>
      </c>
      <c r="B14" s="9"/>
      <c r="C14" s="9"/>
      <c r="D14" s="9" t="s">
        <v>77</v>
      </c>
      <c r="E14" s="49" t="s">
        <v>78</v>
      </c>
      <c r="F14" s="49"/>
      <c r="G14" s="50" t="s">
        <v>226</v>
      </c>
      <c r="H14" s="50" t="s">
        <v>159</v>
      </c>
      <c r="I14" s="9" t="s">
        <v>151</v>
      </c>
      <c r="J14" s="9"/>
      <c r="K14" s="9" t="s">
        <v>151</v>
      </c>
      <c r="L14" s="9"/>
      <c r="M14" s="9"/>
      <c r="N14" s="9"/>
      <c r="O14" s="43"/>
      <c r="P14" s="36"/>
      <c r="Q14" s="71"/>
      <c r="R14" s="48"/>
    </row>
    <row r="15" spans="1:18" s="11" customFormat="1" x14ac:dyDescent="0.2">
      <c r="A15" s="53"/>
      <c r="B15" s="54"/>
      <c r="C15" s="54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4"/>
      <c r="P15" s="4"/>
      <c r="Q15" s="6"/>
      <c r="R15" s="23"/>
    </row>
    <row r="16" spans="1:18" s="11" customFormat="1" x14ac:dyDescent="0.2">
      <c r="A16" s="78"/>
      <c r="R16" s="55"/>
    </row>
    <row r="17" spans="1:18" s="11" customFormat="1" x14ac:dyDescent="0.2">
      <c r="A17" s="78"/>
      <c r="R17" s="55"/>
    </row>
    <row r="18" spans="1:18" s="11" customFormat="1" x14ac:dyDescent="0.2">
      <c r="A18" s="78"/>
      <c r="R18" s="55"/>
    </row>
    <row r="19" spans="1:18" s="11" customFormat="1" x14ac:dyDescent="0.2">
      <c r="A19" s="78"/>
      <c r="R19" s="55"/>
    </row>
    <row r="20" spans="1:18" s="11" customFormat="1" x14ac:dyDescent="0.2">
      <c r="A20" s="78"/>
      <c r="R20" s="55"/>
    </row>
    <row r="21" spans="1:18" s="11" customFormat="1" x14ac:dyDescent="0.2">
      <c r="A21" s="78"/>
      <c r="R21" s="55"/>
    </row>
    <row r="22" spans="1:18" s="11" customFormat="1" x14ac:dyDescent="0.2">
      <c r="A22" s="78"/>
      <c r="R22" s="55"/>
    </row>
    <row r="23" spans="1:18" s="11" customFormat="1" x14ac:dyDescent="0.2">
      <c r="A23" s="78"/>
      <c r="R23" s="55"/>
    </row>
    <row r="24" spans="1:18" s="11" customFormat="1" x14ac:dyDescent="0.2">
      <c r="A24" s="78"/>
      <c r="R24" s="55"/>
    </row>
    <row r="25" spans="1:18" s="11" customFormat="1" x14ac:dyDescent="0.2">
      <c r="A25" s="78"/>
      <c r="R25" s="55"/>
    </row>
    <row r="26" spans="1:18" s="11" customFormat="1" x14ac:dyDescent="0.2">
      <c r="A26" s="78"/>
      <c r="R26" s="55"/>
    </row>
    <row r="27" spans="1:18" s="11" customFormat="1" x14ac:dyDescent="0.2">
      <c r="A27" s="78"/>
      <c r="R27" s="55"/>
    </row>
    <row r="28" spans="1:18" s="11" customFormat="1" x14ac:dyDescent="0.2">
      <c r="A28" s="78"/>
      <c r="R28" s="55"/>
    </row>
    <row r="29" spans="1:18" s="11" customFormat="1" x14ac:dyDescent="0.2">
      <c r="A29" s="78"/>
      <c r="R29" s="55"/>
    </row>
    <row r="30" spans="1:18" s="11" customFormat="1" x14ac:dyDescent="0.2">
      <c r="A30" s="78"/>
      <c r="R30" s="55"/>
    </row>
    <row r="31" spans="1:18" s="11" customFormat="1" x14ac:dyDescent="0.2">
      <c r="A31" s="78"/>
      <c r="R31" s="55"/>
    </row>
    <row r="32" spans="1:18" s="11" customFormat="1" x14ac:dyDescent="0.2">
      <c r="A32" s="78"/>
      <c r="R32" s="55"/>
    </row>
    <row r="33" spans="1:18" s="11" customFormat="1" x14ac:dyDescent="0.2">
      <c r="A33" s="78"/>
      <c r="R33" s="55"/>
    </row>
    <row r="34" spans="1:18" s="11" customFormat="1" x14ac:dyDescent="0.2">
      <c r="A34" s="78"/>
      <c r="R34" s="55"/>
    </row>
    <row r="35" spans="1:18" s="11" customFormat="1" x14ac:dyDescent="0.2">
      <c r="A35" s="78"/>
      <c r="R35" s="55"/>
    </row>
    <row r="36" spans="1:18" s="11" customFormat="1" x14ac:dyDescent="0.2">
      <c r="A36" s="78"/>
      <c r="R36" s="55"/>
    </row>
    <row r="37" spans="1:18" s="11" customFormat="1" x14ac:dyDescent="0.2">
      <c r="A37" s="78"/>
      <c r="R37" s="55"/>
    </row>
    <row r="38" spans="1:18" s="11" customFormat="1" x14ac:dyDescent="0.2">
      <c r="A38" s="78"/>
      <c r="R38" s="55"/>
    </row>
    <row r="39" spans="1:18" s="11" customFormat="1" x14ac:dyDescent="0.2">
      <c r="A39" s="78"/>
      <c r="R39" s="55"/>
    </row>
    <row r="40" spans="1:18" s="11" customFormat="1" x14ac:dyDescent="0.2">
      <c r="A40" s="78"/>
      <c r="R40" s="55"/>
    </row>
    <row r="41" spans="1:18" s="11" customFormat="1" x14ac:dyDescent="0.2">
      <c r="A41" s="78"/>
      <c r="R41" s="55"/>
    </row>
    <row r="42" spans="1:18" s="11" customFormat="1" x14ac:dyDescent="0.2">
      <c r="A42" s="78"/>
      <c r="R42" s="55"/>
    </row>
    <row r="43" spans="1:18" s="11" customFormat="1" x14ac:dyDescent="0.2">
      <c r="A43" s="82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20"/>
    </row>
  </sheetData>
  <dataConsolidate/>
  <mergeCells count="2">
    <mergeCell ref="Q12:R12"/>
    <mergeCell ref="Q13:R13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5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30.81640625" style="29" customWidth="1"/>
    <col min="17" max="17" width="13.90625" style="29" bestFit="1" customWidth="1"/>
    <col min="18" max="18" width="15.81640625" style="29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9" s="11" customFormat="1" x14ac:dyDescent="0.2">
      <c r="A1" s="74" t="s">
        <v>150</v>
      </c>
      <c r="B1" s="74" t="s">
        <v>150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 x14ac:dyDescent="0.2">
      <c r="A2" s="75" t="s">
        <v>150</v>
      </c>
      <c r="B2" s="76"/>
      <c r="C2" s="76"/>
      <c r="D2" s="85" t="s">
        <v>205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MABGL0070</v>
      </c>
      <c r="I2" s="7" t="s">
        <v>160</v>
      </c>
      <c r="J2" s="9" t="s">
        <v>95</v>
      </c>
      <c r="K2" s="7" t="s">
        <v>40</v>
      </c>
      <c r="L2" s="77" t="str">
        <f>IF(LogicCommon!G2="","",LogicCommon!G2)</f>
        <v>MC</v>
      </c>
      <c r="M2" s="5" t="s">
        <v>148</v>
      </c>
      <c r="N2" s="28" t="s">
        <v>203</v>
      </c>
      <c r="O2" s="7"/>
      <c r="P2" s="7"/>
      <c r="Q2" s="4"/>
      <c r="R2" s="4"/>
      <c r="S2" s="4"/>
    </row>
    <row r="3" spans="1:19" s="11" customFormat="1" x14ac:dyDescent="0.2">
      <c r="A3" s="78" t="s">
        <v>150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MABG</v>
      </c>
      <c r="G3" s="7" t="s">
        <v>10</v>
      </c>
      <c r="H3" s="77" t="str">
        <f>IF(LogicCommon!E3="","",LogicCommon!E3)</f>
        <v>MABGL_GrpWgReg</v>
      </c>
      <c r="I3" s="7" t="s">
        <v>149</v>
      </c>
      <c r="J3" s="9" t="s">
        <v>28</v>
      </c>
      <c r="K3" s="7" t="s">
        <v>41</v>
      </c>
      <c r="L3" s="77" t="str">
        <f>IF(LogicCommon!G3="","",LogicCommon!G3)</f>
        <v/>
      </c>
      <c r="M3" s="59" t="s">
        <v>29</v>
      </c>
      <c r="N3" s="7"/>
      <c r="O3" s="7" t="s">
        <v>174</v>
      </c>
      <c r="P3" s="9" t="s">
        <v>157</v>
      </c>
      <c r="Q3" s="4"/>
      <c r="R3" s="4"/>
      <c r="S3" s="4"/>
    </row>
    <row r="4" spans="1:19" s="11" customFormat="1" x14ac:dyDescent="0.2">
      <c r="A4" s="78" t="s">
        <v>150</v>
      </c>
      <c r="B4" s="79"/>
      <c r="C4" s="79"/>
      <c r="D4" s="4"/>
      <c r="E4" s="7" t="s">
        <v>8</v>
      </c>
      <c r="F4" s="10" t="s">
        <v>142</v>
      </c>
      <c r="G4" s="7" t="s">
        <v>11</v>
      </c>
      <c r="H4" s="77" t="str">
        <f>IF(LogicCommon!E4="","",LogicCommon!E4)</f>
        <v>計算グループＷＧマスタ登録</v>
      </c>
      <c r="I4" s="7" t="s">
        <v>175</v>
      </c>
      <c r="J4" s="9" t="s">
        <v>2</v>
      </c>
      <c r="K4" s="7" t="s">
        <v>5</v>
      </c>
      <c r="L4" s="77" t="str">
        <f>IF(LogicCommon!G4="","",LogicCommon!G4)</f>
        <v>MA.MAUDL5010</v>
      </c>
      <c r="M4" s="81"/>
      <c r="N4" s="28"/>
      <c r="O4" s="14"/>
      <c r="P4" s="4"/>
      <c r="Q4" s="4"/>
      <c r="R4" s="4"/>
      <c r="S4" s="4"/>
    </row>
    <row r="5" spans="1:19" s="11" customFormat="1" x14ac:dyDescent="0.2">
      <c r="A5" s="82" t="s">
        <v>150</v>
      </c>
      <c r="B5" s="74"/>
      <c r="C5" s="74"/>
      <c r="D5" s="26"/>
      <c r="E5" s="7" t="s">
        <v>158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4"/>
      <c r="S5" s="4"/>
    </row>
    <row r="6" spans="1:19" s="11" customFormat="1" x14ac:dyDescent="0.2">
      <c r="A6" s="78" t="s">
        <v>150</v>
      </c>
      <c r="B6" s="79"/>
      <c r="C6" s="79"/>
      <c r="D6" s="4" t="s">
        <v>6</v>
      </c>
      <c r="E6" s="16" t="s">
        <v>133</v>
      </c>
      <c r="F6" s="16"/>
      <c r="G6" s="16"/>
      <c r="H6" s="16"/>
      <c r="I6" s="16"/>
      <c r="J6" s="16"/>
      <c r="K6" s="16"/>
      <c r="L6" s="84"/>
      <c r="M6" s="19" t="s">
        <v>37</v>
      </c>
      <c r="N6" s="19"/>
      <c r="O6" s="19" t="s">
        <v>37</v>
      </c>
      <c r="P6" s="19"/>
      <c r="Q6" s="19"/>
      <c r="R6" s="4"/>
      <c r="S6" s="4"/>
    </row>
    <row r="7" spans="1:19" s="11" customFormat="1" x14ac:dyDescent="0.2">
      <c r="A7" s="30" t="s">
        <v>31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92</v>
      </c>
      <c r="L7" s="33" t="s">
        <v>33</v>
      </c>
      <c r="M7" s="32" t="s">
        <v>34</v>
      </c>
      <c r="N7" s="33" t="s">
        <v>33</v>
      </c>
      <c r="O7" s="32"/>
      <c r="P7" s="29"/>
      <c r="Q7" s="29"/>
      <c r="R7" s="29"/>
      <c r="S7" s="29"/>
    </row>
    <row r="8" spans="1:19" s="11" customFormat="1" ht="60" customHeight="1" x14ac:dyDescent="0.2">
      <c r="A8" s="49" t="s">
        <v>17</v>
      </c>
      <c r="B8" s="88"/>
      <c r="C8" s="89"/>
      <c r="D8" s="86" t="s">
        <v>206</v>
      </c>
      <c r="E8" s="86" t="s">
        <v>207</v>
      </c>
      <c r="F8" s="84"/>
      <c r="G8" s="86" t="s">
        <v>184</v>
      </c>
      <c r="H8" s="86" t="s">
        <v>208</v>
      </c>
      <c r="I8" s="84"/>
      <c r="J8" s="3"/>
      <c r="K8" s="9" t="s">
        <v>93</v>
      </c>
      <c r="L8" s="33" t="s">
        <v>16</v>
      </c>
      <c r="M8" s="9" t="s">
        <v>201</v>
      </c>
      <c r="N8" s="33" t="s">
        <v>16</v>
      </c>
      <c r="O8" s="9"/>
      <c r="P8" s="90"/>
      <c r="Q8" s="91"/>
      <c r="R8" s="92" t="s">
        <v>217</v>
      </c>
      <c r="S8" s="52"/>
    </row>
    <row r="9" spans="1:19" s="11" customFormat="1" ht="60" customHeight="1" x14ac:dyDescent="0.2">
      <c r="A9" s="9" t="s">
        <v>17</v>
      </c>
      <c r="B9" s="37"/>
      <c r="C9" s="38"/>
      <c r="D9" s="86" t="s">
        <v>209</v>
      </c>
      <c r="E9" s="93" t="s">
        <v>210</v>
      </c>
      <c r="F9" s="86" t="s">
        <v>211</v>
      </c>
      <c r="G9" s="86" t="s">
        <v>212</v>
      </c>
      <c r="H9" s="86" t="s">
        <v>213</v>
      </c>
      <c r="I9" s="94" t="s">
        <v>214</v>
      </c>
      <c r="J9" s="86" t="s">
        <v>215</v>
      </c>
      <c r="K9" s="95"/>
      <c r="L9" s="33"/>
      <c r="M9" s="33"/>
      <c r="N9" s="33"/>
      <c r="O9" s="33"/>
      <c r="P9" s="92" t="s">
        <v>216</v>
      </c>
      <c r="Q9" s="52"/>
      <c r="R9" s="92" t="s">
        <v>218</v>
      </c>
      <c r="S9" s="52"/>
    </row>
    <row r="10" spans="1:19" s="11" customFormat="1" ht="39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57"/>
      <c r="L10" s="87" t="s">
        <v>214</v>
      </c>
      <c r="M10" s="87" t="s">
        <v>215</v>
      </c>
      <c r="N10" s="87" t="s">
        <v>214</v>
      </c>
      <c r="O10" s="87" t="s">
        <v>215</v>
      </c>
      <c r="P10" s="42"/>
      <c r="Q10" s="42"/>
      <c r="R10" s="43"/>
      <c r="S10" s="36"/>
    </row>
    <row r="11" spans="1:19" s="11" customFormat="1" x14ac:dyDescent="0.2">
      <c r="A11" s="9">
        <v>10</v>
      </c>
      <c r="B11" s="37" t="s">
        <v>0</v>
      </c>
      <c r="C11" s="38"/>
      <c r="D11" s="28" t="s">
        <v>19</v>
      </c>
      <c r="E11" s="34" t="s">
        <v>20</v>
      </c>
      <c r="F11" s="44"/>
      <c r="G11" s="28"/>
      <c r="H11" s="56"/>
      <c r="I11" s="45"/>
      <c r="J11" s="46"/>
      <c r="K11" s="58"/>
      <c r="L11" s="47" t="s">
        <v>20</v>
      </c>
      <c r="M11" s="47"/>
      <c r="N11" s="47"/>
      <c r="O11" s="47"/>
      <c r="P11" s="35"/>
      <c r="Q11" s="36"/>
      <c r="R11" s="71"/>
      <c r="S11" s="48"/>
    </row>
    <row r="12" spans="1:19" s="11" customFormat="1" x14ac:dyDescent="0.2">
      <c r="A12" s="9">
        <v>10</v>
      </c>
      <c r="B12" s="9"/>
      <c r="C12" s="9"/>
      <c r="D12" s="9" t="s">
        <v>98</v>
      </c>
      <c r="E12" s="49" t="s">
        <v>99</v>
      </c>
      <c r="F12" s="49"/>
      <c r="G12" s="50" t="s">
        <v>219</v>
      </c>
      <c r="H12" s="50" t="s">
        <v>177</v>
      </c>
      <c r="I12" s="9" t="s">
        <v>151</v>
      </c>
      <c r="J12" s="9"/>
      <c r="K12" s="9"/>
      <c r="L12" s="9"/>
      <c r="M12" s="9"/>
      <c r="N12" s="9"/>
      <c r="O12" s="9"/>
      <c r="P12" s="51"/>
      <c r="Q12" s="52"/>
      <c r="R12" s="143"/>
      <c r="S12" s="144"/>
    </row>
    <row r="13" spans="1:19" s="11" customFormat="1" x14ac:dyDescent="0.2">
      <c r="A13" s="9">
        <v>10</v>
      </c>
      <c r="B13" s="9"/>
      <c r="C13" s="9"/>
      <c r="D13" s="9" t="s">
        <v>102</v>
      </c>
      <c r="E13" s="49" t="s">
        <v>103</v>
      </c>
      <c r="F13" s="49"/>
      <c r="G13" s="50" t="s">
        <v>227</v>
      </c>
      <c r="H13" s="50" t="s">
        <v>161</v>
      </c>
      <c r="I13" s="9" t="s">
        <v>151</v>
      </c>
      <c r="J13" s="9"/>
      <c r="K13" s="9"/>
      <c r="L13" s="9"/>
      <c r="M13" s="9"/>
      <c r="N13" s="9"/>
      <c r="O13" s="9"/>
      <c r="P13" s="51"/>
      <c r="Q13" s="52"/>
      <c r="R13" s="143"/>
      <c r="S13" s="144"/>
    </row>
    <row r="14" spans="1:19" s="11" customFormat="1" ht="26" x14ac:dyDescent="0.2">
      <c r="A14" s="9">
        <v>10</v>
      </c>
      <c r="B14" s="9"/>
      <c r="C14" s="9"/>
      <c r="D14" s="9" t="s">
        <v>112</v>
      </c>
      <c r="E14" s="49" t="s">
        <v>110</v>
      </c>
      <c r="F14" s="49"/>
      <c r="G14" s="50" t="s">
        <v>220</v>
      </c>
      <c r="H14" s="50" t="s">
        <v>187</v>
      </c>
      <c r="I14" s="9" t="s">
        <v>151</v>
      </c>
      <c r="J14" s="9"/>
      <c r="K14" s="9"/>
      <c r="L14" s="9"/>
      <c r="M14" s="9"/>
      <c r="N14" s="9"/>
      <c r="O14" s="9"/>
      <c r="P14" s="51"/>
      <c r="Q14" s="52"/>
      <c r="R14" s="143"/>
      <c r="S14" s="144"/>
    </row>
    <row r="15" spans="1:19" s="11" customFormat="1" ht="26" x14ac:dyDescent="0.2">
      <c r="A15" s="9">
        <v>10</v>
      </c>
      <c r="B15" s="9"/>
      <c r="C15" s="9"/>
      <c r="D15" s="9" t="s">
        <v>113</v>
      </c>
      <c r="E15" s="49" t="s">
        <v>111</v>
      </c>
      <c r="F15" s="49"/>
      <c r="G15" s="50" t="s">
        <v>228</v>
      </c>
      <c r="H15" s="50" t="s">
        <v>162</v>
      </c>
      <c r="I15" s="9" t="s">
        <v>151</v>
      </c>
      <c r="J15" s="9"/>
      <c r="K15" s="9"/>
      <c r="L15" s="9"/>
      <c r="M15" s="9"/>
      <c r="N15" s="9"/>
      <c r="O15" s="9"/>
      <c r="P15" s="51"/>
      <c r="Q15" s="52"/>
      <c r="R15" s="143"/>
      <c r="S15" s="144"/>
    </row>
    <row r="16" spans="1:19" s="11" customFormat="1" ht="26" x14ac:dyDescent="0.2">
      <c r="A16" s="9">
        <v>10</v>
      </c>
      <c r="B16" s="9"/>
      <c r="C16" s="9"/>
      <c r="D16" s="9" t="s">
        <v>70</v>
      </c>
      <c r="E16" s="49" t="s">
        <v>61</v>
      </c>
      <c r="F16" s="49"/>
      <c r="G16" s="50" t="s">
        <v>229</v>
      </c>
      <c r="H16" s="50" t="s">
        <v>163</v>
      </c>
      <c r="I16" s="9" t="s">
        <v>151</v>
      </c>
      <c r="J16" s="9"/>
      <c r="K16" s="9"/>
      <c r="L16" s="9"/>
      <c r="M16" s="9"/>
      <c r="N16" s="9"/>
      <c r="O16" s="9"/>
      <c r="P16" s="51"/>
      <c r="Q16" s="52"/>
      <c r="R16" s="143"/>
      <c r="S16" s="144"/>
    </row>
    <row r="17" spans="1:19" s="11" customFormat="1" ht="26" x14ac:dyDescent="0.2">
      <c r="A17" s="9">
        <v>10</v>
      </c>
      <c r="B17" s="9"/>
      <c r="C17" s="9"/>
      <c r="D17" s="9" t="s">
        <v>71</v>
      </c>
      <c r="E17" s="49" t="s">
        <v>53</v>
      </c>
      <c r="F17" s="49"/>
      <c r="G17" s="50" t="s">
        <v>230</v>
      </c>
      <c r="H17" s="50" t="s">
        <v>164</v>
      </c>
      <c r="I17" s="9" t="s">
        <v>151</v>
      </c>
      <c r="J17" s="9"/>
      <c r="K17" s="9"/>
      <c r="L17" s="9"/>
      <c r="M17" s="9"/>
      <c r="N17" s="9"/>
      <c r="O17" s="9"/>
      <c r="P17" s="59"/>
      <c r="Q17" s="60"/>
      <c r="R17" s="145"/>
      <c r="S17" s="144"/>
    </row>
    <row r="18" spans="1:19" s="11" customFormat="1" x14ac:dyDescent="0.2">
      <c r="A18" s="9">
        <v>10</v>
      </c>
      <c r="B18" s="9"/>
      <c r="C18" s="9"/>
      <c r="D18" s="9" t="s">
        <v>43</v>
      </c>
      <c r="E18" s="49" t="s">
        <v>45</v>
      </c>
      <c r="F18" s="49"/>
      <c r="G18" s="50" t="s">
        <v>222</v>
      </c>
      <c r="H18" s="50" t="s">
        <v>182</v>
      </c>
      <c r="I18" s="9" t="s">
        <v>151</v>
      </c>
      <c r="J18" s="9"/>
      <c r="K18" s="9"/>
      <c r="L18" s="9"/>
      <c r="M18" s="9"/>
      <c r="N18" s="9"/>
      <c r="O18" s="9"/>
      <c r="P18" s="51"/>
      <c r="Q18" s="52"/>
      <c r="R18" s="143"/>
      <c r="S18" s="144"/>
    </row>
    <row r="19" spans="1:19" s="11" customFormat="1" x14ac:dyDescent="0.2">
      <c r="A19" s="9">
        <v>10</v>
      </c>
      <c r="B19" s="9"/>
      <c r="C19" s="9"/>
      <c r="D19" s="9" t="s">
        <v>143</v>
      </c>
      <c r="E19" s="49" t="s">
        <v>144</v>
      </c>
      <c r="F19" s="49"/>
      <c r="G19" s="50" t="s">
        <v>223</v>
      </c>
      <c r="H19" s="50" t="s">
        <v>183</v>
      </c>
      <c r="I19" s="9" t="s">
        <v>151</v>
      </c>
      <c r="J19" s="9"/>
      <c r="K19" s="9"/>
      <c r="L19" s="9"/>
      <c r="M19" s="9"/>
      <c r="N19" s="9"/>
      <c r="O19" s="9"/>
      <c r="P19" s="59"/>
      <c r="Q19" s="60"/>
      <c r="R19" s="145"/>
      <c r="S19" s="144"/>
    </row>
    <row r="20" spans="1:19" s="11" customFormat="1" x14ac:dyDescent="0.2">
      <c r="A20" s="9">
        <v>10</v>
      </c>
      <c r="B20" s="9"/>
      <c r="C20" s="9"/>
      <c r="D20" s="9" t="s">
        <v>47</v>
      </c>
      <c r="E20" s="49" t="s">
        <v>49</v>
      </c>
      <c r="F20" s="49"/>
      <c r="G20" s="50" t="s">
        <v>224</v>
      </c>
      <c r="H20" s="50" t="s">
        <v>154</v>
      </c>
      <c r="I20" s="9" t="s">
        <v>151</v>
      </c>
      <c r="J20" s="9"/>
      <c r="K20" s="9"/>
      <c r="L20" s="9"/>
      <c r="M20" s="9"/>
      <c r="N20" s="9"/>
      <c r="O20" s="9"/>
      <c r="P20" s="59"/>
      <c r="Q20" s="60"/>
      <c r="R20" s="145"/>
      <c r="S20" s="144"/>
    </row>
    <row r="21" spans="1:19" s="11" customFormat="1" x14ac:dyDescent="0.2">
      <c r="A21" s="78"/>
      <c r="S21" s="55"/>
    </row>
    <row r="22" spans="1:19" s="11" customFormat="1" x14ac:dyDescent="0.2">
      <c r="A22" s="9">
        <v>20</v>
      </c>
      <c r="B22" s="37" t="s">
        <v>0</v>
      </c>
      <c r="C22" s="38"/>
      <c r="D22" s="28" t="s">
        <v>145</v>
      </c>
      <c r="E22" s="34" t="s">
        <v>30</v>
      </c>
      <c r="F22" s="61"/>
      <c r="G22" s="28"/>
      <c r="H22" s="56"/>
      <c r="I22" s="62"/>
      <c r="J22" s="63"/>
      <c r="K22" s="63"/>
      <c r="L22" s="47"/>
      <c r="M22" s="47" t="s">
        <v>21</v>
      </c>
      <c r="N22" s="47"/>
      <c r="O22" s="47"/>
      <c r="P22" s="35"/>
      <c r="Q22" s="36"/>
      <c r="R22" s="71"/>
      <c r="S22" s="48"/>
    </row>
    <row r="23" spans="1:19" s="11" customFormat="1" x14ac:dyDescent="0.2">
      <c r="A23" s="9">
        <v>20</v>
      </c>
      <c r="B23" s="9"/>
      <c r="C23" s="9"/>
      <c r="D23" s="9" t="s">
        <v>72</v>
      </c>
      <c r="E23" s="49" t="s">
        <v>53</v>
      </c>
      <c r="F23" s="49"/>
      <c r="G23" s="50" t="s">
        <v>225</v>
      </c>
      <c r="H23" s="50" t="s">
        <v>155</v>
      </c>
      <c r="I23" s="9"/>
      <c r="J23" s="9" t="s">
        <v>151</v>
      </c>
      <c r="K23" s="9"/>
      <c r="L23" s="9"/>
      <c r="M23" s="9" t="s">
        <v>151</v>
      </c>
      <c r="N23" s="9"/>
      <c r="O23" s="9"/>
      <c r="P23" s="51"/>
      <c r="Q23" s="52"/>
      <c r="R23" s="143"/>
      <c r="S23" s="144"/>
    </row>
    <row r="24" spans="1:19" s="11" customFormat="1" x14ac:dyDescent="0.2">
      <c r="A24" s="9">
        <v>20</v>
      </c>
      <c r="B24" s="9"/>
      <c r="C24" s="9"/>
      <c r="D24" s="9" t="s">
        <v>98</v>
      </c>
      <c r="E24" s="49" t="s">
        <v>99</v>
      </c>
      <c r="F24" s="49"/>
      <c r="G24" s="50" t="s">
        <v>219</v>
      </c>
      <c r="H24" s="50" t="s">
        <v>177</v>
      </c>
      <c r="I24" s="9"/>
      <c r="J24" s="9" t="s">
        <v>151</v>
      </c>
      <c r="K24" s="9"/>
      <c r="L24" s="9"/>
      <c r="M24" s="9" t="s">
        <v>151</v>
      </c>
      <c r="N24" s="9"/>
      <c r="O24" s="9"/>
      <c r="P24" s="51"/>
      <c r="Q24" s="52"/>
      <c r="R24" s="143"/>
      <c r="S24" s="144"/>
    </row>
    <row r="25" spans="1:19" s="11" customFormat="1" x14ac:dyDescent="0.2">
      <c r="A25" s="9">
        <v>20</v>
      </c>
      <c r="B25" s="9"/>
      <c r="C25" s="9"/>
      <c r="D25" s="9" t="s">
        <v>102</v>
      </c>
      <c r="E25" s="49" t="s">
        <v>103</v>
      </c>
      <c r="F25" s="49"/>
      <c r="G25" s="50" t="s">
        <v>227</v>
      </c>
      <c r="H25" s="50" t="s">
        <v>161</v>
      </c>
      <c r="I25" s="9"/>
      <c r="J25" s="9" t="s">
        <v>151</v>
      </c>
      <c r="K25" s="9"/>
      <c r="L25" s="9"/>
      <c r="M25" s="9" t="s">
        <v>151</v>
      </c>
      <c r="N25" s="9"/>
      <c r="O25" s="9"/>
      <c r="P25" s="51"/>
      <c r="Q25" s="52"/>
      <c r="R25" s="143"/>
      <c r="S25" s="144"/>
    </row>
    <row r="26" spans="1:19" s="11" customFormat="1" ht="26" x14ac:dyDescent="0.2">
      <c r="A26" s="9">
        <v>20</v>
      </c>
      <c r="B26" s="9"/>
      <c r="C26" s="9"/>
      <c r="D26" s="9" t="s">
        <v>112</v>
      </c>
      <c r="E26" s="49" t="s">
        <v>110</v>
      </c>
      <c r="F26" s="49"/>
      <c r="G26" s="50" t="s">
        <v>220</v>
      </c>
      <c r="H26" s="50" t="s">
        <v>187</v>
      </c>
      <c r="I26" s="9"/>
      <c r="J26" s="9" t="s">
        <v>151</v>
      </c>
      <c r="K26" s="9"/>
      <c r="L26" s="9"/>
      <c r="M26" s="9" t="s">
        <v>151</v>
      </c>
      <c r="N26" s="9"/>
      <c r="O26" s="9"/>
      <c r="P26" s="51"/>
      <c r="Q26" s="52"/>
      <c r="R26" s="143"/>
      <c r="S26" s="144"/>
    </row>
    <row r="27" spans="1:19" s="11" customFormat="1" ht="26" x14ac:dyDescent="0.2">
      <c r="A27" s="9">
        <v>20</v>
      </c>
      <c r="B27" s="9"/>
      <c r="C27" s="9"/>
      <c r="D27" s="9" t="s">
        <v>113</v>
      </c>
      <c r="E27" s="49" t="s">
        <v>111</v>
      </c>
      <c r="F27" s="49"/>
      <c r="G27" s="50" t="s">
        <v>228</v>
      </c>
      <c r="H27" s="50" t="s">
        <v>162</v>
      </c>
      <c r="I27" s="9"/>
      <c r="J27" s="9" t="s">
        <v>151</v>
      </c>
      <c r="K27" s="9"/>
      <c r="L27" s="9"/>
      <c r="M27" s="9" t="s">
        <v>151</v>
      </c>
      <c r="N27" s="9"/>
      <c r="O27" s="9"/>
      <c r="P27" s="51"/>
      <c r="Q27" s="52"/>
      <c r="R27" s="143"/>
      <c r="S27" s="144"/>
    </row>
    <row r="28" spans="1:19" s="11" customFormat="1" x14ac:dyDescent="0.2">
      <c r="A28" s="9">
        <v>20</v>
      </c>
      <c r="B28" s="9"/>
      <c r="C28" s="9"/>
      <c r="D28" s="9" t="s">
        <v>128</v>
      </c>
      <c r="E28" s="49" t="s">
        <v>129</v>
      </c>
      <c r="F28" s="49"/>
      <c r="G28" s="50" t="s">
        <v>221</v>
      </c>
      <c r="H28" s="50" t="s">
        <v>153</v>
      </c>
      <c r="I28" s="9"/>
      <c r="J28" s="9" t="s">
        <v>151</v>
      </c>
      <c r="K28" s="9"/>
      <c r="L28" s="9"/>
      <c r="M28" s="9" t="s">
        <v>151</v>
      </c>
      <c r="N28" s="9"/>
      <c r="O28" s="9"/>
      <c r="P28" s="51"/>
      <c r="Q28" s="52"/>
      <c r="R28" s="143"/>
      <c r="S28" s="144"/>
    </row>
    <row r="29" spans="1:19" s="11" customFormat="1" x14ac:dyDescent="0.2">
      <c r="A29" s="9">
        <v>20</v>
      </c>
      <c r="B29" s="9"/>
      <c r="C29" s="9"/>
      <c r="D29" s="9" t="s">
        <v>42</v>
      </c>
      <c r="E29" s="49" t="s">
        <v>44</v>
      </c>
      <c r="F29" s="49"/>
      <c r="G29" s="50" t="s">
        <v>222</v>
      </c>
      <c r="H29" s="50" t="s">
        <v>182</v>
      </c>
      <c r="I29" s="9"/>
      <c r="J29" s="9" t="s">
        <v>151</v>
      </c>
      <c r="K29" s="9"/>
      <c r="L29" s="9"/>
      <c r="M29" s="9" t="s">
        <v>151</v>
      </c>
      <c r="N29" s="9"/>
      <c r="O29" s="9"/>
      <c r="P29" s="51"/>
      <c r="Q29" s="52"/>
      <c r="R29" s="143"/>
      <c r="S29" s="144"/>
    </row>
    <row r="30" spans="1:19" s="11" customFormat="1" x14ac:dyDescent="0.2">
      <c r="A30" s="9">
        <v>20</v>
      </c>
      <c r="B30" s="9"/>
      <c r="C30" s="9"/>
      <c r="D30" s="9" t="s">
        <v>50</v>
      </c>
      <c r="E30" s="49" t="s">
        <v>51</v>
      </c>
      <c r="F30" s="49"/>
      <c r="G30" s="50" t="s">
        <v>223</v>
      </c>
      <c r="H30" s="50" t="s">
        <v>183</v>
      </c>
      <c r="I30" s="9"/>
      <c r="J30" s="9" t="s">
        <v>151</v>
      </c>
      <c r="K30" s="9"/>
      <c r="L30" s="9"/>
      <c r="M30" s="9" t="s">
        <v>151</v>
      </c>
      <c r="N30" s="9"/>
      <c r="O30" s="9"/>
      <c r="P30" s="51"/>
      <c r="Q30" s="52"/>
      <c r="R30" s="143"/>
      <c r="S30" s="144"/>
    </row>
    <row r="31" spans="1:19" s="11" customFormat="1" x14ac:dyDescent="0.2">
      <c r="A31" s="9">
        <v>20</v>
      </c>
      <c r="B31" s="9"/>
      <c r="C31" s="9"/>
      <c r="D31" s="9" t="s">
        <v>46</v>
      </c>
      <c r="E31" s="49" t="s">
        <v>48</v>
      </c>
      <c r="F31" s="49"/>
      <c r="G31" s="50" t="s">
        <v>224</v>
      </c>
      <c r="H31" s="50" t="s">
        <v>154</v>
      </c>
      <c r="I31" s="9"/>
      <c r="J31" s="9" t="s">
        <v>151</v>
      </c>
      <c r="K31" s="9"/>
      <c r="L31" s="9"/>
      <c r="M31" s="9" t="s">
        <v>151</v>
      </c>
      <c r="N31" s="9"/>
      <c r="O31" s="9"/>
      <c r="P31" s="51"/>
      <c r="Q31" s="52"/>
      <c r="R31" s="143"/>
      <c r="S31" s="144"/>
    </row>
    <row r="32" spans="1:19" s="11" customFormat="1" x14ac:dyDescent="0.2">
      <c r="A32" s="9">
        <v>20</v>
      </c>
      <c r="B32" s="9"/>
      <c r="C32" s="9"/>
      <c r="D32" s="9" t="s">
        <v>146</v>
      </c>
      <c r="E32" s="49" t="s">
        <v>107</v>
      </c>
      <c r="F32" s="49"/>
      <c r="G32" s="50" t="s">
        <v>231</v>
      </c>
      <c r="H32" s="50" t="s">
        <v>188</v>
      </c>
      <c r="I32" s="9"/>
      <c r="J32" s="9" t="s">
        <v>151</v>
      </c>
      <c r="K32" s="9"/>
      <c r="L32" s="9"/>
      <c r="M32" s="9" t="s">
        <v>151</v>
      </c>
      <c r="N32" s="9"/>
      <c r="O32" s="9"/>
      <c r="P32" s="51"/>
      <c r="Q32" s="52"/>
      <c r="R32" s="143"/>
      <c r="S32" s="144"/>
    </row>
    <row r="33" spans="1:19" s="11" customFormat="1" x14ac:dyDescent="0.2">
      <c r="A33" s="9">
        <v>20</v>
      </c>
      <c r="B33" s="9"/>
      <c r="C33" s="9"/>
      <c r="D33" s="9" t="s">
        <v>35</v>
      </c>
      <c r="E33" s="49" t="s">
        <v>108</v>
      </c>
      <c r="F33" s="49"/>
      <c r="G33" s="50" t="s">
        <v>232</v>
      </c>
      <c r="H33" s="50" t="s">
        <v>189</v>
      </c>
      <c r="I33" s="9"/>
      <c r="J33" s="9" t="s">
        <v>151</v>
      </c>
      <c r="K33" s="9"/>
      <c r="L33" s="9"/>
      <c r="M33" s="9" t="s">
        <v>151</v>
      </c>
      <c r="N33" s="9"/>
      <c r="O33" s="9"/>
      <c r="P33" s="51"/>
      <c r="Q33" s="52"/>
      <c r="R33" s="143"/>
      <c r="S33" s="144"/>
    </row>
    <row r="34" spans="1:19" s="11" customFormat="1" x14ac:dyDescent="0.2">
      <c r="A34" s="9">
        <v>20</v>
      </c>
      <c r="B34" s="9"/>
      <c r="C34" s="9"/>
      <c r="D34" s="9" t="s">
        <v>14</v>
      </c>
      <c r="E34" s="49" t="s">
        <v>57</v>
      </c>
      <c r="F34" s="49"/>
      <c r="G34" s="50" t="s">
        <v>233</v>
      </c>
      <c r="H34" s="50" t="s">
        <v>165</v>
      </c>
      <c r="I34" s="9"/>
      <c r="J34" s="9" t="s">
        <v>151</v>
      </c>
      <c r="K34" s="9"/>
      <c r="L34" s="9"/>
      <c r="M34" s="9" t="s">
        <v>151</v>
      </c>
      <c r="N34" s="9"/>
      <c r="O34" s="9"/>
      <c r="P34" s="51"/>
      <c r="Q34" s="52"/>
      <c r="R34" s="143"/>
      <c r="S34" s="144"/>
    </row>
    <row r="35" spans="1:19" s="11" customFormat="1" x14ac:dyDescent="0.2">
      <c r="A35" s="9">
        <v>20</v>
      </c>
      <c r="B35" s="9"/>
      <c r="C35" s="9"/>
      <c r="D35" s="9" t="s">
        <v>54</v>
      </c>
      <c r="E35" s="49" t="s">
        <v>105</v>
      </c>
      <c r="F35" s="49"/>
      <c r="G35" s="50" t="s">
        <v>234</v>
      </c>
      <c r="H35" s="50" t="s">
        <v>190</v>
      </c>
      <c r="I35" s="9"/>
      <c r="J35" s="9" t="s">
        <v>151</v>
      </c>
      <c r="K35" s="9"/>
      <c r="L35" s="9"/>
      <c r="M35" s="9" t="s">
        <v>151</v>
      </c>
      <c r="N35" s="9"/>
      <c r="O35" s="9"/>
      <c r="P35" s="51"/>
      <c r="Q35" s="52"/>
      <c r="R35" s="143"/>
      <c r="S35" s="144"/>
    </row>
    <row r="36" spans="1:19" s="11" customFormat="1" x14ac:dyDescent="0.2">
      <c r="A36" s="9">
        <v>20</v>
      </c>
      <c r="B36" s="9"/>
      <c r="C36" s="9"/>
      <c r="D36" s="9" t="s">
        <v>58</v>
      </c>
      <c r="E36" s="49" t="s">
        <v>106</v>
      </c>
      <c r="F36" s="49"/>
      <c r="G36" s="50" t="s">
        <v>235</v>
      </c>
      <c r="H36" s="50" t="s">
        <v>191</v>
      </c>
      <c r="I36" s="9"/>
      <c r="J36" s="9" t="s">
        <v>151</v>
      </c>
      <c r="K36" s="9"/>
      <c r="L36" s="9"/>
      <c r="M36" s="9"/>
      <c r="N36" s="9"/>
      <c r="O36" s="9"/>
      <c r="P36" s="51"/>
      <c r="Q36" s="52"/>
      <c r="R36" s="143"/>
      <c r="S36" s="144"/>
    </row>
    <row r="37" spans="1:19" s="11" customFormat="1" x14ac:dyDescent="0.2">
      <c r="A37" s="9">
        <v>20</v>
      </c>
      <c r="B37" s="9"/>
      <c r="C37" s="9"/>
      <c r="D37" s="9" t="s">
        <v>76</v>
      </c>
      <c r="E37" s="49" t="s">
        <v>78</v>
      </c>
      <c r="F37" s="49"/>
      <c r="G37" s="50" t="s">
        <v>226</v>
      </c>
      <c r="H37" s="50" t="s">
        <v>159</v>
      </c>
      <c r="I37" s="9"/>
      <c r="J37" s="9" t="s">
        <v>151</v>
      </c>
      <c r="K37" s="9"/>
      <c r="L37" s="9"/>
      <c r="M37" s="9" t="s">
        <v>151</v>
      </c>
      <c r="N37" s="9"/>
      <c r="O37" s="9"/>
      <c r="P37" s="51"/>
      <c r="Q37" s="52"/>
      <c r="R37" s="143"/>
      <c r="S37" s="144"/>
    </row>
    <row r="38" spans="1:19" s="11" customFormat="1" x14ac:dyDescent="0.2">
      <c r="A38" s="9">
        <v>20</v>
      </c>
      <c r="B38" s="9"/>
      <c r="C38" s="9"/>
      <c r="D38" s="9" t="s">
        <v>147</v>
      </c>
      <c r="E38" s="49" t="s">
        <v>107</v>
      </c>
      <c r="F38" s="49"/>
      <c r="G38" s="50" t="s">
        <v>236</v>
      </c>
      <c r="H38" s="50" t="s">
        <v>166</v>
      </c>
      <c r="I38" s="9"/>
      <c r="J38" s="9" t="s">
        <v>151</v>
      </c>
      <c r="K38" s="9"/>
      <c r="L38" s="9"/>
      <c r="M38" s="9" t="s">
        <v>151</v>
      </c>
      <c r="N38" s="9"/>
      <c r="O38" s="9"/>
      <c r="P38" s="51"/>
      <c r="Q38" s="52"/>
      <c r="R38" s="143"/>
      <c r="S38" s="144"/>
    </row>
    <row r="39" spans="1:19" s="11" customFormat="1" x14ac:dyDescent="0.2">
      <c r="A39" s="9">
        <v>20</v>
      </c>
      <c r="B39" s="9"/>
      <c r="C39" s="9"/>
      <c r="D39" s="9" t="s">
        <v>36</v>
      </c>
      <c r="E39" s="49" t="s">
        <v>108</v>
      </c>
      <c r="F39" s="49"/>
      <c r="G39" s="50" t="s">
        <v>237</v>
      </c>
      <c r="H39" s="50" t="s">
        <v>167</v>
      </c>
      <c r="I39" s="9"/>
      <c r="J39" s="9" t="s">
        <v>151</v>
      </c>
      <c r="K39" s="9"/>
      <c r="L39" s="9"/>
      <c r="M39" s="9" t="s">
        <v>151</v>
      </c>
      <c r="N39" s="9"/>
      <c r="O39" s="9"/>
      <c r="P39" s="51"/>
      <c r="Q39" s="52"/>
      <c r="R39" s="143"/>
      <c r="S39" s="144"/>
    </row>
    <row r="40" spans="1:19" s="11" customFormat="1" x14ac:dyDescent="0.2">
      <c r="A40" s="9">
        <v>20</v>
      </c>
      <c r="B40" s="9"/>
      <c r="C40" s="9"/>
      <c r="D40" s="9" t="s">
        <v>15</v>
      </c>
      <c r="E40" s="49" t="s">
        <v>57</v>
      </c>
      <c r="F40" s="49"/>
      <c r="G40" s="50" t="s">
        <v>238</v>
      </c>
      <c r="H40" s="50" t="s">
        <v>168</v>
      </c>
      <c r="I40" s="9"/>
      <c r="J40" s="9" t="s">
        <v>151</v>
      </c>
      <c r="K40" s="9"/>
      <c r="L40" s="9"/>
      <c r="M40" s="9" t="s">
        <v>151</v>
      </c>
      <c r="N40" s="9"/>
      <c r="O40" s="9"/>
      <c r="P40" s="51"/>
      <c r="Q40" s="52"/>
      <c r="R40" s="143"/>
      <c r="S40" s="144"/>
    </row>
    <row r="41" spans="1:19" s="11" customFormat="1" x14ac:dyDescent="0.2">
      <c r="A41" s="9">
        <v>20</v>
      </c>
      <c r="B41" s="9"/>
      <c r="C41" s="9"/>
      <c r="D41" s="9" t="s">
        <v>55</v>
      </c>
      <c r="E41" s="49" t="s">
        <v>105</v>
      </c>
      <c r="F41" s="49"/>
      <c r="G41" s="50" t="s">
        <v>239</v>
      </c>
      <c r="H41" s="50" t="s">
        <v>169</v>
      </c>
      <c r="I41" s="9"/>
      <c r="J41" s="9" t="s">
        <v>151</v>
      </c>
      <c r="K41" s="9"/>
      <c r="L41" s="9"/>
      <c r="M41" s="9" t="s">
        <v>151</v>
      </c>
      <c r="N41" s="9"/>
      <c r="O41" s="9"/>
      <c r="P41" s="51"/>
      <c r="Q41" s="52"/>
      <c r="R41" s="143"/>
      <c r="S41" s="144"/>
    </row>
    <row r="42" spans="1:19" s="11" customFormat="1" x14ac:dyDescent="0.2">
      <c r="A42" s="9">
        <v>20</v>
      </c>
      <c r="B42" s="9"/>
      <c r="C42" s="9"/>
      <c r="D42" s="9" t="s">
        <v>59</v>
      </c>
      <c r="E42" s="49" t="s">
        <v>106</v>
      </c>
      <c r="F42" s="49"/>
      <c r="G42" s="50" t="s">
        <v>240</v>
      </c>
      <c r="H42" s="50" t="s">
        <v>170</v>
      </c>
      <c r="I42" s="9"/>
      <c r="J42" s="9" t="s">
        <v>151</v>
      </c>
      <c r="K42" s="9"/>
      <c r="L42" s="9"/>
      <c r="M42" s="9"/>
      <c r="N42" s="9"/>
      <c r="O42" s="9"/>
      <c r="P42" s="51"/>
      <c r="Q42" s="52"/>
      <c r="R42" s="143"/>
      <c r="S42" s="144"/>
    </row>
    <row r="43" spans="1:19" s="11" customFormat="1" x14ac:dyDescent="0.2">
      <c r="A43" s="9">
        <v>20</v>
      </c>
      <c r="B43" s="9"/>
      <c r="C43" s="9"/>
      <c r="D43" s="9" t="s">
        <v>60</v>
      </c>
      <c r="E43" s="49" t="s">
        <v>56</v>
      </c>
      <c r="F43" s="49"/>
      <c r="G43" s="50" t="s">
        <v>241</v>
      </c>
      <c r="H43" s="50" t="s">
        <v>192</v>
      </c>
      <c r="I43" s="9"/>
      <c r="J43" s="9" t="s">
        <v>151</v>
      </c>
      <c r="K43" s="9"/>
      <c r="L43" s="9"/>
      <c r="M43" s="9" t="s">
        <v>151</v>
      </c>
      <c r="N43" s="9"/>
      <c r="O43" s="9"/>
      <c r="P43" s="51"/>
      <c r="Q43" s="52"/>
      <c r="R43" s="143"/>
      <c r="S43" s="144"/>
    </row>
    <row r="44" spans="1:19" s="11" customFormat="1" x14ac:dyDescent="0.2">
      <c r="A44" s="9">
        <v>20</v>
      </c>
      <c r="B44" s="9"/>
      <c r="C44" s="9"/>
      <c r="D44" s="9" t="s">
        <v>73</v>
      </c>
      <c r="E44" s="49" t="s">
        <v>107</v>
      </c>
      <c r="F44" s="49"/>
      <c r="G44" s="50" t="s">
        <v>242</v>
      </c>
      <c r="H44" s="50" t="s">
        <v>171</v>
      </c>
      <c r="I44" s="9"/>
      <c r="J44" s="9" t="s">
        <v>151</v>
      </c>
      <c r="K44" s="9"/>
      <c r="L44" s="9"/>
      <c r="M44" s="9" t="s">
        <v>151</v>
      </c>
      <c r="N44" s="9"/>
      <c r="O44" s="9"/>
      <c r="P44" s="51"/>
      <c r="Q44" s="52"/>
      <c r="R44" s="143"/>
      <c r="S44" s="144"/>
    </row>
    <row r="45" spans="1:19" s="11" customFormat="1" x14ac:dyDescent="0.2">
      <c r="A45" s="9">
        <v>20</v>
      </c>
      <c r="B45" s="9"/>
      <c r="C45" s="9"/>
      <c r="D45" s="9" t="s">
        <v>74</v>
      </c>
      <c r="E45" s="49" t="s">
        <v>108</v>
      </c>
      <c r="F45" s="49"/>
      <c r="G45" s="50" t="s">
        <v>243</v>
      </c>
      <c r="H45" s="50" t="s">
        <v>172</v>
      </c>
      <c r="I45" s="9"/>
      <c r="J45" s="9" t="s">
        <v>151</v>
      </c>
      <c r="K45" s="9"/>
      <c r="L45" s="9"/>
      <c r="M45" s="9" t="s">
        <v>151</v>
      </c>
      <c r="N45" s="9"/>
      <c r="O45" s="9"/>
      <c r="P45" s="51"/>
      <c r="Q45" s="52"/>
      <c r="R45" s="143"/>
      <c r="S45" s="144"/>
    </row>
    <row r="46" spans="1:19" s="11" customFormat="1" x14ac:dyDescent="0.2">
      <c r="A46" s="9">
        <v>20</v>
      </c>
      <c r="B46" s="9"/>
      <c r="C46" s="9"/>
      <c r="D46" s="9" t="s">
        <v>75</v>
      </c>
      <c r="E46" s="49" t="s">
        <v>57</v>
      </c>
      <c r="F46" s="49"/>
      <c r="G46" s="50" t="s">
        <v>244</v>
      </c>
      <c r="H46" s="50" t="s">
        <v>173</v>
      </c>
      <c r="I46" s="9"/>
      <c r="J46" s="9" t="s">
        <v>151</v>
      </c>
      <c r="K46" s="9"/>
      <c r="L46" s="9"/>
      <c r="M46" s="9" t="s">
        <v>151</v>
      </c>
      <c r="N46" s="9"/>
      <c r="O46" s="9"/>
      <c r="P46" s="51"/>
      <c r="Q46" s="52"/>
      <c r="R46" s="143"/>
      <c r="S46" s="144"/>
    </row>
    <row r="47" spans="1:19" s="11" customFormat="1" x14ac:dyDescent="0.2">
      <c r="A47" s="64"/>
      <c r="B47" s="30"/>
      <c r="C47" s="30"/>
      <c r="D47" s="65" t="s">
        <v>4</v>
      </c>
      <c r="E47" s="31"/>
      <c r="F47" s="66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67"/>
    </row>
    <row r="48" spans="1:19" s="11" customFormat="1" x14ac:dyDescent="0.2">
      <c r="A48" s="78"/>
      <c r="S48" s="55"/>
    </row>
    <row r="49" spans="1:19" s="11" customFormat="1" x14ac:dyDescent="0.2">
      <c r="A49" s="78"/>
      <c r="S49" s="55"/>
    </row>
    <row r="50" spans="1:19" s="11" customFormat="1" x14ac:dyDescent="0.2">
      <c r="A50" s="78"/>
      <c r="S50" s="55"/>
    </row>
    <row r="51" spans="1:19" s="11" customFormat="1" x14ac:dyDescent="0.2">
      <c r="A51" s="78"/>
      <c r="S51" s="55"/>
    </row>
    <row r="52" spans="1:19" s="11" customFormat="1" x14ac:dyDescent="0.2">
      <c r="A52" s="82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20"/>
    </row>
  </sheetData>
  <mergeCells count="33">
    <mergeCell ref="R12:S12"/>
    <mergeCell ref="R13:S13"/>
    <mergeCell ref="R14:S14"/>
    <mergeCell ref="R15:S15"/>
    <mergeCell ref="R37:S37"/>
    <mergeCell ref="R26:S26"/>
    <mergeCell ref="R36:S36"/>
    <mergeCell ref="R32:S32"/>
    <mergeCell ref="R29:S29"/>
    <mergeCell ref="R34:S34"/>
    <mergeCell ref="R28:S28"/>
    <mergeCell ref="R38:S38"/>
    <mergeCell ref="R42:S42"/>
    <mergeCell ref="R41:S41"/>
    <mergeCell ref="R40:S40"/>
    <mergeCell ref="R43:S43"/>
    <mergeCell ref="R39:S39"/>
    <mergeCell ref="R46:S46"/>
    <mergeCell ref="R16:S16"/>
    <mergeCell ref="R19:S19"/>
    <mergeCell ref="R23:S23"/>
    <mergeCell ref="R17:S17"/>
    <mergeCell ref="R25:S25"/>
    <mergeCell ref="R24:S24"/>
    <mergeCell ref="R45:S45"/>
    <mergeCell ref="R35:S35"/>
    <mergeCell ref="R31:S31"/>
    <mergeCell ref="R33:S33"/>
    <mergeCell ref="R18:S18"/>
    <mergeCell ref="R30:S30"/>
    <mergeCell ref="R20:S20"/>
    <mergeCell ref="R27:S27"/>
    <mergeCell ref="R44:S44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V24"/>
  <sheetViews>
    <sheetView topLeftCell="I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4" t="s">
        <v>150</v>
      </c>
      <c r="B1" s="74" t="s">
        <v>150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5" t="s">
        <v>150</v>
      </c>
      <c r="B2" s="76"/>
      <c r="C2" s="76"/>
      <c r="D2" s="85" t="s">
        <v>205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MABGL0070</v>
      </c>
      <c r="I2" s="7" t="s">
        <v>160</v>
      </c>
      <c r="J2" s="9" t="s">
        <v>96</v>
      </c>
      <c r="K2" s="7" t="s">
        <v>40</v>
      </c>
      <c r="L2" s="77" t="str">
        <f>IF(LogicCommon!G2="","",LogicCommon!G2)</f>
        <v>MC</v>
      </c>
      <c r="M2" s="5" t="s">
        <v>148</v>
      </c>
      <c r="N2" s="28" t="s">
        <v>200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8" t="s">
        <v>150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MABG</v>
      </c>
      <c r="G3" s="7" t="s">
        <v>10</v>
      </c>
      <c r="H3" s="77" t="str">
        <f>IF(LogicCommon!E3="","",LogicCommon!E3)</f>
        <v>MABGL_GrpWgReg</v>
      </c>
      <c r="I3" s="7" t="s">
        <v>149</v>
      </c>
      <c r="J3" s="9" t="s">
        <v>28</v>
      </c>
      <c r="K3" s="7" t="s">
        <v>41</v>
      </c>
      <c r="L3" s="77" t="str">
        <f>IF(LogicCommon!G3="","",LogicCommon!G3)</f>
        <v/>
      </c>
      <c r="M3" s="59" t="s">
        <v>29</v>
      </c>
      <c r="N3" s="7"/>
      <c r="O3" s="7" t="s">
        <v>174</v>
      </c>
      <c r="P3" s="9" t="s">
        <v>157</v>
      </c>
      <c r="Q3" s="4"/>
      <c r="R3" s="27"/>
      <c r="S3" s="27"/>
      <c r="T3" s="27"/>
      <c r="U3" s="27"/>
      <c r="V3" s="27"/>
    </row>
    <row r="4" spans="1:22" s="11" customFormat="1" x14ac:dyDescent="0.2">
      <c r="A4" s="78" t="s">
        <v>150</v>
      </c>
      <c r="B4" s="79"/>
      <c r="C4" s="79"/>
      <c r="D4" s="4"/>
      <c r="E4" s="7" t="s">
        <v>8</v>
      </c>
      <c r="F4" s="10" t="s">
        <v>142</v>
      </c>
      <c r="G4" s="7" t="s">
        <v>11</v>
      </c>
      <c r="H4" s="77" t="str">
        <f>IF(LogicCommon!E4="","",LogicCommon!E4)</f>
        <v>計算グループＷＧマスタ登録</v>
      </c>
      <c r="I4" s="7" t="s">
        <v>175</v>
      </c>
      <c r="J4" s="9" t="s">
        <v>63</v>
      </c>
      <c r="K4" s="7" t="s">
        <v>5</v>
      </c>
      <c r="L4" s="77" t="str">
        <f>IF(LogicCommon!G4="","",LogicCommon!G4)</f>
        <v>MA.MAUDL5010</v>
      </c>
      <c r="M4" s="81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82" t="s">
        <v>150</v>
      </c>
      <c r="B5" s="74"/>
      <c r="C5" s="74"/>
      <c r="D5" s="26"/>
      <c r="E5" s="7" t="s">
        <v>158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8" t="s">
        <v>150</v>
      </c>
      <c r="B6" s="79"/>
      <c r="C6" s="79"/>
      <c r="D6" s="4" t="s">
        <v>6</v>
      </c>
      <c r="E6" s="16" t="s">
        <v>132</v>
      </c>
      <c r="F6" s="16"/>
      <c r="G6" s="16"/>
      <c r="H6" s="16"/>
      <c r="I6" s="16"/>
      <c r="J6" s="16"/>
      <c r="K6" s="16"/>
      <c r="L6" s="84" t="s">
        <v>37</v>
      </c>
      <c r="M6" s="19"/>
      <c r="N6" s="19" t="s">
        <v>37</v>
      </c>
      <c r="O6" s="19"/>
      <c r="P6" s="19" t="s">
        <v>37</v>
      </c>
      <c r="Q6" s="19"/>
      <c r="R6" s="3" t="s">
        <v>37</v>
      </c>
      <c r="S6" s="4"/>
      <c r="T6" s="29"/>
      <c r="U6" s="29"/>
      <c r="V6" s="27"/>
    </row>
    <row r="7" spans="1:22" s="11" customFormat="1" x14ac:dyDescent="0.2">
      <c r="A7" s="30" t="s">
        <v>18</v>
      </c>
      <c r="B7" s="30"/>
      <c r="C7" s="30"/>
      <c r="D7" s="31"/>
      <c r="E7" s="31"/>
      <c r="F7" s="31"/>
      <c r="G7" s="31"/>
      <c r="H7" s="31"/>
      <c r="I7" s="31" t="s">
        <v>38</v>
      </c>
      <c r="J7" s="31"/>
      <c r="K7" s="33" t="s">
        <v>39</v>
      </c>
      <c r="L7" s="32" t="s">
        <v>85</v>
      </c>
      <c r="M7" s="33" t="s">
        <v>66</v>
      </c>
      <c r="N7" s="32" t="s">
        <v>86</v>
      </c>
      <c r="O7" s="33" t="s">
        <v>66</v>
      </c>
      <c r="P7" s="32"/>
      <c r="Q7" s="33" t="s">
        <v>66</v>
      </c>
      <c r="R7" s="32"/>
      <c r="S7" s="29"/>
      <c r="T7" s="29"/>
      <c r="U7" s="29"/>
      <c r="V7" s="29"/>
    </row>
    <row r="8" spans="1:22" s="11" customFormat="1" ht="60" customHeight="1" x14ac:dyDescent="0.2">
      <c r="A8" s="49" t="s">
        <v>17</v>
      </c>
      <c r="B8" s="88"/>
      <c r="C8" s="89"/>
      <c r="D8" s="86" t="s">
        <v>206</v>
      </c>
      <c r="E8" s="86" t="s">
        <v>207</v>
      </c>
      <c r="F8" s="84"/>
      <c r="G8" s="86" t="s">
        <v>184</v>
      </c>
      <c r="H8" s="86" t="s">
        <v>208</v>
      </c>
      <c r="I8" s="84"/>
      <c r="J8" s="3"/>
      <c r="K8" s="33" t="s">
        <v>16</v>
      </c>
      <c r="L8" s="9" t="s">
        <v>124</v>
      </c>
      <c r="M8" s="33" t="s">
        <v>67</v>
      </c>
      <c r="N8" s="9" t="s">
        <v>125</v>
      </c>
      <c r="O8" s="33" t="s">
        <v>67</v>
      </c>
      <c r="P8" s="9"/>
      <c r="Q8" s="33" t="s">
        <v>67</v>
      </c>
      <c r="R8" s="9"/>
      <c r="S8" s="90"/>
      <c r="T8" s="91"/>
      <c r="U8" s="92" t="s">
        <v>217</v>
      </c>
      <c r="V8" s="52"/>
    </row>
    <row r="9" spans="1:22" s="11" customFormat="1" ht="60" customHeight="1" x14ac:dyDescent="0.2">
      <c r="A9" s="9" t="s">
        <v>17</v>
      </c>
      <c r="B9" s="37"/>
      <c r="C9" s="38"/>
      <c r="D9" s="86" t="s">
        <v>209</v>
      </c>
      <c r="E9" s="93" t="s">
        <v>210</v>
      </c>
      <c r="F9" s="86" t="s">
        <v>211</v>
      </c>
      <c r="G9" s="86" t="s">
        <v>212</v>
      </c>
      <c r="H9" s="86" t="s">
        <v>213</v>
      </c>
      <c r="I9" s="94" t="s">
        <v>214</v>
      </c>
      <c r="J9" s="86" t="s">
        <v>215</v>
      </c>
      <c r="K9" s="33"/>
      <c r="L9" s="33"/>
      <c r="M9" s="33"/>
      <c r="N9" s="33"/>
      <c r="O9" s="33"/>
      <c r="P9" s="33"/>
      <c r="Q9" s="33"/>
      <c r="R9" s="33"/>
      <c r="S9" s="92" t="s">
        <v>216</v>
      </c>
      <c r="T9" s="52"/>
      <c r="U9" s="92" t="s">
        <v>218</v>
      </c>
      <c r="V9" s="52"/>
    </row>
    <row r="10" spans="1:22" s="11" customFormat="1" ht="52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87" t="s">
        <v>214</v>
      </c>
      <c r="L10" s="87" t="s">
        <v>215</v>
      </c>
      <c r="M10" s="87" t="s">
        <v>214</v>
      </c>
      <c r="N10" s="87" t="s">
        <v>215</v>
      </c>
      <c r="O10" s="87" t="s">
        <v>214</v>
      </c>
      <c r="P10" s="87" t="s">
        <v>215</v>
      </c>
      <c r="Q10" s="87" t="s">
        <v>214</v>
      </c>
      <c r="R10" s="87" t="s">
        <v>215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65</v>
      </c>
      <c r="E11" s="34" t="s">
        <v>21</v>
      </c>
      <c r="F11" s="44"/>
      <c r="G11" s="28" t="s">
        <v>81</v>
      </c>
      <c r="H11" s="56" t="s">
        <v>193</v>
      </c>
      <c r="I11" s="45"/>
      <c r="J11" s="46"/>
      <c r="K11" s="47" t="s">
        <v>194</v>
      </c>
      <c r="L11" s="47"/>
      <c r="M11" s="47" t="s">
        <v>195</v>
      </c>
      <c r="N11" s="47"/>
      <c r="O11" s="47"/>
      <c r="P11" s="47"/>
      <c r="Q11" s="47"/>
      <c r="R11" s="47"/>
      <c r="S11" s="35"/>
      <c r="T11" s="36"/>
      <c r="U11" s="71"/>
      <c r="V11" s="48"/>
    </row>
    <row r="12" spans="1:22" s="11" customFormat="1" x14ac:dyDescent="0.2">
      <c r="A12" s="9">
        <v>10</v>
      </c>
      <c r="B12" s="9"/>
      <c r="C12" s="9"/>
      <c r="D12" s="9" t="s">
        <v>98</v>
      </c>
      <c r="E12" s="49" t="s">
        <v>99</v>
      </c>
      <c r="F12" s="49"/>
      <c r="G12" s="50" t="s">
        <v>219</v>
      </c>
      <c r="H12" s="50" t="s">
        <v>177</v>
      </c>
      <c r="I12" s="9" t="s">
        <v>151</v>
      </c>
      <c r="J12" s="9"/>
      <c r="K12" s="9" t="s">
        <v>151</v>
      </c>
      <c r="L12" s="9"/>
      <c r="M12" s="9" t="s">
        <v>151</v>
      </c>
      <c r="N12" s="9"/>
      <c r="O12" s="9"/>
      <c r="P12" s="9"/>
      <c r="Q12" s="9"/>
      <c r="R12" s="9"/>
      <c r="S12" s="41"/>
      <c r="T12" s="52"/>
      <c r="U12" s="143"/>
      <c r="V12" s="144"/>
    </row>
    <row r="13" spans="1:22" s="11" customFormat="1" x14ac:dyDescent="0.2">
      <c r="A13" s="9">
        <v>10</v>
      </c>
      <c r="B13" s="9"/>
      <c r="C13" s="9"/>
      <c r="D13" s="9" t="s">
        <v>112</v>
      </c>
      <c r="E13" s="49" t="s">
        <v>110</v>
      </c>
      <c r="F13" s="49"/>
      <c r="G13" s="50" t="s">
        <v>220</v>
      </c>
      <c r="H13" s="50" t="s">
        <v>187</v>
      </c>
      <c r="I13" s="9" t="s">
        <v>151</v>
      </c>
      <c r="J13" s="9"/>
      <c r="K13" s="9" t="s">
        <v>151</v>
      </c>
      <c r="L13" s="9"/>
      <c r="M13" s="9" t="s">
        <v>151</v>
      </c>
      <c r="N13" s="9"/>
      <c r="O13" s="9"/>
      <c r="P13" s="9"/>
      <c r="Q13" s="9"/>
      <c r="R13" s="9"/>
      <c r="S13" s="41"/>
      <c r="T13" s="52"/>
      <c r="U13" s="143"/>
      <c r="V13" s="144"/>
    </row>
    <row r="14" spans="1:22" s="11" customFormat="1" x14ac:dyDescent="0.2">
      <c r="A14" s="9">
        <v>10</v>
      </c>
      <c r="B14" s="9"/>
      <c r="C14" s="9"/>
      <c r="D14" s="9" t="s">
        <v>128</v>
      </c>
      <c r="E14" s="49" t="s">
        <v>129</v>
      </c>
      <c r="F14" s="49"/>
      <c r="G14" s="50" t="s">
        <v>221</v>
      </c>
      <c r="H14" s="50" t="s">
        <v>153</v>
      </c>
      <c r="I14" s="9" t="s">
        <v>151</v>
      </c>
      <c r="J14" s="9"/>
      <c r="K14" s="9" t="s">
        <v>151</v>
      </c>
      <c r="L14" s="9"/>
      <c r="M14" s="9" t="s">
        <v>151</v>
      </c>
      <c r="N14" s="9"/>
      <c r="O14" s="9"/>
      <c r="P14" s="9"/>
      <c r="Q14" s="9"/>
      <c r="R14" s="9"/>
      <c r="S14" s="41"/>
      <c r="T14" s="52"/>
      <c r="U14" s="143"/>
      <c r="V14" s="144"/>
    </row>
    <row r="15" spans="1:22" s="11" customFormat="1" x14ac:dyDescent="0.2">
      <c r="A15" s="9">
        <v>10</v>
      </c>
      <c r="B15" s="9"/>
      <c r="C15" s="9"/>
      <c r="D15" s="9" t="s">
        <v>42</v>
      </c>
      <c r="E15" s="49" t="s">
        <v>44</v>
      </c>
      <c r="F15" s="49"/>
      <c r="G15" s="50" t="s">
        <v>222</v>
      </c>
      <c r="H15" s="50" t="s">
        <v>182</v>
      </c>
      <c r="I15" s="9" t="s">
        <v>151</v>
      </c>
      <c r="J15" s="9"/>
      <c r="K15" s="9" t="s">
        <v>151</v>
      </c>
      <c r="L15" s="9"/>
      <c r="M15" s="9" t="s">
        <v>151</v>
      </c>
      <c r="N15" s="9"/>
      <c r="O15" s="9"/>
      <c r="P15" s="9"/>
      <c r="Q15" s="9"/>
      <c r="R15" s="9"/>
      <c r="S15" s="41"/>
      <c r="T15" s="52"/>
      <c r="U15" s="143"/>
      <c r="V15" s="144"/>
    </row>
    <row r="16" spans="1:22" s="11" customFormat="1" x14ac:dyDescent="0.2">
      <c r="A16" s="9">
        <v>10</v>
      </c>
      <c r="B16" s="9"/>
      <c r="C16" s="9"/>
      <c r="D16" s="9" t="s">
        <v>50</v>
      </c>
      <c r="E16" s="49" t="s">
        <v>51</v>
      </c>
      <c r="F16" s="49"/>
      <c r="G16" s="50" t="s">
        <v>223</v>
      </c>
      <c r="H16" s="50" t="s">
        <v>183</v>
      </c>
      <c r="I16" s="9" t="s">
        <v>151</v>
      </c>
      <c r="J16" s="9"/>
      <c r="K16" s="9" t="s">
        <v>151</v>
      </c>
      <c r="L16" s="9"/>
      <c r="M16" s="9" t="s">
        <v>151</v>
      </c>
      <c r="N16" s="9"/>
      <c r="O16" s="9"/>
      <c r="P16" s="9"/>
      <c r="Q16" s="9"/>
      <c r="R16" s="9"/>
      <c r="S16" s="41"/>
      <c r="T16" s="52"/>
      <c r="U16" s="143"/>
      <c r="V16" s="144"/>
    </row>
    <row r="17" spans="1:22" s="11" customFormat="1" x14ac:dyDescent="0.2">
      <c r="A17" s="9">
        <v>10</v>
      </c>
      <c r="B17" s="9"/>
      <c r="C17" s="9"/>
      <c r="D17" s="9" t="s">
        <v>46</v>
      </c>
      <c r="E17" s="49" t="s">
        <v>48</v>
      </c>
      <c r="F17" s="49"/>
      <c r="G17" s="50" t="s">
        <v>224</v>
      </c>
      <c r="H17" s="50" t="s">
        <v>154</v>
      </c>
      <c r="I17" s="9" t="s">
        <v>151</v>
      </c>
      <c r="J17" s="9"/>
      <c r="K17" s="9" t="s">
        <v>151</v>
      </c>
      <c r="L17" s="9"/>
      <c r="M17" s="9" t="s">
        <v>151</v>
      </c>
      <c r="N17" s="9"/>
      <c r="O17" s="9"/>
      <c r="P17" s="9"/>
      <c r="Q17" s="9"/>
      <c r="R17" s="9"/>
      <c r="S17" s="41"/>
      <c r="T17" s="52"/>
      <c r="U17" s="143"/>
      <c r="V17" s="144"/>
    </row>
    <row r="18" spans="1:22" s="11" customFormat="1" x14ac:dyDescent="0.2">
      <c r="A18" s="9">
        <v>10</v>
      </c>
      <c r="B18" s="9"/>
      <c r="C18" s="9"/>
      <c r="D18" s="9" t="s">
        <v>72</v>
      </c>
      <c r="E18" s="49" t="s">
        <v>52</v>
      </c>
      <c r="F18" s="49"/>
      <c r="G18" s="50" t="s">
        <v>225</v>
      </c>
      <c r="H18" s="50" t="s">
        <v>155</v>
      </c>
      <c r="I18" s="9" t="s">
        <v>151</v>
      </c>
      <c r="J18" s="9"/>
      <c r="K18" s="9" t="s">
        <v>151</v>
      </c>
      <c r="L18" s="9"/>
      <c r="M18" s="9" t="s">
        <v>151</v>
      </c>
      <c r="N18" s="9"/>
      <c r="O18" s="9"/>
      <c r="P18" s="9"/>
      <c r="Q18" s="9"/>
      <c r="R18" s="9"/>
      <c r="S18" s="41"/>
      <c r="T18" s="52"/>
      <c r="U18" s="143"/>
      <c r="V18" s="144"/>
    </row>
    <row r="19" spans="1:22" s="11" customFormat="1" x14ac:dyDescent="0.2">
      <c r="A19" s="9">
        <v>10</v>
      </c>
      <c r="B19" s="9"/>
      <c r="C19" s="9"/>
      <c r="D19" s="9" t="s">
        <v>77</v>
      </c>
      <c r="E19" s="49" t="s">
        <v>78</v>
      </c>
      <c r="F19" s="49"/>
      <c r="G19" s="50" t="s">
        <v>226</v>
      </c>
      <c r="H19" s="50" t="s">
        <v>159</v>
      </c>
      <c r="I19" s="9" t="s">
        <v>151</v>
      </c>
      <c r="J19" s="9"/>
      <c r="K19" s="9" t="s">
        <v>151</v>
      </c>
      <c r="L19" s="9"/>
      <c r="M19" s="9" t="s">
        <v>151</v>
      </c>
      <c r="N19" s="9"/>
      <c r="O19" s="9"/>
      <c r="P19" s="9"/>
      <c r="Q19" s="9"/>
      <c r="R19" s="9"/>
      <c r="S19" s="41"/>
      <c r="T19" s="52"/>
      <c r="U19" s="143"/>
      <c r="V19" s="144"/>
    </row>
    <row r="20" spans="1:22" s="11" customFormat="1" x14ac:dyDescent="0.2">
      <c r="A20" s="53"/>
      <c r="B20" s="54"/>
      <c r="C20" s="54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4"/>
      <c r="T20" s="4"/>
      <c r="U20" s="6"/>
      <c r="V20" s="23"/>
    </row>
    <row r="21" spans="1:22" s="11" customFormat="1" x14ac:dyDescent="0.2">
      <c r="A21" s="78"/>
      <c r="V21" s="55"/>
    </row>
    <row r="22" spans="1:22" s="11" customFormat="1" x14ac:dyDescent="0.2">
      <c r="A22" s="78"/>
      <c r="V22" s="55"/>
    </row>
    <row r="23" spans="1:22" s="11" customFormat="1" x14ac:dyDescent="0.2">
      <c r="A23" s="78"/>
      <c r="V23" s="55"/>
    </row>
    <row r="24" spans="1:22" s="11" customFormat="1" x14ac:dyDescent="0.2">
      <c r="A24" s="82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20"/>
    </row>
  </sheetData>
  <dataConsolidate/>
  <mergeCells count="8">
    <mergeCell ref="U13:V13"/>
    <mergeCell ref="U12:V12"/>
    <mergeCell ref="U19:V19"/>
    <mergeCell ref="U17:V17"/>
    <mergeCell ref="U16:V16"/>
    <mergeCell ref="U15:V15"/>
    <mergeCell ref="U18:V18"/>
    <mergeCell ref="U14:V14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pageSetUpPr fitToPage="1"/>
  </sheetPr>
  <dimension ref="A1:R38"/>
  <sheetViews>
    <sheetView topLeftCell="I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4" t="s">
        <v>150</v>
      </c>
      <c r="B1" s="74" t="s">
        <v>150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5" t="s">
        <v>150</v>
      </c>
      <c r="B2" s="76"/>
      <c r="C2" s="76"/>
      <c r="D2" s="85" t="s">
        <v>205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MABGL0070</v>
      </c>
      <c r="I2" s="7" t="s">
        <v>160</v>
      </c>
      <c r="J2" s="9" t="s">
        <v>94</v>
      </c>
      <c r="K2" s="7" t="s">
        <v>40</v>
      </c>
      <c r="L2" s="77" t="str">
        <f>IF(LogicCommon!G2="","",LogicCommon!G2)</f>
        <v>MC</v>
      </c>
      <c r="M2" s="5" t="s">
        <v>148</v>
      </c>
      <c r="N2" s="28" t="s">
        <v>202</v>
      </c>
      <c r="O2" s="7"/>
      <c r="P2" s="7"/>
      <c r="Q2" s="4"/>
      <c r="R2" s="27"/>
    </row>
    <row r="3" spans="1:18" s="11" customFormat="1" x14ac:dyDescent="0.2">
      <c r="A3" s="78" t="s">
        <v>150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MABG</v>
      </c>
      <c r="G3" s="7" t="s">
        <v>10</v>
      </c>
      <c r="H3" s="77" t="str">
        <f>IF(LogicCommon!E3="","",LogicCommon!E3)</f>
        <v>MABGL_GrpWgReg</v>
      </c>
      <c r="I3" s="7" t="s">
        <v>149</v>
      </c>
      <c r="J3" s="9" t="s">
        <v>28</v>
      </c>
      <c r="K3" s="7" t="s">
        <v>41</v>
      </c>
      <c r="L3" s="77" t="str">
        <f>IF(LogicCommon!G3="","",LogicCommon!G3)</f>
        <v/>
      </c>
      <c r="M3" s="59" t="s">
        <v>29</v>
      </c>
      <c r="N3" s="7"/>
      <c r="O3" s="7" t="s">
        <v>174</v>
      </c>
      <c r="P3" s="9" t="s">
        <v>157</v>
      </c>
      <c r="Q3" s="4"/>
      <c r="R3" s="27"/>
    </row>
    <row r="4" spans="1:18" s="11" customFormat="1" x14ac:dyDescent="0.2">
      <c r="A4" s="78" t="s">
        <v>150</v>
      </c>
      <c r="B4" s="79"/>
      <c r="C4" s="79"/>
      <c r="D4" s="4"/>
      <c r="E4" s="7" t="s">
        <v>8</v>
      </c>
      <c r="F4" s="10" t="s">
        <v>142</v>
      </c>
      <c r="G4" s="7" t="s">
        <v>11</v>
      </c>
      <c r="H4" s="77" t="str">
        <f>IF(LogicCommon!E4="","",LogicCommon!E4)</f>
        <v>計算グループＷＧマスタ登録</v>
      </c>
      <c r="I4" s="7" t="s">
        <v>175</v>
      </c>
      <c r="J4" s="9" t="s">
        <v>62</v>
      </c>
      <c r="K4" s="7" t="s">
        <v>5</v>
      </c>
      <c r="L4" s="77" t="str">
        <f>IF(LogicCommon!G4="","",LogicCommon!G4)</f>
        <v>MA.MAUDL5010</v>
      </c>
      <c r="M4" s="81"/>
      <c r="N4" s="28"/>
      <c r="O4" s="14"/>
      <c r="P4" s="4"/>
      <c r="Q4" s="4"/>
      <c r="R4" s="27"/>
    </row>
    <row r="5" spans="1:18" s="11" customFormat="1" x14ac:dyDescent="0.2">
      <c r="A5" s="82" t="s">
        <v>150</v>
      </c>
      <c r="B5" s="74"/>
      <c r="C5" s="74"/>
      <c r="D5" s="26"/>
      <c r="E5" s="7" t="s">
        <v>158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8" t="s">
        <v>150</v>
      </c>
      <c r="B6" s="79"/>
      <c r="C6" s="79"/>
      <c r="D6" s="4" t="s">
        <v>6</v>
      </c>
      <c r="E6" s="16" t="s">
        <v>131</v>
      </c>
      <c r="F6" s="16"/>
      <c r="G6" s="16"/>
      <c r="H6" s="16"/>
      <c r="I6" s="16"/>
      <c r="J6" s="16"/>
      <c r="K6" s="16"/>
      <c r="L6" s="84" t="s">
        <v>37</v>
      </c>
      <c r="M6" s="19"/>
      <c r="N6" s="19" t="s">
        <v>37</v>
      </c>
      <c r="O6" s="19"/>
      <c r="P6" s="19"/>
      <c r="Q6" s="19"/>
      <c r="R6" s="27"/>
    </row>
    <row r="7" spans="1:18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87</v>
      </c>
      <c r="M7" s="33" t="s">
        <v>33</v>
      </c>
      <c r="N7" s="32" t="s">
        <v>88</v>
      </c>
      <c r="O7" s="29"/>
      <c r="P7" s="29"/>
      <c r="Q7" s="29"/>
      <c r="R7" s="29"/>
    </row>
    <row r="8" spans="1:18" s="11" customFormat="1" ht="60" customHeight="1" x14ac:dyDescent="0.2">
      <c r="A8" s="49" t="s">
        <v>17</v>
      </c>
      <c r="B8" s="88"/>
      <c r="C8" s="89"/>
      <c r="D8" s="86" t="s">
        <v>206</v>
      </c>
      <c r="E8" s="86" t="s">
        <v>207</v>
      </c>
      <c r="F8" s="84"/>
      <c r="G8" s="86" t="s">
        <v>184</v>
      </c>
      <c r="H8" s="86" t="s">
        <v>208</v>
      </c>
      <c r="I8" s="84"/>
      <c r="J8" s="3"/>
      <c r="K8" s="33" t="s">
        <v>16</v>
      </c>
      <c r="L8" s="9" t="s">
        <v>126</v>
      </c>
      <c r="M8" s="33" t="s">
        <v>16</v>
      </c>
      <c r="N8" s="9" t="s">
        <v>127</v>
      </c>
      <c r="O8" s="90"/>
      <c r="P8" s="91"/>
      <c r="Q8" s="92" t="s">
        <v>217</v>
      </c>
      <c r="R8" s="52"/>
    </row>
    <row r="9" spans="1:18" s="11" customFormat="1" ht="60" customHeight="1" x14ac:dyDescent="0.2">
      <c r="A9" s="9" t="s">
        <v>17</v>
      </c>
      <c r="B9" s="37"/>
      <c r="C9" s="38"/>
      <c r="D9" s="86" t="s">
        <v>209</v>
      </c>
      <c r="E9" s="93" t="s">
        <v>210</v>
      </c>
      <c r="F9" s="86" t="s">
        <v>211</v>
      </c>
      <c r="G9" s="86" t="s">
        <v>212</v>
      </c>
      <c r="H9" s="86" t="s">
        <v>213</v>
      </c>
      <c r="I9" s="94" t="s">
        <v>214</v>
      </c>
      <c r="J9" s="86" t="s">
        <v>215</v>
      </c>
      <c r="K9" s="33"/>
      <c r="L9" s="33"/>
      <c r="M9" s="33"/>
      <c r="N9" s="33"/>
      <c r="O9" s="92" t="s">
        <v>216</v>
      </c>
      <c r="P9" s="52"/>
      <c r="Q9" s="92" t="s">
        <v>218</v>
      </c>
      <c r="R9" s="52"/>
    </row>
    <row r="10" spans="1:18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7" t="s">
        <v>214</v>
      </c>
      <c r="L10" s="87" t="s">
        <v>215</v>
      </c>
      <c r="M10" s="87" t="s">
        <v>214</v>
      </c>
      <c r="N10" s="87" t="s">
        <v>215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69</v>
      </c>
      <c r="E11" s="34" t="s">
        <v>21</v>
      </c>
      <c r="F11" s="44"/>
      <c r="G11" s="28" t="s">
        <v>81</v>
      </c>
      <c r="H11" s="56" t="s">
        <v>196</v>
      </c>
      <c r="I11" s="45"/>
      <c r="J11" s="46"/>
      <c r="K11" s="47" t="s">
        <v>197</v>
      </c>
      <c r="L11" s="47"/>
      <c r="M11" s="47" t="s">
        <v>198</v>
      </c>
      <c r="N11" s="47"/>
      <c r="O11" s="35"/>
      <c r="P11" s="36"/>
      <c r="Q11" s="71"/>
      <c r="R11" s="48"/>
    </row>
    <row r="12" spans="1:18" s="11" customFormat="1" x14ac:dyDescent="0.2">
      <c r="A12" s="9">
        <v>10</v>
      </c>
      <c r="B12" s="9"/>
      <c r="C12" s="9"/>
      <c r="D12" s="9" t="s">
        <v>98</v>
      </c>
      <c r="E12" s="49" t="s">
        <v>99</v>
      </c>
      <c r="F12" s="49"/>
      <c r="G12" s="50" t="s">
        <v>219</v>
      </c>
      <c r="H12" s="50" t="s">
        <v>177</v>
      </c>
      <c r="I12" s="9" t="s">
        <v>151</v>
      </c>
      <c r="J12" s="9"/>
      <c r="K12" s="9" t="s">
        <v>151</v>
      </c>
      <c r="L12" s="9"/>
      <c r="M12" s="9" t="s">
        <v>151</v>
      </c>
      <c r="N12" s="9"/>
      <c r="O12" s="41"/>
      <c r="P12" s="52"/>
      <c r="Q12" s="143"/>
      <c r="R12" s="144"/>
    </row>
    <row r="13" spans="1:18" s="11" customFormat="1" x14ac:dyDescent="0.2">
      <c r="A13" s="9">
        <v>10</v>
      </c>
      <c r="B13" s="9"/>
      <c r="C13" s="9"/>
      <c r="D13" s="9" t="s">
        <v>112</v>
      </c>
      <c r="E13" s="49" t="s">
        <v>110</v>
      </c>
      <c r="F13" s="49"/>
      <c r="G13" s="50" t="s">
        <v>220</v>
      </c>
      <c r="H13" s="50" t="s">
        <v>152</v>
      </c>
      <c r="I13" s="9" t="s">
        <v>151</v>
      </c>
      <c r="J13" s="9"/>
      <c r="K13" s="9" t="s">
        <v>151</v>
      </c>
      <c r="L13" s="9"/>
      <c r="M13" s="9" t="s">
        <v>151</v>
      </c>
      <c r="N13" s="9"/>
      <c r="O13" s="41"/>
      <c r="P13" s="52"/>
      <c r="Q13" s="143"/>
      <c r="R13" s="144"/>
    </row>
    <row r="14" spans="1:18" s="11" customFormat="1" x14ac:dyDescent="0.2">
      <c r="A14" s="9">
        <v>10</v>
      </c>
      <c r="B14" s="9"/>
      <c r="C14" s="9"/>
      <c r="D14" s="9" t="s">
        <v>77</v>
      </c>
      <c r="E14" s="49" t="s">
        <v>78</v>
      </c>
      <c r="F14" s="49"/>
      <c r="G14" s="50" t="s">
        <v>226</v>
      </c>
      <c r="H14" s="50" t="s">
        <v>159</v>
      </c>
      <c r="I14" s="9" t="s">
        <v>178</v>
      </c>
      <c r="J14" s="9"/>
      <c r="K14" s="9" t="s">
        <v>178</v>
      </c>
      <c r="L14" s="9"/>
      <c r="M14" s="9" t="s">
        <v>178</v>
      </c>
      <c r="N14" s="9"/>
      <c r="O14" s="43"/>
      <c r="P14" s="36"/>
      <c r="Q14" s="71"/>
      <c r="R14" s="48"/>
    </row>
    <row r="15" spans="1:18" s="11" customFormat="1" x14ac:dyDescent="0.2">
      <c r="A15" s="53"/>
      <c r="B15" s="54"/>
      <c r="C15" s="54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4"/>
      <c r="P15" s="4"/>
      <c r="Q15" s="6"/>
      <c r="R15" s="23"/>
    </row>
    <row r="16" spans="1:18" s="11" customFormat="1" x14ac:dyDescent="0.2">
      <c r="A16" s="78"/>
      <c r="R16" s="55"/>
    </row>
    <row r="17" spans="1:18" s="11" customFormat="1" x14ac:dyDescent="0.2">
      <c r="A17" s="78"/>
      <c r="R17" s="55"/>
    </row>
    <row r="18" spans="1:18" s="11" customFormat="1" x14ac:dyDescent="0.2">
      <c r="A18" s="78"/>
      <c r="R18" s="55"/>
    </row>
    <row r="19" spans="1:18" s="11" customFormat="1" x14ac:dyDescent="0.2">
      <c r="A19" s="78"/>
      <c r="R19" s="55"/>
    </row>
    <row r="20" spans="1:18" s="11" customFormat="1" x14ac:dyDescent="0.2">
      <c r="A20" s="78"/>
      <c r="R20" s="55"/>
    </row>
    <row r="21" spans="1:18" s="11" customFormat="1" x14ac:dyDescent="0.2">
      <c r="A21" s="78"/>
      <c r="R21" s="55"/>
    </row>
    <row r="22" spans="1:18" s="11" customFormat="1" x14ac:dyDescent="0.2">
      <c r="A22" s="78"/>
      <c r="R22" s="55"/>
    </row>
    <row r="23" spans="1:18" s="11" customFormat="1" x14ac:dyDescent="0.2">
      <c r="A23" s="78"/>
      <c r="R23" s="55"/>
    </row>
    <row r="24" spans="1:18" s="11" customFormat="1" x14ac:dyDescent="0.2">
      <c r="A24" s="78"/>
      <c r="R24" s="55"/>
    </row>
    <row r="25" spans="1:18" s="11" customFormat="1" x14ac:dyDescent="0.2">
      <c r="A25" s="78"/>
      <c r="R25" s="55"/>
    </row>
    <row r="26" spans="1:18" s="11" customFormat="1" x14ac:dyDescent="0.2">
      <c r="A26" s="78"/>
      <c r="R26" s="55"/>
    </row>
    <row r="27" spans="1:18" s="11" customFormat="1" x14ac:dyDescent="0.2">
      <c r="A27" s="78"/>
      <c r="R27" s="55"/>
    </row>
    <row r="28" spans="1:18" s="11" customFormat="1" x14ac:dyDescent="0.2">
      <c r="A28" s="78"/>
      <c r="R28" s="55"/>
    </row>
    <row r="29" spans="1:18" s="11" customFormat="1" x14ac:dyDescent="0.2">
      <c r="A29" s="78"/>
      <c r="R29" s="55"/>
    </row>
    <row r="30" spans="1:18" s="11" customFormat="1" x14ac:dyDescent="0.2">
      <c r="A30" s="78"/>
      <c r="R30" s="55"/>
    </row>
    <row r="31" spans="1:18" s="11" customFormat="1" x14ac:dyDescent="0.2">
      <c r="A31" s="78"/>
      <c r="R31" s="55"/>
    </row>
    <row r="32" spans="1:18" s="11" customFormat="1" x14ac:dyDescent="0.2">
      <c r="A32" s="78"/>
      <c r="R32" s="55"/>
    </row>
    <row r="33" spans="1:18" s="11" customFormat="1" x14ac:dyDescent="0.2">
      <c r="A33" s="78"/>
      <c r="R33" s="55"/>
    </row>
    <row r="34" spans="1:18" s="11" customFormat="1" x14ac:dyDescent="0.2">
      <c r="A34" s="78"/>
      <c r="R34" s="55"/>
    </row>
    <row r="35" spans="1:18" s="11" customFormat="1" x14ac:dyDescent="0.2">
      <c r="A35" s="78"/>
      <c r="R35" s="55"/>
    </row>
    <row r="36" spans="1:18" s="11" customFormat="1" x14ac:dyDescent="0.2">
      <c r="A36" s="78"/>
      <c r="R36" s="55"/>
    </row>
    <row r="37" spans="1:18" s="11" customFormat="1" x14ac:dyDescent="0.2">
      <c r="A37" s="78"/>
      <c r="R37" s="55"/>
    </row>
    <row r="38" spans="1:18" s="11" customFormat="1" x14ac:dyDescent="0.2">
      <c r="A38" s="82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20"/>
    </row>
  </sheetData>
  <dataConsolidate/>
  <mergeCells count="2">
    <mergeCell ref="Q12:R12"/>
    <mergeCell ref="Q13:R13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68" customWidth="1"/>
    <col min="43" max="44" width="2.08984375" style="70" customWidth="1"/>
    <col min="45" max="71" width="2.08984375" style="68" customWidth="1"/>
    <col min="72" max="16384" width="9" style="68"/>
  </cols>
  <sheetData>
    <row r="1" spans="1:57" ht="38.25" customHeight="1" thickBot="1" x14ac:dyDescent="0.25">
      <c r="A1" s="99" t="s">
        <v>22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  <c r="AK1" s="100"/>
      <c r="AL1" s="100"/>
      <c r="AM1" s="100"/>
      <c r="AN1" s="100"/>
      <c r="AO1" s="100"/>
      <c r="AP1" s="100"/>
      <c r="AQ1" s="100"/>
      <c r="AR1" s="100"/>
      <c r="AS1" s="100"/>
      <c r="AT1" s="100"/>
      <c r="AU1" s="100"/>
      <c r="AV1" s="100"/>
      <c r="AW1" s="100"/>
      <c r="AX1" s="100"/>
      <c r="AY1" s="100"/>
      <c r="AZ1" s="100"/>
      <c r="BA1" s="100"/>
      <c r="BB1" s="100"/>
      <c r="BC1" s="100"/>
      <c r="BD1" s="100"/>
      <c r="BE1" s="101"/>
    </row>
    <row r="2" spans="1:57" ht="12" customHeight="1" thickBot="1" x14ac:dyDescent="0.25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</row>
    <row r="3" spans="1:57" ht="15" customHeight="1" thickBot="1" x14ac:dyDescent="0.25">
      <c r="A3" s="133" t="s">
        <v>23</v>
      </c>
      <c r="B3" s="103"/>
      <c r="C3" s="103"/>
      <c r="D3" s="103"/>
      <c r="E3" s="103"/>
      <c r="F3" s="103"/>
      <c r="G3" s="104"/>
      <c r="H3" s="102" t="s">
        <v>24</v>
      </c>
      <c r="I3" s="103"/>
      <c r="J3" s="103"/>
      <c r="K3" s="103"/>
      <c r="L3" s="103"/>
      <c r="M3" s="103"/>
      <c r="N3" s="104"/>
      <c r="O3" s="102" t="s">
        <v>25</v>
      </c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6"/>
      <c r="AQ3" s="102" t="s">
        <v>26</v>
      </c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8"/>
    </row>
    <row r="4" spans="1:57" ht="15" customHeight="1" x14ac:dyDescent="0.2">
      <c r="A4" s="134">
        <v>1</v>
      </c>
      <c r="B4" s="135"/>
      <c r="C4" s="135"/>
      <c r="D4" s="135"/>
      <c r="E4" s="135"/>
      <c r="F4" s="135"/>
      <c r="G4" s="136"/>
      <c r="H4" s="126"/>
      <c r="I4" s="127"/>
      <c r="J4" s="127"/>
      <c r="K4" s="127"/>
      <c r="L4" s="127"/>
      <c r="M4" s="127"/>
      <c r="N4" s="128"/>
      <c r="O4" s="126" t="s">
        <v>27</v>
      </c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29"/>
      <c r="AK4" s="129"/>
      <c r="AL4" s="129"/>
      <c r="AM4" s="129"/>
      <c r="AN4" s="129"/>
      <c r="AO4" s="129"/>
      <c r="AP4" s="130"/>
      <c r="AQ4" s="131"/>
      <c r="AR4" s="129"/>
      <c r="AS4" s="129"/>
      <c r="AT4" s="129"/>
      <c r="AU4" s="129"/>
      <c r="AV4" s="129"/>
      <c r="AW4" s="129"/>
      <c r="AX4" s="129"/>
      <c r="AY4" s="129"/>
      <c r="AZ4" s="129"/>
      <c r="BA4" s="129"/>
      <c r="BB4" s="129"/>
      <c r="BC4" s="129"/>
      <c r="BD4" s="129"/>
      <c r="BE4" s="132"/>
    </row>
    <row r="5" spans="1:57" ht="15" customHeight="1" x14ac:dyDescent="0.2">
      <c r="A5" s="109">
        <v>1.1000000000000001</v>
      </c>
      <c r="B5" s="110"/>
      <c r="C5" s="110"/>
      <c r="D5" s="110"/>
      <c r="E5" s="110"/>
      <c r="F5" s="110"/>
      <c r="G5" s="111"/>
      <c r="H5" s="112"/>
      <c r="I5" s="113"/>
      <c r="J5" s="113"/>
      <c r="K5" s="113"/>
      <c r="L5" s="113"/>
      <c r="M5" s="113"/>
      <c r="N5" s="114"/>
      <c r="O5" s="137" t="s">
        <v>245</v>
      </c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  <c r="AK5" s="138"/>
      <c r="AL5" s="138"/>
      <c r="AM5" s="138"/>
      <c r="AN5" s="138"/>
      <c r="AO5" s="138"/>
      <c r="AP5" s="139"/>
      <c r="AQ5" s="140" t="s">
        <v>246</v>
      </c>
      <c r="AR5" s="141"/>
      <c r="AS5" s="141"/>
      <c r="AT5" s="141"/>
      <c r="AU5" s="141"/>
      <c r="AV5" s="141"/>
      <c r="AW5" s="141"/>
      <c r="AX5" s="141"/>
      <c r="AY5" s="141"/>
      <c r="AZ5" s="141"/>
      <c r="BA5" s="141"/>
      <c r="BB5" s="141"/>
      <c r="BC5" s="141"/>
      <c r="BD5" s="141"/>
      <c r="BE5" s="142"/>
    </row>
    <row r="6" spans="1:57" ht="15" customHeight="1" x14ac:dyDescent="0.2">
      <c r="A6" s="109"/>
      <c r="B6" s="110"/>
      <c r="C6" s="110"/>
      <c r="D6" s="110"/>
      <c r="E6" s="110"/>
      <c r="F6" s="110"/>
      <c r="G6" s="111"/>
      <c r="H6" s="112"/>
      <c r="I6" s="113"/>
      <c r="J6" s="113"/>
      <c r="K6" s="113"/>
      <c r="L6" s="113"/>
      <c r="M6" s="113"/>
      <c r="N6" s="114"/>
      <c r="O6" s="112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15"/>
      <c r="AF6" s="115"/>
      <c r="AG6" s="115"/>
      <c r="AH6" s="115"/>
      <c r="AI6" s="115"/>
      <c r="AJ6" s="115"/>
      <c r="AK6" s="115"/>
      <c r="AL6" s="115"/>
      <c r="AM6" s="115"/>
      <c r="AN6" s="115"/>
      <c r="AO6" s="115"/>
      <c r="AP6" s="116"/>
      <c r="AQ6" s="117"/>
      <c r="AR6" s="115"/>
      <c r="AS6" s="115"/>
      <c r="AT6" s="115"/>
      <c r="AU6" s="115"/>
      <c r="AV6" s="115"/>
      <c r="AW6" s="115"/>
      <c r="AX6" s="115"/>
      <c r="AY6" s="115"/>
      <c r="AZ6" s="115"/>
      <c r="BA6" s="115"/>
      <c r="BB6" s="115"/>
      <c r="BC6" s="115"/>
      <c r="BD6" s="115"/>
      <c r="BE6" s="118"/>
    </row>
    <row r="7" spans="1:57" ht="15" customHeight="1" x14ac:dyDescent="0.2">
      <c r="A7" s="109"/>
      <c r="B7" s="110"/>
      <c r="C7" s="110"/>
      <c r="D7" s="110"/>
      <c r="E7" s="110"/>
      <c r="F7" s="110"/>
      <c r="G7" s="111"/>
      <c r="H7" s="112"/>
      <c r="I7" s="113"/>
      <c r="J7" s="113"/>
      <c r="K7" s="113"/>
      <c r="L7" s="113"/>
      <c r="M7" s="113"/>
      <c r="N7" s="114"/>
      <c r="O7" s="112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5"/>
      <c r="AD7" s="115"/>
      <c r="AE7" s="115"/>
      <c r="AF7" s="115"/>
      <c r="AG7" s="115"/>
      <c r="AH7" s="115"/>
      <c r="AI7" s="115"/>
      <c r="AJ7" s="115"/>
      <c r="AK7" s="115"/>
      <c r="AL7" s="115"/>
      <c r="AM7" s="115"/>
      <c r="AN7" s="115"/>
      <c r="AO7" s="115"/>
      <c r="AP7" s="116"/>
      <c r="AQ7" s="117"/>
      <c r="AR7" s="115"/>
      <c r="AS7" s="115"/>
      <c r="AT7" s="115"/>
      <c r="AU7" s="115"/>
      <c r="AV7" s="115"/>
      <c r="AW7" s="115"/>
      <c r="AX7" s="115"/>
      <c r="AY7" s="115"/>
      <c r="AZ7" s="115"/>
      <c r="BA7" s="115"/>
      <c r="BB7" s="115"/>
      <c r="BC7" s="115"/>
      <c r="BD7" s="115"/>
      <c r="BE7" s="118"/>
    </row>
    <row r="8" spans="1:57" ht="15" customHeight="1" x14ac:dyDescent="0.2">
      <c r="A8" s="109"/>
      <c r="B8" s="110"/>
      <c r="C8" s="110"/>
      <c r="D8" s="110"/>
      <c r="E8" s="110"/>
      <c r="F8" s="110"/>
      <c r="G8" s="111"/>
      <c r="H8" s="112"/>
      <c r="I8" s="113"/>
      <c r="J8" s="113"/>
      <c r="K8" s="113"/>
      <c r="L8" s="113"/>
      <c r="M8" s="113"/>
      <c r="N8" s="114"/>
      <c r="O8" s="112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  <c r="AC8" s="115"/>
      <c r="AD8" s="115"/>
      <c r="AE8" s="115"/>
      <c r="AF8" s="115"/>
      <c r="AG8" s="115"/>
      <c r="AH8" s="115"/>
      <c r="AI8" s="115"/>
      <c r="AJ8" s="115"/>
      <c r="AK8" s="115"/>
      <c r="AL8" s="115"/>
      <c r="AM8" s="115"/>
      <c r="AN8" s="115"/>
      <c r="AO8" s="115"/>
      <c r="AP8" s="116"/>
      <c r="AQ8" s="117"/>
      <c r="AR8" s="115"/>
      <c r="AS8" s="115"/>
      <c r="AT8" s="115"/>
      <c r="AU8" s="115"/>
      <c r="AV8" s="115"/>
      <c r="AW8" s="115"/>
      <c r="AX8" s="115"/>
      <c r="AY8" s="115"/>
      <c r="AZ8" s="115"/>
      <c r="BA8" s="115"/>
      <c r="BB8" s="115"/>
      <c r="BC8" s="115"/>
      <c r="BD8" s="115"/>
      <c r="BE8" s="118"/>
    </row>
    <row r="9" spans="1:57" ht="15" customHeight="1" x14ac:dyDescent="0.2">
      <c r="A9" s="109"/>
      <c r="B9" s="110"/>
      <c r="C9" s="110"/>
      <c r="D9" s="110"/>
      <c r="E9" s="110"/>
      <c r="F9" s="110"/>
      <c r="G9" s="111"/>
      <c r="H9" s="112"/>
      <c r="I9" s="113"/>
      <c r="J9" s="113"/>
      <c r="K9" s="113"/>
      <c r="L9" s="113"/>
      <c r="M9" s="113"/>
      <c r="N9" s="114"/>
      <c r="O9" s="112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  <c r="AA9" s="115"/>
      <c r="AB9" s="115"/>
      <c r="AC9" s="115"/>
      <c r="AD9" s="115"/>
      <c r="AE9" s="115"/>
      <c r="AF9" s="115"/>
      <c r="AG9" s="115"/>
      <c r="AH9" s="115"/>
      <c r="AI9" s="115"/>
      <c r="AJ9" s="115"/>
      <c r="AK9" s="115"/>
      <c r="AL9" s="115"/>
      <c r="AM9" s="115"/>
      <c r="AN9" s="115"/>
      <c r="AO9" s="115"/>
      <c r="AP9" s="116"/>
      <c r="AQ9" s="117"/>
      <c r="AR9" s="115"/>
      <c r="AS9" s="115"/>
      <c r="AT9" s="115"/>
      <c r="AU9" s="115"/>
      <c r="AV9" s="115"/>
      <c r="AW9" s="115"/>
      <c r="AX9" s="115"/>
      <c r="AY9" s="115"/>
      <c r="AZ9" s="115"/>
      <c r="BA9" s="115"/>
      <c r="BB9" s="115"/>
      <c r="BC9" s="115"/>
      <c r="BD9" s="115"/>
      <c r="BE9" s="118"/>
    </row>
    <row r="10" spans="1:57" ht="15" customHeight="1" x14ac:dyDescent="0.2">
      <c r="A10" s="109"/>
      <c r="B10" s="110"/>
      <c r="C10" s="110"/>
      <c r="D10" s="110"/>
      <c r="E10" s="110"/>
      <c r="F10" s="110"/>
      <c r="G10" s="111"/>
      <c r="H10" s="112"/>
      <c r="I10" s="113"/>
      <c r="J10" s="113"/>
      <c r="K10" s="113"/>
      <c r="L10" s="113"/>
      <c r="M10" s="113"/>
      <c r="N10" s="114"/>
      <c r="O10" s="112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115"/>
      <c r="AI10" s="115"/>
      <c r="AJ10" s="115"/>
      <c r="AK10" s="115"/>
      <c r="AL10" s="115"/>
      <c r="AM10" s="115"/>
      <c r="AN10" s="115"/>
      <c r="AO10" s="115"/>
      <c r="AP10" s="116"/>
      <c r="AQ10" s="117"/>
      <c r="AR10" s="115"/>
      <c r="AS10" s="115"/>
      <c r="AT10" s="115"/>
      <c r="AU10" s="115"/>
      <c r="AV10" s="115"/>
      <c r="AW10" s="115"/>
      <c r="AX10" s="115"/>
      <c r="AY10" s="115"/>
      <c r="AZ10" s="115"/>
      <c r="BA10" s="115"/>
      <c r="BB10" s="115"/>
      <c r="BC10" s="115"/>
      <c r="BD10" s="115"/>
      <c r="BE10" s="118"/>
    </row>
    <row r="11" spans="1:57" ht="15" customHeight="1" x14ac:dyDescent="0.2">
      <c r="A11" s="109"/>
      <c r="B11" s="110"/>
      <c r="C11" s="110"/>
      <c r="D11" s="110"/>
      <c r="E11" s="110"/>
      <c r="F11" s="110"/>
      <c r="G11" s="111"/>
      <c r="H11" s="112"/>
      <c r="I11" s="113"/>
      <c r="J11" s="113"/>
      <c r="K11" s="113"/>
      <c r="L11" s="113"/>
      <c r="M11" s="113"/>
      <c r="N11" s="114"/>
      <c r="O11" s="112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  <c r="AL11" s="115"/>
      <c r="AM11" s="115"/>
      <c r="AN11" s="115"/>
      <c r="AO11" s="115"/>
      <c r="AP11" s="116"/>
      <c r="AQ11" s="117"/>
      <c r="AR11" s="115"/>
      <c r="AS11" s="115"/>
      <c r="AT11" s="115"/>
      <c r="AU11" s="115"/>
      <c r="AV11" s="115"/>
      <c r="AW11" s="115"/>
      <c r="AX11" s="115"/>
      <c r="AY11" s="115"/>
      <c r="AZ11" s="115"/>
      <c r="BA11" s="115"/>
      <c r="BB11" s="115"/>
      <c r="BC11" s="115"/>
      <c r="BD11" s="115"/>
      <c r="BE11" s="118"/>
    </row>
    <row r="12" spans="1:57" ht="15" customHeight="1" x14ac:dyDescent="0.2">
      <c r="A12" s="109"/>
      <c r="B12" s="110"/>
      <c r="C12" s="110"/>
      <c r="D12" s="110"/>
      <c r="E12" s="110"/>
      <c r="F12" s="110"/>
      <c r="G12" s="111"/>
      <c r="H12" s="112"/>
      <c r="I12" s="113"/>
      <c r="J12" s="113"/>
      <c r="K12" s="113"/>
      <c r="L12" s="113"/>
      <c r="M12" s="113"/>
      <c r="N12" s="114"/>
      <c r="O12" s="112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115"/>
      <c r="AO12" s="115"/>
      <c r="AP12" s="116"/>
      <c r="AQ12" s="117"/>
      <c r="AR12" s="115"/>
      <c r="AS12" s="115"/>
      <c r="AT12" s="115"/>
      <c r="AU12" s="115"/>
      <c r="AV12" s="115"/>
      <c r="AW12" s="115"/>
      <c r="AX12" s="115"/>
      <c r="AY12" s="115"/>
      <c r="AZ12" s="115"/>
      <c r="BA12" s="115"/>
      <c r="BB12" s="115"/>
      <c r="BC12" s="115"/>
      <c r="BD12" s="115"/>
      <c r="BE12" s="118"/>
    </row>
    <row r="13" spans="1:57" ht="15" customHeight="1" x14ac:dyDescent="0.2">
      <c r="A13" s="109"/>
      <c r="B13" s="110"/>
      <c r="C13" s="110"/>
      <c r="D13" s="110"/>
      <c r="E13" s="110"/>
      <c r="F13" s="110"/>
      <c r="G13" s="111"/>
      <c r="H13" s="112"/>
      <c r="I13" s="113"/>
      <c r="J13" s="113"/>
      <c r="K13" s="113"/>
      <c r="L13" s="113"/>
      <c r="M13" s="113"/>
      <c r="N13" s="114"/>
      <c r="O13" s="112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6"/>
      <c r="AQ13" s="117"/>
      <c r="AR13" s="115"/>
      <c r="AS13" s="115"/>
      <c r="AT13" s="115"/>
      <c r="AU13" s="115"/>
      <c r="AV13" s="115"/>
      <c r="AW13" s="115"/>
      <c r="AX13" s="115"/>
      <c r="AY13" s="115"/>
      <c r="AZ13" s="115"/>
      <c r="BA13" s="115"/>
      <c r="BB13" s="115"/>
      <c r="BC13" s="115"/>
      <c r="BD13" s="115"/>
      <c r="BE13" s="118"/>
    </row>
    <row r="14" spans="1:57" ht="15" customHeight="1" x14ac:dyDescent="0.2">
      <c r="A14" s="109"/>
      <c r="B14" s="110"/>
      <c r="C14" s="110"/>
      <c r="D14" s="110"/>
      <c r="E14" s="110"/>
      <c r="F14" s="110"/>
      <c r="G14" s="111"/>
      <c r="H14" s="112"/>
      <c r="I14" s="113"/>
      <c r="J14" s="113"/>
      <c r="K14" s="113"/>
      <c r="L14" s="113"/>
      <c r="M14" s="113"/>
      <c r="N14" s="114"/>
      <c r="O14" s="112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115"/>
      <c r="AP14" s="116"/>
      <c r="AQ14" s="117"/>
      <c r="AR14" s="115"/>
      <c r="AS14" s="115"/>
      <c r="AT14" s="115"/>
      <c r="AU14" s="115"/>
      <c r="AV14" s="115"/>
      <c r="AW14" s="115"/>
      <c r="AX14" s="115"/>
      <c r="AY14" s="115"/>
      <c r="AZ14" s="115"/>
      <c r="BA14" s="115"/>
      <c r="BB14" s="115"/>
      <c r="BC14" s="115"/>
      <c r="BD14" s="115"/>
      <c r="BE14" s="118"/>
    </row>
    <row r="15" spans="1:57" ht="15" customHeight="1" x14ac:dyDescent="0.2">
      <c r="A15" s="109"/>
      <c r="B15" s="110"/>
      <c r="C15" s="110"/>
      <c r="D15" s="110"/>
      <c r="E15" s="110"/>
      <c r="F15" s="110"/>
      <c r="G15" s="111"/>
      <c r="H15" s="112"/>
      <c r="I15" s="113"/>
      <c r="J15" s="113"/>
      <c r="K15" s="113"/>
      <c r="L15" s="113"/>
      <c r="M15" s="113"/>
      <c r="N15" s="114"/>
      <c r="O15" s="112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  <c r="AO15" s="115"/>
      <c r="AP15" s="116"/>
      <c r="AQ15" s="117"/>
      <c r="AR15" s="115"/>
      <c r="AS15" s="115"/>
      <c r="AT15" s="115"/>
      <c r="AU15" s="115"/>
      <c r="AV15" s="115"/>
      <c r="AW15" s="115"/>
      <c r="AX15" s="115"/>
      <c r="AY15" s="115"/>
      <c r="AZ15" s="115"/>
      <c r="BA15" s="115"/>
      <c r="BB15" s="115"/>
      <c r="BC15" s="115"/>
      <c r="BD15" s="115"/>
      <c r="BE15" s="118"/>
    </row>
    <row r="16" spans="1:57" ht="15" customHeight="1" x14ac:dyDescent="0.2">
      <c r="A16" s="109"/>
      <c r="B16" s="110"/>
      <c r="C16" s="110"/>
      <c r="D16" s="110"/>
      <c r="E16" s="110"/>
      <c r="F16" s="110"/>
      <c r="G16" s="111"/>
      <c r="H16" s="112"/>
      <c r="I16" s="113"/>
      <c r="J16" s="113"/>
      <c r="K16" s="113"/>
      <c r="L16" s="113"/>
      <c r="M16" s="113"/>
      <c r="N16" s="114"/>
      <c r="O16" s="112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116"/>
      <c r="AQ16" s="117"/>
      <c r="AR16" s="115"/>
      <c r="AS16" s="115"/>
      <c r="AT16" s="115"/>
      <c r="AU16" s="115"/>
      <c r="AV16" s="115"/>
      <c r="AW16" s="115"/>
      <c r="AX16" s="115"/>
      <c r="AY16" s="115"/>
      <c r="AZ16" s="115"/>
      <c r="BA16" s="115"/>
      <c r="BB16" s="115"/>
      <c r="BC16" s="115"/>
      <c r="BD16" s="115"/>
      <c r="BE16" s="118"/>
    </row>
    <row r="17" spans="1:57" ht="15" customHeight="1" x14ac:dyDescent="0.2">
      <c r="A17" s="109"/>
      <c r="B17" s="110"/>
      <c r="C17" s="110"/>
      <c r="D17" s="110"/>
      <c r="E17" s="110"/>
      <c r="F17" s="110"/>
      <c r="G17" s="111"/>
      <c r="H17" s="112"/>
      <c r="I17" s="113"/>
      <c r="J17" s="113"/>
      <c r="K17" s="113"/>
      <c r="L17" s="113"/>
      <c r="M17" s="113"/>
      <c r="N17" s="114"/>
      <c r="O17" s="112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  <c r="AA17" s="115"/>
      <c r="AB17" s="115"/>
      <c r="AC17" s="115"/>
      <c r="AD17" s="115"/>
      <c r="AE17" s="115"/>
      <c r="AF17" s="115"/>
      <c r="AG17" s="115"/>
      <c r="AH17" s="115"/>
      <c r="AI17" s="115"/>
      <c r="AJ17" s="115"/>
      <c r="AK17" s="115"/>
      <c r="AL17" s="115"/>
      <c r="AM17" s="115"/>
      <c r="AN17" s="115"/>
      <c r="AO17" s="115"/>
      <c r="AP17" s="116"/>
      <c r="AQ17" s="117"/>
      <c r="AR17" s="115"/>
      <c r="AS17" s="115"/>
      <c r="AT17" s="115"/>
      <c r="AU17" s="115"/>
      <c r="AV17" s="115"/>
      <c r="AW17" s="115"/>
      <c r="AX17" s="115"/>
      <c r="AY17" s="115"/>
      <c r="AZ17" s="115"/>
      <c r="BA17" s="115"/>
      <c r="BB17" s="115"/>
      <c r="BC17" s="115"/>
      <c r="BD17" s="115"/>
      <c r="BE17" s="118"/>
    </row>
    <row r="18" spans="1:57" ht="15" customHeight="1" x14ac:dyDescent="0.2">
      <c r="A18" s="109"/>
      <c r="B18" s="110"/>
      <c r="C18" s="110"/>
      <c r="D18" s="110"/>
      <c r="E18" s="110"/>
      <c r="F18" s="110"/>
      <c r="G18" s="111"/>
      <c r="H18" s="112"/>
      <c r="I18" s="113"/>
      <c r="J18" s="113"/>
      <c r="K18" s="113"/>
      <c r="L18" s="113"/>
      <c r="M18" s="113"/>
      <c r="N18" s="114"/>
      <c r="O18" s="112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  <c r="AC18" s="115"/>
      <c r="AD18" s="115"/>
      <c r="AE18" s="115"/>
      <c r="AF18" s="115"/>
      <c r="AG18" s="115"/>
      <c r="AH18" s="115"/>
      <c r="AI18" s="115"/>
      <c r="AJ18" s="115"/>
      <c r="AK18" s="115"/>
      <c r="AL18" s="115"/>
      <c r="AM18" s="115"/>
      <c r="AN18" s="115"/>
      <c r="AO18" s="115"/>
      <c r="AP18" s="116"/>
      <c r="AQ18" s="117"/>
      <c r="AR18" s="115"/>
      <c r="AS18" s="115"/>
      <c r="AT18" s="115"/>
      <c r="AU18" s="115"/>
      <c r="AV18" s="115"/>
      <c r="AW18" s="115"/>
      <c r="AX18" s="115"/>
      <c r="AY18" s="115"/>
      <c r="AZ18" s="115"/>
      <c r="BA18" s="115"/>
      <c r="BB18" s="115"/>
      <c r="BC18" s="115"/>
      <c r="BD18" s="115"/>
      <c r="BE18" s="118"/>
    </row>
    <row r="19" spans="1:57" ht="15" customHeight="1" x14ac:dyDescent="0.2">
      <c r="A19" s="109"/>
      <c r="B19" s="110"/>
      <c r="C19" s="110"/>
      <c r="D19" s="110"/>
      <c r="E19" s="110"/>
      <c r="F19" s="110"/>
      <c r="G19" s="111"/>
      <c r="H19" s="112"/>
      <c r="I19" s="113"/>
      <c r="J19" s="113"/>
      <c r="K19" s="113"/>
      <c r="L19" s="113"/>
      <c r="M19" s="113"/>
      <c r="N19" s="114"/>
      <c r="O19" s="112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5"/>
      <c r="AC19" s="115"/>
      <c r="AD19" s="115"/>
      <c r="AE19" s="115"/>
      <c r="AF19" s="115"/>
      <c r="AG19" s="115"/>
      <c r="AH19" s="115"/>
      <c r="AI19" s="115"/>
      <c r="AJ19" s="115"/>
      <c r="AK19" s="115"/>
      <c r="AL19" s="115"/>
      <c r="AM19" s="115"/>
      <c r="AN19" s="115"/>
      <c r="AO19" s="115"/>
      <c r="AP19" s="116"/>
      <c r="AQ19" s="117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8"/>
    </row>
    <row r="20" spans="1:57" ht="15" customHeight="1" x14ac:dyDescent="0.2">
      <c r="A20" s="109"/>
      <c r="B20" s="110"/>
      <c r="C20" s="110"/>
      <c r="D20" s="110"/>
      <c r="E20" s="110"/>
      <c r="F20" s="110"/>
      <c r="G20" s="111"/>
      <c r="H20" s="112"/>
      <c r="I20" s="113"/>
      <c r="J20" s="113"/>
      <c r="K20" s="113"/>
      <c r="L20" s="113"/>
      <c r="M20" s="113"/>
      <c r="N20" s="114"/>
      <c r="O20" s="112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  <c r="AA20" s="115"/>
      <c r="AB20" s="115"/>
      <c r="AC20" s="115"/>
      <c r="AD20" s="115"/>
      <c r="AE20" s="115"/>
      <c r="AF20" s="115"/>
      <c r="AG20" s="115"/>
      <c r="AH20" s="115"/>
      <c r="AI20" s="115"/>
      <c r="AJ20" s="115"/>
      <c r="AK20" s="115"/>
      <c r="AL20" s="115"/>
      <c r="AM20" s="115"/>
      <c r="AN20" s="115"/>
      <c r="AO20" s="115"/>
      <c r="AP20" s="116"/>
      <c r="AQ20" s="117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8"/>
    </row>
    <row r="21" spans="1:57" ht="15" customHeight="1" x14ac:dyDescent="0.2">
      <c r="A21" s="109"/>
      <c r="B21" s="110"/>
      <c r="C21" s="110"/>
      <c r="D21" s="110"/>
      <c r="E21" s="110"/>
      <c r="F21" s="110"/>
      <c r="G21" s="111"/>
      <c r="H21" s="112"/>
      <c r="I21" s="113"/>
      <c r="J21" s="113"/>
      <c r="K21" s="113"/>
      <c r="L21" s="113"/>
      <c r="M21" s="113"/>
      <c r="N21" s="114"/>
      <c r="O21" s="112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  <c r="AA21" s="115"/>
      <c r="AB21" s="115"/>
      <c r="AC21" s="115"/>
      <c r="AD21" s="115"/>
      <c r="AE21" s="115"/>
      <c r="AF21" s="115"/>
      <c r="AG21" s="115"/>
      <c r="AH21" s="115"/>
      <c r="AI21" s="115"/>
      <c r="AJ21" s="115"/>
      <c r="AK21" s="115"/>
      <c r="AL21" s="115"/>
      <c r="AM21" s="115"/>
      <c r="AN21" s="115"/>
      <c r="AO21" s="115"/>
      <c r="AP21" s="116"/>
      <c r="AQ21" s="117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8"/>
    </row>
    <row r="22" spans="1:57" ht="15" customHeight="1" x14ac:dyDescent="0.2">
      <c r="A22" s="109"/>
      <c r="B22" s="110"/>
      <c r="C22" s="110"/>
      <c r="D22" s="110"/>
      <c r="E22" s="110"/>
      <c r="F22" s="110"/>
      <c r="G22" s="111"/>
      <c r="H22" s="112"/>
      <c r="I22" s="113"/>
      <c r="J22" s="113"/>
      <c r="K22" s="113"/>
      <c r="L22" s="113"/>
      <c r="M22" s="113"/>
      <c r="N22" s="114"/>
      <c r="O22" s="112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  <c r="AA22" s="115"/>
      <c r="AB22" s="115"/>
      <c r="AC22" s="115"/>
      <c r="AD22" s="115"/>
      <c r="AE22" s="115"/>
      <c r="AF22" s="115"/>
      <c r="AG22" s="115"/>
      <c r="AH22" s="115"/>
      <c r="AI22" s="115"/>
      <c r="AJ22" s="115"/>
      <c r="AK22" s="115"/>
      <c r="AL22" s="115"/>
      <c r="AM22" s="115"/>
      <c r="AN22" s="115"/>
      <c r="AO22" s="115"/>
      <c r="AP22" s="116"/>
      <c r="AQ22" s="117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8"/>
    </row>
    <row r="23" spans="1:57" ht="15" customHeight="1" x14ac:dyDescent="0.2">
      <c r="A23" s="109"/>
      <c r="B23" s="110"/>
      <c r="C23" s="110"/>
      <c r="D23" s="110"/>
      <c r="E23" s="110"/>
      <c r="F23" s="110"/>
      <c r="G23" s="111"/>
      <c r="H23" s="112"/>
      <c r="I23" s="113"/>
      <c r="J23" s="113"/>
      <c r="K23" s="113"/>
      <c r="L23" s="113"/>
      <c r="M23" s="113"/>
      <c r="N23" s="114"/>
      <c r="O23" s="112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  <c r="AA23" s="115"/>
      <c r="AB23" s="115"/>
      <c r="AC23" s="115"/>
      <c r="AD23" s="115"/>
      <c r="AE23" s="115"/>
      <c r="AF23" s="115"/>
      <c r="AG23" s="115"/>
      <c r="AH23" s="115"/>
      <c r="AI23" s="115"/>
      <c r="AJ23" s="115"/>
      <c r="AK23" s="115"/>
      <c r="AL23" s="115"/>
      <c r="AM23" s="115"/>
      <c r="AN23" s="115"/>
      <c r="AO23" s="115"/>
      <c r="AP23" s="116"/>
      <c r="AQ23" s="117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8"/>
    </row>
    <row r="24" spans="1:57" ht="15" customHeight="1" x14ac:dyDescent="0.2">
      <c r="A24" s="109"/>
      <c r="B24" s="110"/>
      <c r="C24" s="110"/>
      <c r="D24" s="110"/>
      <c r="E24" s="110"/>
      <c r="F24" s="110"/>
      <c r="G24" s="111"/>
      <c r="H24" s="112"/>
      <c r="I24" s="113"/>
      <c r="J24" s="113"/>
      <c r="K24" s="113"/>
      <c r="L24" s="113"/>
      <c r="M24" s="113"/>
      <c r="N24" s="114"/>
      <c r="O24" s="112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15"/>
      <c r="AH24" s="115"/>
      <c r="AI24" s="115"/>
      <c r="AJ24" s="115"/>
      <c r="AK24" s="115"/>
      <c r="AL24" s="115"/>
      <c r="AM24" s="115"/>
      <c r="AN24" s="115"/>
      <c r="AO24" s="115"/>
      <c r="AP24" s="116"/>
      <c r="AQ24" s="117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8"/>
    </row>
    <row r="25" spans="1:57" ht="15" customHeight="1" x14ac:dyDescent="0.2">
      <c r="A25" s="109"/>
      <c r="B25" s="110"/>
      <c r="C25" s="110"/>
      <c r="D25" s="110"/>
      <c r="E25" s="110"/>
      <c r="F25" s="110"/>
      <c r="G25" s="111"/>
      <c r="H25" s="112"/>
      <c r="I25" s="113"/>
      <c r="J25" s="113"/>
      <c r="K25" s="113"/>
      <c r="L25" s="113"/>
      <c r="M25" s="113"/>
      <c r="N25" s="114"/>
      <c r="O25" s="112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/>
      <c r="AD25" s="115"/>
      <c r="AE25" s="115"/>
      <c r="AF25" s="115"/>
      <c r="AG25" s="115"/>
      <c r="AH25" s="115"/>
      <c r="AI25" s="115"/>
      <c r="AJ25" s="115"/>
      <c r="AK25" s="115"/>
      <c r="AL25" s="115"/>
      <c r="AM25" s="115"/>
      <c r="AN25" s="115"/>
      <c r="AO25" s="115"/>
      <c r="AP25" s="116"/>
      <c r="AQ25" s="117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8"/>
    </row>
    <row r="26" spans="1:57" ht="15" customHeight="1" x14ac:dyDescent="0.2">
      <c r="A26" s="109"/>
      <c r="B26" s="110"/>
      <c r="C26" s="110"/>
      <c r="D26" s="110"/>
      <c r="E26" s="110"/>
      <c r="F26" s="110"/>
      <c r="G26" s="111"/>
      <c r="H26" s="112"/>
      <c r="I26" s="113"/>
      <c r="J26" s="113"/>
      <c r="K26" s="113"/>
      <c r="L26" s="113"/>
      <c r="M26" s="113"/>
      <c r="N26" s="114"/>
      <c r="O26" s="112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  <c r="AC26" s="115"/>
      <c r="AD26" s="115"/>
      <c r="AE26" s="115"/>
      <c r="AF26" s="115"/>
      <c r="AG26" s="115"/>
      <c r="AH26" s="115"/>
      <c r="AI26" s="115"/>
      <c r="AJ26" s="115"/>
      <c r="AK26" s="115"/>
      <c r="AL26" s="115"/>
      <c r="AM26" s="115"/>
      <c r="AN26" s="115"/>
      <c r="AO26" s="115"/>
      <c r="AP26" s="116"/>
      <c r="AQ26" s="117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8"/>
    </row>
    <row r="27" spans="1:57" ht="15" customHeight="1" x14ac:dyDescent="0.2">
      <c r="A27" s="109"/>
      <c r="B27" s="110"/>
      <c r="C27" s="110"/>
      <c r="D27" s="110"/>
      <c r="E27" s="110"/>
      <c r="F27" s="110"/>
      <c r="G27" s="111"/>
      <c r="H27" s="112"/>
      <c r="I27" s="113"/>
      <c r="J27" s="113"/>
      <c r="K27" s="113"/>
      <c r="L27" s="113"/>
      <c r="M27" s="113"/>
      <c r="N27" s="114"/>
      <c r="O27" s="112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  <c r="AC27" s="115"/>
      <c r="AD27" s="115"/>
      <c r="AE27" s="115"/>
      <c r="AF27" s="115"/>
      <c r="AG27" s="115"/>
      <c r="AH27" s="115"/>
      <c r="AI27" s="115"/>
      <c r="AJ27" s="115"/>
      <c r="AK27" s="115"/>
      <c r="AL27" s="115"/>
      <c r="AM27" s="115"/>
      <c r="AN27" s="115"/>
      <c r="AO27" s="115"/>
      <c r="AP27" s="116"/>
      <c r="AQ27" s="117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8"/>
    </row>
    <row r="28" spans="1:57" ht="15" customHeight="1" x14ac:dyDescent="0.2">
      <c r="A28" s="109"/>
      <c r="B28" s="110"/>
      <c r="C28" s="110"/>
      <c r="D28" s="110"/>
      <c r="E28" s="110"/>
      <c r="F28" s="110"/>
      <c r="G28" s="111"/>
      <c r="H28" s="112"/>
      <c r="I28" s="113"/>
      <c r="J28" s="113"/>
      <c r="K28" s="113"/>
      <c r="L28" s="113"/>
      <c r="M28" s="113"/>
      <c r="N28" s="114"/>
      <c r="O28" s="112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  <c r="AB28" s="115"/>
      <c r="AC28" s="115"/>
      <c r="AD28" s="115"/>
      <c r="AE28" s="115"/>
      <c r="AF28" s="115"/>
      <c r="AG28" s="115"/>
      <c r="AH28" s="115"/>
      <c r="AI28" s="115"/>
      <c r="AJ28" s="115"/>
      <c r="AK28" s="115"/>
      <c r="AL28" s="115"/>
      <c r="AM28" s="115"/>
      <c r="AN28" s="115"/>
      <c r="AO28" s="115"/>
      <c r="AP28" s="116"/>
      <c r="AQ28" s="117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8"/>
    </row>
    <row r="29" spans="1:57" ht="15" customHeight="1" x14ac:dyDescent="0.2">
      <c r="A29" s="109"/>
      <c r="B29" s="110"/>
      <c r="C29" s="110"/>
      <c r="D29" s="110"/>
      <c r="E29" s="110"/>
      <c r="F29" s="110"/>
      <c r="G29" s="111"/>
      <c r="H29" s="112"/>
      <c r="I29" s="113"/>
      <c r="J29" s="113"/>
      <c r="K29" s="113"/>
      <c r="L29" s="113"/>
      <c r="M29" s="113"/>
      <c r="N29" s="114"/>
      <c r="O29" s="112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  <c r="AD29" s="115"/>
      <c r="AE29" s="115"/>
      <c r="AF29" s="115"/>
      <c r="AG29" s="115"/>
      <c r="AH29" s="115"/>
      <c r="AI29" s="115"/>
      <c r="AJ29" s="115"/>
      <c r="AK29" s="115"/>
      <c r="AL29" s="115"/>
      <c r="AM29" s="115"/>
      <c r="AN29" s="115"/>
      <c r="AO29" s="115"/>
      <c r="AP29" s="116"/>
      <c r="AQ29" s="117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8"/>
    </row>
    <row r="30" spans="1:57" ht="15" customHeight="1" x14ac:dyDescent="0.2">
      <c r="A30" s="109"/>
      <c r="B30" s="110"/>
      <c r="C30" s="110"/>
      <c r="D30" s="110"/>
      <c r="E30" s="110"/>
      <c r="F30" s="110"/>
      <c r="G30" s="111"/>
      <c r="H30" s="112"/>
      <c r="I30" s="113"/>
      <c r="J30" s="113"/>
      <c r="K30" s="113"/>
      <c r="L30" s="113"/>
      <c r="M30" s="113"/>
      <c r="N30" s="114"/>
      <c r="O30" s="112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  <c r="AC30" s="115"/>
      <c r="AD30" s="115"/>
      <c r="AE30" s="115"/>
      <c r="AF30" s="115"/>
      <c r="AG30" s="115"/>
      <c r="AH30" s="115"/>
      <c r="AI30" s="115"/>
      <c r="AJ30" s="115"/>
      <c r="AK30" s="115"/>
      <c r="AL30" s="115"/>
      <c r="AM30" s="115"/>
      <c r="AN30" s="115"/>
      <c r="AO30" s="115"/>
      <c r="AP30" s="116"/>
      <c r="AQ30" s="117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8"/>
    </row>
    <row r="31" spans="1:57" ht="15" customHeight="1" x14ac:dyDescent="0.2">
      <c r="A31" s="109"/>
      <c r="B31" s="110"/>
      <c r="C31" s="110"/>
      <c r="D31" s="110"/>
      <c r="E31" s="110"/>
      <c r="F31" s="110"/>
      <c r="G31" s="111"/>
      <c r="H31" s="112"/>
      <c r="I31" s="113"/>
      <c r="J31" s="113"/>
      <c r="K31" s="113"/>
      <c r="L31" s="113"/>
      <c r="M31" s="113"/>
      <c r="N31" s="114"/>
      <c r="O31" s="112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  <c r="AB31" s="115"/>
      <c r="AC31" s="115"/>
      <c r="AD31" s="115"/>
      <c r="AE31" s="115"/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6"/>
      <c r="AQ31" s="117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8"/>
    </row>
    <row r="32" spans="1:57" ht="15" customHeight="1" x14ac:dyDescent="0.2">
      <c r="A32" s="109"/>
      <c r="B32" s="110"/>
      <c r="C32" s="110"/>
      <c r="D32" s="110"/>
      <c r="E32" s="110"/>
      <c r="F32" s="110"/>
      <c r="G32" s="111"/>
      <c r="H32" s="112"/>
      <c r="I32" s="113"/>
      <c r="J32" s="113"/>
      <c r="K32" s="113"/>
      <c r="L32" s="113"/>
      <c r="M32" s="113"/>
      <c r="N32" s="114"/>
      <c r="O32" s="112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  <c r="AH32" s="115"/>
      <c r="AI32" s="115"/>
      <c r="AJ32" s="115"/>
      <c r="AK32" s="115"/>
      <c r="AL32" s="115"/>
      <c r="AM32" s="115"/>
      <c r="AN32" s="115"/>
      <c r="AO32" s="115"/>
      <c r="AP32" s="116"/>
      <c r="AQ32" s="117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8"/>
    </row>
    <row r="33" spans="1:57" ht="15" customHeight="1" x14ac:dyDescent="0.2">
      <c r="A33" s="109"/>
      <c r="B33" s="110"/>
      <c r="C33" s="110"/>
      <c r="D33" s="110"/>
      <c r="E33" s="110"/>
      <c r="F33" s="110"/>
      <c r="G33" s="111"/>
      <c r="H33" s="112"/>
      <c r="I33" s="113"/>
      <c r="J33" s="113"/>
      <c r="K33" s="113"/>
      <c r="L33" s="113"/>
      <c r="M33" s="113"/>
      <c r="N33" s="114"/>
      <c r="O33" s="112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5"/>
      <c r="AK33" s="115"/>
      <c r="AL33" s="115"/>
      <c r="AM33" s="115"/>
      <c r="AN33" s="115"/>
      <c r="AO33" s="115"/>
      <c r="AP33" s="116"/>
      <c r="AQ33" s="117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8"/>
    </row>
    <row r="34" spans="1:57" ht="15" customHeight="1" x14ac:dyDescent="0.2">
      <c r="A34" s="109"/>
      <c r="B34" s="110"/>
      <c r="C34" s="110"/>
      <c r="D34" s="110"/>
      <c r="E34" s="110"/>
      <c r="F34" s="110"/>
      <c r="G34" s="111"/>
      <c r="H34" s="112"/>
      <c r="I34" s="113"/>
      <c r="J34" s="113"/>
      <c r="K34" s="113"/>
      <c r="L34" s="113"/>
      <c r="M34" s="113"/>
      <c r="N34" s="114"/>
      <c r="O34" s="112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6"/>
      <c r="AQ34" s="117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8"/>
    </row>
    <row r="35" spans="1:57" ht="15" customHeight="1" thickBot="1" x14ac:dyDescent="0.25">
      <c r="A35" s="96"/>
      <c r="B35" s="97"/>
      <c r="C35" s="97"/>
      <c r="D35" s="97"/>
      <c r="E35" s="97"/>
      <c r="F35" s="97"/>
      <c r="G35" s="98"/>
      <c r="H35" s="119"/>
      <c r="I35" s="120"/>
      <c r="J35" s="120"/>
      <c r="K35" s="120"/>
      <c r="L35" s="120"/>
      <c r="M35" s="120"/>
      <c r="N35" s="121"/>
      <c r="O35" s="119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3"/>
      <c r="AQ35" s="124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5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GrpWg_UpdChk01</vt:lpstr>
      <vt:lpstr>GrpWg_Upd01</vt:lpstr>
      <vt:lpstr>GrpWg_DelChk01</vt:lpstr>
      <vt:lpstr>GrpWg_Del01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2026-03-27T05:44:07Z</dcterms:modified>
  <cp:category/>
</cp:coreProperties>
</file>