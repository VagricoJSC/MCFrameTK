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233C4C37-CC27-4976-983A-BF4EE2F4DF1E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PreAlcRate_UpdChk01" sheetId="18" r:id="rId2"/>
    <sheet name="PreAlcRate_Upd01" sheetId="15" r:id="rId3"/>
    <sheet name="PreAlcRateLcl_UpdChk01" sheetId="20" r:id="rId4"/>
    <sheet name="PreAlcRateLcl_Upd01" sheetId="16" r:id="rId5"/>
    <sheet name="PreAlcRate_DelChk01" sheetId="21" r:id="rId6"/>
    <sheet name="PreAlcRate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<sst xmlns="http://schemas.openxmlformats.org/spreadsheetml/2006/main" count="1435" uniqueCount="309">
  <si>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</si>
  <si>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</si>
  <si>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</si>
  <si>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</si>
  <si>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</si>
  <si>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</si>
  <si>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</si>
  <si>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</si>
  <si>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</si>
  <si>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</si>
  <si>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</si>
  <si>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</si>
  <si>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</si>
  <si>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</si>
  <si>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</si>
  <si>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</si>
  <si>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</si>
  <si>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</si>
  <si>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</si>
  <si>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</si>
  <si>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</si>
  <si>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</si>
  <si>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</si>
  <si>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</si>
  <si>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</si>
  <si>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</si>
  <si>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</si>
  <si>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</si>
  <si>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</si>
  <si>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</si>
  <si>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</si>
  <si>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</si>
  <si>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</si>
  <si>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</si>
  <si>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</si>
  <si>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</si>
  <si>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</si>
  <si>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</si>
  <si>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</si>
  <si>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</si>
  <si>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</si>
  <si>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</si>
  <si>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</si>
  <si>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</si>
  <si>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</si>
  <si>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</si>
  <si>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</si>
  <si>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</si>
  <si>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</si>
  <si>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</si>
  <si>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</si>
  <si>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</si>
  <si>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</si>
  <si>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</si>
  <si>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登録ユーザ名</t>
    <phoneticPr fontId="2"/>
  </si>
  <si>
    <t>更新ユーザ名</t>
    <phoneticPr fontId="2"/>
  </si>
  <si>
    <t>登録ユーザＩＤ</t>
    <phoneticPr fontId="2"/>
  </si>
  <si>
    <t>更新ユーザＩＤ</t>
    <phoneticPr fontId="2"/>
  </si>
  <si>
    <t>#MA.SYS_TS</t>
    <phoneticPr fontId="2"/>
  </si>
  <si>
    <t>#MA.FLG</t>
  </si>
  <si>
    <t>#MA.FLG</t>
    <phoneticPr fontId="2"/>
  </si>
  <si>
    <t>論理削除</t>
    <phoneticPr fontId="2"/>
  </si>
  <si>
    <t>ins_func_id</t>
    <phoneticPr fontId="2"/>
  </si>
  <si>
    <t>登録機能ＩＤ</t>
    <phoneticPr fontId="2"/>
  </si>
  <si>
    <t>upd_func_id</t>
    <phoneticPr fontId="2"/>
  </si>
  <si>
    <t>更新機能ＩＤ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</si>
  <si>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</si>
  <si>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</si>
  <si>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</si>
  <si>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</si>
  <si>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</si>
  <si>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</si>
  <si>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登録機能名</t>
    <phoneticPr fontId="2"/>
  </si>
  <si>
    <t>更新機能名</t>
    <phoneticPr fontId="2"/>
  </si>
  <si>
    <t>upd_srv_req_no</t>
    <phoneticPr fontId="2"/>
  </si>
  <si>
    <t>#MA.FLG</t>
    <phoneticPr fontId="2"/>
  </si>
  <si>
    <t>論理削除ＦＬＧ（オフ）</t>
    <phoneticPr fontId="2"/>
  </si>
  <si>
    <t>論理削除ＦＬＧ（オン）</t>
    <phoneticPr fontId="2"/>
  </si>
  <si>
    <t>削除</t>
    <phoneticPr fontId="2"/>
  </si>
  <si>
    <t>E</t>
    <phoneticPr fontId="38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</si>
  <si>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</si>
  <si>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</si>
  <si>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</si>
  <si>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</si>
  <si>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ロケールＣＤ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</si>
  <si>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</si>
  <si>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</si>
  <si>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</si>
  <si>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</si>
  <si>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</si>
  <si>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38"/>
  </si>
  <si>
    <t>UPDATE.updMaster2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</si>
  <si>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</si>
  <si>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</si>
  <si>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</si>
  <si>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</si>
  <si>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</si>
  <si>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</si>
  <si>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</si>
  <si>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</si>
  <si>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</si>
  <si>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更新カウンタ</t>
    <phoneticPr fontId="2"/>
  </si>
  <si>
    <t>upd_cntr</t>
  </si>
  <si>
    <t>#MA.UPD_CNT</t>
  </si>
  <si>
    <t>SELECT_LCL.c1</t>
    <phoneticPr fontId="2"/>
  </si>
  <si>
    <t>lcl_nm</t>
    <phoneticPr fontId="2"/>
  </si>
  <si>
    <t>#MA.LCL_NM</t>
    <phoneticPr fontId="2"/>
  </si>
  <si>
    <t>UPDATE.updMaster</t>
    <phoneticPr fontId="2"/>
  </si>
  <si>
    <t>MAIN.chkMaster</t>
    <phoneticPr fontId="38"/>
  </si>
  <si>
    <t>$share$</t>
  </si>
  <si>
    <t>MAIN.chkMaster</t>
    <phoneticPr fontId="38"/>
  </si>
  <si>
    <t>@</t>
  </si>
  <si>
    <t>E</t>
    <phoneticPr fontId="2"/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</si>
  <si>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</si>
  <si>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</si>
  <si>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</si>
  <si>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</si>
  <si>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</si>
  <si>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</si>
  <si>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38"/>
  </si>
  <si>
    <t>CALL_OPE01.del01</t>
    <phoneticPr fontId="38"/>
  </si>
  <si>
    <t>K</t>
    <phoneticPr fontId="2"/>
  </si>
  <si>
    <t>K</t>
    <phoneticPr fontId="38"/>
  </si>
  <si>
    <t>REQUIRED</t>
    <phoneticPr fontId="2"/>
  </si>
  <si>
    <t>CONST</t>
    <phoneticPr fontId="38"/>
  </si>
  <si>
    <t>一次配賦基準マスタ登録</t>
    <phoneticPr fontId="2"/>
  </si>
  <si>
    <t>MABGL0510</t>
    <phoneticPr fontId="2"/>
  </si>
  <si>
    <t>PreAlcRate_UpdChk01</t>
  </si>
  <si>
    <t>PreAlcRateLcl_UpdChk01</t>
  </si>
  <si>
    <t>PreAlcRate_DelChk01</t>
  </si>
  <si>
    <t>PreAlcRate_Upd01</t>
  </si>
  <si>
    <t>PreAlcRateLcl_Upd01</t>
  </si>
  <si>
    <t>PreAlcRate_Del01</t>
  </si>
  <si>
    <t>MA</t>
  </si>
  <si>
    <t>MABG</t>
  </si>
  <si>
    <t>PreAlcRate_UpdChk01_Dtl</t>
  </si>
  <si>
    <t>PreAlcRate_Upd01_Dtl</t>
  </si>
  <si>
    <t>PreAlcRateLcl_UpdChk01_Dtl</t>
  </si>
  <si>
    <t>PreAlcRateLcl_Upd01_Dtl</t>
  </si>
  <si>
    <t>PreAlcRate_DelChk01_Dtl</t>
  </si>
  <si>
    <t>PreAlcRate_Del01_Dtl</t>
  </si>
  <si>
    <t>Srch01</t>
  </si>
  <si>
    <t>Upd01</t>
  </si>
  <si>
    <t>OPE.MA.MABGL0510.PreAlcRate_UpdChk01</t>
  </si>
  <si>
    <t>OPE.MA.MABGL0510.PreAlcRate_Upd01</t>
  </si>
  <si>
    <t>OPE.MA.MABGL0510.PreAlcRateLcl_UpdChk01</t>
  </si>
  <si>
    <t>OPE.MA.MABGL0510.PreAlcRateLcl_Upd01</t>
  </si>
  <si>
    <t>Del01</t>
  </si>
  <si>
    <t>OPE.MA.MABGL0510.PreAlcRate_DelChk01</t>
  </si>
  <si>
    <t>OPE.MA.MABGL0510.PreAlcRate_Del01</t>
  </si>
  <si>
    <t>pre_alc_rate_cd</t>
  </si>
  <si>
    <t>pre_alc_rate_nm</t>
  </si>
  <si>
    <t>pre_alc_ptn_cd</t>
  </si>
  <si>
    <t>pln_mly_flg</t>
  </si>
  <si>
    <t>act_mly_flg</t>
  </si>
  <si>
    <t>pln_rule_flg</t>
  </si>
  <si>
    <t>pre_alc_set_typ</t>
  </si>
  <si>
    <t>#MA.PRE_ALC_RATE_CD</t>
  </si>
  <si>
    <t>#MA.PRE_ALC_RATE_NM</t>
  </si>
  <si>
    <t>#MA.PRE_ALC_PTN_CD</t>
  </si>
  <si>
    <t>#MA.PRE_ALC_SET_TYP</t>
  </si>
  <si>
    <t>MAC_PRE_ALC_SET_TYP</t>
    <phoneticPr fontId="38"/>
  </si>
  <si>
    <t>K</t>
  </si>
  <si>
    <t>K</t>
    <phoneticPr fontId="38"/>
  </si>
  <si>
    <t>LIST_LOGIC</t>
    <phoneticPr fontId="38"/>
  </si>
  <si>
    <t>DBC.MA.MAM_PRE_ALC_RATE_LCL</t>
  </si>
  <si>
    <t>pre_alc_ptn_nm</t>
  </si>
  <si>
    <t>#MA.PRE_ALC_PTN_NM</t>
  </si>
  <si>
    <t>pre_alc_rate_nm_lcl</t>
  </si>
  <si>
    <t>pre_alc_set_typ_nm</t>
  </si>
  <si>
    <t>#MA.PRE_ALC_SET_TYP_NM</t>
  </si>
  <si>
    <t>lcl_cd</t>
  </si>
  <si>
    <t>#MA.LCL_CD</t>
  </si>
  <si>
    <t>CONST</t>
  </si>
  <si>
    <t>$super$</t>
  </si>
  <si>
    <t>MABGL_PreAlcRateReg</t>
    <phoneticPr fontId="2"/>
  </si>
  <si>
    <t>#MA.FCM_USR_ID</t>
  </si>
  <si>
    <t>#MA.FCM_USR_NM</t>
  </si>
  <si>
    <t>EXISTS.chk01</t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</si>
  <si>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</si>
  <si>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</si>
  <si>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</si>
  <si>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一次配賦基準マスタ、一次配賦基準マスタ(ロケール別情報)を削除する</t>
    <rPh sb="29" eb="31">
      <t>サクジョ</t>
    </rPh>
    <phoneticPr fontId="5"/>
  </si>
  <si>
    <t>削除処理</t>
    <rPh sb="0" eb="2">
      <t>サクジョ</t>
    </rPh>
    <rPh sb="2" eb="4">
      <t>ショリ</t>
    </rPh>
    <phoneticPr fontId="5"/>
  </si>
  <si>
    <t>一次配賦基準マスタ、一次配賦基準マスタ(ロケール別情報)を削除する前のチェックを行う</t>
    <rPh sb="29" eb="31">
      <t>サクジョ</t>
    </rPh>
    <rPh sb="33" eb="34">
      <t>マエ</t>
    </rPh>
    <rPh sb="40" eb="41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</si>
  <si>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</si>
  <si>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一次配賦基準マスタ(ロケール別情報)を登録する</t>
    <rPh sb="19" eb="21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</si>
  <si>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</si>
  <si>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一次配賦基準マスタ(ロケール別情報)を登録する前のチェックを行う</t>
    <rPh sb="19" eb="21">
      <t>トウロク</t>
    </rPh>
    <rPh sb="23" eb="24">
      <t>マエ</t>
    </rPh>
    <rPh sb="30" eb="31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</si>
  <si>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</si>
  <si>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一次配賦基準マスタを登録する</t>
    <rPh sb="10" eb="12">
      <t>トウロク</t>
    </rPh>
    <phoneticPr fontId="5"/>
  </si>
  <si>
    <t>登録処理</t>
    <rPh sb="0" eb="2">
      <t>トウロク</t>
    </rPh>
    <rPh sb="2" eb="4">
      <t>ショリ</t>
    </rPh>
    <phoneticPr fontId="5"/>
  </si>
  <si>
    <t>一次配賦基準マスタを登録する前のチェックを行う</t>
    <rPh sb="10" eb="12">
      <t>トウロク</t>
    </rPh>
    <rPh sb="14" eb="15">
      <t>マエ</t>
    </rPh>
    <rPh sb="21" eb="22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</si>
  <si>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</si>
  <si>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</si>
  <si>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</si>
  <si>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</si>
  <si>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</si>
  <si>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</si>
  <si>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</si>
  <si>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</si>
  <si>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</si>
  <si>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</si>
  <si>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</si>
  <si>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一次配賦基準ＣＤ</t>
    <phoneticPr fontId="2"/>
  </si>
  <si>
    <t>標準一次配賦基準名</t>
    <phoneticPr fontId="2"/>
  </si>
  <si>
    <t>一次配賦パタンＣＤ</t>
    <phoneticPr fontId="2"/>
  </si>
  <si>
    <t>MA.MAUAL0010.PreAlcPtn</t>
    <phoneticPr fontId="2"/>
  </si>
  <si>
    <t>計画月次比率</t>
    <phoneticPr fontId="2"/>
  </si>
  <si>
    <t>実績月次比率</t>
    <phoneticPr fontId="2"/>
  </si>
  <si>
    <t>計画基準</t>
    <phoneticPr fontId="2"/>
  </si>
  <si>
    <t>比率設定区分</t>
    <phoneticPr fontId="10"/>
  </si>
  <si>
    <t>更新カウンタ</t>
    <phoneticPr fontId="38"/>
  </si>
  <si>
    <t>super/share</t>
    <phoneticPr fontId="2"/>
  </si>
  <si>
    <t>MA.MABGL0510.PreAlcRate_UpdChk01.PreAlcRate_UpdChk01_Dtl</t>
    <phoneticPr fontId="2"/>
  </si>
  <si>
    <t>L</t>
    <phoneticPr fontId="38"/>
  </si>
  <si>
    <t>DBC:MA.MAM_PRE_ALC_RATE_LCL</t>
    <phoneticPr fontId="38"/>
  </si>
  <si>
    <t>一次配賦基準名</t>
    <phoneticPr fontId="2"/>
  </si>
  <si>
    <t>MA.MABGL0510.PreAlcRateLcl_UpdChk01.PreAlcRateLcl_UpdChk01_Dtl</t>
    <phoneticPr fontId="2"/>
  </si>
  <si>
    <t>MA.MABGL0510.PreAlcRate_DelChk01.PreAlcRate_DelChk01_Dtl</t>
    <phoneticPr fontId="2"/>
  </si>
  <si>
    <t>一次配賦パタン名</t>
    <phoneticPr fontId="2"/>
  </si>
  <si>
    <t>MAC_PRE_ALC_SET_TYP</t>
    <phoneticPr fontId="2"/>
  </si>
  <si>
    <t>比率設定区分名</t>
    <phoneticPr fontId="10"/>
  </si>
  <si>
    <t>登録日時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</si>
  <si>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</si>
  <si>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</si>
  <si>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</si>
  <si>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</si>
  <si>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</si>
  <si>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ロケール名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</si>
  <si>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</si>
  <si>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</si>
  <si>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</si>
  <si>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</si>
  <si>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</si>
  <si>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</si>
  <si>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#MA.PRE_ALC_RATE_NM</t>
    <phoneticPr fontId="2"/>
  </si>
  <si>
    <t>MA.MABGL0510.PreAlcRate_Upd01.PreAlcRate_Upd01_Dtl</t>
    <phoneticPr fontId="2"/>
  </si>
  <si>
    <t>PreAlcRate_UpdChk01_Dtl</t>
    <phoneticPr fontId="2"/>
  </si>
  <si>
    <t>PreAlcRate_Upd01_Dtl</t>
    <phoneticPr fontId="2"/>
  </si>
  <si>
    <t>MA.MABGL0510.PreAlcRateLcl_Upd01.PreAlcRateLcl_Upd01_Dtl</t>
    <phoneticPr fontId="2"/>
  </si>
  <si>
    <t>PreAlcRateLcl_UpdChk01_Dtl</t>
    <phoneticPr fontId="2"/>
  </si>
  <si>
    <t>PreAlcRateLcl_Upd01_Dtl</t>
    <phoneticPr fontId="2"/>
  </si>
  <si>
    <t>MA.MABGL0510.PreAlcRate_Del01.PreAlcRate_Del01_Dtl</t>
    <phoneticPr fontId="2"/>
  </si>
  <si>
    <t>PreAlcRate_DelChk01_Dtl</t>
    <phoneticPr fontId="2"/>
  </si>
  <si>
    <t>PreAlcRate_Del01_Dtl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</si>
  <si>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</si>
  <si>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</si>
  <si>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</si>
  <si>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</si>
  <si>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DBC:MA.MAM_PRE_ALC_RATE</t>
    <phoneticPr fontId="38"/>
  </si>
  <si>
    <t>DBC.MA.MAM_PRE_ALC_RATE</t>
    <phoneticPr fontId="2"/>
  </si>
  <si>
    <t>DBC.MA.MAM_PRE_ALC_RATE</t>
    <phoneticPr fontId="38"/>
  </si>
  <si>
    <t>pre_alc_rate_nm_lcl</t>
    <phoneticPr fontId="2"/>
  </si>
  <si>
    <t>pre_alc_rate_nm</t>
    <phoneticPr fontId="2"/>
  </si>
  <si>
    <t>base_pre_alc_rate_nm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</si>
  <si>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</si>
  <si>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</si>
  <si>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</si>
  <si>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</si>
  <si>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</si>
  <si>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</si>
  <si>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</si>
  <si>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</si>
  <si>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</si>
  <si>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</si>
  <si>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</si>
  <si>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</si>
  <si>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</si>
  <si>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</si>
  <si>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Departmental alloc. basis cd.</t>
  </si>
  <si>
    <t>Standard Departmental alloc. basis name</t>
  </si>
  <si>
    <t>Departmental alloc. pattern cd.</t>
  </si>
  <si>
    <t>Monthly ratio (Plan)</t>
  </si>
  <si>
    <t>Monthly ratio (Result)</t>
  </si>
  <si>
    <t>Plan based</t>
  </si>
  <si>
    <t>Ratio setting type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</si>
  <si>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</si>
  <si>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</si>
  <si>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</si>
  <si>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</si>
  <si>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</si>
  <si>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</si>
  <si>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</si>
  <si>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Locale cd.</t>
  </si>
  <si>
    <t>Departmental alloc. basis name</t>
  </si>
  <si>
    <t>上り項目
Request Message Field</t>
    <phoneticPr fontId="2"/>
  </si>
  <si>
    <t>下り項目
Response Message Field</t>
    <phoneticPr fontId="2"/>
  </si>
  <si>
    <t>Departmental alloc. pattern name</t>
  </si>
  <si>
    <t>Logical delete flg. (Off)</t>
  </si>
  <si>
    <t>Logical delete flg. (On)</t>
  </si>
  <si>
    <t>Ratio setting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</si>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</sst>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9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0" borderId="0" applyNumberFormat="0" applyBorder="0" applyAlignment="0" applyProtection="0"/>
    <xf numFmtId="10" fontId="41" fillId="31" borderId="20" applyNumberFormat="0" applyBorder="0" applyAlignment="0" applyProtection="0"/>
    <xf numFmtId="178" fontId="42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30" fillId="0" borderId="0"/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9">
    <xf numFmtId="0" fontId="0" fillId="0" borderId="0" xfId="0">
      <alignment vertical="top" wrapText="1"/>
    </xf>
    <xf numFmtId="0" fontId="44" fillId="0" borderId="18" xfId="0" applyFont="1" applyBorder="1" applyAlignment="1">
      <alignment vertical="center"/>
    </xf>
    <xf numFmtId="0" fontId="44" fillId="0" borderId="18" xfId="0" applyFont="1" applyBorder="1" applyAlignment="1">
      <alignment horizontal="left" vertical="top"/>
    </xf>
    <xf numFmtId="0" fontId="44" fillId="0" borderId="18" xfId="0" applyFont="1" applyBorder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20" fontId="44" fillId="27" borderId="20" xfId="0" applyNumberFormat="1" applyFont="1" applyFill="1" applyBorder="1" applyAlignment="1">
      <alignment horizontal="left" vertical="top"/>
    </xf>
    <xf numFmtId="0" fontId="44" fillId="27" borderId="20" xfId="0" applyFont="1" applyFill="1" applyBorder="1" applyAlignment="1">
      <alignment vertical="top"/>
    </xf>
    <xf numFmtId="0" fontId="44" fillId="27" borderId="20" xfId="0" quotePrefix="1" applyFont="1" applyFill="1" applyBorder="1" applyAlignment="1">
      <alignment vertical="top"/>
    </xf>
    <xf numFmtId="0" fontId="44" fillId="0" borderId="0" xfId="0" applyFont="1">
      <alignment vertical="top" wrapText="1"/>
    </xf>
    <xf numFmtId="0" fontId="44" fillId="27" borderId="20" xfId="0" applyFont="1" applyFill="1" applyBorder="1" applyAlignment="1">
      <alignment horizontal="left" vertical="top"/>
    </xf>
    <xf numFmtId="0" fontId="44" fillId="28" borderId="20" xfId="179" applyFont="1" applyFill="1" applyBorder="1" applyAlignment="1">
      <alignment vertical="top"/>
    </xf>
    <xf numFmtId="0" fontId="44" fillId="0" borderId="0" xfId="0" applyFont="1" applyAlignment="1"/>
    <xf numFmtId="0" fontId="44" fillId="0" borderId="23" xfId="0" applyFont="1" applyBorder="1" applyAlignment="1">
      <alignment vertical="top"/>
    </xf>
    <xf numFmtId="0" fontId="44" fillId="28" borderId="2" xfId="0" applyFont="1" applyFill="1" applyBorder="1" applyAlignment="1">
      <alignment vertical="top"/>
    </xf>
    <xf numFmtId="0" fontId="44" fillId="28" borderId="2" xfId="0" applyFont="1" applyFill="1" applyBorder="1" applyAlignment="1">
      <alignment horizontal="left" vertical="top"/>
    </xf>
    <xf numFmtId="0" fontId="44" fillId="28" borderId="24" xfId="0" applyFont="1" applyFill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top"/>
    </xf>
    <xf numFmtId="0" fontId="44" fillId="0" borderId="21" xfId="0" applyFont="1" applyBorder="1" applyAlignment="1">
      <alignment vertical="top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left" vertical="top"/>
    </xf>
    <xf numFmtId="0" fontId="44" fillId="0" borderId="22" xfId="0" applyFont="1" applyBorder="1" applyAlignment="1">
      <alignment vertical="top"/>
    </xf>
    <xf numFmtId="0" fontId="44" fillId="0" borderId="0" xfId="0" applyFont="1" applyAlignment="1" applyProtection="1">
      <alignment vertical="center"/>
      <protection locked="0"/>
    </xf>
    <xf numFmtId="0" fontId="44" fillId="27" borderId="20" xfId="0" applyFont="1" applyFill="1" applyBorder="1" applyAlignment="1">
      <alignment vertical="center"/>
    </xf>
    <xf numFmtId="0" fontId="44" fillId="0" borderId="0" xfId="0" applyFont="1" applyAlignment="1" applyProtection="1">
      <alignment vertical="top"/>
      <protection locked="0"/>
    </xf>
    <xf numFmtId="0" fontId="44" fillId="27" borderId="19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 applyProtection="1">
      <alignment vertical="top"/>
      <protection locked="0"/>
    </xf>
    <xf numFmtId="0" fontId="44" fillId="0" borderId="20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/>
    <xf numFmtId="0" fontId="44" fillId="27" borderId="20" xfId="181" applyFont="1" applyFill="1" applyBorder="1" applyAlignment="1">
      <alignment vertical="top"/>
    </xf>
    <xf numFmtId="0" fontId="44" fillId="0" borderId="27" xfId="0" applyFont="1" applyBorder="1" applyAlignment="1" applyProtection="1">
      <protection locked="0"/>
    </xf>
    <xf numFmtId="0" fontId="44" fillId="0" borderId="24" xfId="0" applyFont="1" applyBorder="1" applyAlignment="1" applyProtection="1">
      <protection locked="0"/>
    </xf>
    <xf numFmtId="0" fontId="44" fillId="27" borderId="27" xfId="0" applyFont="1" applyFill="1" applyBorder="1" applyAlignment="1">
      <alignment vertical="top"/>
    </xf>
    <xf numFmtId="0" fontId="44" fillId="27" borderId="24" xfId="0" applyFont="1" applyFill="1" applyBorder="1" applyAlignment="1">
      <alignment vertical="top"/>
    </xf>
    <xf numFmtId="0" fontId="44" fillId="27" borderId="27" xfId="0" applyFont="1" applyFill="1" applyBorder="1" applyAlignment="1" applyProtection="1">
      <alignment vertical="top"/>
      <protection locked="0"/>
    </xf>
    <xf numFmtId="0" fontId="44" fillId="27" borderId="2" xfId="0" applyFont="1" applyFill="1" applyBorder="1" applyAlignment="1" applyProtection="1">
      <alignment vertical="top"/>
      <protection locked="0"/>
    </xf>
    <xf numFmtId="0" fontId="44" fillId="0" borderId="2" xfId="0" applyFont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protection locked="0"/>
    </xf>
    <xf numFmtId="0" fontId="44" fillId="0" borderId="2" xfId="0" applyFont="1" applyBorder="1" applyAlignment="1" applyProtection="1">
      <protection locked="0"/>
    </xf>
    <xf numFmtId="0" fontId="44" fillId="0" borderId="24" xfId="0" applyFont="1" applyBorder="1" applyAlignment="1"/>
    <xf numFmtId="0" fontId="44" fillId="27" borderId="24" xfId="0" applyFont="1" applyFill="1" applyBorder="1" applyAlignment="1"/>
    <xf numFmtId="0" fontId="44" fillId="0" borderId="27" xfId="0" applyFont="1" applyBorder="1" applyAlignment="1"/>
    <xf numFmtId="0" fontId="44" fillId="0" borderId="2" xfId="0" applyFont="1" applyBorder="1" applyAlignment="1"/>
    <xf numFmtId="0" fontId="44" fillId="27" borderId="20" xfId="0" applyFont="1" applyFill="1" applyBorder="1" applyAlignment="1" applyProtection="1">
      <protection locked="0"/>
    </xf>
    <xf numFmtId="0" fontId="44" fillId="28" borderId="24" xfId="0" applyFont="1" applyFill="1" applyBorder="1" applyAlignment="1" applyProtection="1">
      <protection locked="0"/>
    </xf>
    <xf numFmtId="0" fontId="44" fillId="27" borderId="20" xfId="0" applyFont="1" applyFill="1" applyBorder="1">
      <alignment vertical="top" wrapText="1"/>
    </xf>
    <xf numFmtId="0" fontId="44" fillId="28" borderId="20" xfId="0" applyFont="1" applyFill="1" applyBorder="1">
      <alignment vertical="top" wrapText="1"/>
    </xf>
    <xf numFmtId="0" fontId="44" fillId="0" borderId="24" xfId="0" applyFont="1" applyBorder="1" applyAlignment="1" applyProtection="1">
      <alignment vertical="top"/>
      <protection locked="0"/>
    </xf>
    <xf numFmtId="0" fontId="44" fillId="27" borderId="26" xfId="0" applyFont="1" applyFill="1" applyBorder="1" applyAlignment="1" applyProtection="1">
      <alignment vertical="top"/>
      <protection locked="0"/>
    </xf>
    <xf numFmtId="0" fontId="44" fillId="27" borderId="0" xfId="0" applyFont="1" applyFill="1" applyAlignment="1" applyProtection="1">
      <alignment vertical="top"/>
      <protection locked="0"/>
    </xf>
    <xf numFmtId="0" fontId="44" fillId="0" borderId="23" xfId="0" applyFont="1" applyBorder="1">
      <alignment vertical="top" wrapText="1"/>
    </xf>
    <xf numFmtId="0" fontId="44" fillId="0" borderId="48" xfId="0" applyFont="1" applyBorder="1" applyAlignment="1" applyProtection="1">
      <alignment vertical="top"/>
      <protection locked="0"/>
    </xf>
    <xf numFmtId="0" fontId="44" fillId="0" borderId="20" xfId="0" applyFont="1" applyBorder="1" applyAlignment="1"/>
    <xf numFmtId="0" fontId="44" fillId="0" borderId="27" xfId="0" applyFont="1" applyBorder="1" applyAlignment="1" applyProtection="1">
      <alignment vertical="top"/>
      <protection locked="0"/>
    </xf>
    <xf numFmtId="0" fontId="44" fillId="0" borderId="27" xfId="180" applyFont="1" applyBorder="1" applyAlignment="1">
      <alignment vertical="top"/>
    </xf>
    <xf numFmtId="0" fontId="44" fillId="0" borderId="24" xfId="180" applyFont="1" applyBorder="1" applyAlignment="1">
      <alignment vertical="top"/>
    </xf>
    <xf numFmtId="0" fontId="44" fillId="0" borderId="22" xfId="0" applyFont="1" applyBorder="1" applyAlignment="1"/>
    <xf numFmtId="0" fontId="44" fillId="0" borderId="28" xfId="0" applyFont="1" applyBorder="1" applyAlignment="1"/>
    <xf numFmtId="0" fontId="44" fillId="0" borderId="18" xfId="0" applyFont="1" applyBorder="1" applyAlignment="1"/>
    <xf numFmtId="0" fontId="44" fillId="27" borderId="25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center"/>
      <protection locked="0"/>
    </xf>
    <xf numFmtId="0" fontId="44" fillId="0" borderId="19" xfId="0" applyFont="1" applyBorder="1" applyAlignment="1" applyProtection="1">
      <alignment horizontal="left" vertical="top"/>
      <protection locked="0"/>
    </xf>
    <xf numFmtId="0" fontId="44" fillId="0" borderId="21" xfId="0" applyFont="1" applyBorder="1" applyAlignment="1" applyProtection="1">
      <alignment vertical="top"/>
      <protection locked="0"/>
    </xf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82" applyFont="1"/>
    <xf numFmtId="0" fontId="47" fillId="0" borderId="0" xfId="182" applyFont="1" applyAlignment="1">
      <alignment horizontal="center"/>
    </xf>
    <xf numFmtId="0" fontId="44" fillId="28" borderId="27" xfId="0" applyFont="1" applyFill="1" applyBorder="1" applyAlignment="1" applyProtection="1">
      <protection locked="0"/>
    </xf>
    <xf numFmtId="0" fontId="44" fillId="27" borderId="18" xfId="0" applyFont="1" applyFill="1" applyBorder="1" applyAlignment="1">
      <alignment vertical="top"/>
    </xf>
    <xf numFmtId="0" fontId="44" fillId="27" borderId="25" xfId="0" applyFont="1" applyFill="1" applyBorder="1" applyAlignment="1">
      <alignment vertical="top"/>
    </xf>
    <xf numFmtId="0" fontId="44" fillId="27" borderId="19" xfId="0" applyFont="1" applyFill="1" applyBorder="1" applyAlignment="1">
      <alignment vertical="top"/>
    </xf>
    <xf numFmtId="0" fontId="44" fillId="29" borderId="20" xfId="0" applyFont="1" applyFill="1" applyBorder="1" applyAlignment="1">
      <alignment vertical="top"/>
    </xf>
    <xf numFmtId="0" fontId="44" fillId="27" borderId="26" xfId="0" applyFont="1" applyFill="1" applyBorder="1" applyAlignment="1">
      <alignment vertical="top"/>
    </xf>
    <xf numFmtId="0" fontId="44" fillId="27" borderId="0" xfId="0" applyFont="1" applyFill="1" applyAlignment="1">
      <alignment vertical="top"/>
    </xf>
    <xf numFmtId="0" fontId="44" fillId="29" borderId="0" xfId="0" applyFont="1" applyFill="1">
      <alignment vertical="top" wrapText="1"/>
    </xf>
    <xf numFmtId="0" fontId="44" fillId="0" borderId="27" xfId="0" applyFont="1" applyBorder="1" applyAlignment="1">
      <alignment vertical="top"/>
    </xf>
    <xf numFmtId="0" fontId="44" fillId="0" borderId="20" xfId="0" applyFont="1" applyBorder="1" applyAlignment="1">
      <alignment vertical="center"/>
    </xf>
    <xf numFmtId="0" fontId="44" fillId="27" borderId="28" xfId="0" applyFont="1" applyFill="1" applyBorder="1" applyAlignment="1">
      <alignment vertical="top"/>
    </xf>
    <xf numFmtId="0" fontId="44" fillId="0" borderId="2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0" fontId="44" fillId="0" borderId="19" xfId="0" applyFont="1" applyBorder="1">
      <alignment vertical="top" wrapText="1"/>
    </xf>
    <xf numFmtId="0" fontId="44" fillId="0" borderId="20" xfId="0" applyFont="1" applyBorder="1">
      <alignment vertical="top" wrapText="1"/>
    </xf>
    <xf numFmtId="0" fontId="44" fillId="0" borderId="20" xfId="0" applyFont="1" applyBorder="1" applyProtection="1">
      <alignment vertical="top" wrapText="1"/>
      <protection locked="0"/>
    </xf>
    <xf numFmtId="0" fontId="44" fillId="27" borderId="27" xfId="0" applyFont="1" applyFill="1" applyBorder="1">
      <alignment vertical="top" wrapText="1"/>
    </xf>
    <xf numFmtId="0" fontId="44" fillId="27" borderId="24" xfId="0" applyFont="1" applyFill="1" applyBorder="1">
      <alignment vertical="top" wrapText="1"/>
    </xf>
    <xf numFmtId="0" fontId="44" fillId="0" borderId="18" xfId="0" applyFont="1" applyBorder="1" applyAlignment="1" applyProtection="1">
      <alignment vertical="top"/>
      <protection locked="0"/>
    </xf>
    <xf numFmtId="0" fontId="44" fillId="0" borderId="22" xfId="0" applyFont="1" applyBorder="1" applyAlignment="1" applyProtection="1">
      <alignment vertical="top"/>
      <protection locked="0"/>
    </xf>
    <xf numFmtId="0" fontId="44" fillId="0" borderId="27" xfId="0" applyFont="1" applyBorder="1" applyProtection="1">
      <alignment vertical="top" wrapText="1"/>
      <protection locked="0"/>
    </xf>
    <xf numFmtId="0" fontId="44" fillId="0" borderId="27" xfId="0" applyFont="1" applyBorder="1">
      <alignment vertical="top" wrapText="1"/>
    </xf>
    <xf numFmtId="0" fontId="44" fillId="0" borderId="24" xfId="0" applyFont="1" applyBorder="1">
      <alignment vertical="top" wrapText="1"/>
    </xf>
    <xf numFmtId="0" fontId="44" fillId="0" borderId="47" xfId="0" applyFont="1" applyBorder="1" applyAlignment="1" applyProtection="1">
      <alignment vertical="top"/>
      <protection locked="0"/>
    </xf>
    <xf numFmtId="0" fontId="46" fillId="0" borderId="41" xfId="182" applyFont="1" applyBorder="1" applyAlignment="1">
      <alignment horizontal="left" vertical="center" wrapText="1"/>
    </xf>
    <xf numFmtId="0" fontId="46" fillId="0" borderId="42" xfId="177" applyFont="1" applyBorder="1" applyAlignment="1">
      <alignment horizontal="left" vertical="center" wrapText="1"/>
    </xf>
    <xf numFmtId="0" fontId="46" fillId="0" borderId="43" xfId="177" applyFont="1" applyBorder="1" applyAlignment="1">
      <alignment horizontal="left" vertical="center" wrapText="1"/>
    </xf>
    <xf numFmtId="0" fontId="46" fillId="0" borderId="42" xfId="177" applyFont="1" applyBorder="1" applyAlignment="1">
      <alignment vertical="center" wrapText="1"/>
    </xf>
    <xf numFmtId="0" fontId="46" fillId="0" borderId="43" xfId="177" applyFont="1" applyBorder="1" applyAlignment="1">
      <alignment vertical="center" wrapText="1"/>
    </xf>
    <xf numFmtId="0" fontId="46" fillId="0" borderId="41" xfId="182" applyFont="1" applyBorder="1" applyAlignment="1">
      <alignment vertical="center" wrapText="1"/>
    </xf>
    <xf numFmtId="0" fontId="46" fillId="0" borderId="44" xfId="177" applyFont="1" applyBorder="1" applyAlignment="1">
      <alignment vertical="center" wrapText="1"/>
    </xf>
    <xf numFmtId="0" fontId="47" fillId="28" borderId="45" xfId="182" applyFont="1" applyFill="1" applyBorder="1" applyAlignment="1">
      <alignment horizontal="center" vertical="center"/>
    </xf>
    <xf numFmtId="0" fontId="46" fillId="0" borderId="1" xfId="177" applyFont="1" applyBorder="1" applyAlignment="1">
      <alignment horizontal="center" vertical="center"/>
    </xf>
    <xf numFmtId="0" fontId="46" fillId="0" borderId="35" xfId="177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 wrapText="1"/>
    </xf>
    <xf numFmtId="0" fontId="46" fillId="0" borderId="2" xfId="177" applyFont="1" applyBorder="1" applyAlignment="1">
      <alignment vertical="center" wrapText="1"/>
    </xf>
    <xf numFmtId="0" fontId="46" fillId="0" borderId="24" xfId="177" applyFont="1" applyBorder="1" applyAlignment="1">
      <alignment vertical="center" wrapText="1"/>
    </xf>
    <xf numFmtId="0" fontId="46" fillId="0" borderId="27" xfId="182" applyFont="1" applyBorder="1" applyAlignment="1">
      <alignment vertical="center" wrapText="1"/>
    </xf>
    <xf numFmtId="0" fontId="46" fillId="0" borderId="38" xfId="177" applyFont="1" applyBorder="1" applyAlignment="1">
      <alignment vertical="center" wrapText="1"/>
    </xf>
    <xf numFmtId="177" fontId="46" fillId="0" borderId="46" xfId="182" applyNumberFormat="1" applyFont="1" applyBorder="1" applyAlignment="1">
      <alignment horizontal="center" vertical="center"/>
    </xf>
    <xf numFmtId="177" fontId="46" fillId="0" borderId="42" xfId="177" applyNumberFormat="1" applyFont="1" applyBorder="1" applyAlignment="1">
      <alignment horizontal="center" vertical="center"/>
    </xf>
    <xf numFmtId="177" fontId="46" fillId="0" borderId="43" xfId="177" applyNumberFormat="1" applyFont="1" applyBorder="1" applyAlignment="1">
      <alignment horizontal="center" vertical="center"/>
    </xf>
    <xf numFmtId="177" fontId="46" fillId="0" borderId="37" xfId="182" applyNumberFormat="1" applyFont="1" applyBorder="1" applyAlignment="1">
      <alignment horizontal="center" vertical="center"/>
    </xf>
    <xf numFmtId="177" fontId="46" fillId="0" borderId="2" xfId="177" applyNumberFormat="1" applyFont="1" applyBorder="1" applyAlignment="1">
      <alignment horizontal="center" vertical="center"/>
    </xf>
    <xf numFmtId="177" fontId="46" fillId="0" borderId="24" xfId="177" applyNumberFormat="1" applyFont="1" applyBorder="1" applyAlignment="1">
      <alignment horizontal="center" vertical="center"/>
    </xf>
    <xf numFmtId="0" fontId="46" fillId="0" borderId="2" xfId="177" applyFont="1" applyBorder="1" applyAlignment="1">
      <alignment horizontal="left" vertical="center" wrapText="1"/>
    </xf>
    <xf numFmtId="0" fontId="46" fillId="0" borderId="24" xfId="177" applyFont="1" applyBorder="1" applyAlignment="1">
      <alignment horizontal="left" vertical="center" wrapText="1"/>
    </xf>
    <xf numFmtId="0" fontId="46" fillId="0" borderId="27" xfId="182" applyFont="1" applyBorder="1" applyAlignment="1">
      <alignment horizontal="left" vertical="center"/>
    </xf>
    <xf numFmtId="0" fontId="46" fillId="0" borderId="2" xfId="177" applyFont="1" applyBorder="1" applyAlignment="1">
      <alignment horizontal="left" vertical="center"/>
    </xf>
    <xf numFmtId="0" fontId="46" fillId="0" borderId="24" xfId="177" applyFont="1" applyBorder="1" applyAlignment="1">
      <alignment horizontal="left" vertical="center"/>
    </xf>
    <xf numFmtId="0" fontId="46" fillId="0" borderId="27" xfId="182" applyFont="1" applyBorder="1" applyAlignment="1">
      <alignment vertical="center"/>
    </xf>
    <xf numFmtId="0" fontId="46" fillId="0" borderId="2" xfId="177" applyFont="1" applyBorder="1" applyAlignment="1">
      <alignment vertical="center"/>
    </xf>
    <xf numFmtId="0" fontId="46" fillId="0" borderId="38" xfId="177" applyFont="1" applyBorder="1" applyAlignment="1">
      <alignment vertical="center"/>
    </xf>
    <xf numFmtId="0" fontId="46" fillId="0" borderId="39" xfId="182" applyFont="1" applyBorder="1" applyAlignment="1">
      <alignment horizontal="left" vertical="center" wrapText="1"/>
    </xf>
    <xf numFmtId="0" fontId="46" fillId="0" borderId="30" xfId="177" applyFont="1" applyBorder="1" applyAlignment="1">
      <alignment horizontal="left" vertical="center" wrapText="1"/>
    </xf>
    <xf numFmtId="0" fontId="46" fillId="0" borderId="31" xfId="177" applyFont="1" applyBorder="1" applyAlignment="1">
      <alignment horizontal="left" vertical="center" wrapText="1"/>
    </xf>
    <xf numFmtId="0" fontId="46" fillId="0" borderId="30" xfId="177" applyFont="1" applyBorder="1" applyAlignment="1">
      <alignment vertical="center" wrapText="1"/>
    </xf>
    <xf numFmtId="0" fontId="46" fillId="0" borderId="31" xfId="177" applyFont="1" applyBorder="1" applyAlignment="1">
      <alignment vertical="center" wrapText="1"/>
    </xf>
    <xf numFmtId="0" fontId="46" fillId="0" borderId="39" xfId="182" applyFont="1" applyBorder="1" applyAlignment="1">
      <alignment vertical="center" wrapText="1"/>
    </xf>
    <xf numFmtId="0" fontId="46" fillId="0" borderId="40" xfId="177" applyFont="1" applyBorder="1" applyAlignment="1">
      <alignment vertical="center" wrapText="1"/>
    </xf>
    <xf numFmtId="177" fontId="46" fillId="0" borderId="29" xfId="182" applyNumberFormat="1" applyFont="1" applyBorder="1" applyAlignment="1">
      <alignment horizontal="center" vertical="center"/>
    </xf>
    <xf numFmtId="177" fontId="46" fillId="0" borderId="30" xfId="177" applyNumberFormat="1" applyFont="1" applyBorder="1" applyAlignment="1">
      <alignment horizontal="center" vertical="center"/>
    </xf>
    <xf numFmtId="177" fontId="46" fillId="0" borderId="31" xfId="177" applyNumberFormat="1" applyFont="1" applyBorder="1" applyAlignment="1">
      <alignment horizontal="center" vertical="center"/>
    </xf>
    <xf numFmtId="0" fontId="45" fillId="28" borderId="32" xfId="178" applyFont="1" applyFill="1" applyBorder="1" applyAlignment="1">
      <alignment horizontal="center" vertical="center"/>
    </xf>
    <xf numFmtId="0" fontId="46" fillId="0" borderId="3" xfId="177" applyFont="1" applyBorder="1" applyAlignment="1">
      <alignment vertical="center"/>
    </xf>
    <xf numFmtId="0" fontId="46" fillId="0" borderId="33" xfId="177" applyFont="1" applyBorder="1" applyAlignment="1">
      <alignment vertical="center"/>
    </xf>
    <xf numFmtId="0" fontId="47" fillId="28" borderId="34" xfId="182" applyFont="1" applyFill="1" applyBorder="1" applyAlignment="1">
      <alignment horizontal="center" vertical="center"/>
    </xf>
    <xf numFmtId="0" fontId="47" fillId="28" borderId="1" xfId="182" applyFont="1" applyFill="1" applyBorder="1" applyAlignment="1">
      <alignment horizontal="center" vertical="center"/>
    </xf>
    <xf numFmtId="0" fontId="47" fillId="28" borderId="35" xfId="182" applyFont="1" applyFill="1" applyBorder="1" applyAlignment="1">
      <alignment horizontal="center" vertical="center"/>
    </xf>
    <xf numFmtId="0" fontId="47" fillId="28" borderId="34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6" xfId="177" applyFont="1" applyBorder="1" applyAlignment="1">
      <alignment horizontal="center" vertical="center"/>
    </xf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8" borderId="27" xfId="180" applyFont="1" applyFill="1" applyBorder="1" applyAlignment="1"/>
  </cellXfs>
  <cellStyles count="20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190" xr:uid="{00000000-0005-0000-0000-00004B000000}"/>
    <cellStyle name="Comma [0] 2" xfId="191" xr:uid="{00000000-0005-0000-0000-00004C000000}"/>
    <cellStyle name="Currency [0]" xfId="192" xr:uid="{00000000-0005-0000-0000-00004D000000}"/>
    <cellStyle name="Grey" xfId="193" xr:uid="{00000000-0005-0000-0000-00004E000000}"/>
    <cellStyle name="Header1" xfId="76" xr:uid="{00000000-0005-0000-0000-00004F000000}"/>
    <cellStyle name="Header2" xfId="77" xr:uid="{00000000-0005-0000-0000-000050000000}"/>
    <cellStyle name="Input [yellow]" xfId="194" xr:uid="{00000000-0005-0000-0000-000051000000}"/>
    <cellStyle name="Normal - Style1" xfId="195" xr:uid="{00000000-0005-0000-0000-000052000000}"/>
    <cellStyle name="Normal_#18-Internet" xfId="78" xr:uid="{00000000-0005-0000-0000-000053000000}"/>
    <cellStyle name="Percent [2]" xfId="196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197" xr:uid="{00000000-0005-0000-0000-000085000000}"/>
    <cellStyle name="_x001d__x000c_K_x0014__x000d_&gt;V_x0001_&gt;_x0014_n_x001e__x0007__x0001__x0001_ 3" xfId="198" xr:uid="{00000000-0005-0000-0000-000086000000}"/>
    <cellStyle name="悪い" xfId="127" builtinId="27" customBuiltin="1"/>
    <cellStyle name="悪い 2" xfId="128" xr:uid="{00000000-0005-0000-0000-000088000000}"/>
    <cellStyle name="悪い 3" xfId="129" xr:uid="{00000000-0005-0000-0000-000089000000}"/>
    <cellStyle name="悪い 4" xfId="130" xr:uid="{00000000-0005-0000-0000-00008A000000}"/>
    <cellStyle name="計算" xfId="131" builtinId="22" customBuiltin="1"/>
    <cellStyle name="計算 2" xfId="132" xr:uid="{00000000-0005-0000-0000-00008C000000}"/>
    <cellStyle name="計算 3" xfId="133" xr:uid="{00000000-0005-0000-0000-00008D000000}"/>
    <cellStyle name="計算 4" xfId="134" xr:uid="{00000000-0005-0000-0000-00008E000000}"/>
    <cellStyle name="警告文" xfId="135" builtinId="11" customBuiltin="1"/>
    <cellStyle name="警告文 2" xfId="136" xr:uid="{00000000-0005-0000-0000-000090000000}"/>
    <cellStyle name="警告文 3" xfId="137" xr:uid="{00000000-0005-0000-0000-000091000000}"/>
    <cellStyle name="警告文 4" xfId="138" xr:uid="{00000000-0005-0000-0000-000092000000}"/>
    <cellStyle name="桁区切り 2" xfId="208" xr:uid="{00000000-0005-0000-0000-000093000000}"/>
    <cellStyle name="見出し 1" xfId="139" builtinId="16" customBuiltin="1"/>
    <cellStyle name="見出し 1 2" xfId="140" xr:uid="{00000000-0005-0000-0000-000095000000}"/>
    <cellStyle name="見出し 1 3" xfId="141" xr:uid="{00000000-0005-0000-0000-000096000000}"/>
    <cellStyle name="見出し 1 4" xfId="142" xr:uid="{00000000-0005-0000-0000-000097000000}"/>
    <cellStyle name="見出し 2" xfId="143" builtinId="17" customBuiltin="1"/>
    <cellStyle name="見出し 2 2" xfId="144" xr:uid="{00000000-0005-0000-0000-000099000000}"/>
    <cellStyle name="見出し 2 3" xfId="145" xr:uid="{00000000-0005-0000-0000-00009A000000}"/>
    <cellStyle name="見出し 2 4" xfId="146" xr:uid="{00000000-0005-0000-0000-00009B000000}"/>
    <cellStyle name="見出し 3" xfId="147" builtinId="18" customBuiltin="1"/>
    <cellStyle name="見出し 3 2" xfId="148" xr:uid="{00000000-0005-0000-0000-00009D000000}"/>
    <cellStyle name="見出し 3 3" xfId="149" xr:uid="{00000000-0005-0000-0000-00009E000000}"/>
    <cellStyle name="見出し 3 4" xfId="150" xr:uid="{00000000-0005-0000-0000-00009F000000}"/>
    <cellStyle name="見出し 4" xfId="151" builtinId="19" customBuiltin="1"/>
    <cellStyle name="見出し 4 2" xfId="152" xr:uid="{00000000-0005-0000-0000-0000A1000000}"/>
    <cellStyle name="見出し 4 3" xfId="153" xr:uid="{00000000-0005-0000-0000-0000A2000000}"/>
    <cellStyle name="見出し 4 4" xfId="154" xr:uid="{00000000-0005-0000-0000-0000A3000000}"/>
    <cellStyle name="作業ﾌﾛｰ" xfId="199" xr:uid="{00000000-0005-0000-0000-0000A4000000}"/>
    <cellStyle name="資料" xfId="200" xr:uid="{00000000-0005-0000-0000-0000A5000000}"/>
    <cellStyle name="資料２" xfId="201" xr:uid="{00000000-0005-0000-0000-0000A6000000}"/>
    <cellStyle name="集計" xfId="155" builtinId="25" customBuiltin="1"/>
    <cellStyle name="集計 2" xfId="156" xr:uid="{00000000-0005-0000-0000-0000A8000000}"/>
    <cellStyle name="集計 3" xfId="157" xr:uid="{00000000-0005-0000-0000-0000A9000000}"/>
    <cellStyle name="集計 4" xfId="158" xr:uid="{00000000-0005-0000-0000-0000AA000000}"/>
    <cellStyle name="出力" xfId="159" builtinId="21" customBuiltin="1"/>
    <cellStyle name="出力 2" xfId="160" xr:uid="{00000000-0005-0000-0000-0000AC000000}"/>
    <cellStyle name="出力 3" xfId="161" xr:uid="{00000000-0005-0000-0000-0000AD000000}"/>
    <cellStyle name="出力 4" xfId="162" xr:uid="{00000000-0005-0000-0000-0000AE000000}"/>
    <cellStyle name="説明文" xfId="163" builtinId="53" customBuiltin="1"/>
    <cellStyle name="説明文 2" xfId="164" xr:uid="{00000000-0005-0000-0000-0000B0000000}"/>
    <cellStyle name="説明文 3" xfId="165" xr:uid="{00000000-0005-0000-0000-0000B1000000}"/>
    <cellStyle name="説明文 4" xfId="166" xr:uid="{00000000-0005-0000-0000-0000B2000000}"/>
    <cellStyle name="入力" xfId="167" builtinId="20" customBuiltin="1"/>
    <cellStyle name="入力 2" xfId="168" xr:uid="{00000000-0005-0000-0000-0000B4000000}"/>
    <cellStyle name="入力 3" xfId="169" xr:uid="{00000000-0005-0000-0000-0000B5000000}"/>
    <cellStyle name="入力 4" xfId="170" xr:uid="{00000000-0005-0000-0000-0000B6000000}"/>
    <cellStyle name="標準" xfId="0" builtinId="0"/>
    <cellStyle name="標準 10" xfId="188" xr:uid="{00000000-0005-0000-0000-0000B8000000}"/>
    <cellStyle name="標準 2" xfId="171" xr:uid="{00000000-0005-0000-0000-0000B9000000}"/>
    <cellStyle name="標準 2 2" xfId="202" xr:uid="{00000000-0005-0000-0000-0000BA000000}"/>
    <cellStyle name="標準 3" xfId="172" xr:uid="{00000000-0005-0000-0000-0000BB000000}"/>
    <cellStyle name="標準 3 2" xfId="203" xr:uid="{00000000-0005-0000-0000-0000BC000000}"/>
    <cellStyle name="標準 4" xfId="173" xr:uid="{00000000-0005-0000-0000-0000BD000000}"/>
    <cellStyle name="標準 5" xfId="174" xr:uid="{00000000-0005-0000-0000-0000BE000000}"/>
    <cellStyle name="標準 6" xfId="175" xr:uid="{00000000-0005-0000-0000-0000BF000000}"/>
    <cellStyle name="標準 7" xfId="176" xr:uid="{00000000-0005-0000-0000-0000C0000000}"/>
    <cellStyle name="標準 8" xfId="204" xr:uid="{00000000-0005-0000-0000-0000C1000000}"/>
    <cellStyle name="標準 9" xfId="189" xr:uid="{00000000-0005-0000-0000-0000C2000000}"/>
    <cellStyle name="標準_02_変更来歴例" xfId="177" xr:uid="{00000000-0005-0000-0000-0000C3000000}"/>
    <cellStyle name="標準_A00200 オーダー状況" xfId="178" xr:uid="{00000000-0005-0000-0000-0000C4000000}"/>
    <cellStyle name="標準_LogicCommon" xfId="179" xr:uid="{00000000-0005-0000-0000-0000C5000000}"/>
    <cellStyle name="標準_Srch01" xfId="180" xr:uid="{00000000-0005-0000-0000-0000C6000000}"/>
    <cellStyle name="標準_Srch01_1" xfId="181" xr:uid="{00000000-0005-0000-0000-0000C7000000}"/>
    <cellStyle name="標準_変更来歴_1" xfId="182" xr:uid="{00000000-0005-0000-0000-0000C8000000}"/>
    <cellStyle name="標準2" xfId="205" xr:uid="{00000000-0005-0000-0000-0000C9000000}"/>
    <cellStyle name="標準２" xfId="206" xr:uid="{00000000-0005-0000-0000-0000CA000000}"/>
    <cellStyle name="標準2_DAIICH" xfId="207" xr:uid="{00000000-0005-0000-0000-0000CB000000}"/>
    <cellStyle name="未定義" xfId="183" xr:uid="{00000000-0005-0000-0000-0000CC000000}"/>
    <cellStyle name="良い" xfId="184" builtinId="26" customBuiltin="1"/>
    <cellStyle name="良い 2" xfId="185" xr:uid="{00000000-0005-0000-0000-0000CE000000}"/>
    <cellStyle name="良い 3" xfId="186" xr:uid="{00000000-0005-0000-0000-0000CF000000}"/>
    <cellStyle name="良い 4" xfId="187" xr:uid="{00000000-0005-0000-0000-0000D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133</v>
      </c>
      <c r="D2" s="7" t="s">
        <v>9</v>
      </c>
      <c r="E2" s="9" t="s">
        <v>126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134</v>
      </c>
      <c r="D3" s="7" t="s">
        <v>10</v>
      </c>
      <c r="E3" s="9" t="s">
        <v>175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125</v>
      </c>
      <c r="F4" s="7" t="s">
        <v>5</v>
      </c>
      <c r="G4" s="9" t="s">
        <v>246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127</v>
      </c>
      <c r="K2" s="7" t="s">
        <v>39</v>
      </c>
      <c r="L2" s="78" t="str">
        <f>IF(LogicCommon!G2="","",LogicCommon!G2)</f>
        <v>MC</v>
      </c>
      <c r="M2" s="5" t="s">
        <v>198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111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  <c r="S3" s="27"/>
      <c r="T3" s="27"/>
      <c r="U3" s="27"/>
    </row>
    <row r="4" spans="1:21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193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196</v>
      </c>
      <c r="B6" s="80"/>
      <c r="C6" s="80"/>
      <c r="D6" s="4" t="s">
        <v>6</v>
      </c>
      <c r="E6" s="16" t="s">
        <v>192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195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121</v>
      </c>
      <c r="L7" s="32" t="s">
        <v>122</v>
      </c>
      <c r="M7" s="32" t="s">
        <v>163</v>
      </c>
      <c r="N7" s="32"/>
      <c r="O7" s="32"/>
      <c r="P7" s="33" t="s">
        <v>88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9" t="s">
        <v>123</v>
      </c>
      <c r="L8" s="9" t="s">
        <v>124</v>
      </c>
      <c r="M8" s="9" t="s">
        <v>164</v>
      </c>
      <c r="N8" s="9"/>
      <c r="O8" s="35"/>
      <c r="P8" s="33" t="s">
        <v>89</v>
      </c>
      <c r="Q8" s="35"/>
      <c r="R8" s="92"/>
      <c r="S8" s="93"/>
      <c r="T8" s="94" t="s">
        <v>260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261</v>
      </c>
      <c r="E9" s="95" t="s">
        <v>262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94" t="s">
        <v>268</v>
      </c>
      <c r="S9" s="53"/>
      <c r="T9" s="94" t="s">
        <v>269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266</v>
      </c>
      <c r="Q10" s="89" t="s">
        <v>267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135</v>
      </c>
      <c r="E11" s="34" t="s">
        <v>85</v>
      </c>
      <c r="F11" s="45"/>
      <c r="G11" s="28" t="s">
        <v>174</v>
      </c>
      <c r="H11" s="46" t="s">
        <v>250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79</v>
      </c>
      <c r="L12" s="9"/>
      <c r="M12" s="9"/>
      <c r="N12" s="9"/>
      <c r="O12" s="9"/>
      <c r="P12" s="9"/>
      <c r="Q12" s="9"/>
      <c r="R12" s="42"/>
      <c r="S12" s="53"/>
      <c r="T12" s="146"/>
      <c r="U12" s="147"/>
    </row>
    <row r="13" spans="1:21" s="11" customFormat="1" ht="26">
      <c r="A13" s="9">
        <v>10</v>
      </c>
      <c r="B13" s="9"/>
      <c r="C13" s="9"/>
      <c r="D13" s="9" t="s">
        <v>151</v>
      </c>
      <c r="E13" s="51" t="s">
        <v>158</v>
      </c>
      <c r="F13" s="51"/>
      <c r="G13" s="52" t="s">
        <v>271</v>
      </c>
      <c r="H13" s="52" t="s">
        <v>205</v>
      </c>
      <c r="I13" s="9" t="s">
        <v>112</v>
      </c>
      <c r="J13" s="9"/>
      <c r="K13" s="9" t="s">
        <v>79</v>
      </c>
      <c r="L13" s="9"/>
      <c r="M13" s="9"/>
      <c r="N13" s="9"/>
      <c r="O13" s="9"/>
      <c r="P13" s="9"/>
      <c r="Q13" s="9"/>
      <c r="R13" s="42"/>
      <c r="S13" s="53"/>
      <c r="T13" s="146"/>
      <c r="U13" s="147"/>
    </row>
    <row r="14" spans="1:21" s="11" customFormat="1" ht="26">
      <c r="A14" s="9">
        <v>10</v>
      </c>
      <c r="B14" s="9"/>
      <c r="C14" s="9"/>
      <c r="D14" s="9" t="s">
        <v>152</v>
      </c>
      <c r="E14" s="51" t="s">
        <v>159</v>
      </c>
      <c r="F14" s="51"/>
      <c r="G14" s="52" t="s">
        <v>272</v>
      </c>
      <c r="H14" s="52" t="s">
        <v>206</v>
      </c>
      <c r="I14" s="9" t="s">
        <v>112</v>
      </c>
      <c r="J14" s="9"/>
      <c r="K14" s="9" t="s">
        <v>79</v>
      </c>
      <c r="L14" s="9"/>
      <c r="M14" s="9" t="s">
        <v>207</v>
      </c>
      <c r="N14" s="9"/>
      <c r="O14" s="9"/>
      <c r="P14" s="9"/>
      <c r="Q14" s="9"/>
      <c r="R14" s="42"/>
      <c r="S14" s="53"/>
      <c r="T14" s="146"/>
      <c r="U14" s="147"/>
    </row>
    <row r="15" spans="1:21" s="11" customFormat="1">
      <c r="A15" s="9">
        <v>10</v>
      </c>
      <c r="B15" s="9"/>
      <c r="C15" s="9"/>
      <c r="D15" s="9" t="s">
        <v>153</v>
      </c>
      <c r="E15" s="51" t="s">
        <v>59</v>
      </c>
      <c r="F15" s="51"/>
      <c r="G15" s="52" t="s">
        <v>273</v>
      </c>
      <c r="H15" s="52" t="s">
        <v>208</v>
      </c>
      <c r="I15" s="9" t="s">
        <v>112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46"/>
      <c r="U15" s="147"/>
    </row>
    <row r="16" spans="1:21" s="11" customFormat="1">
      <c r="A16" s="9">
        <v>10</v>
      </c>
      <c r="B16" s="9"/>
      <c r="C16" s="9"/>
      <c r="D16" s="9" t="s">
        <v>154</v>
      </c>
      <c r="E16" s="51" t="s">
        <v>59</v>
      </c>
      <c r="F16" s="51"/>
      <c r="G16" s="52" t="s">
        <v>274</v>
      </c>
      <c r="H16" s="52" t="s">
        <v>209</v>
      </c>
      <c r="I16" s="9" t="s">
        <v>112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6"/>
      <c r="U16" s="147"/>
    </row>
    <row r="17" spans="1:21" s="11" customFormat="1">
      <c r="A17" s="9">
        <v>10</v>
      </c>
      <c r="B17" s="9"/>
      <c r="C17" s="9"/>
      <c r="D17" s="9" t="s">
        <v>155</v>
      </c>
      <c r="E17" s="51" t="s">
        <v>59</v>
      </c>
      <c r="F17" s="51"/>
      <c r="G17" s="52" t="s">
        <v>275</v>
      </c>
      <c r="H17" s="52" t="s">
        <v>210</v>
      </c>
      <c r="I17" s="9" t="s">
        <v>112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6"/>
      <c r="U17" s="147"/>
    </row>
    <row r="18" spans="1:21" s="11" customFormat="1">
      <c r="A18" s="9">
        <v>10</v>
      </c>
      <c r="B18" s="9"/>
      <c r="C18" s="9"/>
      <c r="D18" s="9" t="s">
        <v>156</v>
      </c>
      <c r="E18" s="51" t="s">
        <v>160</v>
      </c>
      <c r="F18" s="51"/>
      <c r="G18" s="52" t="s">
        <v>276</v>
      </c>
      <c r="H18" s="52" t="s">
        <v>211</v>
      </c>
      <c r="I18" s="9" t="s">
        <v>112</v>
      </c>
      <c r="J18" s="9"/>
      <c r="K18" s="9"/>
      <c r="L18" s="9" t="s">
        <v>161</v>
      </c>
      <c r="M18" s="9"/>
      <c r="N18" s="9"/>
      <c r="O18" s="9"/>
      <c r="P18" s="9"/>
      <c r="Q18" s="9"/>
      <c r="R18" s="42"/>
      <c r="S18" s="53"/>
      <c r="T18" s="146"/>
      <c r="U18" s="147"/>
    </row>
    <row r="19" spans="1:21" s="11" customFormat="1">
      <c r="A19" s="9">
        <v>10</v>
      </c>
      <c r="B19" s="9"/>
      <c r="C19" s="9"/>
      <c r="D19" s="9" t="s">
        <v>41</v>
      </c>
      <c r="E19" s="51" t="s">
        <v>43</v>
      </c>
      <c r="F19" s="51"/>
      <c r="G19" s="52" t="s">
        <v>277</v>
      </c>
      <c r="H19" s="52" t="s">
        <v>45</v>
      </c>
      <c r="I19" s="9" t="s">
        <v>112</v>
      </c>
      <c r="J19" s="9"/>
      <c r="K19" s="9"/>
      <c r="L19" s="9"/>
      <c r="M19" s="9"/>
      <c r="N19" s="9"/>
      <c r="O19" s="9"/>
      <c r="P19" s="9"/>
      <c r="Q19" s="9"/>
      <c r="R19" s="42"/>
      <c r="S19" s="53"/>
      <c r="T19" s="146"/>
      <c r="U19" s="147"/>
    </row>
    <row r="20" spans="1:21" s="11" customFormat="1">
      <c r="A20" s="9">
        <v>10</v>
      </c>
      <c r="B20" s="9"/>
      <c r="C20" s="9"/>
      <c r="D20" s="9" t="s">
        <v>52</v>
      </c>
      <c r="E20" s="51" t="s">
        <v>53</v>
      </c>
      <c r="F20" s="51"/>
      <c r="G20" s="52" t="s">
        <v>278</v>
      </c>
      <c r="H20" s="52" t="s">
        <v>46</v>
      </c>
      <c r="I20" s="9" t="s">
        <v>112</v>
      </c>
      <c r="J20" s="9"/>
      <c r="K20" s="9"/>
      <c r="L20" s="9"/>
      <c r="M20" s="9"/>
      <c r="N20" s="9"/>
      <c r="O20" s="9"/>
      <c r="P20" s="9"/>
      <c r="Q20" s="9"/>
      <c r="R20" s="42"/>
      <c r="S20" s="53"/>
      <c r="T20" s="146"/>
      <c r="U20" s="147"/>
    </row>
    <row r="21" spans="1:21" s="11" customFormat="1">
      <c r="A21" s="9">
        <v>10</v>
      </c>
      <c r="B21" s="9"/>
      <c r="C21" s="9"/>
      <c r="D21" s="9" t="s">
        <v>47</v>
      </c>
      <c r="E21" s="51" t="s">
        <v>49</v>
      </c>
      <c r="F21" s="51"/>
      <c r="G21" s="52" t="s">
        <v>279</v>
      </c>
      <c r="H21" s="52" t="s">
        <v>51</v>
      </c>
      <c r="I21" s="9" t="s">
        <v>112</v>
      </c>
      <c r="J21" s="9"/>
      <c r="K21" s="9"/>
      <c r="L21" s="9"/>
      <c r="M21" s="9"/>
      <c r="N21" s="9"/>
      <c r="O21" s="9"/>
      <c r="P21" s="9"/>
      <c r="Q21" s="9"/>
      <c r="R21" s="42"/>
      <c r="S21" s="53"/>
      <c r="T21" s="146"/>
      <c r="U21" s="147"/>
    </row>
    <row r="22" spans="1:21" s="11" customFormat="1">
      <c r="A22" s="9">
        <v>10</v>
      </c>
      <c r="B22" s="9"/>
      <c r="C22" s="9"/>
      <c r="D22" s="9" t="s">
        <v>95</v>
      </c>
      <c r="E22" s="51" t="s">
        <v>59</v>
      </c>
      <c r="F22" s="51"/>
      <c r="G22" s="52" t="s">
        <v>280</v>
      </c>
      <c r="H22" s="52" t="s">
        <v>61</v>
      </c>
      <c r="I22" s="9" t="s">
        <v>112</v>
      </c>
      <c r="J22" s="9"/>
      <c r="K22" s="9"/>
      <c r="L22" s="9"/>
      <c r="M22" s="9"/>
      <c r="N22" s="9"/>
      <c r="O22" s="9"/>
      <c r="P22" s="9"/>
      <c r="Q22" s="9"/>
      <c r="R22" s="42"/>
      <c r="S22" s="53"/>
      <c r="T22" s="146"/>
      <c r="U22" s="147"/>
    </row>
    <row r="23" spans="1:21" s="11" customFormat="1">
      <c r="A23" s="9">
        <v>10</v>
      </c>
      <c r="B23" s="9"/>
      <c r="C23" s="9"/>
      <c r="D23" s="9" t="s">
        <v>113</v>
      </c>
      <c r="E23" s="51" t="s">
        <v>114</v>
      </c>
      <c r="F23" s="51"/>
      <c r="G23" s="52" t="s">
        <v>281</v>
      </c>
      <c r="H23" s="52" t="s">
        <v>212</v>
      </c>
      <c r="I23" s="9" t="s">
        <v>112</v>
      </c>
      <c r="J23" s="9"/>
      <c r="K23" s="9"/>
      <c r="L23" s="9"/>
      <c r="M23" s="9"/>
      <c r="N23" s="9"/>
      <c r="O23" s="9"/>
      <c r="P23" s="9"/>
      <c r="Q23" s="9"/>
      <c r="R23" s="42"/>
      <c r="S23" s="53"/>
      <c r="T23" s="146"/>
      <c r="U23" s="147"/>
    </row>
    <row r="24" spans="1:21" s="11" customFormat="1">
      <c r="A24" s="54"/>
      <c r="B24" s="55"/>
      <c r="C24" s="55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4"/>
      <c r="S24" s="4"/>
      <c r="T24" s="6"/>
      <c r="U24" s="23"/>
    </row>
    <row r="25" spans="1:21" s="11" customFormat="1">
      <c r="A25" s="79"/>
      <c r="U25" s="56"/>
    </row>
    <row r="26" spans="1:21" s="11" customFormat="1">
      <c r="A26" s="79"/>
      <c r="U26" s="56"/>
    </row>
    <row r="27" spans="1:21" s="11" customFormat="1">
      <c r="A27" s="79"/>
      <c r="U27" s="56"/>
    </row>
    <row r="28" spans="1:21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</row>
  </sheetData>
  <dataConsolidate/>
  <mergeCells count="12">
    <mergeCell ref="T19:U19"/>
    <mergeCell ref="T20:U20"/>
    <mergeCell ref="T21:U21"/>
    <mergeCell ref="T23:U23"/>
    <mergeCell ref="T17:U17"/>
    <mergeCell ref="T18:U18"/>
    <mergeCell ref="T22:U22"/>
    <mergeCell ref="T12:U12"/>
    <mergeCell ref="T13:U13"/>
    <mergeCell ref="T14:U14"/>
    <mergeCell ref="T15:U15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130</v>
      </c>
      <c r="K2" s="7" t="s">
        <v>39</v>
      </c>
      <c r="L2" s="78" t="str">
        <f>IF(LogicCommon!G2="","",LogicCommon!G2)</f>
        <v>MC</v>
      </c>
      <c r="M2" s="5" t="s">
        <v>198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  <c r="S3" s="27"/>
      <c r="T3" s="27"/>
      <c r="U3" s="27"/>
      <c r="V3" s="27"/>
    </row>
    <row r="4" spans="1:22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191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196</v>
      </c>
      <c r="B6" s="80"/>
      <c r="C6" s="80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86" t="s">
        <v>195</v>
      </c>
      <c r="M6" s="19"/>
      <c r="N6" s="19" t="s">
        <v>195</v>
      </c>
      <c r="O6" s="19"/>
      <c r="P6" s="19" t="s">
        <v>195</v>
      </c>
      <c r="Q6" s="19"/>
      <c r="R6" s="3" t="s">
        <v>195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107</v>
      </c>
      <c r="M7" s="33" t="s">
        <v>88</v>
      </c>
      <c r="N7" s="32" t="s">
        <v>108</v>
      </c>
      <c r="O7" s="33" t="s">
        <v>88</v>
      </c>
      <c r="P7" s="32"/>
      <c r="Q7" s="33" t="s">
        <v>88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33" t="s">
        <v>16</v>
      </c>
      <c r="L8" s="35" t="s">
        <v>252</v>
      </c>
      <c r="M8" s="33" t="s">
        <v>89</v>
      </c>
      <c r="N8" s="35" t="s">
        <v>251</v>
      </c>
      <c r="O8" s="33" t="s">
        <v>89</v>
      </c>
      <c r="P8" s="35"/>
      <c r="Q8" s="33" t="s">
        <v>89</v>
      </c>
      <c r="R8" s="35"/>
      <c r="S8" s="92"/>
      <c r="T8" s="93"/>
      <c r="U8" s="94" t="s">
        <v>260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33"/>
      <c r="S9" s="94" t="s">
        <v>268</v>
      </c>
      <c r="T9" s="53"/>
      <c r="U9" s="94" t="s">
        <v>269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89" t="s">
        <v>266</v>
      </c>
      <c r="P10" s="89" t="s">
        <v>267</v>
      </c>
      <c r="Q10" s="89" t="s">
        <v>266</v>
      </c>
      <c r="R10" s="89" t="s">
        <v>267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136</v>
      </c>
      <c r="E11" s="34" t="s">
        <v>21</v>
      </c>
      <c r="F11" s="45"/>
      <c r="G11" s="28" t="s">
        <v>109</v>
      </c>
      <c r="H11" s="46" t="s">
        <v>214</v>
      </c>
      <c r="I11" s="47"/>
      <c r="J11" s="48"/>
      <c r="K11" s="49" t="s">
        <v>21</v>
      </c>
      <c r="L11" s="49"/>
      <c r="M11" s="49" t="s">
        <v>215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112</v>
      </c>
      <c r="L12" s="9"/>
      <c r="M12" s="9" t="s">
        <v>79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 ht="26">
      <c r="A13" s="9">
        <v>10</v>
      </c>
      <c r="B13" s="9"/>
      <c r="C13" s="9"/>
      <c r="D13" s="9" t="s">
        <v>151</v>
      </c>
      <c r="E13" s="51" t="s">
        <v>158</v>
      </c>
      <c r="F13" s="51"/>
      <c r="G13" s="52" t="s">
        <v>271</v>
      </c>
      <c r="H13" s="52" t="s">
        <v>205</v>
      </c>
      <c r="I13" s="9" t="s">
        <v>112</v>
      </c>
      <c r="J13" s="9"/>
      <c r="K13" s="9" t="s">
        <v>112</v>
      </c>
      <c r="L13" s="9"/>
      <c r="M13" s="9"/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 ht="26">
      <c r="A14" s="9">
        <v>10</v>
      </c>
      <c r="B14" s="9"/>
      <c r="C14" s="9"/>
      <c r="D14" s="9" t="s">
        <v>152</v>
      </c>
      <c r="E14" s="51" t="s">
        <v>159</v>
      </c>
      <c r="F14" s="51"/>
      <c r="G14" s="52" t="s">
        <v>272</v>
      </c>
      <c r="H14" s="52" t="s">
        <v>206</v>
      </c>
      <c r="I14" s="9" t="s">
        <v>112</v>
      </c>
      <c r="J14" s="9"/>
      <c r="K14" s="9" t="s">
        <v>112</v>
      </c>
      <c r="L14" s="9"/>
      <c r="M14" s="9"/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153</v>
      </c>
      <c r="E15" s="51" t="s">
        <v>59</v>
      </c>
      <c r="F15" s="51"/>
      <c r="G15" s="52" t="s">
        <v>273</v>
      </c>
      <c r="H15" s="52" t="s">
        <v>208</v>
      </c>
      <c r="I15" s="9" t="s">
        <v>112</v>
      </c>
      <c r="J15" s="9"/>
      <c r="K15" s="9" t="s">
        <v>112</v>
      </c>
      <c r="L15" s="9"/>
      <c r="M15" s="9"/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154</v>
      </c>
      <c r="E16" s="51" t="s">
        <v>59</v>
      </c>
      <c r="F16" s="51"/>
      <c r="G16" s="52" t="s">
        <v>274</v>
      </c>
      <c r="H16" s="52" t="s">
        <v>209</v>
      </c>
      <c r="I16" s="9" t="s">
        <v>112</v>
      </c>
      <c r="J16" s="9"/>
      <c r="K16" s="9" t="s">
        <v>112</v>
      </c>
      <c r="L16" s="9"/>
      <c r="M16" s="9"/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155</v>
      </c>
      <c r="E17" s="51" t="s">
        <v>59</v>
      </c>
      <c r="F17" s="51"/>
      <c r="G17" s="52" t="s">
        <v>275</v>
      </c>
      <c r="H17" s="52" t="s">
        <v>210</v>
      </c>
      <c r="I17" s="9" t="s">
        <v>112</v>
      </c>
      <c r="J17" s="9"/>
      <c r="K17" s="9" t="s">
        <v>112</v>
      </c>
      <c r="L17" s="9"/>
      <c r="M17" s="9"/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156</v>
      </c>
      <c r="E18" s="51" t="s">
        <v>160</v>
      </c>
      <c r="F18" s="51"/>
      <c r="G18" s="52" t="s">
        <v>276</v>
      </c>
      <c r="H18" s="52" t="s">
        <v>211</v>
      </c>
      <c r="I18" s="9" t="s">
        <v>112</v>
      </c>
      <c r="J18" s="9"/>
      <c r="K18" s="9" t="s">
        <v>112</v>
      </c>
      <c r="L18" s="9"/>
      <c r="M18" s="9"/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41</v>
      </c>
      <c r="E19" s="51" t="s">
        <v>43</v>
      </c>
      <c r="F19" s="51"/>
      <c r="G19" s="52" t="s">
        <v>277</v>
      </c>
      <c r="H19" s="52" t="s">
        <v>45</v>
      </c>
      <c r="I19" s="9" t="s">
        <v>112</v>
      </c>
      <c r="J19" s="9"/>
      <c r="K19" s="9" t="s">
        <v>112</v>
      </c>
      <c r="L19" s="9"/>
      <c r="M19" s="9"/>
      <c r="N19" s="9"/>
      <c r="O19" s="9"/>
      <c r="P19" s="9"/>
      <c r="Q19" s="9"/>
      <c r="R19" s="9"/>
      <c r="S19" s="42"/>
      <c r="T19" s="53"/>
      <c r="U19" s="146"/>
      <c r="V19" s="147"/>
    </row>
    <row r="20" spans="1:22" s="11" customFormat="1">
      <c r="A20" s="9">
        <v>10</v>
      </c>
      <c r="B20" s="9"/>
      <c r="C20" s="9"/>
      <c r="D20" s="9" t="s">
        <v>52</v>
      </c>
      <c r="E20" s="51" t="s">
        <v>53</v>
      </c>
      <c r="F20" s="51"/>
      <c r="G20" s="52" t="s">
        <v>278</v>
      </c>
      <c r="H20" s="52" t="s">
        <v>46</v>
      </c>
      <c r="I20" s="9" t="s">
        <v>112</v>
      </c>
      <c r="J20" s="9"/>
      <c r="K20" s="9" t="s">
        <v>112</v>
      </c>
      <c r="L20" s="9"/>
      <c r="M20" s="9"/>
      <c r="N20" s="9"/>
      <c r="O20" s="9"/>
      <c r="P20" s="9"/>
      <c r="Q20" s="9"/>
      <c r="R20" s="9"/>
      <c r="S20" s="42"/>
      <c r="T20" s="53"/>
      <c r="U20" s="146"/>
      <c r="V20" s="147"/>
    </row>
    <row r="21" spans="1:22" s="11" customFormat="1">
      <c r="A21" s="9">
        <v>10</v>
      </c>
      <c r="B21" s="9"/>
      <c r="C21" s="9"/>
      <c r="D21" s="9" t="s">
        <v>47</v>
      </c>
      <c r="E21" s="51" t="s">
        <v>49</v>
      </c>
      <c r="F21" s="51"/>
      <c r="G21" s="52" t="s">
        <v>279</v>
      </c>
      <c r="H21" s="52" t="s">
        <v>51</v>
      </c>
      <c r="I21" s="9" t="s">
        <v>112</v>
      </c>
      <c r="J21" s="9"/>
      <c r="K21" s="9" t="s">
        <v>112</v>
      </c>
      <c r="L21" s="9"/>
      <c r="M21" s="9"/>
      <c r="N21" s="9"/>
      <c r="O21" s="9"/>
      <c r="P21" s="9"/>
      <c r="Q21" s="9"/>
      <c r="R21" s="9"/>
      <c r="S21" s="42"/>
      <c r="T21" s="53"/>
      <c r="U21" s="146"/>
      <c r="V21" s="147"/>
    </row>
    <row r="22" spans="1:22" s="11" customFormat="1">
      <c r="A22" s="9">
        <v>10</v>
      </c>
      <c r="B22" s="9"/>
      <c r="C22" s="9"/>
      <c r="D22" s="9" t="s">
        <v>95</v>
      </c>
      <c r="E22" s="51" t="s">
        <v>59</v>
      </c>
      <c r="F22" s="51"/>
      <c r="G22" s="52" t="s">
        <v>280</v>
      </c>
      <c r="H22" s="52" t="s">
        <v>61</v>
      </c>
      <c r="I22" s="9" t="s">
        <v>112</v>
      </c>
      <c r="J22" s="9"/>
      <c r="K22" s="9" t="s">
        <v>112</v>
      </c>
      <c r="L22" s="9"/>
      <c r="M22" s="9"/>
      <c r="N22" s="9"/>
      <c r="O22" s="9"/>
      <c r="P22" s="9"/>
      <c r="Q22" s="9"/>
      <c r="R22" s="9"/>
      <c r="S22" s="42"/>
      <c r="T22" s="53"/>
      <c r="U22" s="146"/>
      <c r="V22" s="147"/>
    </row>
    <row r="23" spans="1:22" s="11" customFormat="1">
      <c r="A23" s="9">
        <v>10</v>
      </c>
      <c r="B23" s="9"/>
      <c r="C23" s="9"/>
      <c r="D23" s="9" t="s">
        <v>102</v>
      </c>
      <c r="E23" s="51" t="s">
        <v>103</v>
      </c>
      <c r="F23" s="51"/>
      <c r="G23" s="52" t="s">
        <v>281</v>
      </c>
      <c r="H23" s="52" t="s">
        <v>101</v>
      </c>
      <c r="I23" s="9" t="s">
        <v>112</v>
      </c>
      <c r="J23" s="9"/>
      <c r="K23" s="9" t="s">
        <v>112</v>
      </c>
      <c r="L23" s="9"/>
      <c r="M23" s="9"/>
      <c r="N23" s="9"/>
      <c r="O23" s="9"/>
      <c r="P23" s="9"/>
      <c r="Q23" s="9"/>
      <c r="R23" s="9"/>
      <c r="S23" s="42"/>
      <c r="T23" s="53"/>
      <c r="U23" s="146"/>
      <c r="V23" s="147"/>
    </row>
    <row r="24" spans="1:22" s="11" customFormat="1">
      <c r="A24" s="54"/>
      <c r="B24" s="55"/>
      <c r="C24" s="55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>
      <c r="A25" s="79"/>
      <c r="V25" s="56"/>
    </row>
    <row r="26" spans="1:22" s="11" customFormat="1">
      <c r="A26" s="79"/>
      <c r="V26" s="56"/>
    </row>
    <row r="27" spans="1:22" s="11" customFormat="1">
      <c r="A27" s="79"/>
      <c r="V27" s="56"/>
    </row>
    <row r="28" spans="1:22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20:V20"/>
    <mergeCell ref="U21:V21"/>
    <mergeCell ref="U22:V22"/>
    <mergeCell ref="U23:V23"/>
    <mergeCell ref="U19:V19"/>
    <mergeCell ref="U17:V17"/>
    <mergeCell ref="U18:V18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128</v>
      </c>
      <c r="K2" s="7" t="s">
        <v>39</v>
      </c>
      <c r="L2" s="78" t="str">
        <f>IF(LogicCommon!G2="","",LogicCommon!G2)</f>
        <v>MC</v>
      </c>
      <c r="M2" s="5" t="s">
        <v>198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111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  <c r="S3" s="27"/>
      <c r="T3" s="27"/>
      <c r="U3" s="27"/>
    </row>
    <row r="4" spans="1:21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189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196</v>
      </c>
      <c r="B6" s="80"/>
      <c r="C6" s="80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195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121</v>
      </c>
      <c r="L7" s="32"/>
      <c r="M7" s="32"/>
      <c r="N7" s="32"/>
      <c r="O7" s="32"/>
      <c r="P7" s="33" t="s">
        <v>88</v>
      </c>
      <c r="Q7" s="32" t="s">
        <v>178</v>
      </c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9" t="s">
        <v>123</v>
      </c>
      <c r="L8" s="9"/>
      <c r="M8" s="9"/>
      <c r="N8" s="9"/>
      <c r="O8" s="35"/>
      <c r="P8" s="33" t="s">
        <v>89</v>
      </c>
      <c r="Q8" s="35" t="s">
        <v>252</v>
      </c>
      <c r="R8" s="92"/>
      <c r="S8" s="93"/>
      <c r="T8" s="94" t="s">
        <v>260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94" t="s">
        <v>268</v>
      </c>
      <c r="S9" s="53"/>
      <c r="T9" s="94" t="s">
        <v>269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286</v>
      </c>
      <c r="Q10" s="89" t="s">
        <v>287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137</v>
      </c>
      <c r="E11" s="34" t="s">
        <v>85</v>
      </c>
      <c r="F11" s="45"/>
      <c r="G11" s="28" t="s">
        <v>174</v>
      </c>
      <c r="H11" s="46" t="s">
        <v>216</v>
      </c>
      <c r="I11" s="47"/>
      <c r="J11" s="48"/>
      <c r="K11" s="49"/>
      <c r="L11" s="49"/>
      <c r="M11" s="49"/>
      <c r="N11" s="49"/>
      <c r="O11" s="49"/>
      <c r="P11" s="49" t="s">
        <v>21</v>
      </c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79</v>
      </c>
      <c r="L12" s="9"/>
      <c r="M12" s="9"/>
      <c r="N12" s="9"/>
      <c r="O12" s="9"/>
      <c r="P12" s="9" t="s">
        <v>112</v>
      </c>
      <c r="Q12" s="9"/>
      <c r="R12" s="42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171</v>
      </c>
      <c r="E13" s="51" t="s">
        <v>172</v>
      </c>
      <c r="F13" s="51"/>
      <c r="G13" s="52" t="s">
        <v>284</v>
      </c>
      <c r="H13" s="52" t="s">
        <v>84</v>
      </c>
      <c r="I13" s="9" t="s">
        <v>112</v>
      </c>
      <c r="J13" s="9"/>
      <c r="K13" s="9" t="s">
        <v>79</v>
      </c>
      <c r="L13" s="9"/>
      <c r="M13" s="9"/>
      <c r="N13" s="9"/>
      <c r="O13" s="9"/>
      <c r="P13" s="9"/>
      <c r="Q13" s="9"/>
      <c r="R13" s="42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151</v>
      </c>
      <c r="E14" s="51" t="s">
        <v>158</v>
      </c>
      <c r="F14" s="51"/>
      <c r="G14" s="52" t="s">
        <v>285</v>
      </c>
      <c r="H14" s="52" t="s">
        <v>217</v>
      </c>
      <c r="I14" s="9" t="s">
        <v>112</v>
      </c>
      <c r="J14" s="9"/>
      <c r="K14" s="9" t="s">
        <v>79</v>
      </c>
      <c r="L14" s="9"/>
      <c r="M14" s="9"/>
      <c r="N14" s="9"/>
      <c r="O14" s="9"/>
      <c r="P14" s="9"/>
      <c r="Q14" s="9"/>
      <c r="R14" s="42"/>
      <c r="S14" s="53"/>
      <c r="T14" s="146"/>
      <c r="U14" s="147"/>
    </row>
    <row r="15" spans="1:21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277</v>
      </c>
      <c r="H15" s="52" t="s">
        <v>45</v>
      </c>
      <c r="I15" s="9" t="s">
        <v>112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46"/>
      <c r="U15" s="147"/>
    </row>
    <row r="16" spans="1:21" s="11" customFormat="1">
      <c r="A16" s="9">
        <v>10</v>
      </c>
      <c r="B16" s="9"/>
      <c r="C16" s="9"/>
      <c r="D16" s="9" t="s">
        <v>52</v>
      </c>
      <c r="E16" s="51" t="s">
        <v>53</v>
      </c>
      <c r="F16" s="51"/>
      <c r="G16" s="52" t="s">
        <v>278</v>
      </c>
      <c r="H16" s="52" t="s">
        <v>46</v>
      </c>
      <c r="I16" s="9" t="s">
        <v>112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6"/>
      <c r="U16" s="147"/>
    </row>
    <row r="17" spans="1:21" s="11" customFormat="1">
      <c r="A17" s="9">
        <v>10</v>
      </c>
      <c r="B17" s="9"/>
      <c r="C17" s="9"/>
      <c r="D17" s="9" t="s">
        <v>47</v>
      </c>
      <c r="E17" s="51" t="s">
        <v>49</v>
      </c>
      <c r="F17" s="51"/>
      <c r="G17" s="52" t="s">
        <v>279</v>
      </c>
      <c r="H17" s="52" t="s">
        <v>51</v>
      </c>
      <c r="I17" s="9" t="s">
        <v>112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6"/>
      <c r="U17" s="147"/>
    </row>
    <row r="18" spans="1:21" s="11" customFormat="1">
      <c r="A18" s="9">
        <v>10</v>
      </c>
      <c r="B18" s="9"/>
      <c r="C18" s="9"/>
      <c r="D18" s="9" t="s">
        <v>102</v>
      </c>
      <c r="E18" s="51" t="s">
        <v>103</v>
      </c>
      <c r="F18" s="51"/>
      <c r="G18" s="52" t="s">
        <v>281</v>
      </c>
      <c r="H18" s="52" t="s">
        <v>212</v>
      </c>
      <c r="I18" s="9" t="s">
        <v>112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46"/>
      <c r="U18" s="147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9"/>
      <c r="U20" s="56"/>
    </row>
    <row r="21" spans="1:21" s="11" customFormat="1">
      <c r="A21" s="79"/>
      <c r="U21" s="56"/>
    </row>
    <row r="22" spans="1:21" s="11" customFormat="1">
      <c r="A22" s="79"/>
      <c r="U22" s="56"/>
    </row>
    <row r="23" spans="1:21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6:U16"/>
    <mergeCell ref="T18:U18"/>
    <mergeCell ref="T15:U15"/>
    <mergeCell ref="T17:U17"/>
    <mergeCell ref="T12:U12"/>
    <mergeCell ref="T13:U13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131</v>
      </c>
      <c r="K2" s="7" t="s">
        <v>39</v>
      </c>
      <c r="L2" s="78" t="str">
        <f>IF(LogicCommon!G2="","",LogicCommon!G2)</f>
        <v>MC</v>
      </c>
      <c r="M2" s="5" t="s">
        <v>198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  <c r="S3" s="27"/>
      <c r="T3" s="27"/>
      <c r="U3" s="27"/>
      <c r="V3" s="27"/>
    </row>
    <row r="4" spans="1:22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187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196</v>
      </c>
      <c r="B6" s="80"/>
      <c r="C6" s="80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6" t="s">
        <v>195</v>
      </c>
      <c r="M6" s="19"/>
      <c r="N6" s="19" t="s">
        <v>195</v>
      </c>
      <c r="O6" s="19"/>
      <c r="P6" s="19" t="s">
        <v>195</v>
      </c>
      <c r="Q6" s="19"/>
      <c r="R6" s="3" t="s">
        <v>195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107</v>
      </c>
      <c r="M7" s="33" t="s">
        <v>88</v>
      </c>
      <c r="N7" s="32" t="s">
        <v>110</v>
      </c>
      <c r="O7" s="33" t="s">
        <v>88</v>
      </c>
      <c r="P7" s="32"/>
      <c r="Q7" s="33" t="s">
        <v>88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33" t="s">
        <v>16</v>
      </c>
      <c r="L8" s="35" t="s">
        <v>165</v>
      </c>
      <c r="M8" s="33" t="s">
        <v>89</v>
      </c>
      <c r="N8" s="35" t="s">
        <v>165</v>
      </c>
      <c r="O8" s="33" t="s">
        <v>89</v>
      </c>
      <c r="P8" s="35"/>
      <c r="Q8" s="33" t="s">
        <v>89</v>
      </c>
      <c r="R8" s="35"/>
      <c r="S8" s="92"/>
      <c r="T8" s="93"/>
      <c r="U8" s="94" t="s">
        <v>260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33"/>
      <c r="S9" s="94" t="s">
        <v>268</v>
      </c>
      <c r="T9" s="53"/>
      <c r="U9" s="94" t="s">
        <v>269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89" t="s">
        <v>266</v>
      </c>
      <c r="P10" s="89" t="s">
        <v>267</v>
      </c>
      <c r="Q10" s="89" t="s">
        <v>266</v>
      </c>
      <c r="R10" s="89" t="s">
        <v>267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138</v>
      </c>
      <c r="E11" s="34" t="s">
        <v>21</v>
      </c>
      <c r="F11" s="45"/>
      <c r="G11" s="28" t="s">
        <v>109</v>
      </c>
      <c r="H11" s="46" t="s">
        <v>218</v>
      </c>
      <c r="I11" s="47"/>
      <c r="J11" s="48"/>
      <c r="K11" s="49" t="s">
        <v>215</v>
      </c>
      <c r="L11" s="49"/>
      <c r="M11" s="49" t="s">
        <v>215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112</v>
      </c>
      <c r="L12" s="9"/>
      <c r="M12" s="9" t="s">
        <v>79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171</v>
      </c>
      <c r="E13" s="51" t="s">
        <v>172</v>
      </c>
      <c r="F13" s="51"/>
      <c r="G13" s="52" t="s">
        <v>284</v>
      </c>
      <c r="H13" s="52" t="s">
        <v>84</v>
      </c>
      <c r="I13" s="9" t="s">
        <v>112</v>
      </c>
      <c r="J13" s="9"/>
      <c r="K13" s="9" t="s">
        <v>112</v>
      </c>
      <c r="L13" s="9"/>
      <c r="M13" s="9" t="s">
        <v>79</v>
      </c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151</v>
      </c>
      <c r="E14" s="51" t="s">
        <v>158</v>
      </c>
      <c r="F14" s="51"/>
      <c r="G14" s="52" t="s">
        <v>285</v>
      </c>
      <c r="H14" s="52" t="s">
        <v>217</v>
      </c>
      <c r="I14" s="9" t="s">
        <v>112</v>
      </c>
      <c r="J14" s="9"/>
      <c r="K14" s="9" t="s">
        <v>112</v>
      </c>
      <c r="L14" s="9"/>
      <c r="M14" s="9"/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277</v>
      </c>
      <c r="H15" s="52" t="s">
        <v>45</v>
      </c>
      <c r="I15" s="9" t="s">
        <v>112</v>
      </c>
      <c r="J15" s="9"/>
      <c r="K15" s="9" t="s">
        <v>79</v>
      </c>
      <c r="L15" s="9"/>
      <c r="M15" s="9"/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52</v>
      </c>
      <c r="E16" s="51" t="s">
        <v>53</v>
      </c>
      <c r="F16" s="51"/>
      <c r="G16" s="52" t="s">
        <v>278</v>
      </c>
      <c r="H16" s="52" t="s">
        <v>46</v>
      </c>
      <c r="I16" s="9" t="s">
        <v>112</v>
      </c>
      <c r="J16" s="9"/>
      <c r="K16" s="9" t="s">
        <v>79</v>
      </c>
      <c r="L16" s="9"/>
      <c r="M16" s="9"/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47</v>
      </c>
      <c r="E17" s="51" t="s">
        <v>49</v>
      </c>
      <c r="F17" s="51"/>
      <c r="G17" s="52" t="s">
        <v>279</v>
      </c>
      <c r="H17" s="52" t="s">
        <v>51</v>
      </c>
      <c r="I17" s="9" t="s">
        <v>112</v>
      </c>
      <c r="J17" s="9"/>
      <c r="K17" s="9" t="s">
        <v>79</v>
      </c>
      <c r="L17" s="9"/>
      <c r="M17" s="9"/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102</v>
      </c>
      <c r="E18" s="51" t="s">
        <v>103</v>
      </c>
      <c r="F18" s="51"/>
      <c r="G18" s="52" t="s">
        <v>281</v>
      </c>
      <c r="H18" s="52" t="s">
        <v>101</v>
      </c>
      <c r="I18" s="9" t="s">
        <v>112</v>
      </c>
      <c r="J18" s="9"/>
      <c r="K18" s="9" t="s">
        <v>79</v>
      </c>
      <c r="L18" s="9"/>
      <c r="M18" s="9"/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9"/>
      <c r="V20" s="56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129</v>
      </c>
      <c r="K2" s="7" t="s">
        <v>39</v>
      </c>
      <c r="L2" s="78" t="str">
        <f>IF(LogicCommon!G2="","",LogicCommon!G2)</f>
        <v>MC</v>
      </c>
      <c r="M2" s="5" t="s">
        <v>198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111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  <c r="S3" s="27"/>
      <c r="T3" s="27"/>
      <c r="U3" s="27"/>
    </row>
    <row r="4" spans="1:21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185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196</v>
      </c>
      <c r="B6" s="80"/>
      <c r="C6" s="80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195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121</v>
      </c>
      <c r="L7" s="32"/>
      <c r="M7" s="32"/>
      <c r="N7" s="32"/>
      <c r="O7" s="32"/>
      <c r="P7" s="33" t="s">
        <v>88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9" t="s">
        <v>123</v>
      </c>
      <c r="L8" s="9"/>
      <c r="M8" s="9"/>
      <c r="N8" s="9"/>
      <c r="O8" s="35"/>
      <c r="P8" s="33" t="s">
        <v>89</v>
      </c>
      <c r="Q8" s="35"/>
      <c r="R8" s="92"/>
      <c r="S8" s="93"/>
      <c r="T8" s="94" t="s">
        <v>260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94" t="s">
        <v>268</v>
      </c>
      <c r="S9" s="53"/>
      <c r="T9" s="94" t="s">
        <v>269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266</v>
      </c>
      <c r="Q10" s="89" t="s">
        <v>267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139</v>
      </c>
      <c r="E11" s="34" t="s">
        <v>85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4"/>
      <c r="U11" s="50"/>
    </row>
    <row r="12" spans="1:21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112</v>
      </c>
      <c r="L12" s="9"/>
      <c r="M12" s="9"/>
      <c r="N12" s="9"/>
      <c r="O12" s="9"/>
      <c r="P12" s="9"/>
      <c r="Q12" s="9"/>
      <c r="R12" s="42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102</v>
      </c>
      <c r="E13" s="51" t="s">
        <v>103</v>
      </c>
      <c r="F13" s="51"/>
      <c r="G13" s="52" t="s">
        <v>281</v>
      </c>
      <c r="H13" s="52" t="s">
        <v>212</v>
      </c>
      <c r="I13" s="9" t="s">
        <v>112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146"/>
      <c r="U13" s="147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9"/>
      <c r="U15" s="56"/>
    </row>
    <row r="16" spans="1:21" s="11" customFormat="1">
      <c r="A16" s="79"/>
      <c r="U16" s="56"/>
    </row>
    <row r="17" spans="1:21" s="11" customFormat="1">
      <c r="A17" s="79"/>
      <c r="U17" s="56"/>
    </row>
    <row r="18" spans="1:21" s="11" customFormat="1">
      <c r="A18" s="8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5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132</v>
      </c>
      <c r="K2" s="7" t="s">
        <v>39</v>
      </c>
      <c r="L2" s="78" t="str">
        <f>IF(LogicCommon!G2="","",LogicCommon!G2)</f>
        <v>MC</v>
      </c>
      <c r="M2" s="5" t="s">
        <v>198</v>
      </c>
      <c r="N2" s="28" t="s">
        <v>248</v>
      </c>
      <c r="O2" s="7"/>
      <c r="P2" s="7"/>
      <c r="Q2" s="4"/>
      <c r="R2" s="27"/>
    </row>
    <row r="3" spans="1:18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</row>
    <row r="4" spans="1:18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183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196</v>
      </c>
      <c r="B6" s="80"/>
      <c r="C6" s="80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6" t="s">
        <v>195</v>
      </c>
      <c r="M6" s="19"/>
      <c r="N6" s="19" t="s">
        <v>195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33" t="s">
        <v>16</v>
      </c>
      <c r="L8" s="35" t="s">
        <v>251</v>
      </c>
      <c r="M8" s="33" t="s">
        <v>16</v>
      </c>
      <c r="N8" s="35" t="s">
        <v>165</v>
      </c>
      <c r="O8" s="92"/>
      <c r="P8" s="93"/>
      <c r="Q8" s="94" t="s">
        <v>260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94" t="s">
        <v>268</v>
      </c>
      <c r="P9" s="53"/>
      <c r="Q9" s="94" t="s">
        <v>269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140</v>
      </c>
      <c r="E11" s="34" t="s">
        <v>85</v>
      </c>
      <c r="F11" s="45"/>
      <c r="G11" s="28" t="s">
        <v>109</v>
      </c>
      <c r="H11" s="46" t="s">
        <v>219</v>
      </c>
      <c r="I11" s="47"/>
      <c r="J11" s="48"/>
      <c r="K11" s="49" t="s">
        <v>215</v>
      </c>
      <c r="L11" s="49"/>
      <c r="M11" s="49" t="s">
        <v>215</v>
      </c>
      <c r="N11" s="49"/>
      <c r="O11" s="36"/>
      <c r="P11" s="37"/>
      <c r="Q11" s="74"/>
      <c r="R11" s="50"/>
    </row>
    <row r="12" spans="1:18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112</v>
      </c>
      <c r="L12" s="9"/>
      <c r="M12" s="9" t="s">
        <v>79</v>
      </c>
      <c r="N12" s="9"/>
      <c r="O12" s="4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102</v>
      </c>
      <c r="E13" s="51" t="s">
        <v>103</v>
      </c>
      <c r="F13" s="51"/>
      <c r="G13" s="52" t="s">
        <v>281</v>
      </c>
      <c r="H13" s="52" t="s">
        <v>101</v>
      </c>
      <c r="I13" s="9" t="s">
        <v>112</v>
      </c>
      <c r="J13" s="9"/>
      <c r="K13" s="9" t="s">
        <v>112</v>
      </c>
      <c r="L13" s="9"/>
      <c r="M13" s="9"/>
      <c r="N13" s="9"/>
      <c r="O13" s="44"/>
      <c r="P13" s="37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79"/>
      <c r="R34" s="56"/>
    </row>
    <row r="35" spans="1:18" s="11" customFormat="1">
      <c r="A35" s="84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7"/>
  <sheetViews>
    <sheetView topLeftCell="F7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141</v>
      </c>
      <c r="K2" s="7" t="s">
        <v>39</v>
      </c>
      <c r="L2" s="78" t="str">
        <f>IF(LogicCommon!G2="","",LogicCommon!G2)</f>
        <v>MC</v>
      </c>
      <c r="M2" s="5" t="s">
        <v>198</v>
      </c>
      <c r="N2" s="28" t="s">
        <v>249</v>
      </c>
      <c r="O2" s="7"/>
      <c r="P2" s="7"/>
      <c r="Q2" s="4"/>
      <c r="R2" s="4"/>
      <c r="S2" s="4"/>
    </row>
    <row r="3" spans="1:19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4"/>
      <c r="S3" s="4"/>
    </row>
    <row r="4" spans="1:19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196</v>
      </c>
      <c r="B6" s="80"/>
      <c r="C6" s="80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6"/>
      <c r="M6" s="19" t="s">
        <v>195</v>
      </c>
      <c r="N6" s="19"/>
      <c r="O6" s="19" t="s">
        <v>195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162</v>
      </c>
      <c r="L7" s="33" t="s">
        <v>33</v>
      </c>
      <c r="M7" s="32" t="s">
        <v>34</v>
      </c>
      <c r="N7" s="33" t="s">
        <v>33</v>
      </c>
      <c r="O7" s="32" t="s">
        <v>104</v>
      </c>
      <c r="P7" s="4"/>
      <c r="Q7" s="4"/>
      <c r="R7" s="4"/>
      <c r="S7" s="4"/>
    </row>
    <row r="8" spans="1:19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35" t="s">
        <v>173</v>
      </c>
      <c r="L8" s="33" t="s">
        <v>16</v>
      </c>
      <c r="M8" s="35" t="s">
        <v>251</v>
      </c>
      <c r="N8" s="33" t="s">
        <v>16</v>
      </c>
      <c r="O8" s="35" t="s">
        <v>165</v>
      </c>
      <c r="P8" s="92"/>
      <c r="Q8" s="93"/>
      <c r="R8" s="94" t="s">
        <v>260</v>
      </c>
      <c r="S8" s="53"/>
    </row>
    <row r="9" spans="1:19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97"/>
      <c r="L9" s="33"/>
      <c r="M9" s="33"/>
      <c r="N9" s="33"/>
      <c r="O9" s="33"/>
      <c r="P9" s="94" t="s">
        <v>268</v>
      </c>
      <c r="Q9" s="53"/>
      <c r="R9" s="94" t="s">
        <v>269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266</v>
      </c>
      <c r="M10" s="89" t="s">
        <v>267</v>
      </c>
      <c r="N10" s="89" t="s">
        <v>266</v>
      </c>
      <c r="O10" s="89" t="s">
        <v>267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58"/>
      <c r="L11" s="49" t="s">
        <v>20</v>
      </c>
      <c r="M11" s="49"/>
      <c r="N11" s="49"/>
      <c r="O11" s="49"/>
      <c r="P11" s="36"/>
      <c r="Q11" s="37"/>
      <c r="R11" s="74"/>
      <c r="S11" s="50"/>
    </row>
    <row r="12" spans="1:19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/>
      <c r="L12" s="9"/>
      <c r="M12" s="9"/>
      <c r="N12" s="9"/>
      <c r="O12" s="9"/>
      <c r="P12" s="59"/>
      <c r="Q12" s="53"/>
      <c r="R12" s="146"/>
      <c r="S12" s="147"/>
    </row>
    <row r="13" spans="1:19" s="11" customFormat="1">
      <c r="A13" s="9">
        <v>10</v>
      </c>
      <c r="B13" s="9"/>
      <c r="C13" s="9"/>
      <c r="D13" s="9" t="s">
        <v>168</v>
      </c>
      <c r="E13" s="51" t="s">
        <v>158</v>
      </c>
      <c r="F13" s="51"/>
      <c r="G13" s="52" t="s">
        <v>285</v>
      </c>
      <c r="H13" s="52" t="s">
        <v>217</v>
      </c>
      <c r="I13" s="9" t="s">
        <v>112</v>
      </c>
      <c r="J13" s="9"/>
      <c r="K13" s="9"/>
      <c r="L13" s="9"/>
      <c r="M13" s="9"/>
      <c r="N13" s="9"/>
      <c r="O13" s="9"/>
      <c r="P13" s="59"/>
      <c r="Q13" s="53"/>
      <c r="R13" s="146"/>
      <c r="S13" s="147"/>
    </row>
    <row r="14" spans="1:19" s="11" customFormat="1" ht="26">
      <c r="A14" s="9">
        <v>10</v>
      </c>
      <c r="B14" s="9"/>
      <c r="C14" s="9"/>
      <c r="D14" s="9" t="s">
        <v>152</v>
      </c>
      <c r="E14" s="51" t="s">
        <v>159</v>
      </c>
      <c r="F14" s="51"/>
      <c r="G14" s="52" t="s">
        <v>272</v>
      </c>
      <c r="H14" s="52" t="s">
        <v>206</v>
      </c>
      <c r="I14" s="9" t="s">
        <v>112</v>
      </c>
      <c r="J14" s="9"/>
      <c r="K14" s="9"/>
      <c r="L14" s="9"/>
      <c r="M14" s="9"/>
      <c r="N14" s="9"/>
      <c r="O14" s="9"/>
      <c r="P14" s="59"/>
      <c r="Q14" s="53"/>
      <c r="R14" s="146"/>
      <c r="S14" s="147"/>
    </row>
    <row r="15" spans="1:19" s="11" customFormat="1" ht="26">
      <c r="A15" s="9">
        <v>10</v>
      </c>
      <c r="B15" s="9"/>
      <c r="C15" s="9"/>
      <c r="D15" s="9" t="s">
        <v>166</v>
      </c>
      <c r="E15" s="51" t="s">
        <v>167</v>
      </c>
      <c r="F15" s="51"/>
      <c r="G15" s="52" t="s">
        <v>288</v>
      </c>
      <c r="H15" s="52" t="s">
        <v>220</v>
      </c>
      <c r="I15" s="9" t="s">
        <v>112</v>
      </c>
      <c r="J15" s="9"/>
      <c r="K15" s="9"/>
      <c r="L15" s="9"/>
      <c r="M15" s="9"/>
      <c r="N15" s="9"/>
      <c r="O15" s="9"/>
      <c r="P15" s="59"/>
      <c r="Q15" s="53"/>
      <c r="R15" s="146"/>
      <c r="S15" s="147"/>
    </row>
    <row r="16" spans="1:19" s="11" customFormat="1" ht="26">
      <c r="A16" s="9">
        <v>10</v>
      </c>
      <c r="B16" s="9"/>
      <c r="C16" s="9"/>
      <c r="D16" s="9" t="s">
        <v>93</v>
      </c>
      <c r="E16" s="51" t="s">
        <v>75</v>
      </c>
      <c r="F16" s="51"/>
      <c r="G16" s="52" t="s">
        <v>289</v>
      </c>
      <c r="H16" s="52" t="s">
        <v>76</v>
      </c>
      <c r="I16" s="9" t="s">
        <v>112</v>
      </c>
      <c r="J16" s="9"/>
      <c r="K16" s="9"/>
      <c r="L16" s="9"/>
      <c r="M16" s="9"/>
      <c r="N16" s="9"/>
      <c r="O16" s="9"/>
      <c r="P16" s="59"/>
      <c r="Q16" s="53"/>
      <c r="R16" s="146"/>
      <c r="S16" s="147"/>
    </row>
    <row r="17" spans="1:19" s="11" customFormat="1" ht="26">
      <c r="A17" s="9">
        <v>10</v>
      </c>
      <c r="B17" s="9"/>
      <c r="C17" s="9"/>
      <c r="D17" s="9" t="s">
        <v>94</v>
      </c>
      <c r="E17" s="51" t="s">
        <v>60</v>
      </c>
      <c r="F17" s="51"/>
      <c r="G17" s="52" t="s">
        <v>290</v>
      </c>
      <c r="H17" s="52" t="s">
        <v>77</v>
      </c>
      <c r="I17" s="9" t="s">
        <v>112</v>
      </c>
      <c r="J17" s="9"/>
      <c r="K17" s="9"/>
      <c r="L17" s="9"/>
      <c r="M17" s="9"/>
      <c r="N17" s="9"/>
      <c r="O17" s="9"/>
      <c r="P17" s="60"/>
      <c r="Q17" s="61"/>
      <c r="R17" s="148"/>
      <c r="S17" s="147"/>
    </row>
    <row r="18" spans="1:19" s="11" customFormat="1">
      <c r="A18" s="9">
        <v>10</v>
      </c>
      <c r="B18" s="9"/>
      <c r="C18" s="9"/>
      <c r="D18" s="9" t="s">
        <v>42</v>
      </c>
      <c r="E18" s="51" t="s">
        <v>44</v>
      </c>
      <c r="F18" s="51"/>
      <c r="G18" s="52" t="s">
        <v>277</v>
      </c>
      <c r="H18" s="52" t="s">
        <v>45</v>
      </c>
      <c r="I18" s="9" t="s">
        <v>112</v>
      </c>
      <c r="J18" s="9"/>
      <c r="K18" s="9"/>
      <c r="L18" s="9"/>
      <c r="M18" s="9"/>
      <c r="N18" s="9"/>
      <c r="O18" s="9"/>
      <c r="P18" s="59"/>
      <c r="Q18" s="53"/>
      <c r="R18" s="146"/>
      <c r="S18" s="147"/>
    </row>
    <row r="19" spans="1:19" s="11" customFormat="1">
      <c r="A19" s="9">
        <v>10</v>
      </c>
      <c r="B19" s="9"/>
      <c r="C19" s="9"/>
      <c r="D19" s="9" t="s">
        <v>230</v>
      </c>
      <c r="E19" s="51" t="s">
        <v>231</v>
      </c>
      <c r="F19" s="51"/>
      <c r="G19" s="52" t="s">
        <v>278</v>
      </c>
      <c r="H19" s="52" t="s">
        <v>46</v>
      </c>
      <c r="I19" s="9" t="s">
        <v>112</v>
      </c>
      <c r="J19" s="9"/>
      <c r="K19" s="9"/>
      <c r="L19" s="9"/>
      <c r="M19" s="9"/>
      <c r="N19" s="9"/>
      <c r="O19" s="9"/>
      <c r="P19" s="60"/>
      <c r="Q19" s="61"/>
      <c r="R19" s="148"/>
      <c r="S19" s="147"/>
    </row>
    <row r="20" spans="1:19" s="11" customFormat="1">
      <c r="A20" s="9">
        <v>10</v>
      </c>
      <c r="B20" s="9"/>
      <c r="C20" s="9"/>
      <c r="D20" s="9" t="s">
        <v>48</v>
      </c>
      <c r="E20" s="51" t="s">
        <v>50</v>
      </c>
      <c r="F20" s="51"/>
      <c r="G20" s="52" t="s">
        <v>279</v>
      </c>
      <c r="H20" s="52" t="s">
        <v>51</v>
      </c>
      <c r="I20" s="9" t="s">
        <v>112</v>
      </c>
      <c r="J20" s="9"/>
      <c r="K20" s="9"/>
      <c r="L20" s="9"/>
      <c r="M20" s="9"/>
      <c r="N20" s="9"/>
      <c r="O20" s="9"/>
      <c r="P20" s="60"/>
      <c r="Q20" s="61"/>
      <c r="R20" s="148"/>
      <c r="S20" s="147"/>
    </row>
    <row r="21" spans="1:19" s="11" customFormat="1">
      <c r="A21" s="79"/>
      <c r="S21" s="56"/>
    </row>
    <row r="22" spans="1:19" s="11" customFormat="1">
      <c r="A22" s="9">
        <v>20</v>
      </c>
      <c r="B22" s="38" t="s">
        <v>0</v>
      </c>
      <c r="C22" s="39"/>
      <c r="D22" s="28" t="s">
        <v>232</v>
      </c>
      <c r="E22" s="34" t="s">
        <v>30</v>
      </c>
      <c r="F22" s="62"/>
      <c r="G22" s="28"/>
      <c r="H22" s="46"/>
      <c r="I22" s="63"/>
      <c r="J22" s="64"/>
      <c r="K22" s="64"/>
      <c r="L22" s="49"/>
      <c r="M22" s="49" t="s">
        <v>21</v>
      </c>
      <c r="N22" s="49"/>
      <c r="O22" s="49"/>
      <c r="P22" s="36"/>
      <c r="Q22" s="37"/>
      <c r="R22" s="74"/>
      <c r="S22" s="50"/>
    </row>
    <row r="23" spans="1:19" s="11" customFormat="1">
      <c r="A23" s="9">
        <v>20</v>
      </c>
      <c r="B23" s="9"/>
      <c r="C23" s="9"/>
      <c r="D23" s="9" t="s">
        <v>95</v>
      </c>
      <c r="E23" s="51" t="s">
        <v>60</v>
      </c>
      <c r="F23" s="51"/>
      <c r="G23" s="52" t="s">
        <v>280</v>
      </c>
      <c r="H23" s="52" t="s">
        <v>61</v>
      </c>
      <c r="I23" s="9"/>
      <c r="J23" s="9" t="s">
        <v>112</v>
      </c>
      <c r="K23" s="9"/>
      <c r="L23" s="9"/>
      <c r="M23" s="9" t="s">
        <v>112</v>
      </c>
      <c r="N23" s="9"/>
      <c r="O23" s="9"/>
      <c r="P23" s="59"/>
      <c r="Q23" s="53"/>
      <c r="R23" s="146"/>
      <c r="S23" s="147"/>
    </row>
    <row r="24" spans="1:19" s="11" customFormat="1">
      <c r="A24" s="9">
        <v>20</v>
      </c>
      <c r="B24" s="9"/>
      <c r="C24" s="9"/>
      <c r="D24" s="9" t="s">
        <v>150</v>
      </c>
      <c r="E24" s="51" t="s">
        <v>157</v>
      </c>
      <c r="F24" s="51"/>
      <c r="G24" s="52" t="s">
        <v>270</v>
      </c>
      <c r="H24" s="52" t="s">
        <v>204</v>
      </c>
      <c r="I24" s="9"/>
      <c r="J24" s="9" t="s">
        <v>112</v>
      </c>
      <c r="K24" s="9"/>
      <c r="L24" s="9"/>
      <c r="M24" s="9" t="s">
        <v>112</v>
      </c>
      <c r="N24" s="9"/>
      <c r="O24" s="9"/>
      <c r="P24" s="59"/>
      <c r="Q24" s="53"/>
      <c r="R24" s="146"/>
      <c r="S24" s="147"/>
    </row>
    <row r="25" spans="1:19" s="11" customFormat="1">
      <c r="A25" s="9">
        <v>20</v>
      </c>
      <c r="B25" s="9"/>
      <c r="C25" s="9"/>
      <c r="D25" s="9" t="s">
        <v>253</v>
      </c>
      <c r="E25" s="51" t="s">
        <v>158</v>
      </c>
      <c r="F25" s="51"/>
      <c r="G25" s="52" t="s">
        <v>285</v>
      </c>
      <c r="H25" s="52" t="s">
        <v>217</v>
      </c>
      <c r="I25" s="9"/>
      <c r="J25" s="9" t="s">
        <v>112</v>
      </c>
      <c r="K25" s="9"/>
      <c r="L25" s="9"/>
      <c r="M25" s="9" t="s">
        <v>254</v>
      </c>
      <c r="N25" s="9"/>
      <c r="O25" s="9"/>
      <c r="P25" s="59"/>
      <c r="Q25" s="53"/>
      <c r="R25" s="146"/>
      <c r="S25" s="147"/>
    </row>
    <row r="26" spans="1:19" s="11" customFormat="1" ht="26">
      <c r="A26" s="9">
        <v>20</v>
      </c>
      <c r="B26" s="9"/>
      <c r="C26" s="9"/>
      <c r="D26" s="9" t="s">
        <v>254</v>
      </c>
      <c r="E26" s="51" t="s">
        <v>158</v>
      </c>
      <c r="F26" s="51"/>
      <c r="G26" s="52" t="s">
        <v>271</v>
      </c>
      <c r="H26" s="52" t="s">
        <v>205</v>
      </c>
      <c r="I26" s="9"/>
      <c r="J26" s="9" t="s">
        <v>112</v>
      </c>
      <c r="K26" s="9"/>
      <c r="L26" s="9"/>
      <c r="M26" s="9" t="s">
        <v>255</v>
      </c>
      <c r="N26" s="9"/>
      <c r="O26" s="9"/>
      <c r="P26" s="59"/>
      <c r="Q26" s="53"/>
      <c r="R26" s="146"/>
      <c r="S26" s="147"/>
    </row>
    <row r="27" spans="1:19" s="11" customFormat="1" ht="26">
      <c r="A27" s="9">
        <v>20</v>
      </c>
      <c r="B27" s="9"/>
      <c r="C27" s="9"/>
      <c r="D27" s="9" t="s">
        <v>152</v>
      </c>
      <c r="E27" s="51" t="s">
        <v>159</v>
      </c>
      <c r="F27" s="51"/>
      <c r="G27" s="52" t="s">
        <v>272</v>
      </c>
      <c r="H27" s="52" t="s">
        <v>206</v>
      </c>
      <c r="I27" s="9"/>
      <c r="J27" s="9" t="s">
        <v>112</v>
      </c>
      <c r="K27" s="9"/>
      <c r="L27" s="9"/>
      <c r="M27" s="9" t="s">
        <v>112</v>
      </c>
      <c r="N27" s="9"/>
      <c r="O27" s="9"/>
      <c r="P27" s="59"/>
      <c r="Q27" s="53"/>
      <c r="R27" s="146"/>
      <c r="S27" s="147"/>
    </row>
    <row r="28" spans="1:19" s="11" customFormat="1" ht="26">
      <c r="A28" s="9">
        <v>20</v>
      </c>
      <c r="B28" s="9"/>
      <c r="C28" s="9"/>
      <c r="D28" s="9" t="s">
        <v>166</v>
      </c>
      <c r="E28" s="51" t="s">
        <v>167</v>
      </c>
      <c r="F28" s="51"/>
      <c r="G28" s="52" t="s">
        <v>288</v>
      </c>
      <c r="H28" s="52" t="s">
        <v>220</v>
      </c>
      <c r="I28" s="9"/>
      <c r="J28" s="9" t="s">
        <v>112</v>
      </c>
      <c r="K28" s="9"/>
      <c r="L28" s="9"/>
      <c r="M28" s="9" t="s">
        <v>112</v>
      </c>
      <c r="N28" s="9"/>
      <c r="O28" s="9"/>
      <c r="P28" s="59"/>
      <c r="Q28" s="53"/>
      <c r="R28" s="146"/>
      <c r="S28" s="147"/>
    </row>
    <row r="29" spans="1:19" s="11" customFormat="1">
      <c r="A29" s="9">
        <v>20</v>
      </c>
      <c r="B29" s="9"/>
      <c r="C29" s="9"/>
      <c r="D29" s="9" t="s">
        <v>153</v>
      </c>
      <c r="E29" s="51" t="s">
        <v>59</v>
      </c>
      <c r="F29" s="51"/>
      <c r="G29" s="52" t="s">
        <v>273</v>
      </c>
      <c r="H29" s="52" t="s">
        <v>208</v>
      </c>
      <c r="I29" s="9"/>
      <c r="J29" s="9" t="s">
        <v>112</v>
      </c>
      <c r="K29" s="9"/>
      <c r="L29" s="9"/>
      <c r="M29" s="9" t="s">
        <v>112</v>
      </c>
      <c r="N29" s="9"/>
      <c r="O29" s="9"/>
      <c r="P29" s="59"/>
      <c r="Q29" s="53"/>
      <c r="R29" s="146"/>
      <c r="S29" s="147"/>
    </row>
    <row r="30" spans="1:19" s="11" customFormat="1">
      <c r="A30" s="9">
        <v>20</v>
      </c>
      <c r="B30" s="9"/>
      <c r="C30" s="9"/>
      <c r="D30" s="9" t="s">
        <v>154</v>
      </c>
      <c r="E30" s="51" t="s">
        <v>59</v>
      </c>
      <c r="F30" s="51"/>
      <c r="G30" s="52" t="s">
        <v>274</v>
      </c>
      <c r="H30" s="52" t="s">
        <v>209</v>
      </c>
      <c r="I30" s="9"/>
      <c r="J30" s="9" t="s">
        <v>112</v>
      </c>
      <c r="K30" s="9"/>
      <c r="L30" s="9"/>
      <c r="M30" s="9" t="s">
        <v>112</v>
      </c>
      <c r="N30" s="9"/>
      <c r="O30" s="9"/>
      <c r="P30" s="59"/>
      <c r="Q30" s="53"/>
      <c r="R30" s="146"/>
      <c r="S30" s="147"/>
    </row>
    <row r="31" spans="1:19" s="11" customFormat="1">
      <c r="A31" s="9">
        <v>20</v>
      </c>
      <c r="B31" s="9"/>
      <c r="C31" s="9"/>
      <c r="D31" s="9" t="s">
        <v>155</v>
      </c>
      <c r="E31" s="51" t="s">
        <v>59</v>
      </c>
      <c r="F31" s="51"/>
      <c r="G31" s="52" t="s">
        <v>275</v>
      </c>
      <c r="H31" s="52" t="s">
        <v>210</v>
      </c>
      <c r="I31" s="9"/>
      <c r="J31" s="9" t="s">
        <v>112</v>
      </c>
      <c r="K31" s="9"/>
      <c r="L31" s="9"/>
      <c r="M31" s="9" t="s">
        <v>112</v>
      </c>
      <c r="N31" s="9"/>
      <c r="O31" s="9"/>
      <c r="P31" s="59"/>
      <c r="Q31" s="53"/>
      <c r="R31" s="146"/>
      <c r="S31" s="147"/>
    </row>
    <row r="32" spans="1:19" s="11" customFormat="1">
      <c r="A32" s="9">
        <v>20</v>
      </c>
      <c r="B32" s="9"/>
      <c r="C32" s="9"/>
      <c r="D32" s="9" t="s">
        <v>156</v>
      </c>
      <c r="E32" s="51" t="s">
        <v>160</v>
      </c>
      <c r="F32" s="51"/>
      <c r="G32" s="52" t="s">
        <v>276</v>
      </c>
      <c r="H32" s="52" t="s">
        <v>211</v>
      </c>
      <c r="I32" s="9"/>
      <c r="J32" s="9" t="s">
        <v>112</v>
      </c>
      <c r="K32" s="9" t="s">
        <v>221</v>
      </c>
      <c r="L32" s="9"/>
      <c r="M32" s="9" t="s">
        <v>112</v>
      </c>
      <c r="N32" s="9"/>
      <c r="O32" s="9"/>
      <c r="P32" s="59"/>
      <c r="Q32" s="53"/>
      <c r="R32" s="146"/>
      <c r="S32" s="147"/>
    </row>
    <row r="33" spans="1:19" s="11" customFormat="1">
      <c r="A33" s="9">
        <v>20</v>
      </c>
      <c r="B33" s="9"/>
      <c r="C33" s="9"/>
      <c r="D33" s="9" t="s">
        <v>169</v>
      </c>
      <c r="E33" s="51" t="s">
        <v>170</v>
      </c>
      <c r="F33" s="51"/>
      <c r="G33" s="52" t="s">
        <v>291</v>
      </c>
      <c r="H33" s="52" t="s">
        <v>222</v>
      </c>
      <c r="I33" s="9"/>
      <c r="J33" s="9" t="s">
        <v>112</v>
      </c>
      <c r="K33" s="9"/>
      <c r="L33" s="9"/>
      <c r="M33" s="9"/>
      <c r="N33" s="9"/>
      <c r="O33" s="9"/>
      <c r="P33" s="59"/>
      <c r="Q33" s="53"/>
      <c r="R33" s="146"/>
      <c r="S33" s="147"/>
    </row>
    <row r="34" spans="1:19" s="11" customFormat="1">
      <c r="A34" s="9">
        <v>20</v>
      </c>
      <c r="B34" s="9"/>
      <c r="C34" s="9"/>
      <c r="D34" s="9" t="s">
        <v>41</v>
      </c>
      <c r="E34" s="51" t="s">
        <v>43</v>
      </c>
      <c r="F34" s="51"/>
      <c r="G34" s="52" t="s">
        <v>277</v>
      </c>
      <c r="H34" s="52" t="s">
        <v>45</v>
      </c>
      <c r="I34" s="9"/>
      <c r="J34" s="9" t="s">
        <v>112</v>
      </c>
      <c r="K34" s="9"/>
      <c r="L34" s="9"/>
      <c r="M34" s="9" t="s">
        <v>112</v>
      </c>
      <c r="N34" s="9"/>
      <c r="O34" s="9"/>
      <c r="P34" s="59"/>
      <c r="Q34" s="53"/>
      <c r="R34" s="146"/>
      <c r="S34" s="147"/>
    </row>
    <row r="35" spans="1:19" s="11" customFormat="1">
      <c r="A35" s="9">
        <v>20</v>
      </c>
      <c r="B35" s="9"/>
      <c r="C35" s="9"/>
      <c r="D35" s="9" t="s">
        <v>52</v>
      </c>
      <c r="E35" s="51" t="s">
        <v>53</v>
      </c>
      <c r="F35" s="51"/>
      <c r="G35" s="52" t="s">
        <v>278</v>
      </c>
      <c r="H35" s="52" t="s">
        <v>46</v>
      </c>
      <c r="I35" s="9"/>
      <c r="J35" s="9" t="s">
        <v>112</v>
      </c>
      <c r="K35" s="9"/>
      <c r="L35" s="9"/>
      <c r="M35" s="9" t="s">
        <v>112</v>
      </c>
      <c r="N35" s="9"/>
      <c r="O35" s="9"/>
      <c r="P35" s="59"/>
      <c r="Q35" s="53"/>
      <c r="R35" s="146"/>
      <c r="S35" s="147"/>
    </row>
    <row r="36" spans="1:19" s="11" customFormat="1">
      <c r="A36" s="9">
        <v>20</v>
      </c>
      <c r="B36" s="9"/>
      <c r="C36" s="9"/>
      <c r="D36" s="9" t="s">
        <v>47</v>
      </c>
      <c r="E36" s="51" t="s">
        <v>49</v>
      </c>
      <c r="F36" s="51"/>
      <c r="G36" s="52" t="s">
        <v>279</v>
      </c>
      <c r="H36" s="52" t="s">
        <v>51</v>
      </c>
      <c r="I36" s="9"/>
      <c r="J36" s="9" t="s">
        <v>112</v>
      </c>
      <c r="K36" s="9"/>
      <c r="L36" s="9"/>
      <c r="M36" s="9" t="s">
        <v>112</v>
      </c>
      <c r="N36" s="9"/>
      <c r="O36" s="9"/>
      <c r="P36" s="59"/>
      <c r="Q36" s="53"/>
      <c r="R36" s="146"/>
      <c r="S36" s="147"/>
    </row>
    <row r="37" spans="1:19" s="11" customFormat="1">
      <c r="A37" s="9">
        <v>20</v>
      </c>
      <c r="B37" s="9"/>
      <c r="C37" s="9"/>
      <c r="D37" s="9" t="s">
        <v>233</v>
      </c>
      <c r="E37" s="51" t="s">
        <v>176</v>
      </c>
      <c r="F37" s="51"/>
      <c r="G37" s="52" t="s">
        <v>292</v>
      </c>
      <c r="H37" s="52" t="s">
        <v>56</v>
      </c>
      <c r="I37" s="9"/>
      <c r="J37" s="9" t="s">
        <v>112</v>
      </c>
      <c r="K37" s="9"/>
      <c r="L37" s="9"/>
      <c r="M37" s="9" t="s">
        <v>112</v>
      </c>
      <c r="N37" s="9"/>
      <c r="O37" s="9"/>
      <c r="P37" s="59"/>
      <c r="Q37" s="53"/>
      <c r="R37" s="146"/>
      <c r="S37" s="147"/>
    </row>
    <row r="38" spans="1:19" s="11" customFormat="1">
      <c r="A38" s="9">
        <v>20</v>
      </c>
      <c r="B38" s="9"/>
      <c r="C38" s="9"/>
      <c r="D38" s="9" t="s">
        <v>35</v>
      </c>
      <c r="E38" s="51" t="s">
        <v>177</v>
      </c>
      <c r="F38" s="51"/>
      <c r="G38" s="52" t="s">
        <v>293</v>
      </c>
      <c r="H38" s="52" t="s">
        <v>54</v>
      </c>
      <c r="I38" s="9"/>
      <c r="J38" s="9" t="s">
        <v>112</v>
      </c>
      <c r="K38" s="9"/>
      <c r="L38" s="9"/>
      <c r="M38" s="9" t="s">
        <v>112</v>
      </c>
      <c r="N38" s="9"/>
      <c r="O38" s="9"/>
      <c r="P38" s="59"/>
      <c r="Q38" s="53"/>
      <c r="R38" s="146"/>
      <c r="S38" s="147"/>
    </row>
    <row r="39" spans="1:19" s="11" customFormat="1">
      <c r="A39" s="9">
        <v>20</v>
      </c>
      <c r="B39" s="9"/>
      <c r="C39" s="9"/>
      <c r="D39" s="9" t="s">
        <v>14</v>
      </c>
      <c r="E39" s="51" t="s">
        <v>58</v>
      </c>
      <c r="F39" s="51"/>
      <c r="G39" s="52" t="s">
        <v>294</v>
      </c>
      <c r="H39" s="52" t="s">
        <v>223</v>
      </c>
      <c r="I39" s="9"/>
      <c r="J39" s="9" t="s">
        <v>112</v>
      </c>
      <c r="K39" s="9"/>
      <c r="L39" s="9"/>
      <c r="M39" s="9" t="s">
        <v>112</v>
      </c>
      <c r="N39" s="9"/>
      <c r="O39" s="9"/>
      <c r="P39" s="59"/>
      <c r="Q39" s="53"/>
      <c r="R39" s="146"/>
      <c r="S39" s="147"/>
    </row>
    <row r="40" spans="1:19" s="11" customFormat="1">
      <c r="A40" s="9">
        <v>20</v>
      </c>
      <c r="B40" s="9"/>
      <c r="C40" s="9"/>
      <c r="D40" s="9" t="s">
        <v>62</v>
      </c>
      <c r="E40" s="51" t="s">
        <v>68</v>
      </c>
      <c r="F40" s="51"/>
      <c r="G40" s="52" t="s">
        <v>295</v>
      </c>
      <c r="H40" s="52" t="s">
        <v>63</v>
      </c>
      <c r="I40" s="9"/>
      <c r="J40" s="9" t="s">
        <v>112</v>
      </c>
      <c r="K40" s="9"/>
      <c r="L40" s="9"/>
      <c r="M40" s="9" t="s">
        <v>112</v>
      </c>
      <c r="N40" s="9"/>
      <c r="O40" s="9"/>
      <c r="P40" s="59"/>
      <c r="Q40" s="53"/>
      <c r="R40" s="146"/>
      <c r="S40" s="147"/>
    </row>
    <row r="41" spans="1:19" s="11" customFormat="1">
      <c r="A41" s="9">
        <v>20</v>
      </c>
      <c r="B41" s="9"/>
      <c r="C41" s="9"/>
      <c r="D41" s="9" t="s">
        <v>69</v>
      </c>
      <c r="E41" s="51" t="s">
        <v>70</v>
      </c>
      <c r="F41" s="51"/>
      <c r="G41" s="52" t="s">
        <v>296</v>
      </c>
      <c r="H41" s="52" t="s">
        <v>72</v>
      </c>
      <c r="I41" s="9"/>
      <c r="J41" s="9" t="s">
        <v>112</v>
      </c>
      <c r="K41" s="9"/>
      <c r="L41" s="9"/>
      <c r="M41" s="9"/>
      <c r="N41" s="9"/>
      <c r="O41" s="9"/>
      <c r="P41" s="59"/>
      <c r="Q41" s="53"/>
      <c r="R41" s="146"/>
      <c r="S41" s="147"/>
    </row>
    <row r="42" spans="1:19" s="11" customFormat="1">
      <c r="A42" s="9">
        <v>20</v>
      </c>
      <c r="B42" s="9"/>
      <c r="C42" s="9"/>
      <c r="D42" s="9" t="s">
        <v>99</v>
      </c>
      <c r="E42" s="51" t="s">
        <v>100</v>
      </c>
      <c r="F42" s="51"/>
      <c r="G42" s="52" t="s">
        <v>281</v>
      </c>
      <c r="H42" s="52" t="s">
        <v>101</v>
      </c>
      <c r="I42" s="9"/>
      <c r="J42" s="9" t="s">
        <v>112</v>
      </c>
      <c r="K42" s="9"/>
      <c r="L42" s="9"/>
      <c r="M42" s="9" t="s">
        <v>112</v>
      </c>
      <c r="N42" s="9"/>
      <c r="O42" s="9"/>
      <c r="P42" s="59"/>
      <c r="Q42" s="53"/>
      <c r="R42" s="146"/>
      <c r="S42" s="147"/>
    </row>
    <row r="43" spans="1:19" s="11" customFormat="1">
      <c r="A43" s="9">
        <v>20</v>
      </c>
      <c r="B43" s="9"/>
      <c r="C43" s="9"/>
      <c r="D43" s="9" t="s">
        <v>234</v>
      </c>
      <c r="E43" s="51" t="s">
        <v>176</v>
      </c>
      <c r="F43" s="51"/>
      <c r="G43" s="52" t="s">
        <v>297</v>
      </c>
      <c r="H43" s="52" t="s">
        <v>57</v>
      </c>
      <c r="I43" s="9"/>
      <c r="J43" s="9" t="s">
        <v>112</v>
      </c>
      <c r="K43" s="9"/>
      <c r="L43" s="9"/>
      <c r="M43" s="9" t="s">
        <v>112</v>
      </c>
      <c r="N43" s="9"/>
      <c r="O43" s="9"/>
      <c r="P43" s="59"/>
      <c r="Q43" s="53"/>
      <c r="R43" s="146"/>
      <c r="S43" s="147"/>
    </row>
    <row r="44" spans="1:19" s="11" customFormat="1">
      <c r="A44" s="9">
        <v>20</v>
      </c>
      <c r="B44" s="9"/>
      <c r="C44" s="9"/>
      <c r="D44" s="9" t="s">
        <v>36</v>
      </c>
      <c r="E44" s="51" t="s">
        <v>177</v>
      </c>
      <c r="F44" s="51"/>
      <c r="G44" s="52" t="s">
        <v>298</v>
      </c>
      <c r="H44" s="52" t="s">
        <v>55</v>
      </c>
      <c r="I44" s="9"/>
      <c r="J44" s="9" t="s">
        <v>112</v>
      </c>
      <c r="K44" s="9"/>
      <c r="L44" s="9"/>
      <c r="M44" s="9" t="s">
        <v>112</v>
      </c>
      <c r="N44" s="9"/>
      <c r="O44" s="9"/>
      <c r="P44" s="59"/>
      <c r="Q44" s="53"/>
      <c r="R44" s="146"/>
      <c r="S44" s="147"/>
    </row>
    <row r="45" spans="1:19" s="11" customFormat="1">
      <c r="A45" s="9">
        <v>20</v>
      </c>
      <c r="B45" s="9"/>
      <c r="C45" s="9"/>
      <c r="D45" s="9" t="s">
        <v>15</v>
      </c>
      <c r="E45" s="51" t="s">
        <v>235</v>
      </c>
      <c r="F45" s="51"/>
      <c r="G45" s="52" t="s">
        <v>299</v>
      </c>
      <c r="H45" s="52" t="s">
        <v>224</v>
      </c>
      <c r="I45" s="9"/>
      <c r="J45" s="9" t="s">
        <v>112</v>
      </c>
      <c r="K45" s="9"/>
      <c r="L45" s="9"/>
      <c r="M45" s="9" t="s">
        <v>112</v>
      </c>
      <c r="N45" s="9"/>
      <c r="O45" s="9"/>
      <c r="P45" s="59"/>
      <c r="Q45" s="53"/>
      <c r="R45" s="146"/>
      <c r="S45" s="147"/>
    </row>
    <row r="46" spans="1:19" s="11" customFormat="1">
      <c r="A46" s="9">
        <v>20</v>
      </c>
      <c r="B46" s="9"/>
      <c r="C46" s="9"/>
      <c r="D46" s="9" t="s">
        <v>64</v>
      </c>
      <c r="E46" s="51" t="s">
        <v>68</v>
      </c>
      <c r="F46" s="51"/>
      <c r="G46" s="52" t="s">
        <v>300</v>
      </c>
      <c r="H46" s="52" t="s">
        <v>65</v>
      </c>
      <c r="I46" s="9"/>
      <c r="J46" s="9" t="s">
        <v>112</v>
      </c>
      <c r="K46" s="9"/>
      <c r="L46" s="9"/>
      <c r="M46" s="9" t="s">
        <v>112</v>
      </c>
      <c r="N46" s="9"/>
      <c r="O46" s="9"/>
      <c r="P46" s="59"/>
      <c r="Q46" s="53"/>
      <c r="R46" s="146"/>
      <c r="S46" s="147"/>
    </row>
    <row r="47" spans="1:19" s="11" customFormat="1">
      <c r="A47" s="9">
        <v>20</v>
      </c>
      <c r="B47" s="9"/>
      <c r="C47" s="9"/>
      <c r="D47" s="9" t="s">
        <v>71</v>
      </c>
      <c r="E47" s="51" t="s">
        <v>70</v>
      </c>
      <c r="F47" s="51"/>
      <c r="G47" s="52" t="s">
        <v>301</v>
      </c>
      <c r="H47" s="52" t="s">
        <v>73</v>
      </c>
      <c r="I47" s="9"/>
      <c r="J47" s="9" t="s">
        <v>112</v>
      </c>
      <c r="K47" s="9"/>
      <c r="L47" s="9"/>
      <c r="M47" s="9"/>
      <c r="N47" s="9"/>
      <c r="O47" s="9"/>
      <c r="P47" s="59"/>
      <c r="Q47" s="53"/>
      <c r="R47" s="146"/>
      <c r="S47" s="147"/>
    </row>
    <row r="48" spans="1:19" s="11" customFormat="1">
      <c r="A48" s="9">
        <v>20</v>
      </c>
      <c r="B48" s="9"/>
      <c r="C48" s="9"/>
      <c r="D48" s="9" t="s">
        <v>74</v>
      </c>
      <c r="E48" s="51" t="s">
        <v>66</v>
      </c>
      <c r="F48" s="51"/>
      <c r="G48" s="52" t="s">
        <v>302</v>
      </c>
      <c r="H48" s="52" t="s">
        <v>225</v>
      </c>
      <c r="I48" s="9"/>
      <c r="J48" s="9" t="s">
        <v>112</v>
      </c>
      <c r="K48" s="9"/>
      <c r="L48" s="9"/>
      <c r="M48" s="9" t="s">
        <v>112</v>
      </c>
      <c r="N48" s="9"/>
      <c r="O48" s="9"/>
      <c r="P48" s="59"/>
      <c r="Q48" s="53"/>
      <c r="R48" s="146"/>
      <c r="S48" s="147"/>
    </row>
    <row r="49" spans="1:19" s="11" customFormat="1">
      <c r="A49" s="9">
        <v>20</v>
      </c>
      <c r="B49" s="9"/>
      <c r="C49" s="9"/>
      <c r="D49" s="9" t="s">
        <v>96</v>
      </c>
      <c r="E49" s="51" t="s">
        <v>176</v>
      </c>
      <c r="F49" s="51"/>
      <c r="G49" s="52" t="s">
        <v>303</v>
      </c>
      <c r="H49" s="52" t="s">
        <v>226</v>
      </c>
      <c r="I49" s="9"/>
      <c r="J49" s="9" t="s">
        <v>112</v>
      </c>
      <c r="K49" s="9"/>
      <c r="L49" s="9"/>
      <c r="M49" s="9" t="s">
        <v>112</v>
      </c>
      <c r="N49" s="9"/>
      <c r="O49" s="9"/>
      <c r="P49" s="59"/>
      <c r="Q49" s="53"/>
      <c r="R49" s="146"/>
      <c r="S49" s="147"/>
    </row>
    <row r="50" spans="1:19" s="11" customFormat="1">
      <c r="A50" s="9">
        <v>20</v>
      </c>
      <c r="B50" s="9"/>
      <c r="C50" s="9"/>
      <c r="D50" s="9" t="s">
        <v>97</v>
      </c>
      <c r="E50" s="51" t="s">
        <v>177</v>
      </c>
      <c r="F50" s="51"/>
      <c r="G50" s="52" t="s">
        <v>304</v>
      </c>
      <c r="H50" s="52" t="s">
        <v>227</v>
      </c>
      <c r="I50" s="9"/>
      <c r="J50" s="9" t="s">
        <v>112</v>
      </c>
      <c r="K50" s="9"/>
      <c r="L50" s="9"/>
      <c r="M50" s="9" t="s">
        <v>112</v>
      </c>
      <c r="N50" s="9"/>
      <c r="O50" s="9"/>
      <c r="P50" s="59"/>
      <c r="Q50" s="53"/>
      <c r="R50" s="146"/>
      <c r="S50" s="147"/>
    </row>
    <row r="51" spans="1:19" s="11" customFormat="1">
      <c r="A51" s="9">
        <v>20</v>
      </c>
      <c r="B51" s="9"/>
      <c r="C51" s="9"/>
      <c r="D51" s="9" t="s">
        <v>98</v>
      </c>
      <c r="E51" s="51" t="s">
        <v>67</v>
      </c>
      <c r="F51" s="51"/>
      <c r="G51" s="52" t="s">
        <v>305</v>
      </c>
      <c r="H51" s="52" t="s">
        <v>228</v>
      </c>
      <c r="I51" s="9"/>
      <c r="J51" s="9" t="s">
        <v>112</v>
      </c>
      <c r="K51" s="9"/>
      <c r="L51" s="9"/>
      <c r="M51" s="9" t="s">
        <v>112</v>
      </c>
      <c r="N51" s="9"/>
      <c r="O51" s="9"/>
      <c r="P51" s="59"/>
      <c r="Q51" s="53"/>
      <c r="R51" s="146"/>
      <c r="S51" s="147"/>
    </row>
    <row r="52" spans="1:19" s="11" customFormat="1">
      <c r="A52" s="79"/>
      <c r="S52" s="56"/>
    </row>
    <row r="53" spans="1:19" s="11" customFormat="1">
      <c r="A53" s="9">
        <v>30</v>
      </c>
      <c r="B53" s="38" t="s">
        <v>0</v>
      </c>
      <c r="C53" s="39"/>
      <c r="D53" s="28" t="s">
        <v>81</v>
      </c>
      <c r="E53" s="34" t="s">
        <v>21</v>
      </c>
      <c r="F53" s="62"/>
      <c r="G53" s="28"/>
      <c r="H53" s="46"/>
      <c r="I53" s="63"/>
      <c r="J53" s="64"/>
      <c r="K53" s="64"/>
      <c r="L53" s="49"/>
      <c r="M53" s="49"/>
      <c r="N53" s="49"/>
      <c r="O53" s="49" t="s">
        <v>21</v>
      </c>
      <c r="P53" s="36"/>
      <c r="Q53" s="37"/>
      <c r="R53" s="74"/>
      <c r="S53" s="50"/>
    </row>
    <row r="54" spans="1:19" s="11" customFormat="1">
      <c r="A54" s="9">
        <v>30</v>
      </c>
      <c r="B54" s="9"/>
      <c r="C54" s="9"/>
      <c r="D54" s="9" t="s">
        <v>150</v>
      </c>
      <c r="E54" s="51" t="s">
        <v>157</v>
      </c>
      <c r="F54" s="51"/>
      <c r="G54" s="52" t="s">
        <v>270</v>
      </c>
      <c r="H54" s="52" t="s">
        <v>204</v>
      </c>
      <c r="I54" s="9"/>
      <c r="J54" s="9" t="s">
        <v>112</v>
      </c>
      <c r="K54" s="9"/>
      <c r="L54" s="9"/>
      <c r="M54" s="9"/>
      <c r="N54" s="9"/>
      <c r="O54" s="9" t="s">
        <v>112</v>
      </c>
      <c r="P54" s="59"/>
      <c r="Q54" s="53"/>
      <c r="R54" s="146"/>
      <c r="S54" s="147"/>
    </row>
    <row r="55" spans="1:19" s="11" customFormat="1">
      <c r="A55" s="9">
        <v>30</v>
      </c>
      <c r="B55" s="9"/>
      <c r="C55" s="9"/>
      <c r="D55" s="9" t="s">
        <v>82</v>
      </c>
      <c r="E55" s="51" t="s">
        <v>83</v>
      </c>
      <c r="F55" s="51"/>
      <c r="G55" s="52" t="s">
        <v>284</v>
      </c>
      <c r="H55" s="52" t="s">
        <v>84</v>
      </c>
      <c r="I55" s="9"/>
      <c r="J55" s="9" t="s">
        <v>112</v>
      </c>
      <c r="K55" s="9"/>
      <c r="L55" s="9"/>
      <c r="M55" s="9"/>
      <c r="N55" s="9"/>
      <c r="O55" s="9" t="s">
        <v>112</v>
      </c>
      <c r="P55" s="59"/>
      <c r="Q55" s="53"/>
      <c r="R55" s="146"/>
      <c r="S55" s="147"/>
    </row>
    <row r="56" spans="1:19" s="11" customFormat="1">
      <c r="A56" s="9">
        <v>30</v>
      </c>
      <c r="B56" s="9"/>
      <c r="C56" s="9"/>
      <c r="D56" s="9" t="s">
        <v>105</v>
      </c>
      <c r="E56" s="51" t="s">
        <v>106</v>
      </c>
      <c r="F56" s="51"/>
      <c r="G56" s="52" t="s">
        <v>306</v>
      </c>
      <c r="H56" s="52" t="s">
        <v>229</v>
      </c>
      <c r="I56" s="9"/>
      <c r="J56" s="9" t="s">
        <v>112</v>
      </c>
      <c r="K56" s="9"/>
      <c r="L56" s="9"/>
      <c r="M56" s="9"/>
      <c r="N56" s="9"/>
      <c r="O56" s="9"/>
      <c r="P56" s="59"/>
      <c r="Q56" s="53"/>
      <c r="R56" s="146"/>
      <c r="S56" s="147"/>
    </row>
    <row r="57" spans="1:19" s="11" customFormat="1">
      <c r="A57" s="9">
        <v>30</v>
      </c>
      <c r="B57" s="9"/>
      <c r="C57" s="9"/>
      <c r="D57" s="9" t="s">
        <v>151</v>
      </c>
      <c r="E57" s="51" t="s">
        <v>236</v>
      </c>
      <c r="F57" s="51"/>
      <c r="G57" s="52" t="s">
        <v>285</v>
      </c>
      <c r="H57" s="52" t="s">
        <v>217</v>
      </c>
      <c r="I57" s="9"/>
      <c r="J57" s="9" t="s">
        <v>112</v>
      </c>
      <c r="K57" s="9"/>
      <c r="L57" s="9"/>
      <c r="M57" s="9"/>
      <c r="N57" s="9"/>
      <c r="O57" s="9" t="s">
        <v>112</v>
      </c>
      <c r="P57" s="59"/>
      <c r="Q57" s="53"/>
      <c r="R57" s="146"/>
      <c r="S57" s="147"/>
    </row>
    <row r="58" spans="1:19" s="11" customFormat="1">
      <c r="A58" s="9">
        <v>30</v>
      </c>
      <c r="B58" s="9"/>
      <c r="C58" s="9"/>
      <c r="D58" s="9" t="s">
        <v>41</v>
      </c>
      <c r="E58" s="51" t="s">
        <v>43</v>
      </c>
      <c r="F58" s="51"/>
      <c r="G58" s="52" t="s">
        <v>277</v>
      </c>
      <c r="H58" s="52" t="s">
        <v>45</v>
      </c>
      <c r="I58" s="9"/>
      <c r="J58" s="9" t="s">
        <v>112</v>
      </c>
      <c r="K58" s="9"/>
      <c r="L58" s="9"/>
      <c r="M58" s="9"/>
      <c r="N58" s="9"/>
      <c r="O58" s="9" t="s">
        <v>112</v>
      </c>
      <c r="P58" s="59"/>
      <c r="Q58" s="53"/>
      <c r="R58" s="146"/>
      <c r="S58" s="147"/>
    </row>
    <row r="59" spans="1:19" s="11" customFormat="1">
      <c r="A59" s="9">
        <v>30</v>
      </c>
      <c r="B59" s="9"/>
      <c r="C59" s="9"/>
      <c r="D59" s="9" t="s">
        <v>52</v>
      </c>
      <c r="E59" s="51" t="s">
        <v>53</v>
      </c>
      <c r="F59" s="51"/>
      <c r="G59" s="52" t="s">
        <v>278</v>
      </c>
      <c r="H59" s="52" t="s">
        <v>46</v>
      </c>
      <c r="I59" s="9"/>
      <c r="J59" s="9" t="s">
        <v>112</v>
      </c>
      <c r="K59" s="9"/>
      <c r="L59" s="9"/>
      <c r="M59" s="9"/>
      <c r="N59" s="9"/>
      <c r="O59" s="9" t="s">
        <v>112</v>
      </c>
      <c r="P59" s="59"/>
      <c r="Q59" s="53"/>
      <c r="R59" s="146"/>
      <c r="S59" s="147"/>
    </row>
    <row r="60" spans="1:19" s="11" customFormat="1">
      <c r="A60" s="9">
        <v>30</v>
      </c>
      <c r="B60" s="9"/>
      <c r="C60" s="9"/>
      <c r="D60" s="9" t="s">
        <v>47</v>
      </c>
      <c r="E60" s="51" t="s">
        <v>49</v>
      </c>
      <c r="F60" s="51"/>
      <c r="G60" s="52" t="s">
        <v>279</v>
      </c>
      <c r="H60" s="52" t="s">
        <v>51</v>
      </c>
      <c r="I60" s="9"/>
      <c r="J60" s="9" t="s">
        <v>112</v>
      </c>
      <c r="K60" s="9"/>
      <c r="L60" s="9"/>
      <c r="M60" s="9"/>
      <c r="N60" s="9"/>
      <c r="O60" s="9" t="s">
        <v>112</v>
      </c>
      <c r="P60" s="59"/>
      <c r="Q60" s="53"/>
      <c r="R60" s="146"/>
      <c r="S60" s="147"/>
    </row>
    <row r="61" spans="1:19" s="11" customFormat="1">
      <c r="A61" s="9">
        <v>30</v>
      </c>
      <c r="B61" s="9"/>
      <c r="C61" s="9"/>
      <c r="D61" s="9" t="s">
        <v>233</v>
      </c>
      <c r="E61" s="51" t="s">
        <v>176</v>
      </c>
      <c r="F61" s="51"/>
      <c r="G61" s="52" t="s">
        <v>292</v>
      </c>
      <c r="H61" s="52" t="s">
        <v>56</v>
      </c>
      <c r="I61" s="9"/>
      <c r="J61" s="9" t="s">
        <v>112</v>
      </c>
      <c r="K61" s="9"/>
      <c r="L61" s="9"/>
      <c r="M61" s="9"/>
      <c r="N61" s="9"/>
      <c r="O61" s="9" t="s">
        <v>112</v>
      </c>
      <c r="P61" s="59"/>
      <c r="Q61" s="53"/>
      <c r="R61" s="146"/>
      <c r="S61" s="147"/>
    </row>
    <row r="62" spans="1:19" s="11" customFormat="1">
      <c r="A62" s="9">
        <v>30</v>
      </c>
      <c r="B62" s="9"/>
      <c r="C62" s="9"/>
      <c r="D62" s="9" t="s">
        <v>35</v>
      </c>
      <c r="E62" s="51" t="s">
        <v>177</v>
      </c>
      <c r="F62" s="51"/>
      <c r="G62" s="52" t="s">
        <v>293</v>
      </c>
      <c r="H62" s="52" t="s">
        <v>54</v>
      </c>
      <c r="I62" s="9"/>
      <c r="J62" s="9" t="s">
        <v>112</v>
      </c>
      <c r="K62" s="9"/>
      <c r="L62" s="9"/>
      <c r="M62" s="9"/>
      <c r="N62" s="9"/>
      <c r="O62" s="9" t="s">
        <v>112</v>
      </c>
      <c r="P62" s="59"/>
      <c r="Q62" s="53"/>
      <c r="R62" s="146"/>
      <c r="S62" s="147"/>
    </row>
    <row r="63" spans="1:19" s="11" customFormat="1">
      <c r="A63" s="9">
        <v>30</v>
      </c>
      <c r="B63" s="9"/>
      <c r="C63" s="9"/>
      <c r="D63" s="9" t="s">
        <v>14</v>
      </c>
      <c r="E63" s="51" t="s">
        <v>58</v>
      </c>
      <c r="F63" s="51"/>
      <c r="G63" s="52" t="s">
        <v>294</v>
      </c>
      <c r="H63" s="52" t="s">
        <v>223</v>
      </c>
      <c r="I63" s="9"/>
      <c r="J63" s="9" t="s">
        <v>112</v>
      </c>
      <c r="K63" s="9"/>
      <c r="L63" s="9"/>
      <c r="M63" s="9"/>
      <c r="N63" s="9"/>
      <c r="O63" s="9" t="s">
        <v>112</v>
      </c>
      <c r="P63" s="59"/>
      <c r="Q63" s="53"/>
      <c r="R63" s="146"/>
      <c r="S63" s="147"/>
    </row>
    <row r="64" spans="1:19" s="11" customFormat="1">
      <c r="A64" s="9">
        <v>30</v>
      </c>
      <c r="B64" s="9"/>
      <c r="C64" s="9"/>
      <c r="D64" s="9" t="s">
        <v>62</v>
      </c>
      <c r="E64" s="51" t="s">
        <v>68</v>
      </c>
      <c r="F64" s="51"/>
      <c r="G64" s="52" t="s">
        <v>295</v>
      </c>
      <c r="H64" s="52" t="s">
        <v>63</v>
      </c>
      <c r="I64" s="9"/>
      <c r="J64" s="9" t="s">
        <v>112</v>
      </c>
      <c r="K64" s="9"/>
      <c r="L64" s="9"/>
      <c r="M64" s="9"/>
      <c r="N64" s="9"/>
      <c r="O64" s="9" t="s">
        <v>112</v>
      </c>
      <c r="P64" s="59"/>
      <c r="Q64" s="53"/>
      <c r="R64" s="146"/>
      <c r="S64" s="147"/>
    </row>
    <row r="65" spans="1:19" s="11" customFormat="1">
      <c r="A65" s="9">
        <v>30</v>
      </c>
      <c r="B65" s="9"/>
      <c r="C65" s="9"/>
      <c r="D65" s="9" t="s">
        <v>69</v>
      </c>
      <c r="E65" s="51" t="s">
        <v>70</v>
      </c>
      <c r="F65" s="51"/>
      <c r="G65" s="52" t="s">
        <v>296</v>
      </c>
      <c r="H65" s="52" t="s">
        <v>72</v>
      </c>
      <c r="I65" s="9"/>
      <c r="J65" s="9" t="s">
        <v>112</v>
      </c>
      <c r="K65" s="9"/>
      <c r="L65" s="9"/>
      <c r="M65" s="9"/>
      <c r="N65" s="9"/>
      <c r="O65" s="9"/>
      <c r="P65" s="59"/>
      <c r="Q65" s="53"/>
      <c r="R65" s="146"/>
      <c r="S65" s="147"/>
    </row>
    <row r="66" spans="1:19" s="11" customFormat="1">
      <c r="A66" s="9">
        <v>30</v>
      </c>
      <c r="B66" s="9"/>
      <c r="C66" s="9"/>
      <c r="D66" s="9" t="s">
        <v>99</v>
      </c>
      <c r="E66" s="51" t="s">
        <v>100</v>
      </c>
      <c r="F66" s="51"/>
      <c r="G66" s="52" t="s">
        <v>281</v>
      </c>
      <c r="H66" s="52" t="s">
        <v>101</v>
      </c>
      <c r="I66" s="9"/>
      <c r="J66" s="9" t="s">
        <v>112</v>
      </c>
      <c r="K66" s="9"/>
      <c r="L66" s="9"/>
      <c r="M66" s="9"/>
      <c r="N66" s="9"/>
      <c r="O66" s="9" t="s">
        <v>112</v>
      </c>
      <c r="P66" s="59"/>
      <c r="Q66" s="53"/>
      <c r="R66" s="146"/>
      <c r="S66" s="147"/>
    </row>
    <row r="67" spans="1:19" s="11" customFormat="1">
      <c r="A67" s="9">
        <v>30</v>
      </c>
      <c r="B67" s="9"/>
      <c r="C67" s="9"/>
      <c r="D67" s="9" t="s">
        <v>234</v>
      </c>
      <c r="E67" s="51" t="s">
        <v>176</v>
      </c>
      <c r="F67" s="51"/>
      <c r="G67" s="52" t="s">
        <v>297</v>
      </c>
      <c r="H67" s="52" t="s">
        <v>57</v>
      </c>
      <c r="I67" s="9"/>
      <c r="J67" s="9" t="s">
        <v>112</v>
      </c>
      <c r="K67" s="9"/>
      <c r="L67" s="9"/>
      <c r="M67" s="9"/>
      <c r="N67" s="9"/>
      <c r="O67" s="9" t="s">
        <v>112</v>
      </c>
      <c r="P67" s="59"/>
      <c r="Q67" s="53"/>
      <c r="R67" s="146"/>
      <c r="S67" s="147"/>
    </row>
    <row r="68" spans="1:19" s="11" customFormat="1">
      <c r="A68" s="9">
        <v>30</v>
      </c>
      <c r="B68" s="9"/>
      <c r="C68" s="9"/>
      <c r="D68" s="9" t="s">
        <v>36</v>
      </c>
      <c r="E68" s="51" t="s">
        <v>177</v>
      </c>
      <c r="F68" s="51"/>
      <c r="G68" s="52" t="s">
        <v>298</v>
      </c>
      <c r="H68" s="52" t="s">
        <v>55</v>
      </c>
      <c r="I68" s="9"/>
      <c r="J68" s="9" t="s">
        <v>112</v>
      </c>
      <c r="K68" s="9"/>
      <c r="L68" s="9"/>
      <c r="M68" s="9"/>
      <c r="N68" s="9"/>
      <c r="O68" s="9" t="s">
        <v>112</v>
      </c>
      <c r="P68" s="59"/>
      <c r="Q68" s="53"/>
      <c r="R68" s="146"/>
      <c r="S68" s="147"/>
    </row>
    <row r="69" spans="1:19" s="11" customFormat="1">
      <c r="A69" s="9">
        <v>30</v>
      </c>
      <c r="B69" s="9"/>
      <c r="C69" s="9"/>
      <c r="D69" s="9" t="s">
        <v>15</v>
      </c>
      <c r="E69" s="51" t="s">
        <v>235</v>
      </c>
      <c r="F69" s="51"/>
      <c r="G69" s="52" t="s">
        <v>299</v>
      </c>
      <c r="H69" s="52" t="s">
        <v>224</v>
      </c>
      <c r="I69" s="9"/>
      <c r="J69" s="9" t="s">
        <v>112</v>
      </c>
      <c r="K69" s="9"/>
      <c r="L69" s="9"/>
      <c r="M69" s="9"/>
      <c r="N69" s="9"/>
      <c r="O69" s="9" t="s">
        <v>112</v>
      </c>
      <c r="P69" s="59"/>
      <c r="Q69" s="53"/>
      <c r="R69" s="146"/>
      <c r="S69" s="147"/>
    </row>
    <row r="70" spans="1:19" s="11" customFormat="1">
      <c r="A70" s="9">
        <v>30</v>
      </c>
      <c r="B70" s="9"/>
      <c r="C70" s="9"/>
      <c r="D70" s="9" t="s">
        <v>64</v>
      </c>
      <c r="E70" s="51" t="s">
        <v>68</v>
      </c>
      <c r="F70" s="51"/>
      <c r="G70" s="52" t="s">
        <v>300</v>
      </c>
      <c r="H70" s="52" t="s">
        <v>65</v>
      </c>
      <c r="I70" s="9"/>
      <c r="J70" s="9" t="s">
        <v>112</v>
      </c>
      <c r="K70" s="9"/>
      <c r="L70" s="9"/>
      <c r="M70" s="9"/>
      <c r="N70" s="9"/>
      <c r="O70" s="9" t="s">
        <v>112</v>
      </c>
      <c r="P70" s="59"/>
      <c r="Q70" s="53"/>
      <c r="R70" s="146"/>
      <c r="S70" s="147"/>
    </row>
    <row r="71" spans="1:19" s="11" customFormat="1">
      <c r="A71" s="9">
        <v>30</v>
      </c>
      <c r="B71" s="9"/>
      <c r="C71" s="9"/>
      <c r="D71" s="9" t="s">
        <v>71</v>
      </c>
      <c r="E71" s="51" t="s">
        <v>70</v>
      </c>
      <c r="F71" s="51"/>
      <c r="G71" s="52" t="s">
        <v>301</v>
      </c>
      <c r="H71" s="52" t="s">
        <v>73</v>
      </c>
      <c r="I71" s="9"/>
      <c r="J71" s="9" t="s">
        <v>112</v>
      </c>
      <c r="K71" s="9"/>
      <c r="L71" s="9"/>
      <c r="M71" s="9"/>
      <c r="N71" s="9"/>
      <c r="O71" s="9"/>
      <c r="P71" s="59"/>
      <c r="Q71" s="53"/>
      <c r="R71" s="146"/>
      <c r="S71" s="147"/>
    </row>
    <row r="72" spans="1:19" s="11" customFormat="1">
      <c r="A72" s="9">
        <v>30</v>
      </c>
      <c r="B72" s="9"/>
      <c r="C72" s="9"/>
      <c r="D72" s="9" t="s">
        <v>74</v>
      </c>
      <c r="E72" s="51" t="s">
        <v>66</v>
      </c>
      <c r="F72" s="51"/>
      <c r="G72" s="52" t="s">
        <v>302</v>
      </c>
      <c r="H72" s="52" t="s">
        <v>225</v>
      </c>
      <c r="I72" s="9"/>
      <c r="J72" s="9" t="s">
        <v>112</v>
      </c>
      <c r="K72" s="9"/>
      <c r="L72" s="9"/>
      <c r="M72" s="9"/>
      <c r="N72" s="9"/>
      <c r="O72" s="9" t="s">
        <v>112</v>
      </c>
      <c r="P72" s="59"/>
      <c r="Q72" s="53"/>
      <c r="R72" s="146"/>
      <c r="S72" s="147"/>
    </row>
    <row r="73" spans="1:19" s="11" customFormat="1">
      <c r="A73" s="65"/>
      <c r="B73" s="30"/>
      <c r="C73" s="30"/>
      <c r="D73" s="66" t="s">
        <v>4</v>
      </c>
      <c r="E73" s="31"/>
      <c r="F73" s="67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68"/>
    </row>
    <row r="74" spans="1:19" s="11" customFormat="1">
      <c r="A74" s="79"/>
      <c r="S74" s="56"/>
    </row>
    <row r="75" spans="1:19" s="11" customFormat="1">
      <c r="A75" s="79"/>
      <c r="S75" s="56"/>
    </row>
    <row r="76" spans="1:19" s="11" customFormat="1">
      <c r="A76" s="79"/>
      <c r="S76" s="56"/>
    </row>
    <row r="77" spans="1:19" s="11" customFormat="1">
      <c r="A77" s="84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20"/>
    </row>
  </sheetData>
  <mergeCells count="57">
    <mergeCell ref="R50:S50"/>
    <mergeCell ref="R40:S40"/>
    <mergeCell ref="R36:S36"/>
    <mergeCell ref="R38:S38"/>
    <mergeCell ref="R33:S33"/>
    <mergeCell ref="R41:S41"/>
    <mergeCell ref="R37:S37"/>
    <mergeCell ref="R34:S34"/>
    <mergeCell ref="R45:S45"/>
    <mergeCell ref="R39:S39"/>
    <mergeCell ref="R44:S44"/>
    <mergeCell ref="R29:S29"/>
    <mergeCell ref="R17:S17"/>
    <mergeCell ref="R30:S30"/>
    <mergeCell ref="R31:S31"/>
    <mergeCell ref="R32:S32"/>
    <mergeCell ref="R72:S72"/>
    <mergeCell ref="R61:S61"/>
    <mergeCell ref="R62:S62"/>
    <mergeCell ref="R63:S63"/>
    <mergeCell ref="R64:S64"/>
    <mergeCell ref="R68:S68"/>
    <mergeCell ref="R69:S69"/>
    <mergeCell ref="R65:S65"/>
    <mergeCell ref="R67:S67"/>
    <mergeCell ref="R60:S60"/>
    <mergeCell ref="R71:S71"/>
    <mergeCell ref="R42:S42"/>
    <mergeCell ref="R66:S66"/>
    <mergeCell ref="R70:S70"/>
    <mergeCell ref="R55:S55"/>
    <mergeCell ref="R58:S58"/>
    <mergeCell ref="R59:S59"/>
    <mergeCell ref="R49:S49"/>
    <mergeCell ref="R43:S43"/>
    <mergeCell ref="R56:S56"/>
    <mergeCell ref="R47:S47"/>
    <mergeCell ref="R46:S46"/>
    <mergeCell ref="R51:S51"/>
    <mergeCell ref="R48:S48"/>
    <mergeCell ref="R54:S54"/>
    <mergeCell ref="R57:S57"/>
    <mergeCell ref="R12:S12"/>
    <mergeCell ref="R13:S13"/>
    <mergeCell ref="R14:S14"/>
    <mergeCell ref="R15:S15"/>
    <mergeCell ref="R18:S18"/>
    <mergeCell ref="R35:S35"/>
    <mergeCell ref="R20:S20"/>
    <mergeCell ref="R16:S16"/>
    <mergeCell ref="R19:S19"/>
    <mergeCell ref="R23:S23"/>
    <mergeCell ref="R24:S24"/>
    <mergeCell ref="R25:S25"/>
    <mergeCell ref="R26:S26"/>
    <mergeCell ref="R27:S27"/>
    <mergeCell ref="R28:S2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7"/>
  <sheetViews>
    <sheetView topLeftCell="N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142</v>
      </c>
      <c r="K2" s="7" t="s">
        <v>39</v>
      </c>
      <c r="L2" s="78" t="str">
        <f>IF(LogicCommon!G2="","",LogicCommon!G2)</f>
        <v>MC</v>
      </c>
      <c r="M2" s="5" t="s">
        <v>198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  <c r="S3" s="27"/>
      <c r="T3" s="27"/>
      <c r="U3" s="27"/>
      <c r="V3" s="27"/>
    </row>
    <row r="4" spans="1:22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80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196</v>
      </c>
      <c r="B6" s="80"/>
      <c r="C6" s="80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6" t="s">
        <v>195</v>
      </c>
      <c r="M6" s="19"/>
      <c r="N6" s="19" t="s">
        <v>195</v>
      </c>
      <c r="O6" s="19"/>
      <c r="P6" s="19" t="s">
        <v>195</v>
      </c>
      <c r="Q6" s="19"/>
      <c r="R6" s="3" t="s">
        <v>195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115</v>
      </c>
      <c r="M7" s="33" t="s">
        <v>88</v>
      </c>
      <c r="N7" s="32" t="s">
        <v>116</v>
      </c>
      <c r="O7" s="33" t="s">
        <v>88</v>
      </c>
      <c r="P7" s="32" t="s">
        <v>117</v>
      </c>
      <c r="Q7" s="33" t="s">
        <v>88</v>
      </c>
      <c r="R7" s="32" t="s">
        <v>118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33" t="s">
        <v>16</v>
      </c>
      <c r="L8" s="35" t="s">
        <v>143</v>
      </c>
      <c r="M8" s="33" t="s">
        <v>89</v>
      </c>
      <c r="N8" s="35" t="s">
        <v>144</v>
      </c>
      <c r="O8" s="33" t="s">
        <v>89</v>
      </c>
      <c r="P8" s="35" t="s">
        <v>145</v>
      </c>
      <c r="Q8" s="33" t="s">
        <v>89</v>
      </c>
      <c r="R8" s="35" t="s">
        <v>146</v>
      </c>
      <c r="S8" s="92"/>
      <c r="T8" s="93"/>
      <c r="U8" s="94" t="s">
        <v>260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33"/>
      <c r="P9" s="33"/>
      <c r="Q9" s="33"/>
      <c r="R9" s="33"/>
      <c r="S9" s="94" t="s">
        <v>268</v>
      </c>
      <c r="T9" s="53"/>
      <c r="U9" s="94" t="s">
        <v>269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89" t="s">
        <v>266</v>
      </c>
      <c r="P10" s="89" t="s">
        <v>267</v>
      </c>
      <c r="Q10" s="89" t="s">
        <v>266</v>
      </c>
      <c r="R10" s="89" t="s">
        <v>267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86</v>
      </c>
      <c r="E11" s="34" t="s">
        <v>21</v>
      </c>
      <c r="F11" s="45"/>
      <c r="G11" s="28" t="s">
        <v>109</v>
      </c>
      <c r="H11" s="46" t="s">
        <v>237</v>
      </c>
      <c r="I11" s="47"/>
      <c r="J11" s="48"/>
      <c r="K11" s="49" t="s">
        <v>238</v>
      </c>
      <c r="L11" s="49"/>
      <c r="M11" s="49" t="s">
        <v>239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112</v>
      </c>
      <c r="L12" s="9"/>
      <c r="M12" s="9" t="s">
        <v>79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 ht="26">
      <c r="A13" s="9">
        <v>10</v>
      </c>
      <c r="B13" s="9"/>
      <c r="C13" s="9"/>
      <c r="D13" s="9" t="s">
        <v>151</v>
      </c>
      <c r="E13" s="51" t="s">
        <v>158</v>
      </c>
      <c r="F13" s="51"/>
      <c r="G13" s="52" t="s">
        <v>271</v>
      </c>
      <c r="H13" s="52" t="s">
        <v>205</v>
      </c>
      <c r="I13" s="9" t="s">
        <v>112</v>
      </c>
      <c r="J13" s="9"/>
      <c r="K13" s="9" t="s">
        <v>112</v>
      </c>
      <c r="L13" s="9"/>
      <c r="M13" s="9" t="s">
        <v>79</v>
      </c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 ht="26">
      <c r="A14" s="9">
        <v>10</v>
      </c>
      <c r="B14" s="9"/>
      <c r="C14" s="9"/>
      <c r="D14" s="9" t="s">
        <v>152</v>
      </c>
      <c r="E14" s="51" t="s">
        <v>159</v>
      </c>
      <c r="F14" s="51"/>
      <c r="G14" s="52" t="s">
        <v>272</v>
      </c>
      <c r="H14" s="52" t="s">
        <v>206</v>
      </c>
      <c r="I14" s="9" t="s">
        <v>112</v>
      </c>
      <c r="J14" s="9"/>
      <c r="K14" s="9" t="s">
        <v>112</v>
      </c>
      <c r="L14" s="9"/>
      <c r="M14" s="9" t="s">
        <v>112</v>
      </c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153</v>
      </c>
      <c r="E15" s="51" t="s">
        <v>59</v>
      </c>
      <c r="F15" s="51"/>
      <c r="G15" s="52" t="s">
        <v>273</v>
      </c>
      <c r="H15" s="52" t="s">
        <v>208</v>
      </c>
      <c r="I15" s="9" t="s">
        <v>112</v>
      </c>
      <c r="J15" s="9"/>
      <c r="K15" s="9" t="s">
        <v>112</v>
      </c>
      <c r="L15" s="9"/>
      <c r="M15" s="9" t="s">
        <v>112</v>
      </c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154</v>
      </c>
      <c r="E16" s="51" t="s">
        <v>59</v>
      </c>
      <c r="F16" s="51"/>
      <c r="G16" s="52" t="s">
        <v>274</v>
      </c>
      <c r="H16" s="52" t="s">
        <v>209</v>
      </c>
      <c r="I16" s="9" t="s">
        <v>112</v>
      </c>
      <c r="J16" s="9"/>
      <c r="K16" s="9" t="s">
        <v>112</v>
      </c>
      <c r="L16" s="9"/>
      <c r="M16" s="9" t="s">
        <v>112</v>
      </c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155</v>
      </c>
      <c r="E17" s="51" t="s">
        <v>59</v>
      </c>
      <c r="F17" s="51"/>
      <c r="G17" s="52" t="s">
        <v>275</v>
      </c>
      <c r="H17" s="52" t="s">
        <v>210</v>
      </c>
      <c r="I17" s="9" t="s">
        <v>112</v>
      </c>
      <c r="J17" s="9"/>
      <c r="K17" s="9" t="s">
        <v>112</v>
      </c>
      <c r="L17" s="9"/>
      <c r="M17" s="9" t="s">
        <v>112</v>
      </c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156</v>
      </c>
      <c r="E18" s="51" t="s">
        <v>160</v>
      </c>
      <c r="F18" s="51"/>
      <c r="G18" s="52" t="s">
        <v>276</v>
      </c>
      <c r="H18" s="52" t="s">
        <v>211</v>
      </c>
      <c r="I18" s="9" t="s">
        <v>112</v>
      </c>
      <c r="J18" s="9"/>
      <c r="K18" s="9" t="s">
        <v>112</v>
      </c>
      <c r="L18" s="9"/>
      <c r="M18" s="9" t="s">
        <v>112</v>
      </c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41</v>
      </c>
      <c r="E19" s="51" t="s">
        <v>43</v>
      </c>
      <c r="F19" s="51"/>
      <c r="G19" s="52" t="s">
        <v>277</v>
      </c>
      <c r="H19" s="52" t="s">
        <v>45</v>
      </c>
      <c r="I19" s="9" t="s">
        <v>112</v>
      </c>
      <c r="J19" s="9"/>
      <c r="K19" s="9" t="s">
        <v>112</v>
      </c>
      <c r="L19" s="9"/>
      <c r="M19" s="9" t="s">
        <v>112</v>
      </c>
      <c r="N19" s="9"/>
      <c r="O19" s="9"/>
      <c r="P19" s="9"/>
      <c r="Q19" s="9"/>
      <c r="R19" s="9"/>
      <c r="S19" s="42"/>
      <c r="T19" s="53"/>
      <c r="U19" s="146"/>
      <c r="V19" s="147"/>
    </row>
    <row r="20" spans="1:22" s="11" customFormat="1">
      <c r="A20" s="9">
        <v>10</v>
      </c>
      <c r="B20" s="9"/>
      <c r="C20" s="9"/>
      <c r="D20" s="9" t="s">
        <v>52</v>
      </c>
      <c r="E20" s="51" t="s">
        <v>53</v>
      </c>
      <c r="F20" s="51"/>
      <c r="G20" s="52" t="s">
        <v>278</v>
      </c>
      <c r="H20" s="52" t="s">
        <v>46</v>
      </c>
      <c r="I20" s="9" t="s">
        <v>112</v>
      </c>
      <c r="J20" s="9"/>
      <c r="K20" s="9" t="s">
        <v>112</v>
      </c>
      <c r="L20" s="9"/>
      <c r="M20" s="9" t="s">
        <v>112</v>
      </c>
      <c r="N20" s="9"/>
      <c r="O20" s="9"/>
      <c r="P20" s="9"/>
      <c r="Q20" s="9"/>
      <c r="R20" s="9"/>
      <c r="S20" s="42"/>
      <c r="T20" s="53"/>
      <c r="U20" s="146"/>
      <c r="V20" s="147"/>
    </row>
    <row r="21" spans="1:22" s="11" customFormat="1">
      <c r="A21" s="9">
        <v>10</v>
      </c>
      <c r="B21" s="9"/>
      <c r="C21" s="9"/>
      <c r="D21" s="9" t="s">
        <v>47</v>
      </c>
      <c r="E21" s="51" t="s">
        <v>49</v>
      </c>
      <c r="F21" s="51"/>
      <c r="G21" s="52" t="s">
        <v>279</v>
      </c>
      <c r="H21" s="52" t="s">
        <v>51</v>
      </c>
      <c r="I21" s="9" t="s">
        <v>112</v>
      </c>
      <c r="J21" s="9"/>
      <c r="K21" s="9" t="s">
        <v>112</v>
      </c>
      <c r="L21" s="9"/>
      <c r="M21" s="9" t="s">
        <v>112</v>
      </c>
      <c r="N21" s="9"/>
      <c r="O21" s="9"/>
      <c r="P21" s="9"/>
      <c r="Q21" s="9"/>
      <c r="R21" s="9"/>
      <c r="S21" s="42"/>
      <c r="T21" s="53"/>
      <c r="U21" s="146"/>
      <c r="V21" s="147"/>
    </row>
    <row r="22" spans="1:22" s="11" customFormat="1">
      <c r="A22" s="9">
        <v>10</v>
      </c>
      <c r="B22" s="9"/>
      <c r="C22" s="9"/>
      <c r="D22" s="9" t="s">
        <v>95</v>
      </c>
      <c r="E22" s="51" t="s">
        <v>59</v>
      </c>
      <c r="F22" s="51"/>
      <c r="G22" s="52" t="s">
        <v>280</v>
      </c>
      <c r="H22" s="52" t="s">
        <v>61</v>
      </c>
      <c r="I22" s="9" t="s">
        <v>112</v>
      </c>
      <c r="J22" s="9"/>
      <c r="K22" s="9" t="s">
        <v>112</v>
      </c>
      <c r="L22" s="9"/>
      <c r="M22" s="9" t="s">
        <v>112</v>
      </c>
      <c r="N22" s="9"/>
      <c r="O22" s="9"/>
      <c r="P22" s="9"/>
      <c r="Q22" s="9"/>
      <c r="R22" s="9"/>
      <c r="S22" s="42"/>
      <c r="T22" s="53"/>
      <c r="U22" s="146"/>
      <c r="V22" s="147"/>
    </row>
    <row r="23" spans="1:22" s="11" customFormat="1">
      <c r="A23" s="9">
        <v>10</v>
      </c>
      <c r="B23" s="9"/>
      <c r="C23" s="9"/>
      <c r="D23" s="9" t="s">
        <v>102</v>
      </c>
      <c r="E23" s="51" t="s">
        <v>103</v>
      </c>
      <c r="F23" s="51"/>
      <c r="G23" s="52" t="s">
        <v>281</v>
      </c>
      <c r="H23" s="52" t="s">
        <v>101</v>
      </c>
      <c r="I23" s="9" t="s">
        <v>112</v>
      </c>
      <c r="J23" s="9"/>
      <c r="K23" s="9" t="s">
        <v>112</v>
      </c>
      <c r="L23" s="9"/>
      <c r="M23" s="9" t="s">
        <v>112</v>
      </c>
      <c r="N23" s="9"/>
      <c r="O23" s="9"/>
      <c r="P23" s="9"/>
      <c r="Q23" s="9"/>
      <c r="R23" s="9"/>
      <c r="S23" s="42"/>
      <c r="T23" s="53"/>
      <c r="U23" s="146"/>
      <c r="V23" s="147"/>
    </row>
    <row r="24" spans="1:22" s="11" customFormat="1">
      <c r="A24" s="79"/>
      <c r="V24" s="56"/>
    </row>
    <row r="25" spans="1:22" s="11" customFormat="1">
      <c r="A25" s="9">
        <v>20</v>
      </c>
      <c r="B25" s="38" t="s">
        <v>0</v>
      </c>
      <c r="C25" s="39"/>
      <c r="D25" s="28" t="s">
        <v>87</v>
      </c>
      <c r="E25" s="34" t="s">
        <v>21</v>
      </c>
      <c r="F25" s="45"/>
      <c r="G25" s="28" t="s">
        <v>109</v>
      </c>
      <c r="H25" s="46" t="s">
        <v>240</v>
      </c>
      <c r="I25" s="47"/>
      <c r="J25" s="48"/>
      <c r="K25" s="49"/>
      <c r="L25" s="49"/>
      <c r="M25" s="49"/>
      <c r="N25" s="49"/>
      <c r="O25" s="49" t="s">
        <v>241</v>
      </c>
      <c r="P25" s="49"/>
      <c r="Q25" s="49" t="s">
        <v>242</v>
      </c>
      <c r="R25" s="49"/>
      <c r="S25" s="36"/>
      <c r="T25" s="37"/>
      <c r="U25" s="74"/>
      <c r="V25" s="50"/>
    </row>
    <row r="26" spans="1:22" s="11" customFormat="1">
      <c r="A26" s="9">
        <v>20</v>
      </c>
      <c r="B26" s="9"/>
      <c r="C26" s="9"/>
      <c r="D26" s="9" t="s">
        <v>150</v>
      </c>
      <c r="E26" s="51" t="s">
        <v>157</v>
      </c>
      <c r="F26" s="51"/>
      <c r="G26" s="52" t="s">
        <v>270</v>
      </c>
      <c r="H26" s="52" t="s">
        <v>204</v>
      </c>
      <c r="I26" s="9" t="s">
        <v>112</v>
      </c>
      <c r="J26" s="9"/>
      <c r="K26" s="9"/>
      <c r="L26" s="9"/>
      <c r="M26" s="9"/>
      <c r="N26" s="9"/>
      <c r="O26" s="9" t="s">
        <v>112</v>
      </c>
      <c r="P26" s="9"/>
      <c r="Q26" s="9" t="s">
        <v>112</v>
      </c>
      <c r="R26" s="9"/>
      <c r="S26" s="42"/>
      <c r="T26" s="53"/>
      <c r="U26" s="146"/>
      <c r="V26" s="147"/>
    </row>
    <row r="27" spans="1:22" s="11" customFormat="1">
      <c r="A27" s="9">
        <v>20</v>
      </c>
      <c r="B27" s="9"/>
      <c r="C27" s="9"/>
      <c r="D27" s="9" t="s">
        <v>171</v>
      </c>
      <c r="E27" s="51" t="s">
        <v>172</v>
      </c>
      <c r="F27" s="51"/>
      <c r="G27" s="52" t="s">
        <v>284</v>
      </c>
      <c r="H27" s="52" t="s">
        <v>84</v>
      </c>
      <c r="I27" s="9" t="s">
        <v>112</v>
      </c>
      <c r="J27" s="9"/>
      <c r="K27" s="9"/>
      <c r="L27" s="9"/>
      <c r="M27" s="9"/>
      <c r="N27" s="9"/>
      <c r="O27" s="9" t="s">
        <v>112</v>
      </c>
      <c r="P27" s="9"/>
      <c r="Q27" s="9" t="s">
        <v>112</v>
      </c>
      <c r="R27" s="9"/>
      <c r="S27" s="42"/>
      <c r="T27" s="53"/>
      <c r="U27" s="146"/>
      <c r="V27" s="147"/>
    </row>
    <row r="28" spans="1:22" s="11" customFormat="1">
      <c r="A28" s="9">
        <v>20</v>
      </c>
      <c r="B28" s="9"/>
      <c r="C28" s="9"/>
      <c r="D28" s="9" t="s">
        <v>151</v>
      </c>
      <c r="E28" s="51" t="s">
        <v>158</v>
      </c>
      <c r="F28" s="51"/>
      <c r="G28" s="52" t="s">
        <v>285</v>
      </c>
      <c r="H28" s="52" t="s">
        <v>217</v>
      </c>
      <c r="I28" s="9" t="s">
        <v>112</v>
      </c>
      <c r="J28" s="9"/>
      <c r="K28" s="9"/>
      <c r="L28" s="9"/>
      <c r="M28" s="9"/>
      <c r="N28" s="9"/>
      <c r="O28" s="9" t="s">
        <v>112</v>
      </c>
      <c r="P28" s="9"/>
      <c r="Q28" s="9" t="s">
        <v>112</v>
      </c>
      <c r="R28" s="9"/>
      <c r="S28" s="42"/>
      <c r="T28" s="53"/>
      <c r="U28" s="146"/>
      <c r="V28" s="147"/>
    </row>
    <row r="29" spans="1:22" s="11" customFormat="1">
      <c r="A29" s="9">
        <v>20</v>
      </c>
      <c r="B29" s="9"/>
      <c r="C29" s="9"/>
      <c r="D29" s="9" t="s">
        <v>41</v>
      </c>
      <c r="E29" s="51" t="s">
        <v>43</v>
      </c>
      <c r="F29" s="51"/>
      <c r="G29" s="52" t="s">
        <v>277</v>
      </c>
      <c r="H29" s="52" t="s">
        <v>45</v>
      </c>
      <c r="I29" s="9" t="s">
        <v>112</v>
      </c>
      <c r="J29" s="9"/>
      <c r="K29" s="9"/>
      <c r="L29" s="9"/>
      <c r="M29" s="9"/>
      <c r="N29" s="9"/>
      <c r="O29" s="9" t="s">
        <v>112</v>
      </c>
      <c r="P29" s="9"/>
      <c r="Q29" s="9" t="s">
        <v>112</v>
      </c>
      <c r="R29" s="9"/>
      <c r="S29" s="42"/>
      <c r="T29" s="53"/>
      <c r="U29" s="146"/>
      <c r="V29" s="147"/>
    </row>
    <row r="30" spans="1:22" s="11" customFormat="1">
      <c r="A30" s="9">
        <v>20</v>
      </c>
      <c r="B30" s="9"/>
      <c r="C30" s="9"/>
      <c r="D30" s="9" t="s">
        <v>52</v>
      </c>
      <c r="E30" s="51" t="s">
        <v>53</v>
      </c>
      <c r="F30" s="51"/>
      <c r="G30" s="52" t="s">
        <v>278</v>
      </c>
      <c r="H30" s="52" t="s">
        <v>46</v>
      </c>
      <c r="I30" s="9" t="s">
        <v>112</v>
      </c>
      <c r="J30" s="9"/>
      <c r="K30" s="9"/>
      <c r="L30" s="9"/>
      <c r="M30" s="9"/>
      <c r="N30" s="9"/>
      <c r="O30" s="9" t="s">
        <v>112</v>
      </c>
      <c r="P30" s="9"/>
      <c r="Q30" s="9" t="s">
        <v>112</v>
      </c>
      <c r="R30" s="9"/>
      <c r="S30" s="42"/>
      <c r="T30" s="53"/>
      <c r="U30" s="146"/>
      <c r="V30" s="147"/>
    </row>
    <row r="31" spans="1:22" s="11" customFormat="1">
      <c r="A31" s="9">
        <v>20</v>
      </c>
      <c r="B31" s="9"/>
      <c r="C31" s="9"/>
      <c r="D31" s="9" t="s">
        <v>47</v>
      </c>
      <c r="E31" s="51" t="s">
        <v>49</v>
      </c>
      <c r="F31" s="51"/>
      <c r="G31" s="52" t="s">
        <v>279</v>
      </c>
      <c r="H31" s="52" t="s">
        <v>51</v>
      </c>
      <c r="I31" s="9" t="s">
        <v>112</v>
      </c>
      <c r="J31" s="9"/>
      <c r="K31" s="9"/>
      <c r="L31" s="9"/>
      <c r="M31" s="9"/>
      <c r="N31" s="9"/>
      <c r="O31" s="9" t="s">
        <v>112</v>
      </c>
      <c r="P31" s="9"/>
      <c r="Q31" s="9" t="s">
        <v>112</v>
      </c>
      <c r="R31" s="9"/>
      <c r="S31" s="42"/>
      <c r="T31" s="53"/>
      <c r="U31" s="146"/>
      <c r="V31" s="147"/>
    </row>
    <row r="32" spans="1:22" s="11" customFormat="1">
      <c r="A32" s="9">
        <v>20</v>
      </c>
      <c r="B32" s="9"/>
      <c r="C32" s="9"/>
      <c r="D32" s="9" t="s">
        <v>102</v>
      </c>
      <c r="E32" s="51" t="s">
        <v>103</v>
      </c>
      <c r="F32" s="51"/>
      <c r="G32" s="52" t="s">
        <v>281</v>
      </c>
      <c r="H32" s="52" t="s">
        <v>101</v>
      </c>
      <c r="I32" s="9" t="s">
        <v>112</v>
      </c>
      <c r="J32" s="9"/>
      <c r="K32" s="9"/>
      <c r="L32" s="9"/>
      <c r="M32" s="9"/>
      <c r="N32" s="9"/>
      <c r="O32" s="9" t="s">
        <v>112</v>
      </c>
      <c r="P32" s="9"/>
      <c r="Q32" s="9" t="s">
        <v>112</v>
      </c>
      <c r="R32" s="9"/>
      <c r="S32" s="42"/>
      <c r="T32" s="53"/>
      <c r="U32" s="146"/>
      <c r="V32" s="147"/>
    </row>
    <row r="33" spans="1:22" s="11" customFormat="1">
      <c r="A33" s="54"/>
      <c r="B33" s="55"/>
      <c r="C33" s="55"/>
      <c r="D33" s="27" t="s">
        <v>1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4"/>
      <c r="T33" s="4"/>
      <c r="U33" s="6"/>
      <c r="V33" s="23"/>
    </row>
    <row r="34" spans="1:22" s="11" customFormat="1">
      <c r="A34" s="79"/>
      <c r="V34" s="56"/>
    </row>
    <row r="35" spans="1:22" s="11" customFormat="1">
      <c r="A35" s="79"/>
      <c r="V35" s="56"/>
    </row>
    <row r="36" spans="1:22" s="11" customFormat="1">
      <c r="A36" s="79"/>
      <c r="V36" s="56"/>
    </row>
    <row r="37" spans="1:22" s="11" customFormat="1">
      <c r="A37" s="84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</row>
  </sheetData>
  <dataConsolidate/>
  <mergeCells count="19">
    <mergeCell ref="U32:V32"/>
    <mergeCell ref="U21:V21"/>
    <mergeCell ref="U20:V20"/>
    <mergeCell ref="U19:V19"/>
    <mergeCell ref="U29:V29"/>
    <mergeCell ref="U30:V30"/>
    <mergeCell ref="U31:V31"/>
    <mergeCell ref="U22:V22"/>
    <mergeCell ref="U23:V23"/>
    <mergeCell ref="U26:V26"/>
    <mergeCell ref="U27:V27"/>
    <mergeCell ref="U28:V28"/>
    <mergeCell ref="U17:V17"/>
    <mergeCell ref="U18:V18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196</v>
      </c>
      <c r="B1" s="75" t="s">
        <v>196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196</v>
      </c>
      <c r="B2" s="77"/>
      <c r="C2" s="77"/>
      <c r="D2" s="87" t="s">
        <v>256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MABGL0510</v>
      </c>
      <c r="I2" s="7" t="s">
        <v>197</v>
      </c>
      <c r="J2" s="9" t="s">
        <v>147</v>
      </c>
      <c r="K2" s="7" t="s">
        <v>39</v>
      </c>
      <c r="L2" s="78" t="str">
        <f>IF(LogicCommon!G2="","",LogicCommon!G2)</f>
        <v>MC</v>
      </c>
      <c r="M2" s="5" t="s">
        <v>198</v>
      </c>
      <c r="N2" s="28" t="s">
        <v>248</v>
      </c>
      <c r="O2" s="7"/>
      <c r="P2" s="7"/>
      <c r="Q2" s="4"/>
      <c r="R2" s="27"/>
    </row>
    <row r="3" spans="1:18" s="11" customFormat="1">
      <c r="A3" s="79" t="s">
        <v>196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MABGL_PreAlcRateReg</v>
      </c>
      <c r="I3" s="7" t="s">
        <v>199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200</v>
      </c>
      <c r="P3" s="9" t="s">
        <v>201</v>
      </c>
      <c r="Q3" s="4"/>
      <c r="R3" s="27"/>
    </row>
    <row r="4" spans="1:18" s="11" customFormat="1">
      <c r="A4" s="79" t="s">
        <v>196</v>
      </c>
      <c r="B4" s="80"/>
      <c r="C4" s="80"/>
      <c r="D4" s="4"/>
      <c r="E4" s="7" t="s">
        <v>8</v>
      </c>
      <c r="F4" s="10" t="s">
        <v>194</v>
      </c>
      <c r="G4" s="7" t="s">
        <v>11</v>
      </c>
      <c r="H4" s="78" t="str">
        <f>IF(LogicCommon!E4="","",LogicCommon!E4)</f>
        <v>一次配賦基準マスタ登録</v>
      </c>
      <c r="I4" s="7" t="s">
        <v>202</v>
      </c>
      <c r="J4" s="9" t="s">
        <v>78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196</v>
      </c>
      <c r="B5" s="75"/>
      <c r="C5" s="75"/>
      <c r="D5" s="26"/>
      <c r="E5" s="7" t="s">
        <v>203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196</v>
      </c>
      <c r="B6" s="80"/>
      <c r="C6" s="80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6" t="s">
        <v>195</v>
      </c>
      <c r="M6" s="19"/>
      <c r="N6" s="19" t="s">
        <v>195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119</v>
      </c>
      <c r="M7" s="33" t="s">
        <v>33</v>
      </c>
      <c r="N7" s="32" t="s">
        <v>120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257</v>
      </c>
      <c r="E8" s="88" t="s">
        <v>258</v>
      </c>
      <c r="F8" s="86"/>
      <c r="G8" s="88" t="s">
        <v>213</v>
      </c>
      <c r="H8" s="88" t="s">
        <v>259</v>
      </c>
      <c r="I8" s="86"/>
      <c r="J8" s="3"/>
      <c r="K8" s="33" t="s">
        <v>16</v>
      </c>
      <c r="L8" s="35" t="s">
        <v>148</v>
      </c>
      <c r="M8" s="33" t="s">
        <v>16</v>
      </c>
      <c r="N8" s="35" t="s">
        <v>149</v>
      </c>
      <c r="O8" s="92"/>
      <c r="P8" s="93"/>
      <c r="Q8" s="94" t="s">
        <v>260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282</v>
      </c>
      <c r="E9" s="95" t="s">
        <v>283</v>
      </c>
      <c r="F9" s="88" t="s">
        <v>263</v>
      </c>
      <c r="G9" s="88" t="s">
        <v>264</v>
      </c>
      <c r="H9" s="88" t="s">
        <v>265</v>
      </c>
      <c r="I9" s="96" t="s">
        <v>266</v>
      </c>
      <c r="J9" s="88" t="s">
        <v>267</v>
      </c>
      <c r="K9" s="33"/>
      <c r="L9" s="33"/>
      <c r="M9" s="33"/>
      <c r="N9" s="33"/>
      <c r="O9" s="94" t="s">
        <v>268</v>
      </c>
      <c r="P9" s="53"/>
      <c r="Q9" s="94" t="s">
        <v>269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266</v>
      </c>
      <c r="L10" s="89" t="s">
        <v>267</v>
      </c>
      <c r="M10" s="89" t="s">
        <v>266</v>
      </c>
      <c r="N10" s="89" t="s">
        <v>267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92</v>
      </c>
      <c r="E11" s="34" t="s">
        <v>21</v>
      </c>
      <c r="F11" s="45"/>
      <c r="G11" s="28" t="s">
        <v>109</v>
      </c>
      <c r="H11" s="46" t="s">
        <v>243</v>
      </c>
      <c r="I11" s="47"/>
      <c r="J11" s="48"/>
      <c r="K11" s="49" t="s">
        <v>244</v>
      </c>
      <c r="L11" s="49"/>
      <c r="M11" s="49" t="s">
        <v>245</v>
      </c>
      <c r="N11" s="49"/>
      <c r="O11" s="36"/>
      <c r="P11" s="37"/>
      <c r="Q11" s="74"/>
      <c r="R11" s="50"/>
    </row>
    <row r="12" spans="1:18" s="11" customFormat="1">
      <c r="A12" s="9">
        <v>10</v>
      </c>
      <c r="B12" s="9"/>
      <c r="C12" s="9"/>
      <c r="D12" s="9" t="s">
        <v>150</v>
      </c>
      <c r="E12" s="51" t="s">
        <v>157</v>
      </c>
      <c r="F12" s="51"/>
      <c r="G12" s="52" t="s">
        <v>270</v>
      </c>
      <c r="H12" s="52" t="s">
        <v>204</v>
      </c>
      <c r="I12" s="9" t="s">
        <v>112</v>
      </c>
      <c r="J12" s="9"/>
      <c r="K12" s="9" t="s">
        <v>112</v>
      </c>
      <c r="L12" s="9"/>
      <c r="M12" s="9" t="s">
        <v>79</v>
      </c>
      <c r="N12" s="9"/>
      <c r="O12" s="4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102</v>
      </c>
      <c r="E13" s="51" t="s">
        <v>103</v>
      </c>
      <c r="F13" s="51"/>
      <c r="G13" s="52" t="s">
        <v>281</v>
      </c>
      <c r="H13" s="52" t="s">
        <v>101</v>
      </c>
      <c r="I13" s="9" t="s">
        <v>79</v>
      </c>
      <c r="J13" s="9"/>
      <c r="K13" s="9" t="s">
        <v>79</v>
      </c>
      <c r="L13" s="9"/>
      <c r="M13" s="9" t="s">
        <v>79</v>
      </c>
      <c r="N13" s="9"/>
      <c r="O13" s="44"/>
      <c r="P13" s="37"/>
      <c r="Q13" s="74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6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8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5" t="s">
        <v>23</v>
      </c>
      <c r="B3" s="106"/>
      <c r="C3" s="106"/>
      <c r="D3" s="106"/>
      <c r="E3" s="106"/>
      <c r="F3" s="106"/>
      <c r="G3" s="107"/>
      <c r="H3" s="140" t="s">
        <v>24</v>
      </c>
      <c r="I3" s="106"/>
      <c r="J3" s="106"/>
      <c r="K3" s="106"/>
      <c r="L3" s="106"/>
      <c r="M3" s="106"/>
      <c r="N3" s="107"/>
      <c r="O3" s="140" t="s">
        <v>25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26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307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308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PreAlcRate_UpdChk01</vt:lpstr>
      <vt:lpstr>PreAlcRate_Upd01</vt:lpstr>
      <vt:lpstr>PreAlcRateLcl_UpdChk01</vt:lpstr>
      <vt:lpstr>PreAlcRateLcl_Upd01</vt:lpstr>
      <vt:lpstr>PreAlcRate_DelChk01</vt:lpstr>
      <vt:lpstr>PreAlcRate_Del01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2026-03-27T05:44:20Z</dcterms:modified>
  <cp:category/>
</cp:coreProperties>
</file>