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0840130B-BC8D-4677-B7E8-C641B1B18324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8" r:id="rId1"/>
    <sheet name="Srch01" sheetId="1" r:id="rId2"/>
    <sheet name="Srch02" sheetId="9" r:id="rId3"/>
    <sheet name="来歴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9" l="1"/>
  <c r="H2" i="9"/>
  <c r="L2" i="9"/>
  <c r="F3" i="9"/>
  <c r="H3" i="9"/>
  <c r="L3" i="9"/>
  <c r="H4" i="9"/>
  <c r="L4" i="9"/>
  <c r="L4" i="1"/>
  <c r="L3" i="1"/>
  <c r="L2" i="1"/>
  <c r="H4" i="1"/>
  <c r="H3" i="1"/>
  <c r="H2" i="1"/>
  <c r="F3" i="1"/>
  <c r="F2" i="1"/>
  <c r="J3" i="1"/>
</calcChain>
</file>

<file path=xl/sharedStrings.xml><?xml version="1.0" encoding="utf-8"?>
<sst xmlns="http://schemas.openxmlformats.org/spreadsheetml/2006/main" count="239" uniqueCount="113">
  <si>
    <t>*</t>
  </si>
  <si>
    <t>詳細 :</t>
    <rPh sb="0" eb="2">
      <t>ショウサイ</t>
    </rPh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</si>
  <si>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</si>
  <si>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</si>
  <si>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</si>
  <si>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</si>
  <si>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Srch01_Rslt</t>
    <phoneticPr fontId="3"/>
  </si>
  <si>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</si>
  <si>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</si>
  <si>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LogicID :</t>
    <phoneticPr fontId="3"/>
  </si>
  <si>
    <t>MC</t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</si>
  <si>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</si>
  <si>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</si>
  <si>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</si>
  <si>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</si>
  <si>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概要 :</t>
    <phoneticPr fontId="3"/>
  </si>
  <si>
    <t>$def$</t>
    <phoneticPr fontId="3"/>
  </si>
  <si>
    <t>入力値チェックロジック</t>
    <phoneticPr fontId="3"/>
  </si>
  <si>
    <t>入力チェック対象機能検索</t>
    <rPh sb="0" eb="2">
      <t>ニュウリョク</t>
    </rPh>
    <rPh sb="6" eb="8">
      <t>タイショウ</t>
    </rPh>
    <rPh sb="8" eb="10">
      <t>キノウ</t>
    </rPh>
    <rPh sb="10" eb="12">
      <t>ケンサク</t>
    </rPh>
    <phoneticPr fontId="3"/>
  </si>
  <si>
    <t>入力値チェック</t>
    <rPh sb="0" eb="3">
      <t>ニュウリョクチ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</si>
  <si>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</si>
  <si>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</si>
  <si>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</si>
  <si>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</si>
  <si>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</si>
  <si>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</si>
  <si>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#</t>
    <phoneticPr fontId="3"/>
  </si>
  <si>
    <t>U</t>
    <phoneticPr fontId="3"/>
  </si>
  <si>
    <t>o</t>
    <phoneticPr fontId="3"/>
  </si>
  <si>
    <t>L</t>
    <phoneticPr fontId="3"/>
  </si>
  <si>
    <t>Srch02_Dtl</t>
    <phoneticPr fontId="3"/>
  </si>
  <si>
    <t>itm_cd</t>
    <phoneticPr fontId="3"/>
  </si>
  <si>
    <t>num</t>
    <phoneticPr fontId="3"/>
  </si>
  <si>
    <t>base_num</t>
    <phoneticPr fontId="3"/>
  </si>
  <si>
    <t>up_rate_lmt</t>
    <phoneticPr fontId="3"/>
  </si>
  <si>
    <t>low_rate_lmt</t>
    <phoneticPr fontId="3"/>
  </si>
  <si>
    <t>up_lmt_rslt_flg</t>
    <phoneticPr fontId="3"/>
  </si>
  <si>
    <t>low_lmt_rslt_flg</t>
    <phoneticPr fontId="3"/>
  </si>
  <si>
    <t>入力値チェックユーティリティ</t>
  </si>
  <si>
    <t>ReportID :</t>
    <phoneticPr fontId="3"/>
  </si>
  <si>
    <t>Version :</t>
    <phoneticPr fontId="3"/>
  </si>
  <si>
    <t>Srch02</t>
    <phoneticPr fontId="3"/>
  </si>
  <si>
    <t>Pj.ID :</t>
    <phoneticPr fontId="3"/>
  </si>
  <si>
    <t>SuperClassPj.ID :</t>
    <phoneticPr fontId="3"/>
  </si>
  <si>
    <t>Srch01</t>
    <phoneticPr fontId="3"/>
  </si>
  <si>
    <t xml:space="preserve">Ope.Body : </t>
    <phoneticPr fontId="3"/>
  </si>
  <si>
    <t>Ope.Method :</t>
    <phoneticPr fontId="3"/>
  </si>
  <si>
    <t>ReportID :</t>
    <phoneticPr fontId="3"/>
  </si>
  <si>
    <t>ALL</t>
    <phoneticPr fontId="3"/>
  </si>
  <si>
    <t>Version :</t>
    <phoneticPr fontId="3"/>
  </si>
  <si>
    <t>000000</t>
    <phoneticPr fontId="3"/>
  </si>
  <si>
    <t>MAUCL0050</t>
    <phoneticPr fontId="3"/>
  </si>
  <si>
    <t>MAUCL_InptChkUtil</t>
    <phoneticPr fontId="3"/>
  </si>
  <si>
    <t>func_typ</t>
    <phoneticPr fontId="3"/>
  </si>
  <si>
    <t>#MA.FUNC_TYP</t>
    <phoneticPr fontId="6"/>
  </si>
  <si>
    <t>MA</t>
    <phoneticPr fontId="3"/>
  </si>
  <si>
    <t>MAUC</t>
    <phoneticPr fontId="3"/>
  </si>
  <si>
    <t>ID</t>
    <phoneticPr fontId="3"/>
  </si>
  <si>
    <t>*</t>
    <phoneticPr fontId="3"/>
  </si>
  <si>
    <t>Ope.ID :</t>
    <phoneticPr fontId="3"/>
  </si>
  <si>
    <t>Gene.Type :</t>
    <phoneticPr fontId="3"/>
  </si>
  <si>
    <t xml:space="preserve">Ope.Name : </t>
    <phoneticPr fontId="3"/>
  </si>
  <si>
    <t>ACType :</t>
    <phoneticPr fontId="3"/>
  </si>
  <si>
    <t>機能区分</t>
    <phoneticPr fontId="6"/>
  </si>
  <si>
    <t>E</t>
    <phoneticPr fontId="3"/>
  </si>
  <si>
    <t>super/share</t>
    <phoneticPr fontId="3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</si>
  <si>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</si>
  <si>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</si>
  <si>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</si>
  <si>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</si>
  <si>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実績数</t>
    <phoneticPr fontId="6"/>
  </si>
  <si>
    <t>予定数</t>
    <phoneticPr fontId="6"/>
  </si>
  <si>
    <t>予実比上限</t>
    <phoneticPr fontId="3"/>
  </si>
  <si>
    <t>予実比下限</t>
    <phoneticPr fontId="3"/>
  </si>
  <si>
    <t>上限結果ＦＬＧ</t>
    <phoneticPr fontId="3"/>
  </si>
  <si>
    <t>下限結果ＦＬＧ</t>
    <phoneticPr fontId="3"/>
  </si>
  <si>
    <t>#MA.ITM_CD</t>
    <phoneticPr fontId="6"/>
  </si>
  <si>
    <t>itm_sub1</t>
    <phoneticPr fontId="3"/>
  </si>
  <si>
    <t>#MA.ITM_SUB1</t>
    <phoneticPr fontId="6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</si>
  <si>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</si>
  <si>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</si>
  <si>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</si>
  <si>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ＭＳ Ｐゴシック"/>
        <family val="2"/>
        <charset val="128"/>
        <scheme val="minor"/>
      </rPr>
      <t/>
    </r>
  </si>
  <si>
    <t>#MA.QTY</t>
    <phoneticPr fontId="6"/>
  </si>
  <si>
    <t>#MA.RATE_LMT</t>
    <phoneticPr fontId="6"/>
  </si>
  <si>
    <t>#MA.FLG</t>
    <phoneticPr fontId="6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</si>
  <si>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</si>
  <si>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</si>
  <si>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</si>
  <si>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</si>
  <si>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</si>
  <si>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</si>
  <si>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</si>
  <si>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</si>
  <si>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</si>
  <si>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</si>
  <si>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</si>
  <si>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</si>
  <si>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</si>
  <si>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</si>
  <si>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Function type</t>
  </si>
  <si>
    <t>Item cd.</t>
  </si>
  <si>
    <t>Branch No. 1</t>
  </si>
  <si>
    <t>Branch No. 2</t>
  </si>
  <si>
    <t>Branch No. 3</t>
  </si>
  <si>
    <t>Result qty.</t>
  </si>
  <si>
    <t>Schedule qty.</t>
  </si>
  <si>
    <t>Max. schedule/result ratio</t>
  </si>
  <si>
    <t>Min. schedule/result ratio</t>
  </si>
  <si>
    <t>Upper limit result flg.</t>
  </si>
  <si>
    <t>Lower limit result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</si>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</sst>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8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7" fontId="11" fillId="0" borderId="0" applyFill="0" applyBorder="0" applyAlignment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13" fillId="0" borderId="0"/>
    <xf numFmtId="0" fontId="14" fillId="0" borderId="0" applyNumberFormat="0" applyFont="0" applyFill="0" applyBorder="0" applyAlignment="0" applyProtection="0">
      <alignment horizontal="left"/>
    </xf>
    <xf numFmtId="0" fontId="15" fillId="0" borderId="3">
      <alignment horizontal="center"/>
    </xf>
    <xf numFmtId="0" fontId="5" fillId="0" borderId="0">
      <alignment wrapText="1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37" fillId="0" borderId="0"/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9" fillId="0" borderId="0">
      <alignment vertical="center"/>
    </xf>
    <xf numFmtId="0" fontId="7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7" fillId="0" borderId="0"/>
    <xf numFmtId="0" fontId="7" fillId="0" borderId="0"/>
    <xf numFmtId="0" fontId="38" fillId="0" borderId="0"/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0" borderId="0" xfId="0" applyFont="1" applyAlignment="1"/>
    <xf numFmtId="0" fontId="40" fillId="0" borderId="28" xfId="0" applyFont="1" applyBorder="1" applyAlignment="1">
      <alignment vertical="top"/>
    </xf>
    <xf numFmtId="0" fontId="40" fillId="28" borderId="2" xfId="0" quotePrefix="1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" xfId="0" applyFont="1" applyFill="1" applyBorder="1" applyAlignment="1">
      <alignment vertical="top"/>
    </xf>
    <xf numFmtId="0" fontId="40" fillId="28" borderId="27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27" borderId="23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7" borderId="20" xfId="0" applyFont="1" applyFill="1" applyBorder="1" applyAlignment="1">
      <alignment vertical="center"/>
    </xf>
    <xf numFmtId="0" fontId="40" fillId="0" borderId="2" xfId="0" applyFont="1" applyBorder="1" applyAlignment="1">
      <alignment vertical="top"/>
    </xf>
    <xf numFmtId="0" fontId="40" fillId="0" borderId="27" xfId="0" applyFont="1" applyBorder="1" applyAlignment="1">
      <alignment vertical="top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27" borderId="26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0" borderId="26" xfId="0" applyFont="1" applyBorder="1" applyAlignment="1"/>
    <xf numFmtId="0" fontId="40" fillId="0" borderId="27" xfId="0" applyFont="1" applyBorder="1" applyAlignment="1"/>
    <xf numFmtId="0" fontId="40" fillId="27" borderId="2" xfId="0" applyFont="1" applyFill="1" applyBorder="1" applyAlignment="1">
      <alignment vertical="top"/>
    </xf>
    <xf numFmtId="0" fontId="40" fillId="0" borderId="19" xfId="0" applyFont="1" applyBorder="1" applyAlignment="1"/>
    <xf numFmtId="0" fontId="40" fillId="0" borderId="2" xfId="0" applyFont="1" applyBorder="1" applyAlignment="1"/>
    <xf numFmtId="0" fontId="40" fillId="27" borderId="20" xfId="0" applyFont="1" applyFill="1" applyBorder="1" applyAlignment="1"/>
    <xf numFmtId="0" fontId="40" fillId="27" borderId="27" xfId="0" applyFont="1" applyFill="1" applyBorder="1" applyAlignment="1"/>
    <xf numFmtId="0" fontId="40" fillId="28" borderId="27" xfId="0" applyFont="1" applyFill="1" applyBorder="1" applyAlignment="1"/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6" xfId="0" applyFont="1" applyBorder="1" applyAlignment="1">
      <alignment vertical="top"/>
    </xf>
    <xf numFmtId="0" fontId="40" fillId="0" borderId="28" xfId="0" applyFont="1" applyBorder="1">
      <alignment vertical="top" wrapText="1"/>
    </xf>
    <xf numFmtId="0" fontId="40" fillId="0" borderId="22" xfId="0" applyFont="1" applyBorder="1" applyAlignment="1"/>
    <xf numFmtId="0" fontId="40" fillId="0" borderId="25" xfId="0" applyFont="1" applyBorder="1" applyAlignment="1"/>
    <xf numFmtId="0" fontId="40" fillId="0" borderId="18" xfId="0" applyFont="1" applyBorder="1" applyAlignment="1"/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8" borderId="26" xfId="0" applyFont="1" applyFill="1" applyBorder="1" applyAlignment="1"/>
    <xf numFmtId="0" fontId="40" fillId="0" borderId="20" xfId="0" applyFont="1" applyBorder="1" applyAlignment="1">
      <alignment horizontal="left" vertical="top"/>
    </xf>
    <xf numFmtId="0" fontId="40" fillId="27" borderId="18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0" xfId="0" applyFont="1" applyBorder="1" applyAlignment="1">
      <alignment vertical="center"/>
    </xf>
    <xf numFmtId="0" fontId="40" fillId="27" borderId="25" xfId="0" applyFont="1" applyFill="1" applyBorder="1" applyAlignment="1">
      <alignment vertical="top"/>
    </xf>
    <xf numFmtId="0" fontId="40" fillId="0" borderId="25" xfId="0" applyFont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27" borderId="26" xfId="0" applyFont="1" applyFill="1" applyBorder="1">
      <alignment vertical="top" wrapText="1"/>
    </xf>
    <xf numFmtId="0" fontId="40" fillId="27" borderId="27" xfId="0" applyFont="1" applyFill="1" applyBorder="1">
      <alignment vertical="top" wrapText="1"/>
    </xf>
    <xf numFmtId="0" fontId="40" fillId="0" borderId="26" xfId="0" applyFont="1" applyBorder="1">
      <alignment vertical="top" wrapText="1"/>
    </xf>
    <xf numFmtId="0" fontId="40" fillId="0" borderId="27" xfId="0" applyFont="1" applyBorder="1">
      <alignment vertical="top" wrapText="1"/>
    </xf>
    <xf numFmtId="0" fontId="41" fillId="28" borderId="32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33" xfId="177" applyFont="1" applyBorder="1" applyAlignment="1">
      <alignment vertical="center"/>
    </xf>
    <xf numFmtId="0" fontId="43" fillId="28" borderId="34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5" xfId="177" applyFont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5" xfId="179" applyFont="1" applyFill="1" applyBorder="1" applyAlignment="1">
      <alignment horizontal="center" vertical="center"/>
    </xf>
    <xf numFmtId="0" fontId="43" fillId="28" borderId="34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6" xfId="177" applyFont="1" applyBorder="1" applyAlignment="1">
      <alignment horizontal="center" vertical="center"/>
    </xf>
    <xf numFmtId="176" fontId="42" fillId="0" borderId="37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7" xfId="177" applyNumberFormat="1" applyFont="1" applyBorder="1" applyAlignment="1">
      <alignment horizontal="center" vertical="center"/>
    </xf>
    <xf numFmtId="0" fontId="42" fillId="0" borderId="38" xfId="179" applyFont="1" applyBorder="1" applyAlignment="1">
      <alignment horizontal="left" vertical="center" wrapText="1"/>
    </xf>
    <xf numFmtId="0" fontId="42" fillId="0" borderId="30" xfId="177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0" xfId="177" applyFont="1" applyBorder="1" applyAlignment="1">
      <alignment vertical="center" wrapText="1"/>
    </xf>
    <xf numFmtId="0" fontId="42" fillId="0" borderId="31" xfId="177" applyFont="1" applyBorder="1" applyAlignment="1">
      <alignment vertical="center" wrapText="1"/>
    </xf>
    <xf numFmtId="0" fontId="42" fillId="0" borderId="26" xfId="179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7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7" xfId="177" applyFont="1" applyBorder="1" applyAlignment="1">
      <alignment vertical="center" wrapText="1"/>
    </xf>
    <xf numFmtId="176" fontId="42" fillId="0" borderId="29" xfId="179" applyNumberFormat="1" applyFont="1" applyBorder="1" applyAlignment="1">
      <alignment horizontal="center" vertical="center"/>
    </xf>
    <xf numFmtId="176" fontId="42" fillId="0" borderId="30" xfId="177" applyNumberFormat="1" applyFont="1" applyBorder="1" applyAlignment="1">
      <alignment horizontal="center" vertical="center"/>
    </xf>
    <xf numFmtId="176" fontId="42" fillId="0" borderId="31" xfId="177" applyNumberFormat="1" applyFont="1" applyBorder="1" applyAlignment="1">
      <alignment horizontal="center" vertical="center"/>
    </xf>
    <xf numFmtId="0" fontId="42" fillId="0" borderId="38" xfId="179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176" fontId="42" fillId="0" borderId="40" xfId="179" applyNumberFormat="1" applyFont="1" applyBorder="1" applyAlignment="1">
      <alignment horizontal="center" vertical="center"/>
    </xf>
    <xf numFmtId="176" fontId="42" fillId="0" borderId="41" xfId="177" applyNumberFormat="1" applyFont="1" applyBorder="1" applyAlignment="1">
      <alignment horizontal="center" vertical="center"/>
    </xf>
    <xf numFmtId="176" fontId="42" fillId="0" borderId="42" xfId="177" applyNumberFormat="1" applyFont="1" applyBorder="1" applyAlignment="1">
      <alignment horizontal="center" vertical="center"/>
    </xf>
    <xf numFmtId="0" fontId="42" fillId="0" borderId="26" xfId="179" applyFont="1" applyBorder="1" applyAlignment="1">
      <alignment vertical="center" wrapText="1"/>
    </xf>
    <xf numFmtId="0" fontId="42" fillId="0" borderId="43" xfId="177" applyFont="1" applyBorder="1" applyAlignment="1">
      <alignment vertical="center" wrapText="1"/>
    </xf>
    <xf numFmtId="0" fontId="42" fillId="0" borderId="44" xfId="179" applyFont="1" applyBorder="1" applyAlignment="1">
      <alignment horizontal="left" vertical="center" wrapText="1"/>
    </xf>
    <xf numFmtId="0" fontId="42" fillId="0" borderId="41" xfId="177" applyFont="1" applyBorder="1" applyAlignment="1">
      <alignment horizontal="left" vertical="center" wrapText="1"/>
    </xf>
    <xf numFmtId="0" fontId="42" fillId="0" borderId="42" xfId="177" applyFont="1" applyBorder="1" applyAlignment="1">
      <alignment horizontal="left" vertical="center" wrapText="1"/>
    </xf>
    <xf numFmtId="0" fontId="42" fillId="0" borderId="41" xfId="177" applyFont="1" applyBorder="1" applyAlignment="1">
      <alignment vertical="center" wrapText="1"/>
    </xf>
    <xf numFmtId="0" fontId="42" fillId="0" borderId="42" xfId="177" applyFont="1" applyBorder="1" applyAlignment="1">
      <alignment vertical="center" wrapText="1"/>
    </xf>
    <xf numFmtId="0" fontId="42" fillId="0" borderId="44" xfId="179" applyFont="1" applyBorder="1" applyAlignment="1">
      <alignment vertical="center" wrapText="1"/>
    </xf>
    <xf numFmtId="0" fontId="42" fillId="0" borderId="45" xfId="177" applyFont="1" applyBorder="1" applyAlignment="1">
      <alignment vertical="center" wrapText="1"/>
    </xf>
    <xf numFmtId="0" fontId="43" fillId="28" borderId="46" xfId="179" applyFont="1" applyFill="1" applyBorder="1" applyAlignment="1">
      <alignment horizontal="center" vertical="center"/>
    </xf>
    <xf numFmtId="0" fontId="42" fillId="0" borderId="26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7" xfId="177" applyFont="1" applyBorder="1" applyAlignment="1">
      <alignment horizontal="left" vertical="center"/>
    </xf>
    <xf numFmtId="0" fontId="42" fillId="0" borderId="26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43" xfId="177" applyFont="1" applyBorder="1" applyAlignment="1">
      <alignment vertical="center"/>
    </xf>
    <xf numFmtId="0" fontId="40" fillId="28" borderId="26" xfId="0" applyFont="1" applyFill="1" applyBorder="1" applyAlignment="1"/>
    <xf numFmtId="0" fontId="40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7</v>
      </c>
      <c r="B2" s="7" t="s">
        <v>8</v>
      </c>
      <c r="C2" s="8" t="s">
        <v>55</v>
      </c>
      <c r="D2" s="7" t="s">
        <v>9</v>
      </c>
      <c r="E2" s="9" t="s">
        <v>51</v>
      </c>
      <c r="F2" s="7" t="s">
        <v>42</v>
      </c>
      <c r="G2" s="9" t="s">
        <v>10</v>
      </c>
      <c r="H2" s="7"/>
      <c r="I2" s="10"/>
    </row>
    <row r="3" spans="1:12">
      <c r="A3" s="11"/>
      <c r="B3" s="7" t="s">
        <v>11</v>
      </c>
      <c r="C3" s="8" t="s">
        <v>56</v>
      </c>
      <c r="D3" s="7" t="s">
        <v>12</v>
      </c>
      <c r="E3" s="9" t="s">
        <v>52</v>
      </c>
      <c r="F3" s="7" t="s">
        <v>43</v>
      </c>
      <c r="G3" s="9"/>
      <c r="H3" s="7"/>
      <c r="I3" s="9"/>
    </row>
    <row r="4" spans="1:12">
      <c r="A4" s="3"/>
      <c r="B4" s="7"/>
      <c r="C4" s="56"/>
      <c r="D4" s="7" t="s">
        <v>13</v>
      </c>
      <c r="E4" s="12" t="s">
        <v>17</v>
      </c>
      <c r="F4" s="7" t="s">
        <v>14</v>
      </c>
      <c r="G4" s="9" t="s">
        <v>16</v>
      </c>
      <c r="H4" s="13"/>
      <c r="I4" s="14"/>
    </row>
    <row r="5" spans="1:12">
      <c r="A5" s="6" t="s">
        <v>15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9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7" t="s">
        <v>58</v>
      </c>
      <c r="B1" s="57" t="s">
        <v>58</v>
      </c>
      <c r="C1" s="5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58</v>
      </c>
      <c r="B2" s="28"/>
      <c r="C2" s="28"/>
      <c r="D2" s="65" t="s">
        <v>86</v>
      </c>
      <c r="E2" s="7" t="s">
        <v>8</v>
      </c>
      <c r="F2" s="58" t="str">
        <f>IF(LogicCommon!C2="","",LogicCommon!C2)</f>
        <v>MA</v>
      </c>
      <c r="G2" s="7" t="s">
        <v>9</v>
      </c>
      <c r="H2" s="58" t="str">
        <f>IF(LogicCommon!E2="","",LogicCommon!E2)</f>
        <v>MAUCL0050</v>
      </c>
      <c r="I2" s="7" t="s">
        <v>59</v>
      </c>
      <c r="J2" s="9" t="s">
        <v>44</v>
      </c>
      <c r="K2" s="7" t="s">
        <v>42</v>
      </c>
      <c r="L2" s="58" t="str">
        <f>IF(LogicCommon!G2="","",LogicCommon!G2)</f>
        <v>MC</v>
      </c>
      <c r="M2" s="5" t="s">
        <v>45</v>
      </c>
      <c r="N2" s="29"/>
      <c r="O2" s="7"/>
      <c r="P2" s="7"/>
      <c r="Q2" s="4"/>
      <c r="R2" s="5"/>
      <c r="S2" s="5"/>
      <c r="T2" s="5"/>
    </row>
    <row r="3" spans="1:20" s="11" customFormat="1">
      <c r="A3" s="59" t="s">
        <v>58</v>
      </c>
      <c r="B3" s="60"/>
      <c r="C3" s="60"/>
      <c r="D3" s="61"/>
      <c r="E3" s="7" t="s">
        <v>11</v>
      </c>
      <c r="F3" s="58" t="str">
        <f>IF(LogicCommon!C3="","",LogicCommon!C3)</f>
        <v>MAUC</v>
      </c>
      <c r="G3" s="7" t="s">
        <v>12</v>
      </c>
      <c r="H3" s="58" t="str">
        <f>IF(LogicCommon!E3="","",LogicCommon!E3)</f>
        <v>MAUCL_InptChkUtil</v>
      </c>
      <c r="I3" s="7" t="s">
        <v>46</v>
      </c>
      <c r="J3" s="9" t="str">
        <f>+J2</f>
        <v>Srch01</v>
      </c>
      <c r="K3" s="7" t="s">
        <v>43</v>
      </c>
      <c r="L3" s="58" t="str">
        <f>IF(LogicCommon!G3="","",LogicCommon!G3)</f>
        <v/>
      </c>
      <c r="M3" s="45" t="s">
        <v>47</v>
      </c>
      <c r="N3" s="7"/>
      <c r="O3" s="7" t="s">
        <v>60</v>
      </c>
      <c r="P3" s="9" t="s">
        <v>48</v>
      </c>
      <c r="Q3" s="4"/>
      <c r="R3" s="5"/>
      <c r="S3" s="5"/>
      <c r="T3" s="5"/>
    </row>
    <row r="4" spans="1:20" s="11" customFormat="1">
      <c r="A4" s="59" t="s">
        <v>58</v>
      </c>
      <c r="B4" s="60"/>
      <c r="C4" s="60"/>
      <c r="D4" s="4"/>
      <c r="E4" s="7" t="s">
        <v>49</v>
      </c>
      <c r="F4" s="10" t="s">
        <v>50</v>
      </c>
      <c r="G4" s="7" t="s">
        <v>13</v>
      </c>
      <c r="H4" s="58" t="str">
        <f>IF(LogicCommon!E4="","",LogicCommon!E4)</f>
        <v>入力値チェックロジック</v>
      </c>
      <c r="I4" s="7" t="s">
        <v>61</v>
      </c>
      <c r="J4" s="9" t="s">
        <v>18</v>
      </c>
      <c r="K4" s="7" t="s">
        <v>14</v>
      </c>
      <c r="L4" s="58" t="str">
        <f>IF(LogicCommon!G4="","",LogicCommon!G4)</f>
        <v>$def$</v>
      </c>
      <c r="M4" s="62"/>
      <c r="N4" s="29"/>
      <c r="O4" s="13"/>
      <c r="P4" s="4"/>
      <c r="Q4" s="4"/>
      <c r="R4" s="5"/>
      <c r="S4" s="5"/>
      <c r="T4" s="5"/>
    </row>
    <row r="5" spans="1:20" s="11" customFormat="1">
      <c r="A5" s="63" t="s">
        <v>58</v>
      </c>
      <c r="B5" s="57"/>
      <c r="C5" s="57"/>
      <c r="D5" s="26"/>
      <c r="E5" s="7" t="s">
        <v>62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9" t="s">
        <v>58</v>
      </c>
      <c r="B6" s="60"/>
      <c r="C6" s="60"/>
      <c r="D6" s="4" t="s">
        <v>15</v>
      </c>
      <c r="E6" s="17" t="s">
        <v>38</v>
      </c>
      <c r="F6" s="17"/>
      <c r="G6" s="17"/>
      <c r="H6" s="17"/>
      <c r="I6" s="17"/>
      <c r="J6" s="17"/>
      <c r="K6" s="17"/>
      <c r="L6" s="64" t="s">
        <v>57</v>
      </c>
      <c r="M6" s="19"/>
      <c r="N6" s="19" t="s">
        <v>57</v>
      </c>
      <c r="O6" s="19"/>
      <c r="P6" s="19" t="s">
        <v>57</v>
      </c>
      <c r="Q6" s="19"/>
      <c r="R6" s="4"/>
      <c r="S6" s="4"/>
      <c r="T6" s="4"/>
    </row>
    <row r="7" spans="1:20" s="11" customFormat="1">
      <c r="A7" s="28" t="s">
        <v>26</v>
      </c>
      <c r="B7" s="28"/>
      <c r="C7" s="28"/>
      <c r="D7" s="6"/>
      <c r="E7" s="6"/>
      <c r="F7" s="6"/>
      <c r="G7" s="6"/>
      <c r="H7" s="6"/>
      <c r="I7" s="6" t="s">
        <v>27</v>
      </c>
      <c r="J7" s="6"/>
      <c r="K7" s="31" t="s">
        <v>28</v>
      </c>
      <c r="L7" s="32"/>
      <c r="M7" s="7" t="s">
        <v>28</v>
      </c>
      <c r="N7" s="9"/>
      <c r="O7" s="7" t="s">
        <v>28</v>
      </c>
      <c r="P7" s="9"/>
      <c r="Q7" s="4"/>
      <c r="R7" s="4"/>
      <c r="S7" s="4"/>
      <c r="T7" s="4"/>
    </row>
    <row r="8" spans="1:20" s="11" customFormat="1" ht="60" customHeight="1">
      <c r="A8" s="43" t="s">
        <v>3</v>
      </c>
      <c r="B8" s="67"/>
      <c r="C8" s="68"/>
      <c r="D8" s="66" t="s">
        <v>87</v>
      </c>
      <c r="E8" s="66" t="s">
        <v>88</v>
      </c>
      <c r="F8" s="64"/>
      <c r="G8" s="66" t="s">
        <v>65</v>
      </c>
      <c r="H8" s="66" t="s">
        <v>89</v>
      </c>
      <c r="I8" s="64"/>
      <c r="J8" s="3"/>
      <c r="K8" s="7" t="s">
        <v>2</v>
      </c>
      <c r="L8" s="32"/>
      <c r="M8" s="7" t="s">
        <v>2</v>
      </c>
      <c r="N8" s="9"/>
      <c r="O8" s="7" t="s">
        <v>2</v>
      </c>
      <c r="P8" s="9"/>
      <c r="Q8" s="3"/>
      <c r="R8" s="26"/>
      <c r="S8" s="69" t="s">
        <v>90</v>
      </c>
      <c r="T8" s="31"/>
    </row>
    <row r="9" spans="1:20" s="11" customFormat="1" ht="60" customHeight="1">
      <c r="A9" s="9" t="s">
        <v>3</v>
      </c>
      <c r="B9" s="33"/>
      <c r="C9" s="34"/>
      <c r="D9" s="66" t="s">
        <v>91</v>
      </c>
      <c r="E9" s="69" t="s">
        <v>92</v>
      </c>
      <c r="F9" s="66" t="s">
        <v>93</v>
      </c>
      <c r="G9" s="66" t="s">
        <v>94</v>
      </c>
      <c r="H9" s="66" t="s">
        <v>95</v>
      </c>
      <c r="I9" s="70" t="s">
        <v>96</v>
      </c>
      <c r="J9" s="66" t="s">
        <v>97</v>
      </c>
      <c r="K9" s="7"/>
      <c r="L9" s="7"/>
      <c r="M9" s="7"/>
      <c r="N9" s="7"/>
      <c r="O9" s="7"/>
      <c r="P9" s="7"/>
      <c r="Q9" s="69" t="s">
        <v>98</v>
      </c>
      <c r="R9" s="31"/>
      <c r="S9" s="69" t="s">
        <v>99</v>
      </c>
      <c r="T9" s="31"/>
    </row>
    <row r="10" spans="1:20" s="11" customFormat="1" ht="52">
      <c r="A10" s="33" t="s">
        <v>3</v>
      </c>
      <c r="B10" s="37"/>
      <c r="C10" s="37"/>
      <c r="D10" s="30"/>
      <c r="E10" s="38"/>
      <c r="F10" s="38"/>
      <c r="G10" s="39"/>
      <c r="H10" s="39"/>
      <c r="I10" s="38"/>
      <c r="J10" s="38"/>
      <c r="K10" s="66" t="s">
        <v>96</v>
      </c>
      <c r="L10" s="66" t="s">
        <v>97</v>
      </c>
      <c r="M10" s="66" t="s">
        <v>96</v>
      </c>
      <c r="N10" s="66" t="s">
        <v>97</v>
      </c>
      <c r="O10" s="66" t="s">
        <v>96</v>
      </c>
      <c r="P10" s="66" t="s">
        <v>97</v>
      </c>
      <c r="Q10" s="38"/>
      <c r="R10" s="38"/>
      <c r="S10" s="39"/>
      <c r="T10" s="36"/>
    </row>
    <row r="11" spans="1:20" s="11" customFormat="1">
      <c r="A11" s="9">
        <v>10</v>
      </c>
      <c r="B11" s="33" t="s">
        <v>0</v>
      </c>
      <c r="C11" s="34"/>
      <c r="D11" s="29" t="s">
        <v>4</v>
      </c>
      <c r="E11" s="40" t="s">
        <v>5</v>
      </c>
      <c r="F11" s="36"/>
      <c r="G11" s="29"/>
      <c r="H11" s="41"/>
      <c r="I11" s="35"/>
      <c r="J11" s="39"/>
      <c r="K11" s="40"/>
      <c r="L11" s="40"/>
      <c r="M11" s="40"/>
      <c r="N11" s="40"/>
      <c r="O11" s="40"/>
      <c r="P11" s="40"/>
      <c r="Q11" s="35"/>
      <c r="R11" s="36"/>
      <c r="S11" s="55"/>
      <c r="T11" s="42"/>
    </row>
    <row r="12" spans="1:20" s="11" customFormat="1">
      <c r="A12" s="9">
        <v>10</v>
      </c>
      <c r="B12" s="9"/>
      <c r="C12" s="9"/>
      <c r="D12" s="9" t="s">
        <v>53</v>
      </c>
      <c r="E12" s="43" t="s">
        <v>54</v>
      </c>
      <c r="F12" s="43"/>
      <c r="G12" s="44" t="s">
        <v>100</v>
      </c>
      <c r="H12" s="44" t="s">
        <v>63</v>
      </c>
      <c r="I12" s="9" t="s">
        <v>64</v>
      </c>
      <c r="J12" s="9"/>
      <c r="K12" s="9"/>
      <c r="L12" s="9"/>
      <c r="M12" s="9"/>
      <c r="N12" s="9"/>
      <c r="O12" s="9"/>
      <c r="P12" s="9"/>
      <c r="Q12" s="45"/>
      <c r="R12" s="31"/>
      <c r="S12" s="119"/>
      <c r="T12" s="120"/>
    </row>
    <row r="13" spans="1:20" s="11" customFormat="1" ht="52">
      <c r="A13" s="59"/>
      <c r="K13" s="11" t="s">
        <v>96</v>
      </c>
      <c r="L13" s="11" t="s">
        <v>97</v>
      </c>
      <c r="M13" s="11" t="s">
        <v>96</v>
      </c>
      <c r="N13" s="11" t="s">
        <v>97</v>
      </c>
      <c r="O13" s="11" t="s">
        <v>96</v>
      </c>
      <c r="P13" s="11" t="s">
        <v>97</v>
      </c>
      <c r="T13" s="46"/>
    </row>
    <row r="14" spans="1:20" s="11" customFormat="1">
      <c r="A14" s="9">
        <v>20</v>
      </c>
      <c r="B14" s="33" t="s">
        <v>0</v>
      </c>
      <c r="C14" s="34"/>
      <c r="D14" s="29" t="s">
        <v>6</v>
      </c>
      <c r="E14" s="40" t="s">
        <v>29</v>
      </c>
      <c r="F14" s="47"/>
      <c r="G14" s="29"/>
      <c r="H14" s="41"/>
      <c r="I14" s="48"/>
      <c r="J14" s="49"/>
      <c r="K14" s="9"/>
      <c r="L14" s="9"/>
      <c r="M14" s="9"/>
      <c r="N14" s="9"/>
      <c r="O14" s="9"/>
      <c r="P14" s="9"/>
      <c r="Q14" s="45"/>
      <c r="R14" s="31"/>
      <c r="S14" s="55"/>
      <c r="T14" s="42"/>
    </row>
    <row r="15" spans="1:20" s="11" customFormat="1">
      <c r="A15" s="9">
        <v>20</v>
      </c>
      <c r="B15" s="9"/>
      <c r="C15" s="9"/>
      <c r="D15" s="9" t="s">
        <v>53</v>
      </c>
      <c r="E15" s="43" t="s">
        <v>54</v>
      </c>
      <c r="F15" s="43"/>
      <c r="G15" s="44" t="s">
        <v>100</v>
      </c>
      <c r="H15" s="44" t="s">
        <v>63</v>
      </c>
      <c r="I15" s="9"/>
      <c r="J15" s="9" t="s">
        <v>64</v>
      </c>
      <c r="K15" s="9"/>
      <c r="L15" s="9"/>
      <c r="M15" s="9"/>
      <c r="N15" s="9"/>
      <c r="O15" s="9"/>
      <c r="P15" s="9"/>
      <c r="Q15" s="45"/>
      <c r="R15" s="31"/>
      <c r="S15" s="119"/>
      <c r="T15" s="120"/>
    </row>
    <row r="16" spans="1:20" s="11" customFormat="1">
      <c r="A16" s="27"/>
      <c r="B16" s="28"/>
      <c r="C16" s="28"/>
      <c r="D16" s="21" t="s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23"/>
    </row>
    <row r="17" spans="1:20" s="11" customFormat="1">
      <c r="A17" s="59"/>
      <c r="T17" s="46"/>
    </row>
    <row r="18" spans="1:20" s="11" customFormat="1">
      <c r="A18" s="59"/>
      <c r="T18" s="46"/>
    </row>
    <row r="19" spans="1:20" s="11" customFormat="1">
      <c r="A19" s="59"/>
      <c r="T19" s="46"/>
    </row>
    <row r="20" spans="1:20" s="11" customFormat="1">
      <c r="A20" s="6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mergeCells count="2">
    <mergeCell ref="S12:T12"/>
    <mergeCell ref="S15:T15"/>
  </mergeCells>
  <phoneticPr fontId="3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T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9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7" t="s">
        <v>58</v>
      </c>
      <c r="B1" s="57" t="s">
        <v>58</v>
      </c>
      <c r="C1" s="5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58</v>
      </c>
      <c r="B2" s="28"/>
      <c r="C2" s="28"/>
      <c r="D2" s="65" t="s">
        <v>86</v>
      </c>
      <c r="E2" s="7" t="s">
        <v>8</v>
      </c>
      <c r="F2" s="58" t="str">
        <f>IF(LogicCommon!C2="","",LogicCommon!C2)</f>
        <v>MA</v>
      </c>
      <c r="G2" s="7" t="s">
        <v>9</v>
      </c>
      <c r="H2" s="58" t="str">
        <f>IF(LogicCommon!E2="","",LogicCommon!E2)</f>
        <v>MAUCL0050</v>
      </c>
      <c r="I2" s="7" t="s">
        <v>59</v>
      </c>
      <c r="J2" s="9" t="s">
        <v>41</v>
      </c>
      <c r="K2" s="7" t="s">
        <v>42</v>
      </c>
      <c r="L2" s="58" t="str">
        <f>IF(LogicCommon!G2="","",LogicCommon!G2)</f>
        <v>MC</v>
      </c>
      <c r="M2" s="5" t="s">
        <v>45</v>
      </c>
      <c r="N2" s="29"/>
      <c r="O2" s="7"/>
      <c r="P2" s="7"/>
      <c r="Q2" s="4"/>
      <c r="R2" s="5"/>
      <c r="S2" s="5"/>
      <c r="T2" s="5"/>
    </row>
    <row r="3" spans="1:20" s="11" customFormat="1">
      <c r="A3" s="59" t="s">
        <v>58</v>
      </c>
      <c r="B3" s="60"/>
      <c r="C3" s="60"/>
      <c r="D3" s="61"/>
      <c r="E3" s="7" t="s">
        <v>11</v>
      </c>
      <c r="F3" s="58" t="str">
        <f>IF(LogicCommon!C3="","",LogicCommon!C3)</f>
        <v>MAUC</v>
      </c>
      <c r="G3" s="7" t="s">
        <v>12</v>
      </c>
      <c r="H3" s="58" t="str">
        <f>IF(LogicCommon!E3="","",LogicCommon!E3)</f>
        <v>MAUCL_InptChkUtil</v>
      </c>
      <c r="I3" s="7" t="s">
        <v>46</v>
      </c>
      <c r="J3" s="9" t="s">
        <v>41</v>
      </c>
      <c r="K3" s="7" t="s">
        <v>43</v>
      </c>
      <c r="L3" s="58" t="str">
        <f>IF(LogicCommon!G3="","",LogicCommon!G3)</f>
        <v/>
      </c>
      <c r="M3" s="45" t="s">
        <v>39</v>
      </c>
      <c r="N3" s="7"/>
      <c r="O3" s="7" t="s">
        <v>60</v>
      </c>
      <c r="P3" s="9" t="s">
        <v>48</v>
      </c>
      <c r="Q3" s="4"/>
      <c r="R3" s="5"/>
      <c r="S3" s="5"/>
      <c r="T3" s="5"/>
    </row>
    <row r="4" spans="1:20" s="11" customFormat="1">
      <c r="A4" s="59" t="s">
        <v>58</v>
      </c>
      <c r="B4" s="60"/>
      <c r="C4" s="60"/>
      <c r="D4" s="4"/>
      <c r="E4" s="7" t="s">
        <v>40</v>
      </c>
      <c r="F4" s="10" t="s">
        <v>50</v>
      </c>
      <c r="G4" s="7" t="s">
        <v>13</v>
      </c>
      <c r="H4" s="58" t="str">
        <f>IF(LogicCommon!E4="","",LogicCommon!E4)</f>
        <v>入力値チェックロジック</v>
      </c>
      <c r="I4" s="7" t="s">
        <v>61</v>
      </c>
      <c r="J4" s="9" t="s">
        <v>19</v>
      </c>
      <c r="K4" s="7" t="s">
        <v>14</v>
      </c>
      <c r="L4" s="58" t="str">
        <f>IF(LogicCommon!G4="","",LogicCommon!G4)</f>
        <v>$def$</v>
      </c>
      <c r="M4" s="62"/>
      <c r="N4" s="29"/>
      <c r="O4" s="13"/>
      <c r="P4" s="4"/>
      <c r="Q4" s="4"/>
      <c r="R4" s="5"/>
      <c r="S4" s="5"/>
      <c r="T4" s="5"/>
    </row>
    <row r="5" spans="1:20" s="11" customFormat="1">
      <c r="A5" s="63" t="s">
        <v>58</v>
      </c>
      <c r="B5" s="57"/>
      <c r="C5" s="57"/>
      <c r="D5" s="26"/>
      <c r="E5" s="7" t="s">
        <v>62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9" t="s">
        <v>58</v>
      </c>
      <c r="B6" s="60"/>
      <c r="C6" s="60"/>
      <c r="D6" s="4" t="s">
        <v>15</v>
      </c>
      <c r="E6" s="17" t="s">
        <v>38</v>
      </c>
      <c r="F6" s="17"/>
      <c r="G6" s="17"/>
      <c r="H6" s="17"/>
      <c r="I6" s="17"/>
      <c r="J6" s="17"/>
      <c r="K6" s="17"/>
      <c r="L6" s="64" t="s">
        <v>57</v>
      </c>
      <c r="M6" s="19"/>
      <c r="N6" s="19" t="s">
        <v>57</v>
      </c>
      <c r="O6" s="19"/>
      <c r="P6" s="19" t="s">
        <v>57</v>
      </c>
      <c r="Q6" s="19"/>
      <c r="R6" s="4"/>
      <c r="S6" s="4"/>
      <c r="T6" s="4"/>
    </row>
    <row r="7" spans="1:20" s="11" customFormat="1">
      <c r="A7" s="28" t="s">
        <v>26</v>
      </c>
      <c r="B7" s="28"/>
      <c r="C7" s="28"/>
      <c r="D7" s="6"/>
      <c r="E7" s="6"/>
      <c r="F7" s="6"/>
      <c r="G7" s="6"/>
      <c r="H7" s="6"/>
      <c r="I7" s="6" t="s">
        <v>27</v>
      </c>
      <c r="J7" s="6"/>
      <c r="K7" s="7" t="s">
        <v>28</v>
      </c>
      <c r="L7" s="32"/>
      <c r="M7" s="7" t="s">
        <v>28</v>
      </c>
      <c r="N7" s="9"/>
      <c r="O7" s="7" t="s">
        <v>28</v>
      </c>
      <c r="P7" s="9"/>
      <c r="Q7" s="4"/>
      <c r="R7" s="4"/>
      <c r="S7" s="4"/>
      <c r="T7" s="4"/>
    </row>
    <row r="8" spans="1:20" s="11" customFormat="1" ht="60" customHeight="1">
      <c r="A8" s="43" t="s">
        <v>3</v>
      </c>
      <c r="B8" s="67"/>
      <c r="C8" s="68"/>
      <c r="D8" s="66" t="s">
        <v>87</v>
      </c>
      <c r="E8" s="66" t="s">
        <v>88</v>
      </c>
      <c r="F8" s="64"/>
      <c r="G8" s="66" t="s">
        <v>65</v>
      </c>
      <c r="H8" s="66" t="s">
        <v>89</v>
      </c>
      <c r="I8" s="64"/>
      <c r="J8" s="3"/>
      <c r="K8" s="7" t="s">
        <v>2</v>
      </c>
      <c r="L8" s="32"/>
      <c r="M8" s="7" t="s">
        <v>2</v>
      </c>
      <c r="N8" s="9"/>
      <c r="O8" s="7" t="s">
        <v>2</v>
      </c>
      <c r="P8" s="9"/>
      <c r="Q8" s="3"/>
      <c r="R8" s="26"/>
      <c r="S8" s="69" t="s">
        <v>90</v>
      </c>
      <c r="T8" s="31"/>
    </row>
    <row r="9" spans="1:20" s="11" customFormat="1" ht="60" customHeight="1">
      <c r="A9" s="9" t="s">
        <v>3</v>
      </c>
      <c r="B9" s="33"/>
      <c r="C9" s="34"/>
      <c r="D9" s="66" t="s">
        <v>91</v>
      </c>
      <c r="E9" s="69" t="s">
        <v>92</v>
      </c>
      <c r="F9" s="66" t="s">
        <v>93</v>
      </c>
      <c r="G9" s="66" t="s">
        <v>94</v>
      </c>
      <c r="H9" s="66" t="s">
        <v>95</v>
      </c>
      <c r="I9" s="70" t="s">
        <v>96</v>
      </c>
      <c r="J9" s="66" t="s">
        <v>97</v>
      </c>
      <c r="K9" s="7"/>
      <c r="L9" s="7"/>
      <c r="M9" s="7"/>
      <c r="N9" s="7"/>
      <c r="O9" s="7"/>
      <c r="P9" s="7"/>
      <c r="Q9" s="69" t="s">
        <v>98</v>
      </c>
      <c r="R9" s="31"/>
      <c r="S9" s="69" t="s">
        <v>99</v>
      </c>
      <c r="T9" s="31"/>
    </row>
    <row r="10" spans="1:20" s="11" customFormat="1" ht="52">
      <c r="A10" s="33" t="s">
        <v>3</v>
      </c>
      <c r="B10" s="37"/>
      <c r="C10" s="37"/>
      <c r="D10" s="30"/>
      <c r="E10" s="38"/>
      <c r="F10" s="38"/>
      <c r="G10" s="39"/>
      <c r="H10" s="39"/>
      <c r="I10" s="38"/>
      <c r="J10" s="38"/>
      <c r="K10" s="66" t="s">
        <v>96</v>
      </c>
      <c r="L10" s="66" t="s">
        <v>97</v>
      </c>
      <c r="M10" s="66" t="s">
        <v>96</v>
      </c>
      <c r="N10" s="66" t="s">
        <v>97</v>
      </c>
      <c r="O10" s="66" t="s">
        <v>96</v>
      </c>
      <c r="P10" s="66" t="s">
        <v>97</v>
      </c>
      <c r="Q10" s="38"/>
      <c r="R10" s="38"/>
      <c r="S10" s="39"/>
      <c r="T10" s="36"/>
    </row>
    <row r="11" spans="1:20" s="11" customFormat="1">
      <c r="A11" s="9">
        <v>10</v>
      </c>
      <c r="B11" s="33" t="s">
        <v>0</v>
      </c>
      <c r="C11" s="34"/>
      <c r="D11" s="29" t="s">
        <v>30</v>
      </c>
      <c r="E11" s="40" t="s">
        <v>29</v>
      </c>
      <c r="F11" s="36"/>
      <c r="G11" s="29"/>
      <c r="H11" s="41"/>
      <c r="I11" s="35"/>
      <c r="J11" s="39"/>
      <c r="K11" s="40"/>
      <c r="L11" s="40"/>
      <c r="M11" s="40"/>
      <c r="N11" s="40"/>
      <c r="O11" s="40"/>
      <c r="P11" s="40"/>
      <c r="Q11" s="35"/>
      <c r="R11" s="36"/>
      <c r="S11" s="55"/>
      <c r="T11" s="42"/>
    </row>
    <row r="12" spans="1:20" s="11" customFormat="1">
      <c r="A12" s="9">
        <v>10</v>
      </c>
      <c r="B12" s="9"/>
      <c r="C12" s="9"/>
      <c r="D12" s="9" t="s">
        <v>53</v>
      </c>
      <c r="E12" s="43" t="s">
        <v>54</v>
      </c>
      <c r="F12" s="43"/>
      <c r="G12" s="44" t="s">
        <v>100</v>
      </c>
      <c r="H12" s="44" t="s">
        <v>63</v>
      </c>
      <c r="I12" s="9" t="s">
        <v>5</v>
      </c>
      <c r="J12" s="9"/>
      <c r="K12" s="9"/>
      <c r="L12" s="9"/>
      <c r="M12" s="9"/>
      <c r="N12" s="9"/>
      <c r="O12" s="9"/>
      <c r="P12" s="9"/>
      <c r="Q12" s="45"/>
      <c r="R12" s="31"/>
      <c r="S12" s="119"/>
      <c r="T12" s="120"/>
    </row>
    <row r="13" spans="1:20" s="11" customFormat="1">
      <c r="A13" s="9">
        <v>10</v>
      </c>
      <c r="B13" s="9"/>
      <c r="C13" s="9"/>
      <c r="D13" s="9" t="s">
        <v>31</v>
      </c>
      <c r="E13" s="43" t="s">
        <v>76</v>
      </c>
      <c r="F13" s="43"/>
      <c r="G13" s="44" t="s">
        <v>101</v>
      </c>
      <c r="H13" s="44" t="s">
        <v>66</v>
      </c>
      <c r="I13" s="9" t="s">
        <v>5</v>
      </c>
      <c r="J13" s="9"/>
      <c r="K13" s="9"/>
      <c r="L13" s="9"/>
      <c r="M13" s="9"/>
      <c r="N13" s="9"/>
      <c r="O13" s="9"/>
      <c r="P13" s="9"/>
      <c r="Q13" s="45"/>
      <c r="R13" s="31"/>
      <c r="S13" s="119"/>
      <c r="T13" s="120"/>
    </row>
    <row r="14" spans="1:20" s="11" customFormat="1">
      <c r="A14" s="9">
        <v>10</v>
      </c>
      <c r="B14" s="9"/>
      <c r="C14" s="9"/>
      <c r="D14" s="9" t="s">
        <v>77</v>
      </c>
      <c r="E14" s="43" t="s">
        <v>78</v>
      </c>
      <c r="F14" s="43"/>
      <c r="G14" s="44" t="s">
        <v>102</v>
      </c>
      <c r="H14" s="44" t="s">
        <v>67</v>
      </c>
      <c r="I14" s="9" t="s">
        <v>5</v>
      </c>
      <c r="J14" s="9"/>
      <c r="K14" s="9"/>
      <c r="L14" s="9"/>
      <c r="M14" s="9"/>
      <c r="N14" s="9"/>
      <c r="O14" s="9"/>
      <c r="P14" s="9"/>
      <c r="Q14" s="45"/>
      <c r="R14" s="31"/>
      <c r="S14" s="119"/>
      <c r="T14" s="120"/>
    </row>
    <row r="15" spans="1:20" s="11" customFormat="1">
      <c r="A15" s="9">
        <v>10</v>
      </c>
      <c r="B15" s="9"/>
      <c r="C15" s="9"/>
      <c r="D15" s="9" t="s">
        <v>79</v>
      </c>
      <c r="E15" s="43" t="s">
        <v>80</v>
      </c>
      <c r="F15" s="43"/>
      <c r="G15" s="44" t="s">
        <v>103</v>
      </c>
      <c r="H15" s="44" t="s">
        <v>68</v>
      </c>
      <c r="I15" s="9" t="s">
        <v>5</v>
      </c>
      <c r="J15" s="9"/>
      <c r="K15" s="9"/>
      <c r="L15" s="9"/>
      <c r="M15" s="9"/>
      <c r="N15" s="9"/>
      <c r="O15" s="9"/>
      <c r="P15" s="9"/>
      <c r="Q15" s="45"/>
      <c r="R15" s="31"/>
      <c r="S15" s="119"/>
      <c r="T15" s="120"/>
    </row>
    <row r="16" spans="1:20" s="11" customFormat="1">
      <c r="A16" s="9">
        <v>10</v>
      </c>
      <c r="B16" s="9"/>
      <c r="C16" s="9"/>
      <c r="D16" s="9" t="s">
        <v>81</v>
      </c>
      <c r="E16" s="43" t="s">
        <v>82</v>
      </c>
      <c r="F16" s="43"/>
      <c r="G16" s="44" t="s">
        <v>104</v>
      </c>
      <c r="H16" s="44" t="s">
        <v>69</v>
      </c>
      <c r="I16" s="9" t="s">
        <v>5</v>
      </c>
      <c r="J16" s="9"/>
      <c r="K16" s="9"/>
      <c r="L16" s="9"/>
      <c r="M16" s="9"/>
      <c r="N16" s="9"/>
      <c r="O16" s="9"/>
      <c r="P16" s="9"/>
      <c r="Q16" s="45"/>
      <c r="R16" s="31"/>
      <c r="S16" s="119"/>
      <c r="T16" s="120"/>
    </row>
    <row r="17" spans="1:20" s="11" customFormat="1">
      <c r="A17" s="9">
        <v>10</v>
      </c>
      <c r="B17" s="9"/>
      <c r="C17" s="9"/>
      <c r="D17" s="9" t="s">
        <v>32</v>
      </c>
      <c r="E17" s="43" t="s">
        <v>83</v>
      </c>
      <c r="F17" s="43"/>
      <c r="G17" s="44" t="s">
        <v>105</v>
      </c>
      <c r="H17" s="44" t="s">
        <v>70</v>
      </c>
      <c r="I17" s="9" t="s">
        <v>64</v>
      </c>
      <c r="J17" s="9"/>
      <c r="K17" s="9"/>
      <c r="L17" s="9"/>
      <c r="M17" s="9"/>
      <c r="N17" s="9"/>
      <c r="O17" s="9"/>
      <c r="P17" s="9"/>
      <c r="Q17" s="45"/>
      <c r="R17" s="31"/>
      <c r="S17" s="119"/>
      <c r="T17" s="120"/>
    </row>
    <row r="18" spans="1:20" s="11" customFormat="1">
      <c r="A18" s="9">
        <v>10</v>
      </c>
      <c r="B18" s="9"/>
      <c r="C18" s="9"/>
      <c r="D18" s="9" t="s">
        <v>33</v>
      </c>
      <c r="E18" s="43" t="s">
        <v>83</v>
      </c>
      <c r="F18" s="43"/>
      <c r="G18" s="44" t="s">
        <v>106</v>
      </c>
      <c r="H18" s="44" t="s">
        <v>71</v>
      </c>
      <c r="I18" s="9" t="s">
        <v>64</v>
      </c>
      <c r="J18" s="9"/>
      <c r="K18" s="9"/>
      <c r="L18" s="9"/>
      <c r="M18" s="9"/>
      <c r="N18" s="9"/>
      <c r="O18" s="9"/>
      <c r="P18" s="9"/>
      <c r="Q18" s="45"/>
      <c r="R18" s="31"/>
      <c r="S18" s="119"/>
      <c r="T18" s="120"/>
    </row>
    <row r="19" spans="1:20" s="11" customFormat="1">
      <c r="A19" s="9">
        <v>10</v>
      </c>
      <c r="B19" s="9"/>
      <c r="C19" s="9"/>
      <c r="D19" s="9" t="s">
        <v>34</v>
      </c>
      <c r="E19" s="43" t="s">
        <v>84</v>
      </c>
      <c r="F19" s="43"/>
      <c r="G19" s="44" t="s">
        <v>107</v>
      </c>
      <c r="H19" s="44" t="s">
        <v>72</v>
      </c>
      <c r="I19" s="9"/>
      <c r="J19" s="9" t="s">
        <v>64</v>
      </c>
      <c r="K19" s="9"/>
      <c r="L19" s="9"/>
      <c r="M19" s="9"/>
      <c r="N19" s="9"/>
      <c r="O19" s="9"/>
      <c r="P19" s="9"/>
      <c r="Q19" s="45"/>
      <c r="R19" s="31"/>
      <c r="S19" s="119"/>
      <c r="T19" s="120"/>
    </row>
    <row r="20" spans="1:20" s="11" customFormat="1">
      <c r="A20" s="9">
        <v>10</v>
      </c>
      <c r="B20" s="9"/>
      <c r="C20" s="9"/>
      <c r="D20" s="9" t="s">
        <v>35</v>
      </c>
      <c r="E20" s="43" t="s">
        <v>84</v>
      </c>
      <c r="F20" s="43"/>
      <c r="G20" s="44" t="s">
        <v>108</v>
      </c>
      <c r="H20" s="44" t="s">
        <v>73</v>
      </c>
      <c r="I20" s="9"/>
      <c r="J20" s="9" t="s">
        <v>64</v>
      </c>
      <c r="K20" s="9"/>
      <c r="L20" s="9"/>
      <c r="M20" s="9"/>
      <c r="N20" s="9"/>
      <c r="O20" s="9"/>
      <c r="P20" s="9"/>
      <c r="Q20" s="45"/>
      <c r="R20" s="31"/>
      <c r="S20" s="119"/>
      <c r="T20" s="120"/>
    </row>
    <row r="21" spans="1:20" s="11" customFormat="1">
      <c r="A21" s="9">
        <v>10</v>
      </c>
      <c r="B21" s="9"/>
      <c r="C21" s="9"/>
      <c r="D21" s="9" t="s">
        <v>36</v>
      </c>
      <c r="E21" s="43" t="s">
        <v>85</v>
      </c>
      <c r="F21" s="43"/>
      <c r="G21" s="44" t="s">
        <v>109</v>
      </c>
      <c r="H21" s="44" t="s">
        <v>74</v>
      </c>
      <c r="I21" s="9"/>
      <c r="J21" s="9" t="s">
        <v>64</v>
      </c>
      <c r="K21" s="9"/>
      <c r="L21" s="9"/>
      <c r="M21" s="9"/>
      <c r="N21" s="9"/>
      <c r="O21" s="9"/>
      <c r="P21" s="9"/>
      <c r="Q21" s="45"/>
      <c r="R21" s="31"/>
      <c r="S21" s="119"/>
      <c r="T21" s="120"/>
    </row>
    <row r="22" spans="1:20" s="11" customFormat="1">
      <c r="A22" s="9">
        <v>10</v>
      </c>
      <c r="B22" s="9"/>
      <c r="C22" s="9"/>
      <c r="D22" s="9" t="s">
        <v>37</v>
      </c>
      <c r="E22" s="43" t="s">
        <v>85</v>
      </c>
      <c r="F22" s="43"/>
      <c r="G22" s="44" t="s">
        <v>110</v>
      </c>
      <c r="H22" s="44" t="s">
        <v>75</v>
      </c>
      <c r="I22" s="9"/>
      <c r="J22" s="9" t="s">
        <v>64</v>
      </c>
      <c r="K22" s="9"/>
      <c r="L22" s="9"/>
      <c r="M22" s="9"/>
      <c r="N22" s="9"/>
      <c r="O22" s="9"/>
      <c r="P22" s="9"/>
      <c r="Q22" s="45"/>
      <c r="R22" s="31"/>
      <c r="S22" s="119"/>
      <c r="T22" s="120"/>
    </row>
    <row r="23" spans="1:20" s="11" customFormat="1">
      <c r="A23" s="27"/>
      <c r="B23" s="28"/>
      <c r="C23" s="28"/>
      <c r="D23" s="21" t="s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23"/>
    </row>
    <row r="24" spans="1:20" s="11" customFormat="1">
      <c r="A24" s="59"/>
      <c r="T24" s="46"/>
    </row>
    <row r="25" spans="1:20" s="11" customFormat="1">
      <c r="A25" s="59"/>
      <c r="T25" s="46"/>
    </row>
    <row r="26" spans="1:20" s="11" customFormat="1">
      <c r="A26" s="59"/>
      <c r="T26" s="46"/>
    </row>
    <row r="27" spans="1:20" s="11" customFormat="1">
      <c r="A27" s="6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0"/>
    </row>
  </sheetData>
  <sheetProtection formatCells="0" formatColumns="0" formatRows="0" insertColumns="0" insertRows="0" insertHyperlinks="0" deleteColumns="0" deleteRows="0"/>
  <mergeCells count="11">
    <mergeCell ref="S12:T12"/>
    <mergeCell ref="S13:T13"/>
    <mergeCell ref="S17:T17"/>
    <mergeCell ref="S14:T14"/>
    <mergeCell ref="S15:T15"/>
    <mergeCell ref="S16:T16"/>
    <mergeCell ref="S18:T18"/>
    <mergeCell ref="S21:T21"/>
    <mergeCell ref="S22:T22"/>
    <mergeCell ref="S19:T19"/>
    <mergeCell ref="S20:T20"/>
  </mergeCells>
  <phoneticPr fontId="3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3" customWidth="1"/>
    <col min="43" max="44" width="2.08984375" style="54" customWidth="1"/>
    <col min="45" max="71" width="2.08984375" style="53" customWidth="1"/>
    <col min="72" max="16384" width="9" style="53"/>
  </cols>
  <sheetData>
    <row r="1" spans="1:57" s="50" customFormat="1" ht="38.25" customHeight="1" thickBot="1">
      <c r="A1" s="71" t="s">
        <v>20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s="50" customFormat="1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2"/>
    </row>
    <row r="3" spans="1:57" ht="15" customHeight="1" thickBot="1">
      <c r="A3" s="112" t="s">
        <v>21</v>
      </c>
      <c r="B3" s="75"/>
      <c r="C3" s="75"/>
      <c r="D3" s="75"/>
      <c r="E3" s="75"/>
      <c r="F3" s="75"/>
      <c r="G3" s="76"/>
      <c r="H3" s="74" t="s">
        <v>22</v>
      </c>
      <c r="I3" s="75"/>
      <c r="J3" s="75"/>
      <c r="K3" s="75"/>
      <c r="L3" s="75"/>
      <c r="M3" s="75"/>
      <c r="N3" s="76"/>
      <c r="O3" s="74" t="s">
        <v>23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24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105"/>
      <c r="I4" s="106"/>
      <c r="J4" s="106"/>
      <c r="K4" s="106"/>
      <c r="L4" s="106"/>
      <c r="M4" s="106"/>
      <c r="N4" s="107"/>
      <c r="O4" s="105" t="s">
        <v>25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90"/>
      <c r="I5" s="91"/>
      <c r="J5" s="91"/>
      <c r="K5" s="91"/>
      <c r="L5" s="91"/>
      <c r="M5" s="91"/>
      <c r="N5" s="92"/>
      <c r="O5" s="113" t="s">
        <v>111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112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82"/>
      <c r="B6" s="83"/>
      <c r="C6" s="83"/>
      <c r="D6" s="83"/>
      <c r="E6" s="83"/>
      <c r="F6" s="83"/>
      <c r="G6" s="84"/>
      <c r="H6" s="90"/>
      <c r="I6" s="91"/>
      <c r="J6" s="91"/>
      <c r="K6" s="91"/>
      <c r="L6" s="91"/>
      <c r="M6" s="91"/>
      <c r="N6" s="92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10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104"/>
    </row>
    <row r="7" spans="1:57" ht="15" customHeight="1">
      <c r="A7" s="82"/>
      <c r="B7" s="83"/>
      <c r="C7" s="83"/>
      <c r="D7" s="83"/>
      <c r="E7" s="83"/>
      <c r="F7" s="83"/>
      <c r="G7" s="84"/>
      <c r="H7" s="90"/>
      <c r="I7" s="91"/>
      <c r="J7" s="91"/>
      <c r="K7" s="91"/>
      <c r="L7" s="91"/>
      <c r="M7" s="91"/>
      <c r="N7" s="92"/>
      <c r="O7" s="9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10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104"/>
    </row>
    <row r="8" spans="1:57" ht="15" customHeight="1">
      <c r="A8" s="82"/>
      <c r="B8" s="83"/>
      <c r="C8" s="83"/>
      <c r="D8" s="83"/>
      <c r="E8" s="83"/>
      <c r="F8" s="83"/>
      <c r="G8" s="84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10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104"/>
    </row>
    <row r="9" spans="1:57" ht="15" customHeight="1">
      <c r="A9" s="82"/>
      <c r="B9" s="83"/>
      <c r="C9" s="83"/>
      <c r="D9" s="83"/>
      <c r="E9" s="83"/>
      <c r="F9" s="83"/>
      <c r="G9" s="84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10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104"/>
    </row>
    <row r="10" spans="1:57" ht="15" customHeight="1">
      <c r="A10" s="82"/>
      <c r="B10" s="83"/>
      <c r="C10" s="83"/>
      <c r="D10" s="83"/>
      <c r="E10" s="83"/>
      <c r="F10" s="83"/>
      <c r="G10" s="84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10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104"/>
    </row>
    <row r="11" spans="1:57" ht="15" customHeight="1">
      <c r="A11" s="82"/>
      <c r="B11" s="83"/>
      <c r="C11" s="83"/>
      <c r="D11" s="83"/>
      <c r="E11" s="83"/>
      <c r="F11" s="83"/>
      <c r="G11" s="84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10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104"/>
    </row>
    <row r="12" spans="1:57" ht="15" customHeight="1">
      <c r="A12" s="82"/>
      <c r="B12" s="83"/>
      <c r="C12" s="83"/>
      <c r="D12" s="83"/>
      <c r="E12" s="83"/>
      <c r="F12" s="83"/>
      <c r="G12" s="84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10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104"/>
    </row>
    <row r="13" spans="1:57" ht="15" customHeight="1">
      <c r="A13" s="82"/>
      <c r="B13" s="83"/>
      <c r="C13" s="83"/>
      <c r="D13" s="83"/>
      <c r="E13" s="83"/>
      <c r="F13" s="83"/>
      <c r="G13" s="84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10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104"/>
    </row>
    <row r="14" spans="1:57" ht="15" customHeight="1">
      <c r="A14" s="82"/>
      <c r="B14" s="83"/>
      <c r="C14" s="83"/>
      <c r="D14" s="83"/>
      <c r="E14" s="83"/>
      <c r="F14" s="83"/>
      <c r="G14" s="84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10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104"/>
    </row>
    <row r="15" spans="1:57" ht="15" customHeight="1">
      <c r="A15" s="82"/>
      <c r="B15" s="83"/>
      <c r="C15" s="83"/>
      <c r="D15" s="83"/>
      <c r="E15" s="83"/>
      <c r="F15" s="83"/>
      <c r="G15" s="84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10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104"/>
    </row>
    <row r="16" spans="1:57" ht="15" customHeight="1">
      <c r="A16" s="82"/>
      <c r="B16" s="83"/>
      <c r="C16" s="83"/>
      <c r="D16" s="83"/>
      <c r="E16" s="83"/>
      <c r="F16" s="83"/>
      <c r="G16" s="84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10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104"/>
    </row>
    <row r="17" spans="1:57" ht="15" customHeight="1">
      <c r="A17" s="82"/>
      <c r="B17" s="83"/>
      <c r="C17" s="83"/>
      <c r="D17" s="83"/>
      <c r="E17" s="83"/>
      <c r="F17" s="83"/>
      <c r="G17" s="84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10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104"/>
    </row>
    <row r="18" spans="1:57" ht="15" customHeight="1">
      <c r="A18" s="82"/>
      <c r="B18" s="83"/>
      <c r="C18" s="83"/>
      <c r="D18" s="83"/>
      <c r="E18" s="83"/>
      <c r="F18" s="83"/>
      <c r="G18" s="84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10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104"/>
    </row>
    <row r="19" spans="1:57" ht="15" customHeight="1">
      <c r="A19" s="82"/>
      <c r="B19" s="83"/>
      <c r="C19" s="83"/>
      <c r="D19" s="83"/>
      <c r="E19" s="83"/>
      <c r="F19" s="83"/>
      <c r="G19" s="84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10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104"/>
    </row>
    <row r="20" spans="1:57" ht="15" customHeight="1">
      <c r="A20" s="82"/>
      <c r="B20" s="83"/>
      <c r="C20" s="83"/>
      <c r="D20" s="83"/>
      <c r="E20" s="83"/>
      <c r="F20" s="83"/>
      <c r="G20" s="84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10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104"/>
    </row>
    <row r="21" spans="1:57" ht="15" customHeight="1">
      <c r="A21" s="82"/>
      <c r="B21" s="83"/>
      <c r="C21" s="83"/>
      <c r="D21" s="83"/>
      <c r="E21" s="83"/>
      <c r="F21" s="83"/>
      <c r="G21" s="84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10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104"/>
    </row>
    <row r="22" spans="1:57" ht="15" customHeight="1">
      <c r="A22" s="82"/>
      <c r="B22" s="83"/>
      <c r="C22" s="83"/>
      <c r="D22" s="83"/>
      <c r="E22" s="83"/>
      <c r="F22" s="83"/>
      <c r="G22" s="84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10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104"/>
    </row>
    <row r="23" spans="1:57" ht="15" customHeight="1">
      <c r="A23" s="82"/>
      <c r="B23" s="83"/>
      <c r="C23" s="83"/>
      <c r="D23" s="83"/>
      <c r="E23" s="83"/>
      <c r="F23" s="83"/>
      <c r="G23" s="84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10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104"/>
    </row>
    <row r="24" spans="1:57" ht="15" customHeight="1">
      <c r="A24" s="82"/>
      <c r="B24" s="83"/>
      <c r="C24" s="83"/>
      <c r="D24" s="83"/>
      <c r="E24" s="83"/>
      <c r="F24" s="83"/>
      <c r="G24" s="84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10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104"/>
    </row>
    <row r="25" spans="1:57" ht="15" customHeight="1">
      <c r="A25" s="82"/>
      <c r="B25" s="83"/>
      <c r="C25" s="83"/>
      <c r="D25" s="83"/>
      <c r="E25" s="83"/>
      <c r="F25" s="83"/>
      <c r="G25" s="84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10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104"/>
    </row>
    <row r="26" spans="1:57" ht="15" customHeight="1">
      <c r="A26" s="82"/>
      <c r="B26" s="83"/>
      <c r="C26" s="83"/>
      <c r="D26" s="83"/>
      <c r="E26" s="83"/>
      <c r="F26" s="83"/>
      <c r="G26" s="84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10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104"/>
    </row>
    <row r="27" spans="1:57" ht="15" customHeight="1">
      <c r="A27" s="82"/>
      <c r="B27" s="83"/>
      <c r="C27" s="83"/>
      <c r="D27" s="83"/>
      <c r="E27" s="83"/>
      <c r="F27" s="83"/>
      <c r="G27" s="84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10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104"/>
    </row>
    <row r="28" spans="1:57" ht="15" customHeight="1">
      <c r="A28" s="82"/>
      <c r="B28" s="83"/>
      <c r="C28" s="83"/>
      <c r="D28" s="83"/>
      <c r="E28" s="83"/>
      <c r="F28" s="83"/>
      <c r="G28" s="84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10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104"/>
    </row>
    <row r="29" spans="1:57" ht="15" customHeight="1">
      <c r="A29" s="82"/>
      <c r="B29" s="83"/>
      <c r="C29" s="83"/>
      <c r="D29" s="83"/>
      <c r="E29" s="83"/>
      <c r="F29" s="83"/>
      <c r="G29" s="84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10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104"/>
    </row>
    <row r="30" spans="1:57" ht="15" customHeight="1">
      <c r="A30" s="82"/>
      <c r="B30" s="83"/>
      <c r="C30" s="83"/>
      <c r="D30" s="83"/>
      <c r="E30" s="83"/>
      <c r="F30" s="83"/>
      <c r="G30" s="84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10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104"/>
    </row>
    <row r="31" spans="1:57" ht="15" customHeight="1">
      <c r="A31" s="82"/>
      <c r="B31" s="83"/>
      <c r="C31" s="83"/>
      <c r="D31" s="83"/>
      <c r="E31" s="83"/>
      <c r="F31" s="83"/>
      <c r="G31" s="84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10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104"/>
    </row>
    <row r="32" spans="1:57" ht="15" customHeight="1">
      <c r="A32" s="82"/>
      <c r="B32" s="83"/>
      <c r="C32" s="83"/>
      <c r="D32" s="83"/>
      <c r="E32" s="83"/>
      <c r="F32" s="83"/>
      <c r="G32" s="84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10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104"/>
    </row>
    <row r="33" spans="1:57" ht="15" customHeight="1">
      <c r="A33" s="82"/>
      <c r="B33" s="83"/>
      <c r="C33" s="83"/>
      <c r="D33" s="83"/>
      <c r="E33" s="83"/>
      <c r="F33" s="83"/>
      <c r="G33" s="84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10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104"/>
    </row>
    <row r="34" spans="1:57" ht="15" customHeight="1">
      <c r="A34" s="82"/>
      <c r="B34" s="83"/>
      <c r="C34" s="83"/>
      <c r="D34" s="83"/>
      <c r="E34" s="83"/>
      <c r="F34" s="83"/>
      <c r="G34" s="84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10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104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9"/>
    </row>
  </sheetData>
  <mergeCells count="133"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2026-03-27T05:46:30Z</dcterms:modified>
  <cp:category/>
</cp:coreProperties>
</file>