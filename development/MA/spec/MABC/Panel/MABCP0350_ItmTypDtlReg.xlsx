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CC67AD82-F0F6-4321-9D62-A9F3775B2E4B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35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1" i="1" l="1"/>
  <c r="A13" i="1" l="1"/>
  <c r="A14" i="1" s="1"/>
  <c r="A16" i="1" l="1"/>
  <c r="A17" i="1" s="1"/>
  <c r="A18" i="1" s="1"/>
  <c r="A20" i="1" l="1"/>
  <c r="A21" i="1" s="1"/>
  <c r="A23" i="1" l="1"/>
  <c r="A24" i="1" l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7" i="1" l="1"/>
  <c r="A38" i="1" l="1"/>
  <c r="A40" i="1" s="1"/>
  <c r="A41" i="1" s="1"/>
  <c r="A42" i="1" s="1"/>
  <c r="A44" i="1" l="1"/>
  <c r="A45" i="1" s="1"/>
  <c r="A46" i="1" s="1"/>
  <c r="A47" i="1" s="1"/>
  <c r="A48" i="1" l="1"/>
  <c r="A49" i="1" l="1"/>
  <c r="F3" i="1"/>
  <c r="F2" i="1"/>
  <c r="A50" i="1" l="1"/>
  <c r="AK8" i="1"/>
  <c r="AI8" i="1"/>
  <c r="AG8" i="1"/>
  <c r="A51" i="1" l="1"/>
  <c r="A52" i="1" l="1"/>
  <c r="A53" i="1" l="1"/>
  <c r="A54" i="1" l="1"/>
  <c r="A55" i="1" l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l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l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l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l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1" i="1" l="1"/>
  <c r="A212" i="1" s="1"/>
  <c r="A213" i="1" s="1"/>
  <c r="A214" i="1" s="1"/>
  <c r="A215" i="1" s="1"/>
  <c r="A216" i="1" s="1"/>
  <c r="A218" i="1" s="1"/>
  <c r="A219" i="1" s="1"/>
  <c r="A220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1" i="1" s="1"/>
  <c r="A272" i="1" s="1"/>
  <c r="A273" i="1" s="1"/>
  <c r="A274" i="1" s="1"/>
  <c r="A275" i="1" s="1"/>
  <c r="A276" i="1" s="1"/>
  <c r="A278" i="1" s="1"/>
  <c r="A279" i="1" s="1"/>
  <c r="A280" i="1" s="1"/>
  <c r="A282" i="1" s="1"/>
</calcChain>
</file>

<file path=xl/sharedStrings.xml><?xml version="1.0" encoding="utf-8"?>
<sst xmlns="http://schemas.openxmlformats.org/spreadsheetml/2006/main" count="3434" uniqueCount="967">
  <si>
    <t>*</t>
  </si>
  <si>
    <t>Dtl</t>
  </si>
  <si>
    <t>@</t>
  </si>
  <si>
    <t>検索</t>
    <rPh sb="0" eb="2">
      <t>ケンサク</t>
    </rPh>
    <phoneticPr fontId="9"/>
  </si>
  <si>
    <t>変更来歴</t>
    <rPh sb="0" eb="2">
      <t>ヘンコウ</t>
    </rPh>
    <rPh sb="2" eb="4">
      <t>ライレキ</t>
    </rPh>
    <phoneticPr fontId="9"/>
  </si>
  <si>
    <t>Rev.</t>
    <phoneticPr fontId="9"/>
  </si>
  <si>
    <t>修正番号</t>
    <rPh sb="0" eb="2">
      <t>シュウセイ</t>
    </rPh>
    <rPh sb="2" eb="4">
      <t>バンゴウ</t>
    </rPh>
    <phoneticPr fontId="9"/>
  </si>
  <si>
    <t>変更内容</t>
    <rPh sb="0" eb="2">
      <t>ヘンコウ</t>
    </rPh>
    <rPh sb="2" eb="4">
      <t>ナイヨウ</t>
    </rPh>
    <phoneticPr fontId="9"/>
  </si>
  <si>
    <t>変更箇所</t>
    <rPh sb="0" eb="2">
      <t>ヘンコウ</t>
    </rPh>
    <rPh sb="2" eb="4">
      <t>カショ</t>
    </rPh>
    <phoneticPr fontId="9"/>
  </si>
  <si>
    <t>初版</t>
    <rPh sb="0" eb="2">
      <t>ショハン</t>
    </rPh>
    <phoneticPr fontId="9"/>
  </si>
  <si>
    <t>@</t>
    <phoneticPr fontId="9"/>
  </si>
  <si>
    <t>登録日時</t>
    <phoneticPr fontId="9"/>
  </si>
  <si>
    <t>*</t>
    <phoneticPr fontId="9"/>
  </si>
  <si>
    <t>G</t>
    <phoneticPr fontId="9"/>
  </si>
  <si>
    <t>#</t>
    <phoneticPr fontId="9"/>
  </si>
  <si>
    <t>行追加</t>
    <phoneticPr fontId="9"/>
  </si>
  <si>
    <t>$image.INSERT_RECORD$</t>
    <phoneticPr fontId="9"/>
  </si>
  <si>
    <t>D</t>
    <phoneticPr fontId="9"/>
  </si>
  <si>
    <t>行削除</t>
    <phoneticPr fontId="9"/>
  </si>
  <si>
    <t>$image.DELETE_RECORD$</t>
    <phoneticPr fontId="9"/>
  </si>
  <si>
    <t>行コピー</t>
    <phoneticPr fontId="9"/>
  </si>
  <si>
    <t>$image.COPY_RECORD$</t>
    <phoneticPr fontId="9"/>
  </si>
  <si>
    <t>メモ１</t>
    <phoneticPr fontId="9"/>
  </si>
  <si>
    <t>memo2</t>
    <phoneticPr fontId="9"/>
  </si>
  <si>
    <t>memo3</t>
    <phoneticPr fontId="9"/>
  </si>
  <si>
    <t>メモ２</t>
    <phoneticPr fontId="9"/>
  </si>
  <si>
    <t>メモ３</t>
    <phoneticPr fontId="9"/>
  </si>
  <si>
    <t>check</t>
  </si>
  <si>
    <t>選択</t>
    <phoneticPr fontId="9"/>
  </si>
  <si>
    <t>memo1</t>
    <phoneticPr fontId="9"/>
  </si>
  <si>
    <t>登録ユーザ名</t>
    <phoneticPr fontId="9"/>
  </si>
  <si>
    <t>更新ユーザ名</t>
    <phoneticPr fontId="9"/>
  </si>
  <si>
    <t>登録機能ＩＤ</t>
    <phoneticPr fontId="9"/>
  </si>
  <si>
    <t>更新日時</t>
    <phoneticPr fontId="9"/>
  </si>
  <si>
    <t>更新機能ＩＤ</t>
    <phoneticPr fontId="9"/>
  </si>
  <si>
    <t>更新リクエストＮＯ</t>
    <phoneticPr fontId="9"/>
  </si>
  <si>
    <t>論理削除ユーザＩＤ</t>
    <phoneticPr fontId="9"/>
  </si>
  <si>
    <t>論理削除ユーザ名</t>
    <phoneticPr fontId="9"/>
  </si>
  <si>
    <t>論理削除日時</t>
    <phoneticPr fontId="9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</si>
  <si>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</si>
  <si>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</si>
  <si>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</si>
  <si>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</si>
  <si>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</si>
  <si>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</si>
  <si>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9"/>
  </si>
  <si>
    <t>登録ユーザＩＤ</t>
    <phoneticPr fontId="9"/>
  </si>
  <si>
    <t>論理削除</t>
    <phoneticPr fontId="9"/>
  </si>
  <si>
    <t>del@EastBtn</t>
    <phoneticPr fontId="9"/>
  </si>
  <si>
    <t>*</t>
    <phoneticPr fontId="9"/>
  </si>
  <si>
    <t>EastBtn</t>
    <phoneticPr fontId="9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</si>
  <si>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</si>
  <si>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</si>
  <si>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</si>
  <si>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</si>
  <si>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</si>
  <si>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</si>
  <si>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</si>
  <si>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9"/>
  </si>
  <si>
    <t>登録機能名</t>
    <phoneticPr fontId="9"/>
  </si>
  <si>
    <t>upd_func_nm</t>
    <phoneticPr fontId="9"/>
  </si>
  <si>
    <t>更新機能名</t>
    <phoneticPr fontId="9"/>
  </si>
  <si>
    <t>upd_srv_req_no</t>
    <phoneticPr fontId="9"/>
  </si>
  <si>
    <t>ins_ts</t>
    <phoneticPr fontId="9"/>
  </si>
  <si>
    <t>DtlBtn</t>
    <phoneticPr fontId="9"/>
  </si>
  <si>
    <t>Dtl</t>
    <phoneticPr fontId="9"/>
  </si>
  <si>
    <t>Btn</t>
    <phoneticPr fontId="9"/>
  </si>
  <si>
    <t>Btn</t>
    <phoneticPr fontId="9"/>
  </si>
  <si>
    <t>更新ユーザＩＤ</t>
  </si>
  <si>
    <t>Wrk</t>
    <phoneticPr fontId="9"/>
  </si>
  <si>
    <t>$fixed$</t>
    <phoneticPr fontId="9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</si>
  <si>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</si>
  <si>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</si>
  <si>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</si>
  <si>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</si>
  <si>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</si>
  <si>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</si>
  <si>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</si>
  <si>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9"/>
  </si>
  <si>
    <t>操作種別</t>
    <rPh sb="0" eb="2">
      <t>ソウサ</t>
    </rPh>
    <phoneticPr fontId="9"/>
  </si>
  <si>
    <t>ope@ScreenOpe</t>
    <phoneticPr fontId="9"/>
  </si>
  <si>
    <t>upd_cntr</t>
    <phoneticPr fontId="9"/>
  </si>
  <si>
    <t>更新カウンタ</t>
    <phoneticPr fontId="9"/>
  </si>
  <si>
    <t>E</t>
    <phoneticPr fontId="9"/>
  </si>
  <si>
    <t>MABCP0350</t>
    <phoneticPr fontId="9"/>
  </si>
  <si>
    <t>品目区分詳細マスタ登録</t>
    <phoneticPr fontId="9"/>
  </si>
  <si>
    <t>MABCP_ItmTypDtlReg</t>
    <phoneticPr fontId="9"/>
  </si>
  <si>
    <t>品目区分詳細マスタの検索、更新、削除を行います。</t>
    <rPh sb="0" eb="2">
      <t>ヒンモク</t>
    </rPh>
    <rPh sb="2" eb="4">
      <t>クブン</t>
    </rPh>
    <rPh sb="4" eb="6">
      <t>ショウサイ</t>
    </rPh>
    <rPh sb="16" eb="18">
      <t>サクジョ</t>
    </rPh>
    <phoneticPr fontId="9"/>
  </si>
  <si>
    <t>itm_typ</t>
  </si>
  <si>
    <t>itm_typ_d_cd</t>
  </si>
  <si>
    <t>itm_typ_d_nm</t>
  </si>
  <si>
    <t>品目区分名</t>
  </si>
  <si>
    <t>品目区分詳細名</t>
  </si>
  <si>
    <t>itm_typ_nm</t>
  </si>
  <si>
    <t>def_sls_flg</t>
  </si>
  <si>
    <t>def_mfg_flg</t>
  </si>
  <si>
    <t>def_purc_flg</t>
  </si>
  <si>
    <t>def_insp_flg</t>
  </si>
  <si>
    <t>def_itm_jnl_cd</t>
  </si>
  <si>
    <t>def_itm_jnl_nm</t>
  </si>
  <si>
    <t>def_ac_itm_grp_cd</t>
  </si>
  <si>
    <t>def_ac_itm_grp_nm</t>
  </si>
  <si>
    <t>def_minus_stk_flg</t>
  </si>
  <si>
    <t>def_pack_alloc_flg</t>
  </si>
  <si>
    <t>def_bp_lot_flg</t>
  </si>
  <si>
    <t>def_comp_spec_typ</t>
  </si>
  <si>
    <t>def_comp_spec_typ_nm</t>
  </si>
  <si>
    <t>def_comp_core_itm_flg</t>
  </si>
  <si>
    <t>def_insp_bind_typ_nm</t>
  </si>
  <si>
    <t>def_skip_chk_ship_flg</t>
  </si>
  <si>
    <t>def_itm_spec_grp_cd</t>
  </si>
  <si>
    <t>def_itm_spec_grp_nm</t>
  </si>
  <si>
    <t>def_lmt_ctl_flg</t>
  </si>
  <si>
    <t>def_lmt_ctl_categ</t>
  </si>
  <si>
    <t>def_sls_upri_grp_cd</t>
  </si>
  <si>
    <t>def_sls_upri_grp_nm</t>
  </si>
  <si>
    <t>def_slo_proc_flg</t>
  </si>
  <si>
    <t>def_slo_proc_typ</t>
  </si>
  <si>
    <t>def_slo_proc_typ_nm</t>
  </si>
  <si>
    <t>def_ship_inst_typ</t>
  </si>
  <si>
    <t>def_ship_inst_typ_nm</t>
  </si>
  <si>
    <t>def_itm_ship_grp_cd</t>
  </si>
  <si>
    <t>def_itm_ship_grp_nm</t>
  </si>
  <si>
    <t>def_ship_valid_grp_cd</t>
  </si>
  <si>
    <t>def_arr_skip_flg</t>
  </si>
  <si>
    <t>def_stk_lst_flg</t>
  </si>
  <si>
    <t>def_ver_flg</t>
  </si>
  <si>
    <t>def_mfg_inst_unit_typ</t>
  </si>
  <si>
    <t>def_mfg_inst_unit_typ_nm</t>
  </si>
  <si>
    <t>def_sls_upri_cng_flg</t>
  </si>
  <si>
    <t>def_purc_upri_cng_flg</t>
  </si>
  <si>
    <t>def_prov_upri_cng_flg</t>
  </si>
  <si>
    <t>def_mrp_proc_typ</t>
  </si>
  <si>
    <t>def_mrp_proc_typ_nm</t>
  </si>
  <si>
    <t>def_alloc_margin_days</t>
  </si>
  <si>
    <t>def_lot_mng_typ_nm</t>
  </si>
  <si>
    <t>def_lot_no_typ_nm</t>
  </si>
  <si>
    <t>def_sublot_no_typ</t>
  </si>
  <si>
    <t>def_sublot_no_ptn_cd</t>
  </si>
  <si>
    <t>def_sno1_mng_typ</t>
  </si>
  <si>
    <t>def_sno1_mng_typ_nm</t>
  </si>
  <si>
    <t>def_rqmt_sno1_flg</t>
  </si>
  <si>
    <t>def_sno1_num_typ</t>
  </si>
  <si>
    <t>def_sno1_num_typ_nm</t>
  </si>
  <si>
    <t>def_sno1_ptn_cd</t>
  </si>
  <si>
    <t>def_sno2_mng_typ</t>
  </si>
  <si>
    <t>def_sno2_mng_typ_nm</t>
  </si>
  <si>
    <t>def_slo_sno2_flg</t>
  </si>
  <si>
    <t>def_rqmt_sno2_flg</t>
  </si>
  <si>
    <t>def_sno2_num_typ</t>
  </si>
  <si>
    <t>def_sno2_num_typ_nm</t>
  </si>
  <si>
    <t>def_sno2_ptn_cd</t>
  </si>
  <si>
    <t>def_sno3_mng_typ</t>
  </si>
  <si>
    <t>def_sno3_mng_typ_nm</t>
  </si>
  <si>
    <t>def_slo_sno3_flg</t>
  </si>
  <si>
    <t>def_rqmt_sno3_flg</t>
  </si>
  <si>
    <t>def_sno3_num_typ</t>
  </si>
  <si>
    <t>def_sno3_num_typ_nm</t>
  </si>
  <si>
    <t>def_sno3_ptn_cd</t>
  </si>
  <si>
    <t>def_sno3_ptn_nm</t>
  </si>
  <si>
    <t>def_sno4_mng_typ</t>
  </si>
  <si>
    <t>def_sno4_mng_typ_nm</t>
  </si>
  <si>
    <t>def_slo_sno4_flg</t>
  </si>
  <si>
    <t>def_rqmt_sno4_flg</t>
  </si>
  <si>
    <t>def_sno4_num_typ</t>
  </si>
  <si>
    <t>def_sno4_num_typ_nm</t>
  </si>
  <si>
    <t>def_sno4_ptn_cd</t>
  </si>
  <si>
    <t>def_sno4_ptn_nm</t>
  </si>
  <si>
    <t>def_insp_aprv_role_nm</t>
  </si>
  <si>
    <t>def_alloc_ctl_typ_nm</t>
  </si>
  <si>
    <t>def_inpt_ctl_typ_nm</t>
  </si>
  <si>
    <t>def_bkf_typ_nm</t>
  </si>
  <si>
    <t>def_calc_ptn_cd</t>
  </si>
  <si>
    <t>def_calc_ptn_nm</t>
  </si>
  <si>
    <t/>
  </si>
  <si>
    <t>品目区分</t>
    <rPh sb="0" eb="2">
      <t>ヒンモク</t>
    </rPh>
    <rPh sb="2" eb="4">
      <t>クブン</t>
    </rPh>
    <phoneticPr fontId="25"/>
  </si>
  <si>
    <t>品目区分詳細ＣＤ</t>
    <rPh sb="0" eb="2">
      <t>ヒンモク</t>
    </rPh>
    <rPh sb="2" eb="4">
      <t>クブン</t>
    </rPh>
    <rPh sb="4" eb="6">
      <t>ショウサイ</t>
    </rPh>
    <phoneticPr fontId="25"/>
  </si>
  <si>
    <t>品目仕訳ＣＤ</t>
    <rPh sb="0" eb="2">
      <t>ヒンモク</t>
    </rPh>
    <rPh sb="2" eb="4">
      <t>シワケ</t>
    </rPh>
    <phoneticPr fontId="29"/>
  </si>
  <si>
    <t>品目仕訳名</t>
  </si>
  <si>
    <t>会計品目分類ＣＤ</t>
    <rPh sb="0" eb="2">
      <t>カイケイ</t>
    </rPh>
    <rPh sb="2" eb="4">
      <t>ヒンモク</t>
    </rPh>
    <rPh sb="4" eb="6">
      <t>ブンルイ</t>
    </rPh>
    <phoneticPr fontId="29"/>
  </si>
  <si>
    <t>会計品目分類名</t>
  </si>
  <si>
    <t>構成・仕様管理区分</t>
    <rPh sb="0" eb="2">
      <t>コウセイ</t>
    </rPh>
    <rPh sb="3" eb="5">
      <t>シヨウ</t>
    </rPh>
    <rPh sb="5" eb="7">
      <t>カンリ</t>
    </rPh>
    <rPh sb="7" eb="9">
      <t>クブン</t>
    </rPh>
    <phoneticPr fontId="29"/>
  </si>
  <si>
    <t>構成・仕様管理区分名</t>
  </si>
  <si>
    <t>検査実施単位区分</t>
  </si>
  <si>
    <t>検査実施単位区分名</t>
  </si>
  <si>
    <t>品目仕様分類ＣＤ</t>
  </si>
  <si>
    <t>品目仕様分類名</t>
  </si>
  <si>
    <t>期限管理種別</t>
  </si>
  <si>
    <t>販売単価分類ＣＤ</t>
    <rPh sb="0" eb="2">
      <t>ハンバイ</t>
    </rPh>
    <rPh sb="2" eb="4">
      <t>タンカ</t>
    </rPh>
    <rPh sb="4" eb="6">
      <t>ブンルイ</t>
    </rPh>
    <phoneticPr fontId="29"/>
  </si>
  <si>
    <t>販売単価分類名</t>
  </si>
  <si>
    <t>受注手配区分</t>
  </si>
  <si>
    <t>受注手配区分名</t>
  </si>
  <si>
    <t>出荷指図区分</t>
    <rPh sb="2" eb="4">
      <t>サシズ</t>
    </rPh>
    <phoneticPr fontId="29"/>
  </si>
  <si>
    <t>出荷指図区分名</t>
  </si>
  <si>
    <t>品目出荷グループＣＤ</t>
    <rPh sb="0" eb="2">
      <t>ヒンモク</t>
    </rPh>
    <rPh sb="2" eb="4">
      <t>シュッカ</t>
    </rPh>
    <phoneticPr fontId="29"/>
  </si>
  <si>
    <t>製造指図単位区分</t>
  </si>
  <si>
    <t>製造指図単位区分名</t>
  </si>
  <si>
    <t>ＭＲＰ処理区分</t>
    <rPh sb="3" eb="5">
      <t>ショリ</t>
    </rPh>
    <rPh sb="5" eb="7">
      <t>クブン</t>
    </rPh>
    <phoneticPr fontId="29"/>
  </si>
  <si>
    <t>ＭＲＰ処理区分名</t>
  </si>
  <si>
    <t>引当余裕日数</t>
    <rPh sb="0" eb="2">
      <t>ヒキアテ</t>
    </rPh>
    <rPh sb="2" eb="4">
      <t>ヨユウ</t>
    </rPh>
    <rPh sb="4" eb="6">
      <t>ニッスウ</t>
    </rPh>
    <phoneticPr fontId="29"/>
  </si>
  <si>
    <t>ロット管理区分</t>
  </si>
  <si>
    <t>ロット管理区分名</t>
  </si>
  <si>
    <t>ロットＮＯ発番区分</t>
    <rPh sb="5" eb="6">
      <t>ハツ</t>
    </rPh>
    <rPh sb="6" eb="7">
      <t>バン</t>
    </rPh>
    <phoneticPr fontId="29"/>
  </si>
  <si>
    <t>ロットＮＯ発番区分名</t>
  </si>
  <si>
    <t>ロットＮＯ発番パタン名</t>
  </si>
  <si>
    <t>サブロットＮＯ発番区分</t>
  </si>
  <si>
    <t>サブロットＮＯ発番区分名</t>
  </si>
  <si>
    <t>サブロットＮＯ発番パタン名</t>
  </si>
  <si>
    <t>手配ＮＯ１管理区分</t>
    <rPh sb="0" eb="2">
      <t>テハイ</t>
    </rPh>
    <rPh sb="5" eb="7">
      <t>カンリ</t>
    </rPh>
    <rPh sb="7" eb="9">
      <t>クブン</t>
    </rPh>
    <phoneticPr fontId="29"/>
  </si>
  <si>
    <t>手配ＮＯ１管理区分名</t>
  </si>
  <si>
    <t>手配ＮＯ１発番区分</t>
    <rPh sb="0" eb="2">
      <t>テハイ</t>
    </rPh>
    <rPh sb="5" eb="6">
      <t>ハツ</t>
    </rPh>
    <rPh sb="6" eb="7">
      <t>バン</t>
    </rPh>
    <rPh sb="7" eb="9">
      <t>クブン</t>
    </rPh>
    <phoneticPr fontId="29"/>
  </si>
  <si>
    <t>手配ＮＯ１発番区分名</t>
  </si>
  <si>
    <t>手配ＮＯ１発番パタンＣＤ</t>
    <rPh sb="0" eb="2">
      <t>テハイ</t>
    </rPh>
    <rPh sb="5" eb="6">
      <t>ハツ</t>
    </rPh>
    <rPh sb="6" eb="7">
      <t>バン</t>
    </rPh>
    <phoneticPr fontId="29"/>
  </si>
  <si>
    <t>手配ＮＯ１発番パタン名</t>
  </si>
  <si>
    <t>手配ＮＯ２管理区分</t>
    <rPh sb="0" eb="2">
      <t>テハイ</t>
    </rPh>
    <rPh sb="5" eb="7">
      <t>カンリ</t>
    </rPh>
    <rPh sb="7" eb="9">
      <t>クブン</t>
    </rPh>
    <phoneticPr fontId="29"/>
  </si>
  <si>
    <t>手配ＮＯ２管理区分名</t>
  </si>
  <si>
    <t>手配ＮＯ２発番区分</t>
    <rPh sb="0" eb="2">
      <t>テハイ</t>
    </rPh>
    <rPh sb="5" eb="6">
      <t>ハツ</t>
    </rPh>
    <rPh sb="6" eb="7">
      <t>バン</t>
    </rPh>
    <rPh sb="7" eb="9">
      <t>クブン</t>
    </rPh>
    <phoneticPr fontId="29"/>
  </si>
  <si>
    <t>手配ＮＯ２発番区分名</t>
  </si>
  <si>
    <t>手配ＮＯ２発番パタンＣＤ</t>
    <rPh sb="0" eb="2">
      <t>テハイ</t>
    </rPh>
    <rPh sb="5" eb="6">
      <t>ハツ</t>
    </rPh>
    <rPh sb="6" eb="7">
      <t>バン</t>
    </rPh>
    <phoneticPr fontId="29"/>
  </si>
  <si>
    <t>手配ＮＯ３管理区分</t>
    <rPh sb="0" eb="2">
      <t>テハイ</t>
    </rPh>
    <rPh sb="5" eb="7">
      <t>カンリ</t>
    </rPh>
    <rPh sb="7" eb="9">
      <t>クブン</t>
    </rPh>
    <phoneticPr fontId="29"/>
  </si>
  <si>
    <t>手配ＮＯ３管理区分名</t>
  </si>
  <si>
    <t>手配ＮＯ３発番区分</t>
    <rPh sb="0" eb="2">
      <t>テハイ</t>
    </rPh>
    <rPh sb="5" eb="6">
      <t>ハツ</t>
    </rPh>
    <rPh sb="6" eb="7">
      <t>バン</t>
    </rPh>
    <rPh sb="7" eb="9">
      <t>クブン</t>
    </rPh>
    <phoneticPr fontId="29"/>
  </si>
  <si>
    <t>手配ＮＯ３発番区分名</t>
  </si>
  <si>
    <t>手配ＮＯ３発番パタンＣＤ</t>
    <rPh sb="0" eb="2">
      <t>テハイ</t>
    </rPh>
    <rPh sb="5" eb="6">
      <t>ハツ</t>
    </rPh>
    <rPh sb="6" eb="7">
      <t>バン</t>
    </rPh>
    <phoneticPr fontId="29"/>
  </si>
  <si>
    <t>手配ＮＯ３発番パタン名</t>
  </si>
  <si>
    <t>手配ＮＯ４管理区分</t>
    <rPh sb="0" eb="2">
      <t>テハイ</t>
    </rPh>
    <rPh sb="5" eb="7">
      <t>カンリ</t>
    </rPh>
    <rPh sb="7" eb="9">
      <t>クブン</t>
    </rPh>
    <phoneticPr fontId="29"/>
  </si>
  <si>
    <t>手配ＮＯ４管理区分名</t>
  </si>
  <si>
    <t>手配ＮＯ４発番区分</t>
    <rPh sb="0" eb="2">
      <t>テハイ</t>
    </rPh>
    <rPh sb="5" eb="6">
      <t>ハツ</t>
    </rPh>
    <rPh sb="6" eb="7">
      <t>バン</t>
    </rPh>
    <rPh sb="7" eb="9">
      <t>クブン</t>
    </rPh>
    <phoneticPr fontId="29"/>
  </si>
  <si>
    <t>手配ＮＯ４発番区分名</t>
  </si>
  <si>
    <t>手配ＮＯ４発番パタンＣＤ</t>
    <rPh sb="0" eb="2">
      <t>テハイ</t>
    </rPh>
    <rPh sb="5" eb="6">
      <t>ハツ</t>
    </rPh>
    <rPh sb="6" eb="7">
      <t>バン</t>
    </rPh>
    <phoneticPr fontId="29"/>
  </si>
  <si>
    <t>手配ＮＯ４発番パタン名</t>
  </si>
  <si>
    <t>工場出荷承認役割ＣＤ</t>
    <rPh sb="0" eb="2">
      <t>コウジョウ</t>
    </rPh>
    <rPh sb="2" eb="4">
      <t>シュッカ</t>
    </rPh>
    <rPh sb="4" eb="6">
      <t>ショウニン</t>
    </rPh>
    <rPh sb="6" eb="8">
      <t>ヤクワリ</t>
    </rPh>
    <phoneticPr fontId="29"/>
  </si>
  <si>
    <t>工場出荷承認役割名</t>
  </si>
  <si>
    <t>検査承認役割ＣＤ</t>
    <rPh sb="0" eb="2">
      <t>ケンサ</t>
    </rPh>
    <rPh sb="2" eb="4">
      <t>ショウニン</t>
    </rPh>
    <rPh sb="4" eb="6">
      <t>ヤクワリ</t>
    </rPh>
    <phoneticPr fontId="29"/>
  </si>
  <si>
    <t>検査承認役割名</t>
  </si>
  <si>
    <t>製造承認役割ＣＤ</t>
    <rPh sb="2" eb="4">
      <t>ショウニン</t>
    </rPh>
    <rPh sb="4" eb="6">
      <t>ヤクワリ</t>
    </rPh>
    <phoneticPr fontId="29"/>
  </si>
  <si>
    <t>製造承認役割名</t>
  </si>
  <si>
    <t>手配ＮＯ１区分</t>
    <rPh sb="0" eb="2">
      <t>テハイ</t>
    </rPh>
    <rPh sb="5" eb="7">
      <t>クブン</t>
    </rPh>
    <phoneticPr fontId="29"/>
  </si>
  <si>
    <t>手配ＮＯ１区分名</t>
  </si>
  <si>
    <t>手配ＮＯ２区分</t>
    <rPh sb="0" eb="2">
      <t>テハイ</t>
    </rPh>
    <rPh sb="5" eb="7">
      <t>クブン</t>
    </rPh>
    <phoneticPr fontId="29"/>
  </si>
  <si>
    <t>手配ＮＯ２区分名</t>
  </si>
  <si>
    <t>手配ＮＯ３区分</t>
    <rPh sb="0" eb="2">
      <t>テハイ</t>
    </rPh>
    <rPh sb="5" eb="7">
      <t>クブン</t>
    </rPh>
    <phoneticPr fontId="29"/>
  </si>
  <si>
    <t>手配ＮＯ３区分名</t>
  </si>
  <si>
    <t>手配ＮＯ４区分</t>
    <rPh sb="0" eb="2">
      <t>テハイ</t>
    </rPh>
    <rPh sb="5" eb="7">
      <t>クブン</t>
    </rPh>
    <phoneticPr fontId="29"/>
  </si>
  <si>
    <t>手配ＮＯ４区分名</t>
  </si>
  <si>
    <t>引当制御区分</t>
    <rPh sb="0" eb="2">
      <t>ヒキアテ</t>
    </rPh>
    <rPh sb="2" eb="4">
      <t>セイギョ</t>
    </rPh>
    <rPh sb="4" eb="6">
      <t>クブン</t>
    </rPh>
    <phoneticPr fontId="31"/>
  </si>
  <si>
    <t>引当制御区分名</t>
  </si>
  <si>
    <t>投入制御区分</t>
    <rPh sb="0" eb="2">
      <t>トウニュウ</t>
    </rPh>
    <rPh sb="2" eb="4">
      <t>セイギョ</t>
    </rPh>
    <rPh sb="4" eb="6">
      <t>クブン</t>
    </rPh>
    <phoneticPr fontId="29"/>
  </si>
  <si>
    <t>投入制御区分名</t>
  </si>
  <si>
    <t>バックフラッシュ区分</t>
    <rPh sb="8" eb="10">
      <t>クブン</t>
    </rPh>
    <phoneticPr fontId="30"/>
  </si>
  <si>
    <t>バックフラッシュ区分名</t>
  </si>
  <si>
    <t>計算パタンＣＤ</t>
  </si>
  <si>
    <t>計算パタン名</t>
  </si>
  <si>
    <t>品目区分詳細</t>
  </si>
  <si>
    <t>品目仕訳</t>
  </si>
  <si>
    <t>会計品目分類</t>
  </si>
  <si>
    <t>品目仕様分類</t>
  </si>
  <si>
    <t>販売単価分類</t>
  </si>
  <si>
    <t>ロットＮＯ発番パタン</t>
  </si>
  <si>
    <t>サブロットＮＯ発番パタン</t>
  </si>
  <si>
    <t>手配ＮＯ１発番パタン</t>
  </si>
  <si>
    <t>手配ＮＯ２発番パタン</t>
  </si>
  <si>
    <t>手配ＮＯ３発番パタン</t>
  </si>
  <si>
    <t>手配ＮＯ４発番パタン</t>
  </si>
  <si>
    <t>工場出荷承認役割</t>
  </si>
  <si>
    <t>検査承認役割</t>
  </si>
  <si>
    <t>製造承認役割</t>
  </si>
  <si>
    <t>計算パタン</t>
  </si>
  <si>
    <t>受注時構成改訂許可</t>
  </si>
  <si>
    <t>構成主品目</t>
  </si>
  <si>
    <t>出荷時構成チェック不要</t>
  </si>
  <si>
    <t>期限管理対象</t>
  </si>
  <si>
    <t>受注手配品</t>
  </si>
  <si>
    <t>現品票出力対象</t>
  </si>
  <si>
    <t>版管理対象</t>
  </si>
  <si>
    <t>サブロット混在</t>
  </si>
  <si>
    <t>副産品</t>
  </si>
  <si>
    <t>原価対象外（ＢＯＭ）</t>
  </si>
  <si>
    <t>手配ＮＯ２発番パタン名</t>
  </si>
  <si>
    <t>LclWrk</t>
  </si>
  <si>
    <t>ロケール</t>
  </si>
  <si>
    <t>Lcl</t>
  </si>
  <si>
    <t>Btn</t>
  </si>
  <si>
    <t>LclBtn</t>
  </si>
  <si>
    <t>選択</t>
  </si>
  <si>
    <t>lcl_cd</t>
  </si>
  <si>
    <t>ロケールＣＤ</t>
  </si>
  <si>
    <t>lcl_nm</t>
  </si>
  <si>
    <t>ロケール名</t>
    <rPh sb="4" eb="5">
      <t>メイ</t>
    </rPh>
    <phoneticPr fontId="9"/>
  </si>
  <si>
    <t>memo1</t>
  </si>
  <si>
    <t>メモ１</t>
  </si>
  <si>
    <t>memo2</t>
  </si>
  <si>
    <t>メモ２</t>
  </si>
  <si>
    <t>memo3</t>
  </si>
  <si>
    <t>メモ３</t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</si>
  <si>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</si>
  <si>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</si>
  <si>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</si>
  <si>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</si>
  <si>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</si>
  <si>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</si>
  <si>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</si>
  <si>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upd_cntr</t>
  </si>
  <si>
    <t>更新カウンタ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</si>
  <si>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</si>
  <si>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</si>
  <si>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</si>
  <si>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</si>
  <si>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</si>
  <si>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</si>
  <si>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</si>
  <si>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LclAll</t>
  </si>
  <si>
    <t>$share$</t>
  </si>
  <si>
    <t>行追加</t>
  </si>
  <si>
    <t>$image.INSERT_RECORD$</t>
  </si>
  <si>
    <t>行削除</t>
  </si>
  <si>
    <t>$image.DELETE_RECORD$</t>
  </si>
  <si>
    <t>行コピー</t>
  </si>
  <si>
    <t>$image.COPY_RECORD$</t>
  </si>
  <si>
    <t>標準品目区分詳細名</t>
    <phoneticPr fontId="9"/>
  </si>
  <si>
    <t>def_ship_lot_back_stop_flg</t>
    <phoneticPr fontId="9"/>
  </si>
  <si>
    <t>def_lot_no_typ</t>
    <phoneticPr fontId="9"/>
  </si>
  <si>
    <t>def_lot_no_ptn_cd</t>
    <phoneticPr fontId="9"/>
  </si>
  <si>
    <t>def_slo_sno1_flg</t>
    <phoneticPr fontId="9"/>
  </si>
  <si>
    <t>def_lot_mix_flg</t>
    <phoneticPr fontId="9"/>
  </si>
  <si>
    <t>mcframe.clientMAUD.MAUDP1020.MAUDP_LCLRLSearcher</t>
  </si>
  <si>
    <t>mcframe.clientMAUD.MAUDP1020.MAUDP_LCLRLUpdater</t>
  </si>
  <si>
    <t>mcframe.clientMAUD.MAUDP1020.MAUDP_LCLRLDeleter</t>
  </si>
  <si>
    <t>def_mfg_aprv_flg</t>
    <phoneticPr fontId="9"/>
  </si>
  <si>
    <t>def_mfg_aprv_role_cd</t>
    <phoneticPr fontId="9"/>
  </si>
  <si>
    <t>def_mfg_aprv_role_nm</t>
    <phoneticPr fontId="9"/>
  </si>
  <si>
    <t>def_mrkt_judg_role_nm</t>
    <phoneticPr fontId="9"/>
  </si>
  <si>
    <t>def_plnt_aprv_flg</t>
    <phoneticPr fontId="9"/>
  </si>
  <si>
    <t>def_plnt_aprv_role_cd</t>
    <phoneticPr fontId="9"/>
  </si>
  <si>
    <t>def_plnt_aprv_role_nm</t>
    <phoneticPr fontId="9"/>
  </si>
  <si>
    <t>LIST_OUT_BASE</t>
    <phoneticPr fontId="9"/>
  </si>
  <si>
    <t>出荷条件ＣＤ</t>
  </si>
  <si>
    <t>出荷条件</t>
  </si>
  <si>
    <t>出荷条件名</t>
  </si>
  <si>
    <t>def_ship_term_nm</t>
  </si>
  <si>
    <t>def_ship_term_cd</t>
  </si>
  <si>
    <t>更新する</t>
    <rPh sb="0" eb="2">
      <t>コウシン</t>
    </rPh>
    <phoneticPr fontId="9"/>
  </si>
  <si>
    <t>$image.REGISTER$更新する</t>
    <rPh sb="16" eb="18">
      <t>コウシン</t>
    </rPh>
    <phoneticPr fontId="9"/>
  </si>
  <si>
    <t>削除する</t>
    <rPh sb="0" eb="2">
      <t>サクジョ</t>
    </rPh>
    <phoneticPr fontId="9"/>
  </si>
  <si>
    <t>$image.DELETE$削除する</t>
    <rPh sb="14" eb="16">
      <t>サクジョ</t>
    </rPh>
    <phoneticPr fontId="9"/>
  </si>
  <si>
    <t>サブロット管理区分名</t>
    <rPh sb="9" eb="10">
      <t>メイ</t>
    </rPh>
    <phoneticPr fontId="9"/>
  </si>
  <si>
    <t>@</t>
    <phoneticPr fontId="9"/>
  </si>
  <si>
    <t>出荷有効期限グループ名</t>
    <phoneticPr fontId="9"/>
  </si>
  <si>
    <t>def_ship_valid_grp_nm</t>
    <phoneticPr fontId="9"/>
  </si>
  <si>
    <t>def_sublot_mng_typ_nm</t>
    <phoneticPr fontId="9"/>
  </si>
  <si>
    <t>def_sublot_no_ptn_nm</t>
    <phoneticPr fontId="9"/>
  </si>
  <si>
    <t>def_lot_no_ptn_nm</t>
    <phoneticPr fontId="9"/>
  </si>
  <si>
    <t>def_sno1_ptn_nm</t>
    <phoneticPr fontId="9"/>
  </si>
  <si>
    <t>def_sno2_ptn_nm</t>
    <phoneticPr fontId="9"/>
  </si>
  <si>
    <t>ＭＲＰ引当余裕日数</t>
  </si>
  <si>
    <t>def_mrp_alloc_margin_days</t>
  </si>
  <si>
    <t>def_inpt_itm_del_flg</t>
  </si>
  <si>
    <t>def_sch_flg</t>
  </si>
  <si>
    <t>投入品追加許可</t>
  </si>
  <si>
    <t>投入品削除許可</t>
  </si>
  <si>
    <t>スケジューラ</t>
  </si>
  <si>
    <t>出荷有効期限グループＣＤ</t>
    <phoneticPr fontId="29"/>
  </si>
  <si>
    <t>サブロットＮＯ発番パタンＣＤ</t>
    <phoneticPr fontId="9"/>
  </si>
  <si>
    <t>def_sno_typ_nm1</t>
    <phoneticPr fontId="9"/>
  </si>
  <si>
    <t>def_sno_typ_nm2</t>
    <phoneticPr fontId="9"/>
  </si>
  <si>
    <t>def_sno_typ_nm3</t>
    <phoneticPr fontId="9"/>
  </si>
  <si>
    <t>def_sno_typ_nm4</t>
    <phoneticPr fontId="9"/>
  </si>
  <si>
    <t>販売</t>
    <rPh sb="0" eb="2">
      <t>ハンバイ</t>
    </rPh>
    <phoneticPr fontId="29"/>
  </si>
  <si>
    <t>製造</t>
    <rPh sb="0" eb="2">
      <t>セイゾウ</t>
    </rPh>
    <phoneticPr fontId="29"/>
  </si>
  <si>
    <t>購買</t>
    <rPh sb="0" eb="2">
      <t>コウバイ</t>
    </rPh>
    <phoneticPr fontId="29"/>
  </si>
  <si>
    <t>検査</t>
    <rPh sb="0" eb="2">
      <t>ケンサ</t>
    </rPh>
    <phoneticPr fontId="29"/>
  </si>
  <si>
    <t>マイナス在庫許可</t>
    <rPh sb="4" eb="6">
      <t>ザイコ</t>
    </rPh>
    <rPh sb="6" eb="8">
      <t>キョカ</t>
    </rPh>
    <phoneticPr fontId="29"/>
  </si>
  <si>
    <t>荷姿引当</t>
    <rPh sb="0" eb="1">
      <t>ニ</t>
    </rPh>
    <rPh sb="1" eb="2">
      <t>スガタ</t>
    </rPh>
    <rPh sb="2" eb="4">
      <t>ヒキアテ</t>
    </rPh>
    <phoneticPr fontId="29"/>
  </si>
  <si>
    <t>業者ロットＮＯ必須</t>
    <rPh sb="0" eb="2">
      <t>ギョウシャ</t>
    </rPh>
    <rPh sb="7" eb="9">
      <t>ヒッス</t>
    </rPh>
    <phoneticPr fontId="29"/>
  </si>
  <si>
    <t>入荷不要</t>
    <rPh sb="0" eb="2">
      <t>ニュウカ</t>
    </rPh>
    <rPh sb="2" eb="4">
      <t>フヨウ</t>
    </rPh>
    <phoneticPr fontId="29"/>
  </si>
  <si>
    <t>販売単価変更許可</t>
    <rPh sb="0" eb="2">
      <t>ハンバイ</t>
    </rPh>
    <phoneticPr fontId="29"/>
  </si>
  <si>
    <t>購買単価変更許可</t>
    <rPh sb="0" eb="2">
      <t>コウバイ</t>
    </rPh>
    <rPh sb="2" eb="4">
      <t>タンカ</t>
    </rPh>
    <phoneticPr fontId="29"/>
  </si>
  <si>
    <t>支給単価変更許可</t>
    <rPh sb="0" eb="2">
      <t>シキュウ</t>
    </rPh>
    <rPh sb="2" eb="4">
      <t>タンカ</t>
    </rPh>
    <phoneticPr fontId="29"/>
  </si>
  <si>
    <t>受注手配ＮＯ１必須</t>
    <rPh sb="0" eb="2">
      <t>ジュチュウ</t>
    </rPh>
    <rPh sb="2" eb="4">
      <t>テハイ</t>
    </rPh>
    <rPh sb="7" eb="9">
      <t>ヒッス</t>
    </rPh>
    <phoneticPr fontId="29"/>
  </si>
  <si>
    <t>所要手配ＮＯ１必須</t>
    <rPh sb="0" eb="2">
      <t>ショヨウ</t>
    </rPh>
    <rPh sb="2" eb="4">
      <t>テハイ</t>
    </rPh>
    <rPh sb="7" eb="9">
      <t>ヒッス</t>
    </rPh>
    <phoneticPr fontId="29"/>
  </si>
  <si>
    <t>受注手配ＮＯ２必須</t>
    <rPh sb="0" eb="2">
      <t>ジュチュウ</t>
    </rPh>
    <rPh sb="2" eb="4">
      <t>テハイ</t>
    </rPh>
    <rPh sb="7" eb="9">
      <t>ヒッス</t>
    </rPh>
    <phoneticPr fontId="29"/>
  </si>
  <si>
    <t>所要手配ＮＯ２必須</t>
    <rPh sb="0" eb="2">
      <t>ショヨウ</t>
    </rPh>
    <rPh sb="2" eb="4">
      <t>テハイ</t>
    </rPh>
    <rPh sb="7" eb="9">
      <t>ヒッス</t>
    </rPh>
    <phoneticPr fontId="29"/>
  </si>
  <si>
    <t>受注手配ＮＯ３必須</t>
    <rPh sb="0" eb="2">
      <t>ジュチュウ</t>
    </rPh>
    <rPh sb="2" eb="4">
      <t>テハイ</t>
    </rPh>
    <rPh sb="7" eb="9">
      <t>ヒッス</t>
    </rPh>
    <phoneticPr fontId="29"/>
  </si>
  <si>
    <t>所要手配ＮＯ３必須</t>
    <rPh sb="0" eb="2">
      <t>ショヨウ</t>
    </rPh>
    <rPh sb="2" eb="4">
      <t>テハイ</t>
    </rPh>
    <rPh sb="7" eb="9">
      <t>ヒッス</t>
    </rPh>
    <phoneticPr fontId="29"/>
  </si>
  <si>
    <t>受注手配ＮＯ４必須</t>
    <rPh sb="0" eb="2">
      <t>ジュチュウ</t>
    </rPh>
    <rPh sb="2" eb="4">
      <t>テハイ</t>
    </rPh>
    <rPh sb="7" eb="9">
      <t>ヒッス</t>
    </rPh>
    <phoneticPr fontId="29"/>
  </si>
  <si>
    <t>所要手配ＮＯ４必須</t>
    <rPh sb="0" eb="2">
      <t>ショヨウ</t>
    </rPh>
    <rPh sb="2" eb="4">
      <t>テハイ</t>
    </rPh>
    <rPh sb="7" eb="9">
      <t>ヒッス</t>
    </rPh>
    <phoneticPr fontId="29"/>
  </si>
  <si>
    <t>市場出荷判定対象</t>
    <rPh sb="0" eb="2">
      <t>シジョウ</t>
    </rPh>
    <rPh sb="2" eb="4">
      <t>シュッカ</t>
    </rPh>
    <rPh sb="4" eb="6">
      <t>ハンテイ</t>
    </rPh>
    <rPh sb="6" eb="8">
      <t>タイショウ</t>
    </rPh>
    <phoneticPr fontId="30"/>
  </si>
  <si>
    <t>工場出荷承認対象</t>
    <rPh sb="0" eb="2">
      <t>コウジョウ</t>
    </rPh>
    <rPh sb="2" eb="4">
      <t>シュッカ</t>
    </rPh>
    <rPh sb="4" eb="6">
      <t>ショウニン</t>
    </rPh>
    <rPh sb="6" eb="8">
      <t>タイショウ</t>
    </rPh>
    <phoneticPr fontId="30"/>
  </si>
  <si>
    <t>検査承認対象</t>
    <rPh sb="0" eb="2">
      <t>ケンサ</t>
    </rPh>
    <rPh sb="2" eb="6">
      <t>ショウニンタイショウ</t>
    </rPh>
    <phoneticPr fontId="30"/>
  </si>
  <si>
    <t>製造承認対象</t>
    <rPh sb="0" eb="2">
      <t>セイゾウ</t>
    </rPh>
    <rPh sb="2" eb="6">
      <t>ショウニンタイショウ</t>
    </rPh>
    <phoneticPr fontId="30"/>
  </si>
  <si>
    <t>指図時ロット指定</t>
    <rPh sb="0" eb="2">
      <t>サシズ</t>
    </rPh>
    <rPh sb="2" eb="3">
      <t>ジ</t>
    </rPh>
    <rPh sb="6" eb="8">
      <t>シテイ</t>
    </rPh>
    <phoneticPr fontId="30"/>
  </si>
  <si>
    <t>オフ</t>
  </si>
  <si>
    <t>オン</t>
  </si>
  <si>
    <t>論理削除.オフ</t>
  </si>
  <si>
    <t>論理削除.オン</t>
  </si>
  <si>
    <t>itm_typ_p.itm_typ#</t>
  </si>
  <si>
    <t>itm_typ_p.itm_typ_d_cd#</t>
  </si>
  <si>
    <t>itm_typ_p.itm_typ_d_nm#</t>
  </si>
  <si>
    <t>itm_typ_p</t>
    <phoneticPr fontId="9"/>
  </si>
  <si>
    <t>itm_typ_p.itm_typ_nm#</t>
    <phoneticPr fontId="9"/>
  </si>
  <si>
    <t>Top</t>
    <phoneticPr fontId="9"/>
  </si>
  <si>
    <t>fold</t>
    <phoneticPr fontId="9"/>
  </si>
  <si>
    <t>Fold</t>
    <phoneticPr fontId="9"/>
  </si>
  <si>
    <t>ctrl</t>
    <phoneticPr fontId="9"/>
  </si>
  <si>
    <t>Ctrl</t>
    <phoneticPr fontId="9"/>
  </si>
  <si>
    <t>cnd</t>
    <phoneticPr fontId="9"/>
  </si>
  <si>
    <t>出庫引当確認</t>
  </si>
  <si>
    <t>所要区分名</t>
    <rPh sb="4" eb="5">
      <t>メイ</t>
    </rPh>
    <phoneticPr fontId="9"/>
  </si>
  <si>
    <t>def_rqmt_typ_nm</t>
    <phoneticPr fontId="9"/>
  </si>
  <si>
    <t>def_prod_pln_typ_nm</t>
    <phoneticPr fontId="9"/>
  </si>
  <si>
    <t>生産計画立案区分名</t>
    <rPh sb="8" eb="9">
      <t>メイ</t>
    </rPh>
    <phoneticPr fontId="9"/>
  </si>
  <si>
    <t>需要日ばらし月数</t>
  </si>
  <si>
    <t>生産計画立案区分</t>
    <phoneticPr fontId="9"/>
  </si>
  <si>
    <t>市場出荷判定更新役割</t>
  </si>
  <si>
    <t>市場出荷判定更新役割名</t>
    <rPh sb="10" eb="11">
      <t>メイ</t>
    </rPh>
    <phoneticPr fontId="9"/>
  </si>
  <si>
    <t>市場出荷判定更新役割ＣＤ</t>
    <phoneticPr fontId="9"/>
  </si>
  <si>
    <t>def_mrkt_judg_role_cd</t>
    <phoneticPr fontId="9"/>
  </si>
  <si>
    <t>def_mrkt_judg_upd_role_nm</t>
    <phoneticPr fontId="9"/>
  </si>
  <si>
    <t>所要区分</t>
    <phoneticPr fontId="9"/>
  </si>
  <si>
    <t>def_rqmt_typ</t>
    <phoneticPr fontId="9"/>
  </si>
  <si>
    <t>def_prod_pln_typ</t>
    <phoneticPr fontId="9"/>
  </si>
  <si>
    <t>def_dmnd_date_div_mons</t>
    <phoneticPr fontId="9"/>
  </si>
  <si>
    <t>def_mrkt_judg_upd_role_cd</t>
    <phoneticPr fontId="9"/>
  </si>
  <si>
    <t>def_lot_mng_typ</t>
    <phoneticPr fontId="9"/>
  </si>
  <si>
    <t>def_mrkt_judg_flg</t>
    <phoneticPr fontId="9"/>
  </si>
  <si>
    <t>引継対象子品目</t>
    <phoneticPr fontId="9"/>
  </si>
  <si>
    <t>Mst</t>
    <phoneticPr fontId="9"/>
  </si>
  <si>
    <t>管理</t>
    <rPh sb="0" eb="2">
      <t>カンリ</t>
    </rPh>
    <phoneticPr fontId="9"/>
  </si>
  <si>
    <t>@</t>
    <phoneticPr fontId="9"/>
  </si>
  <si>
    <t>サブロット管理区分</t>
    <phoneticPr fontId="9"/>
  </si>
  <si>
    <t>DISP_CTL</t>
    <phoneticPr fontId="9"/>
  </si>
  <si>
    <t>LIST_IN</t>
  </si>
  <si>
    <t>LIST_IN_BASE</t>
  </si>
  <si>
    <t>def_sublot_mng_typ</t>
    <phoneticPr fontId="9"/>
  </si>
  <si>
    <t>UPD,登録・訂正する,0;DEL,削除する（管理者）,1;REF,参照する,3</t>
    <phoneticPr fontId="9"/>
  </si>
  <si>
    <t>def_comp_rev_at_slo_flg</t>
    <phoneticPr fontId="9"/>
  </si>
  <si>
    <t>ロットＮＯ発番パタンＣＤ</t>
    <phoneticPr fontId="9"/>
  </si>
  <si>
    <t>出荷ロット逆転禁止</t>
    <phoneticPr fontId="9"/>
  </si>
  <si>
    <t>ロット混在</t>
    <phoneticPr fontId="9"/>
  </si>
  <si>
    <t>def_gi_alloc_flg</t>
    <phoneticPr fontId="9"/>
  </si>
  <si>
    <t>def_sublot_no_typ_nm</t>
    <phoneticPr fontId="9"/>
  </si>
  <si>
    <t>品目出荷Ｇ</t>
    <phoneticPr fontId="9"/>
  </si>
  <si>
    <t>出荷有効期限Ｇ</t>
    <phoneticPr fontId="9"/>
  </si>
  <si>
    <t>def_insp_aprv_flg</t>
    <phoneticPr fontId="9"/>
  </si>
  <si>
    <t>def_insp_aprv_role_cd</t>
    <phoneticPr fontId="9"/>
  </si>
  <si>
    <t>def_sno_typ1</t>
    <phoneticPr fontId="9"/>
  </si>
  <si>
    <t>def_sno_typ2</t>
    <phoneticPr fontId="9"/>
  </si>
  <si>
    <t>def_sno_typ3</t>
    <phoneticPr fontId="9"/>
  </si>
  <si>
    <t>def_sno_typ4</t>
    <phoneticPr fontId="9"/>
  </si>
  <si>
    <t>def_inst_lot_fix_flg</t>
    <phoneticPr fontId="9"/>
  </si>
  <si>
    <t>def_sublot_mix_flg</t>
    <phoneticPr fontId="9"/>
  </si>
  <si>
    <t>def_alloc_ctl_typ</t>
    <phoneticPr fontId="9"/>
  </si>
  <si>
    <t>def_inpt_ctl_typ</t>
    <phoneticPr fontId="9"/>
  </si>
  <si>
    <t>def_bkf_typ</t>
    <phoneticPr fontId="9"/>
  </si>
  <si>
    <t>def_main_itm_flg</t>
    <phoneticPr fontId="9"/>
  </si>
  <si>
    <t>def_byprod_flg</t>
    <phoneticPr fontId="9"/>
  </si>
  <si>
    <t>def_not_cost_bom_flg</t>
    <phoneticPr fontId="9"/>
  </si>
  <si>
    <t>品目出荷グループ名</t>
    <phoneticPr fontId="9"/>
  </si>
  <si>
    <t>品目出荷Ｇ名</t>
    <phoneticPr fontId="9"/>
  </si>
  <si>
    <t>出荷有効期限Ｇ名</t>
    <phoneticPr fontId="9"/>
  </si>
  <si>
    <t>市場出荷判定承認役割</t>
    <rPh sb="6" eb="8">
      <t>ショウニン</t>
    </rPh>
    <phoneticPr fontId="9"/>
  </si>
  <si>
    <t>市場出荷判定承認役割ＣＤ</t>
    <rPh sb="6" eb="8">
      <t>ショウニン</t>
    </rPh>
    <rPh sb="8" eb="10">
      <t>ヤクワリ</t>
    </rPh>
    <phoneticPr fontId="29"/>
  </si>
  <si>
    <t>市場出荷判定承認役割名</t>
    <rPh sb="6" eb="8">
      <t>ショウニン</t>
    </rPh>
    <rPh sb="8" eb="10">
      <t>ヤクワリ</t>
    </rPh>
    <phoneticPr fontId="9"/>
  </si>
  <si>
    <t>ＭＲＰ未確定移送依頼考慮日数</t>
    <phoneticPr fontId="9"/>
  </si>
  <si>
    <t>def_inpt_itm_add_flg</t>
    <phoneticPr fontId="9"/>
  </si>
  <si>
    <t>def_mrp_opn_xfr_days</t>
    <phoneticPr fontId="9"/>
  </si>
  <si>
    <t>INPT_CTL</t>
    <phoneticPr fontId="9"/>
  </si>
  <si>
    <t>def_insp_bind_typ</t>
    <phoneticPr fontId="9"/>
  </si>
  <si>
    <t>itm_typ_nm</t>
    <phoneticPr fontId="9"/>
  </si>
  <si>
    <t>itm_typ_d_nm</t>
    <phoneticPr fontId="9"/>
  </si>
  <si>
    <t>itm_typ_d_nm_lcl</t>
    <phoneticPr fontId="9"/>
  </si>
  <si>
    <t>def_not_new_lot_flg</t>
    <phoneticPr fontId="9"/>
  </si>
  <si>
    <t>新規ロット入力不可</t>
    <phoneticPr fontId="9"/>
  </si>
  <si>
    <t>Key</t>
    <phoneticPr fontId="9"/>
  </si>
  <si>
    <t>In</t>
    <phoneticPr fontId="9"/>
  </si>
  <si>
    <t>P</t>
    <phoneticPr fontId="9"/>
  </si>
  <si>
    <t>ModuleID :</t>
    <phoneticPr fontId="9"/>
  </si>
  <si>
    <t>ScreenID :</t>
    <phoneticPr fontId="9"/>
  </si>
  <si>
    <t>Pj.ID :</t>
    <phoneticPr fontId="9"/>
  </si>
  <si>
    <t xml:space="preserve">Size(w,h) : </t>
    <phoneticPr fontId="9"/>
  </si>
  <si>
    <t>SubModuleID :</t>
    <phoneticPr fontId="9"/>
  </si>
  <si>
    <t>ScreenClass :</t>
    <phoneticPr fontId="9"/>
  </si>
  <si>
    <t>SuperClassPj.ID :</t>
    <phoneticPr fontId="9"/>
  </si>
  <si>
    <t>Gene.Type :</t>
    <phoneticPr fontId="9"/>
  </si>
  <si>
    <t>MCLayoutKey :</t>
    <phoneticPr fontId="9"/>
  </si>
  <si>
    <t>ScreenName :</t>
    <phoneticPr fontId="9"/>
  </si>
  <si>
    <t>SuperScreenID :</t>
    <phoneticPr fontId="9"/>
  </si>
  <si>
    <t>MA.MAUDP1020</t>
    <phoneticPr fontId="9"/>
  </si>
  <si>
    <t>ACType :</t>
    <phoneticPr fontId="9"/>
  </si>
  <si>
    <t>ScreenType :</t>
    <phoneticPr fontId="9"/>
  </si>
  <si>
    <t>概要：</t>
    <phoneticPr fontId="9"/>
  </si>
  <si>
    <t>K</t>
    <phoneticPr fontId="38"/>
  </si>
  <si>
    <t>M</t>
    <phoneticPr fontId="9"/>
  </si>
  <si>
    <t>FIX</t>
    <phoneticPr fontId="9"/>
  </si>
  <si>
    <t>DEL</t>
    <phoneticPr fontId="9"/>
  </si>
  <si>
    <t>REF</t>
    <phoneticPr fontId="9"/>
  </si>
  <si>
    <t>o</t>
    <phoneticPr fontId="9"/>
  </si>
  <si>
    <t>000000</t>
    <phoneticPr fontId="9"/>
  </si>
  <si>
    <t>R</t>
    <phoneticPr fontId="9"/>
  </si>
  <si>
    <t>N</t>
    <phoneticPr fontId="9"/>
  </si>
  <si>
    <t>S</t>
    <phoneticPr fontId="9"/>
  </si>
  <si>
    <t>NW</t>
    <phoneticPr fontId="9"/>
  </si>
  <si>
    <t>$fit$</t>
    <phoneticPr fontId="9"/>
  </si>
  <si>
    <t>NE</t>
    <phoneticPr fontId="9"/>
  </si>
  <si>
    <t>#MA.MST_SET_TYP_NM</t>
    <phoneticPr fontId="9"/>
  </si>
  <si>
    <t>F</t>
    <phoneticPr fontId="9"/>
  </si>
  <si>
    <t>RO</t>
    <phoneticPr fontId="9"/>
  </si>
  <si>
    <t>CT+</t>
    <phoneticPr fontId="9"/>
  </si>
  <si>
    <t>ExpandAndContract=true</t>
    <phoneticPr fontId="38"/>
  </si>
  <si>
    <t>LP</t>
    <phoneticPr fontId="9"/>
  </si>
  <si>
    <t>C</t>
    <phoneticPr fontId="9"/>
  </si>
  <si>
    <t>Cnd</t>
    <phoneticPr fontId="9"/>
  </si>
  <si>
    <t>Srch01_Cnd</t>
    <phoneticPr fontId="9"/>
  </si>
  <si>
    <t>SC</t>
    <phoneticPr fontId="9"/>
  </si>
  <si>
    <t>MA.MAUBP0100.ItmTyp</t>
    <phoneticPr fontId="9"/>
  </si>
  <si>
    <t>ENABLE</t>
    <phoneticPr fontId="9"/>
  </si>
  <si>
    <t>RI</t>
    <phoneticPr fontId="9"/>
  </si>
  <si>
    <t>CI</t>
    <phoneticPr fontId="9"/>
  </si>
  <si>
    <t>itm_typ</t>
    <phoneticPr fontId="9"/>
  </si>
  <si>
    <t>itm_typ_d_cd</t>
    <phoneticPr fontId="9"/>
  </si>
  <si>
    <t>#MA.MST_MEMO1</t>
    <phoneticPr fontId="9"/>
  </si>
  <si>
    <t>FA</t>
    <phoneticPr fontId="9"/>
  </si>
  <si>
    <t>#MA.MST_MEMO2</t>
    <phoneticPr fontId="9"/>
  </si>
  <si>
    <t>#MA.MST_MEMO3</t>
    <phoneticPr fontId="9"/>
  </si>
  <si>
    <t>LAB</t>
    <phoneticPr fontId="9"/>
  </si>
  <si>
    <t>#MA.FLG</t>
    <phoneticPr fontId="9"/>
  </si>
  <si>
    <t>K</t>
    <phoneticPr fontId="9"/>
  </si>
  <si>
    <t>NV</t>
    <phoneticPr fontId="9"/>
  </si>
  <si>
    <t>S</t>
    <phoneticPr fontId="38"/>
  </si>
  <si>
    <t>FX.FXBAP0130</t>
    <phoneticPr fontId="38"/>
  </si>
  <si>
    <t>CBCT+</t>
    <phoneticPr fontId="9"/>
  </si>
  <si>
    <t>L</t>
    <phoneticPr fontId="9"/>
  </si>
  <si>
    <t>TBL</t>
    <phoneticPr fontId="9"/>
  </si>
  <si>
    <t>,220</t>
    <phoneticPr fontId="9"/>
  </si>
  <si>
    <t>Srch01_Rslt1</t>
    <phoneticPr fontId="9"/>
  </si>
  <si>
    <t>Upd01_Dtl1</t>
    <phoneticPr fontId="9"/>
  </si>
  <si>
    <t>Del01_Dtl1</t>
    <phoneticPr fontId="9"/>
  </si>
  <si>
    <t>I</t>
    <phoneticPr fontId="9"/>
  </si>
  <si>
    <t>#MA.ITM_TYP</t>
    <phoneticPr fontId="9"/>
  </si>
  <si>
    <t>MA.MAUAP0010.ItmTyp</t>
    <phoneticPr fontId="9"/>
  </si>
  <si>
    <t>#MA.ITM_TYP_NM</t>
    <phoneticPr fontId="9"/>
  </si>
  <si>
    <t>#MA.ITM_TYP_D_CD</t>
    <phoneticPr fontId="9"/>
  </si>
  <si>
    <t>#MA.ITM_TYP_D_NM</t>
    <phoneticPr fontId="9"/>
  </si>
  <si>
    <t>PNTM</t>
    <phoneticPr fontId="9"/>
  </si>
  <si>
    <t>#MA.ITM_JNL_CD</t>
    <phoneticPr fontId="9"/>
  </si>
  <si>
    <t>MA.MAUAP0010.ItmJnl</t>
    <phoneticPr fontId="9"/>
  </si>
  <si>
    <t>def_itm_jnl_nm</t>
    <phoneticPr fontId="9"/>
  </si>
  <si>
    <t>itm_jnl_nm</t>
    <phoneticPr fontId="9"/>
  </si>
  <si>
    <t>#MA.ITM_JNL_NM</t>
    <phoneticPr fontId="9"/>
  </si>
  <si>
    <t>#MA.AC_ITM_GRP_CD</t>
    <phoneticPr fontId="9"/>
  </si>
  <si>
    <t>MA.MAUAP0010.AcItmGrp</t>
    <phoneticPr fontId="9"/>
  </si>
  <si>
    <t>def_ac_itm_grp_nm</t>
    <phoneticPr fontId="9"/>
  </si>
  <si>
    <t>ac_itm_grp_nm</t>
    <phoneticPr fontId="9"/>
  </si>
  <si>
    <t>#MA.AC_ITM_GRP_NM</t>
    <phoneticPr fontId="9"/>
  </si>
  <si>
    <t>#MA.LOT_MNG_TYP</t>
    <phoneticPr fontId="9"/>
  </si>
  <si>
    <t>MA.MAUAP0010.LotMngTyp</t>
    <phoneticPr fontId="9"/>
  </si>
  <si>
    <t>def_lot_mng_typ_nm</t>
    <phoneticPr fontId="9"/>
  </si>
  <si>
    <t>lot_mng_typ_nm</t>
    <phoneticPr fontId="9"/>
  </si>
  <si>
    <t>#MA.LOT_MNG_TYP_NM</t>
    <phoneticPr fontId="9"/>
  </si>
  <si>
    <t>#MA.LOT_NO_TYP</t>
    <phoneticPr fontId="9"/>
  </si>
  <si>
    <t>MA.MAUAP0010.LotNoTyp</t>
    <phoneticPr fontId="9"/>
  </si>
  <si>
    <t>def_lot_no_typ_nm</t>
    <phoneticPr fontId="9"/>
  </si>
  <si>
    <t>lot_no_typ_nm</t>
    <phoneticPr fontId="9"/>
  </si>
  <si>
    <t>#MA.LOT_NO_TYP_NM</t>
    <phoneticPr fontId="9"/>
  </si>
  <si>
    <t>#MA.NUM_PTN_CD</t>
    <phoneticPr fontId="9"/>
  </si>
  <si>
    <t>MA.MAUAP0010.NumPtn</t>
    <phoneticPr fontId="9"/>
  </si>
  <si>
    <t>num_ptn_nm</t>
    <phoneticPr fontId="9"/>
  </si>
  <si>
    <t>MAC_NUM_BIZ_TYP.LOT</t>
    <phoneticPr fontId="9"/>
  </si>
  <si>
    <t>num_biz_typ</t>
    <phoneticPr fontId="9"/>
  </si>
  <si>
    <t>#MA.NUM_PTN_NM</t>
    <phoneticPr fontId="9"/>
  </si>
  <si>
    <t>#MA.SUBLOT_MNG_TYP</t>
    <phoneticPr fontId="9"/>
  </si>
  <si>
    <t>MA.MAUAP0010.SublotMngTyp</t>
    <phoneticPr fontId="9"/>
  </si>
  <si>
    <t>sublot_mng_typ_nm</t>
    <phoneticPr fontId="9"/>
  </si>
  <si>
    <t>#MA.SUBLOT_MNG_TYP_NM</t>
    <phoneticPr fontId="9"/>
  </si>
  <si>
    <t>MAC_NUM_BIZ_TYP.SUBLOT</t>
    <phoneticPr fontId="9"/>
  </si>
  <si>
    <t>#MA.COMP_SPEC_TYP</t>
    <phoneticPr fontId="9"/>
  </si>
  <si>
    <t>MA.MAUAP0010.CompSpecTyp</t>
    <phoneticPr fontId="9"/>
  </si>
  <si>
    <t>def_comp_spec_typ_nm</t>
    <phoneticPr fontId="9"/>
  </si>
  <si>
    <t>comp_spec_typ_nm</t>
    <phoneticPr fontId="9"/>
  </si>
  <si>
    <t>#MA.COMP_SPEC_TYP_NM</t>
    <phoneticPr fontId="9"/>
  </si>
  <si>
    <t>#MA.ITM_SPEC_GRP_CD</t>
    <phoneticPr fontId="9"/>
  </si>
  <si>
    <t>MA.MAUAP0010.ItmSpecGrp</t>
    <phoneticPr fontId="9"/>
  </si>
  <si>
    <t>def_itm_spec_grp_nm</t>
    <phoneticPr fontId="9"/>
  </si>
  <si>
    <t>itm_spec_grp_nm</t>
    <phoneticPr fontId="9"/>
  </si>
  <si>
    <t>#MA.ITM_SPEC_GRP_NM</t>
    <phoneticPr fontId="9"/>
  </si>
  <si>
    <t>#MA.INSP_BIND_TYP</t>
    <phoneticPr fontId="9"/>
  </si>
  <si>
    <t>MA.MAUAP0010.InspBindTyp</t>
    <phoneticPr fontId="9"/>
  </si>
  <si>
    <t>def_insp_bind_typ_nm</t>
    <phoneticPr fontId="9"/>
  </si>
  <si>
    <t>insp_bind_typ_nm</t>
    <phoneticPr fontId="9"/>
  </si>
  <si>
    <t>#MA.INSP_BIND_TYP_NM</t>
    <phoneticPr fontId="9"/>
  </si>
  <si>
    <t>#MA.LMT_CTL_CATEG</t>
    <phoneticPr fontId="9"/>
  </si>
  <si>
    <t>#MA.SHIP_VALID_GRP_CD</t>
    <phoneticPr fontId="9"/>
  </si>
  <si>
    <t>MA.MAUAP0010.ShipValid</t>
    <phoneticPr fontId="9"/>
  </si>
  <si>
    <t>ship_valid_grp_nm</t>
    <phoneticPr fontId="9"/>
  </si>
  <si>
    <t>#MA.SHIP_VALID_GRP_NM</t>
    <phoneticPr fontId="9"/>
  </si>
  <si>
    <t>#MA.SLS_UPRI_GRP_CD</t>
    <phoneticPr fontId="9"/>
  </si>
  <si>
    <t>MA.MAUAP0010.SlsUpriGrp</t>
    <phoneticPr fontId="9"/>
  </si>
  <si>
    <t>def_sls_upri_grp_nm</t>
    <phoneticPr fontId="9"/>
  </si>
  <si>
    <t>sls_upri_grp_nm</t>
    <phoneticPr fontId="9"/>
  </si>
  <si>
    <t>#MA.SLS_UPRI_GRP_NM</t>
    <phoneticPr fontId="9"/>
  </si>
  <si>
    <t>#MA.SLO_PROC_TYP</t>
    <phoneticPr fontId="9"/>
  </si>
  <si>
    <t>MA.MAUAP0010.SloProcTyp</t>
    <phoneticPr fontId="9"/>
  </si>
  <si>
    <t>def_slo_proc_typ_nm</t>
    <phoneticPr fontId="9"/>
  </si>
  <si>
    <t>slo_proc_typ_nm</t>
    <phoneticPr fontId="9"/>
  </si>
  <si>
    <t>#MA.SLO_PROC_TYP_NM</t>
    <phoneticPr fontId="9"/>
  </si>
  <si>
    <t>#MA.SHIP_INST_TYP</t>
    <phoneticPr fontId="9"/>
  </si>
  <si>
    <t>MA.MAUAP0010.ShipInstTyp</t>
    <phoneticPr fontId="9"/>
  </si>
  <si>
    <t>def_ship_inst_typ_nm</t>
    <phoneticPr fontId="9"/>
  </si>
  <si>
    <t>ship_inst_typ_nm</t>
    <phoneticPr fontId="9"/>
  </si>
  <si>
    <t>#MA.SHIP_INST_TYP_NM</t>
    <phoneticPr fontId="9"/>
  </si>
  <si>
    <t>#MA.ITM_SHIP_GRP_CD</t>
    <phoneticPr fontId="9"/>
  </si>
  <si>
    <t>MA.MAUAP0010.ItmShipGrp</t>
    <phoneticPr fontId="9"/>
  </si>
  <si>
    <t>def_itm_ship_grp_nm</t>
    <phoneticPr fontId="9"/>
  </si>
  <si>
    <t>itm_ship_grp_nm</t>
    <phoneticPr fontId="9"/>
  </si>
  <si>
    <t>#MA.ITM_SHIP_GRP_NM</t>
    <phoneticPr fontId="9"/>
  </si>
  <si>
    <t>#MA.SHIP_TERM_CD</t>
    <phoneticPr fontId="9"/>
  </si>
  <si>
    <t>MA.MAUAP0010.ShipTerm</t>
    <phoneticPr fontId="9"/>
  </si>
  <si>
    <t>def_ship_term_nm</t>
    <phoneticPr fontId="9"/>
  </si>
  <si>
    <t>ship_term_nm</t>
    <phoneticPr fontId="9"/>
  </si>
  <si>
    <t>#MA.SHIP_TERM_NM</t>
    <phoneticPr fontId="9"/>
  </si>
  <si>
    <t>VER_NO</t>
    <phoneticPr fontId="9"/>
  </si>
  <si>
    <t>#MA.MFG_INST_UNIT_TYP</t>
    <phoneticPr fontId="9"/>
  </si>
  <si>
    <t>MA.MAUAP0010.MfgInstUnitTyp</t>
    <phoneticPr fontId="9"/>
  </si>
  <si>
    <t>def_mfg_inst_unit_typ_nm</t>
    <phoneticPr fontId="9"/>
  </si>
  <si>
    <t>mfg_inst_unit_typ_nm</t>
    <phoneticPr fontId="9"/>
  </si>
  <si>
    <t>#MA.MFG_INST_UNIT_TYP_NM</t>
    <phoneticPr fontId="9"/>
  </si>
  <si>
    <t>#MA.MRP_PROC_TYP</t>
    <phoneticPr fontId="9"/>
  </si>
  <si>
    <t>MA.MAUAP0010.MrpProcTyp</t>
    <phoneticPr fontId="9"/>
  </si>
  <si>
    <t>def_mrp_proc_typ_nm</t>
    <phoneticPr fontId="9"/>
  </si>
  <si>
    <t>mrp_proc_typ_nm</t>
    <phoneticPr fontId="9"/>
  </si>
  <si>
    <t>#MA.MRP_PROC_TYP_NM</t>
    <phoneticPr fontId="9"/>
  </si>
  <si>
    <t>#MA.RQMT_TYP</t>
    <phoneticPr fontId="9"/>
  </si>
  <si>
    <t>MA.MAUAP0010.RqmtTyp</t>
    <phoneticPr fontId="9"/>
  </si>
  <si>
    <t>rqmt_typ_nm</t>
    <phoneticPr fontId="9"/>
  </si>
  <si>
    <t>#MA.RQMT_TYP_NM</t>
    <phoneticPr fontId="9"/>
  </si>
  <si>
    <t>#MA.PROD_PLN_TYP</t>
    <phoneticPr fontId="9"/>
  </si>
  <si>
    <t>MA.MAUAP0010.ProdPlnTyp</t>
    <phoneticPr fontId="9"/>
  </si>
  <si>
    <t>prod_pln_typ_nm</t>
    <phoneticPr fontId="9"/>
  </si>
  <si>
    <t>#MA.PROD_PLN_TYP_NM</t>
    <phoneticPr fontId="9"/>
  </si>
  <si>
    <t>#MA.MONS</t>
    <phoneticPr fontId="9"/>
  </si>
  <si>
    <t>#MA.DAYS</t>
    <phoneticPr fontId="9"/>
  </si>
  <si>
    <t>-</t>
    <phoneticPr fontId="9"/>
  </si>
  <si>
    <t>#MA.SNO_MNG_TYP</t>
    <phoneticPr fontId="9"/>
  </si>
  <si>
    <t>MA.MAUAP0010.SnoMngTyp</t>
    <phoneticPr fontId="9"/>
  </si>
  <si>
    <t>def_sno1_mng_typ_nm</t>
    <phoneticPr fontId="9"/>
  </si>
  <si>
    <t>sno_mng_typ_nm</t>
    <phoneticPr fontId="9"/>
  </si>
  <si>
    <t>SNO1</t>
    <phoneticPr fontId="9"/>
  </si>
  <si>
    <t>#MA.SNO_MNG_TYP_NM</t>
    <phoneticPr fontId="9"/>
  </si>
  <si>
    <t>#MA.SNO_NUM_TYP</t>
    <phoneticPr fontId="9"/>
  </si>
  <si>
    <t>MA.MAUAP0010.SnoNoTyp</t>
    <phoneticPr fontId="9"/>
  </si>
  <si>
    <t>def_sno1_num_typ_nm</t>
    <phoneticPr fontId="9"/>
  </si>
  <si>
    <t>sno_no_typ_nm</t>
    <phoneticPr fontId="9"/>
  </si>
  <si>
    <t>#MA.SNO_NUM_TYP_NM</t>
    <phoneticPr fontId="9"/>
  </si>
  <si>
    <t>MAC_NUM_BIZ_TYP.SNO</t>
    <phoneticPr fontId="9"/>
  </si>
  <si>
    <t>def_sno2_mng_typ_nm</t>
    <phoneticPr fontId="9"/>
  </si>
  <si>
    <t>SNO2</t>
    <phoneticPr fontId="9"/>
  </si>
  <si>
    <t>def_sno2_num_typ_nm</t>
    <phoneticPr fontId="9"/>
  </si>
  <si>
    <t>def_sno3_mng_typ_nm</t>
    <phoneticPr fontId="9"/>
  </si>
  <si>
    <t>SNO3</t>
    <phoneticPr fontId="9"/>
  </si>
  <si>
    <t>def_sno3_num_typ_nm</t>
    <phoneticPr fontId="9"/>
  </si>
  <si>
    <t>def_sno3_ptn_nm</t>
    <phoneticPr fontId="9"/>
  </si>
  <si>
    <t>def_sno4_mng_typ_nm</t>
    <phoneticPr fontId="9"/>
  </si>
  <si>
    <t>SNO4</t>
    <phoneticPr fontId="9"/>
  </si>
  <si>
    <t>def_sno4_num_typ_nm</t>
    <phoneticPr fontId="9"/>
  </si>
  <si>
    <t>def_sno4_ptn_nm</t>
    <phoneticPr fontId="9"/>
  </si>
  <si>
    <t>MFG_APRV</t>
    <phoneticPr fontId="9"/>
  </si>
  <si>
    <t>#MA.APRV_ROLE_CD</t>
    <phoneticPr fontId="9"/>
  </si>
  <si>
    <t>MA.MAUAP0010.AprvRole</t>
    <phoneticPr fontId="9"/>
  </si>
  <si>
    <t>aprv_role_nm</t>
    <phoneticPr fontId="9"/>
  </si>
  <si>
    <t>#MA.APRV_ROLE_NM</t>
    <phoneticPr fontId="9"/>
  </si>
  <si>
    <t>def_insp_aprv_role_nm</t>
    <phoneticPr fontId="9"/>
  </si>
  <si>
    <t>#MA.SNO_TYP</t>
    <phoneticPr fontId="9"/>
  </si>
  <si>
    <t>MA.MAUAP0010.SnoTyp</t>
    <phoneticPr fontId="9"/>
  </si>
  <si>
    <t>sno_typ_nm</t>
    <phoneticPr fontId="9"/>
  </si>
  <si>
    <t>#MA.SNO_TYP_NM</t>
    <phoneticPr fontId="9"/>
  </si>
  <si>
    <t>#MA.ALLOC_CTL_TYP</t>
    <phoneticPr fontId="9"/>
  </si>
  <si>
    <t>MA.MAUAP0010.AllocCtlTyp</t>
    <phoneticPr fontId="9"/>
  </si>
  <si>
    <t>def_alloc_ctl_typ_nm</t>
    <phoneticPr fontId="9"/>
  </si>
  <si>
    <t>alloc_ctl_typ_nm</t>
    <phoneticPr fontId="9"/>
  </si>
  <si>
    <t>#MA.ALLOC_CTL_TYP_NM</t>
    <phoneticPr fontId="9"/>
  </si>
  <si>
    <t>#MA.INPT_CTL_TYP</t>
    <phoneticPr fontId="9"/>
  </si>
  <si>
    <t>MA.MAUAP0010.InptCtlTyp</t>
    <phoneticPr fontId="9"/>
  </si>
  <si>
    <t>def_inpt_ctl_typ_nm</t>
    <phoneticPr fontId="9"/>
  </si>
  <si>
    <t>inpt_ctl_typ_nm</t>
    <phoneticPr fontId="9"/>
  </si>
  <si>
    <t>#MA.INPT_CTL_TYP_NM</t>
    <phoneticPr fontId="9"/>
  </si>
  <si>
    <t>#MA.BKF_TYP</t>
    <phoneticPr fontId="9"/>
  </si>
  <si>
    <t>MA.MAUAP0010.BkfTyp</t>
    <phoneticPr fontId="9"/>
  </si>
  <si>
    <t>def_bkf_typ_nm</t>
    <phoneticPr fontId="9"/>
  </si>
  <si>
    <t>bkf_typ_nm</t>
    <phoneticPr fontId="9"/>
  </si>
  <si>
    <t>#MA.BKF_TYP_NM</t>
    <phoneticPr fontId="9"/>
  </si>
  <si>
    <t>#MA.CALC_PTN_CD</t>
    <phoneticPr fontId="9"/>
  </si>
  <si>
    <t>MA.MAUAP0010.CalcPtn</t>
    <phoneticPr fontId="9"/>
  </si>
  <si>
    <t>def_calc_ptn_nm</t>
    <phoneticPr fontId="9"/>
  </si>
  <si>
    <t>calc_ptn_nm</t>
    <phoneticPr fontId="9"/>
  </si>
  <si>
    <t>#MA.CALC_PTN_NM</t>
    <phoneticPr fontId="9"/>
  </si>
  <si>
    <t>#MA.FCM_USR_ID</t>
    <phoneticPr fontId="9"/>
  </si>
  <si>
    <t>#MA.FCM_USR_NM</t>
    <phoneticPr fontId="9"/>
  </si>
  <si>
    <t>#MA.SYS_TS</t>
    <phoneticPr fontId="9"/>
  </si>
  <si>
    <t>#MA.FUNC_ID</t>
    <phoneticPr fontId="9"/>
  </si>
  <si>
    <t>#MA.FUNC_NM</t>
    <phoneticPr fontId="9"/>
  </si>
  <si>
    <t>#MA.UPD_CNT</t>
    <phoneticPr fontId="9"/>
  </si>
  <si>
    <t>#MA.SRV_REQ_NO</t>
    <phoneticPr fontId="9"/>
  </si>
  <si>
    <t>no_border</t>
    <phoneticPr fontId="9"/>
  </si>
  <si>
    <t>B</t>
    <phoneticPr fontId="9"/>
  </si>
  <si>
    <t>F13</t>
    <phoneticPr fontId="9"/>
  </si>
  <si>
    <t>F14</t>
    <phoneticPr fontId="9"/>
  </si>
  <si>
    <t>INSERT_RECORD</t>
    <phoneticPr fontId="9"/>
  </si>
  <si>
    <t>F5</t>
    <phoneticPr fontId="9"/>
  </si>
  <si>
    <t>DELETE_RECORD</t>
    <phoneticPr fontId="9"/>
  </si>
  <si>
    <t>F6</t>
    <phoneticPr fontId="9"/>
  </si>
  <si>
    <t>COPY_RECORD</t>
    <phoneticPr fontId="9"/>
  </si>
  <si>
    <t>F17</t>
    <phoneticPr fontId="9"/>
  </si>
  <si>
    <t>CBCB+</t>
    <phoneticPr fontId="9"/>
  </si>
  <si>
    <t>Lcl</t>
    <phoneticPr fontId="9"/>
  </si>
  <si>
    <t>LclBtn</t>
    <phoneticPr fontId="9"/>
  </si>
  <si>
    <t>#MA.LCL_CD</t>
    <phoneticPr fontId="9"/>
  </si>
  <si>
    <t>MA.MAUAP0010.LocaleEntry</t>
    <phoneticPr fontId="9"/>
  </si>
  <si>
    <t>lcl_nm</t>
    <phoneticPr fontId="9"/>
  </si>
  <si>
    <t>#MA.LCL_NM</t>
    <phoneticPr fontId="9"/>
  </si>
  <si>
    <t>$</t>
    <phoneticPr fontId="9"/>
  </si>
  <si>
    <t>Srch01_Rslt2</t>
    <phoneticPr fontId="9"/>
  </si>
  <si>
    <t>Upd01_Dtl2</t>
    <phoneticPr fontId="9"/>
  </si>
  <si>
    <t>F18</t>
    <phoneticPr fontId="9"/>
  </si>
  <si>
    <t>F19</t>
    <phoneticPr fontId="9"/>
  </si>
  <si>
    <t>F7</t>
    <phoneticPr fontId="9"/>
  </si>
  <si>
    <t>F8</t>
    <phoneticPr fontId="9"/>
  </si>
  <si>
    <t>F20</t>
    <phoneticPr fontId="9"/>
  </si>
  <si>
    <t>SW</t>
    <phoneticPr fontId="9"/>
  </si>
  <si>
    <t>upd</t>
    <phoneticPr fontId="9"/>
  </si>
  <si>
    <t>AB</t>
    <phoneticPr fontId="9"/>
  </si>
  <si>
    <t>F9</t>
    <phoneticPr fontId="9"/>
  </si>
  <si>
    <t>del</t>
    <phoneticPr fontId="9"/>
  </si>
  <si>
    <t>F12</t>
    <phoneticPr fontId="9"/>
  </si>
  <si>
    <t>SE</t>
    <phoneticPr fontId="9"/>
  </si>
  <si>
    <t>MC</t>
    <phoneticPr fontId="9"/>
  </si>
  <si>
    <t>ALL</t>
    <phoneticPr fontId="9"/>
  </si>
  <si>
    <t>super/share</t>
    <phoneticPr fontId="9"/>
  </si>
  <si>
    <t>Pstn</t>
    <phoneticPr fontId="9"/>
  </si>
  <si>
    <t>Size</t>
    <phoneticPr fontId="9"/>
  </si>
  <si>
    <t>OPT</t>
    <phoneticPr fontId="9"/>
  </si>
  <si>
    <t>xy</t>
    <phoneticPr fontId="9"/>
  </si>
  <si>
    <t>UPD*</t>
    <phoneticPr fontId="9"/>
  </si>
  <si>
    <t>Logic.Ope.ID</t>
    <phoneticPr fontId="9"/>
  </si>
  <si>
    <t>IME</t>
    <phoneticPr fontId="38"/>
  </si>
  <si>
    <t>Method/Target</t>
    <phoneticPr fontId="9"/>
  </si>
  <si>
    <t>Out</t>
    <phoneticPr fontId="9"/>
  </si>
  <si>
    <t>Version</t>
    <phoneticPr fontId="9"/>
  </si>
  <si>
    <t>mst_set_typ_nm</t>
    <phoneticPr fontId="9"/>
  </si>
  <si>
    <t>Cnd</t>
    <phoneticPr fontId="9"/>
  </si>
  <si>
    <t>Dtl</t>
    <phoneticPr fontId="9"/>
  </si>
  <si>
    <t>radd</t>
    <phoneticPr fontId="9"/>
  </si>
  <si>
    <t>rdel</t>
    <phoneticPr fontId="9"/>
  </si>
  <si>
    <t>rcopy</t>
    <phoneticPr fontId="9"/>
  </si>
  <si>
    <t>radd</t>
  </si>
  <si>
    <t>rdel</t>
  </si>
  <si>
    <t>rcopy</t>
  </si>
  <si>
    <t>upd</t>
    <phoneticPr fontId="9"/>
  </si>
  <si>
    <t>詳細 :</t>
    <rPh sb="0" eb="2">
      <t>ショウサイ</t>
    </rPh>
    <phoneticPr fontId="9"/>
  </si>
  <si>
    <t>MA.MABCL0350.Upd01</t>
    <phoneticPr fontId="9"/>
  </si>
  <si>
    <t>MA.MABCL0350.Del01</t>
    <phoneticPr fontId="9"/>
  </si>
  <si>
    <t>画面実装仕様書
Screen Specification Implementation Sheet</t>
    <phoneticPr fontId="9"/>
  </si>
  <si>
    <t>ブロック名
Block Name</t>
    <phoneticPr fontId="9"/>
  </si>
  <si>
    <t>対象ブロック
Target Block</t>
    <phoneticPr fontId="9"/>
  </si>
  <si>
    <t>ブロックラベル
Block Label</t>
    <phoneticPr fontId="9"/>
  </si>
  <si>
    <t>型
Type</t>
    <phoneticPr fontId="9"/>
  </si>
  <si>
    <t>フルネーム
Full Name</t>
    <phoneticPr fontId="9"/>
  </si>
  <si>
    <t>種別
Classification</t>
    <phoneticPr fontId="9"/>
  </si>
  <si>
    <t>閉確
Close Confirmation</t>
    <phoneticPr fontId="9"/>
  </si>
  <si>
    <t>連携項目
Linkage Field</t>
    <phoneticPr fontId="9"/>
  </si>
  <si>
    <t>ﾄﾘｶﾞ/
ﾎﾞﾀﾝｼｮｰﾄｶｯﾄ
Trigger/Button Shortcut</t>
    <phoneticPr fontId="9"/>
  </si>
  <si>
    <t>項目名
Field Name</t>
    <phoneticPr fontId="9"/>
  </si>
  <si>
    <t>フルネーム
Full Name</t>
    <phoneticPr fontId="9"/>
  </si>
  <si>
    <t>メッセージ用名称
Name for Messages</t>
    <phoneticPr fontId="9"/>
  </si>
  <si>
    <t>ラベル名
Label Name</t>
    <phoneticPr fontId="9"/>
  </si>
  <si>
    <t xml:space="preserve"> 表示グループ
Display Group</t>
    <phoneticPr fontId="38"/>
  </si>
  <si>
    <t>型
Type</t>
    <phoneticPr fontId="9"/>
  </si>
  <si>
    <t>種別
Classification</t>
    <phoneticPr fontId="9"/>
  </si>
  <si>
    <t>桁
Digits</t>
    <phoneticPr fontId="9"/>
  </si>
  <si>
    <t>表示幅
Display Width</t>
    <phoneticPr fontId="9"/>
  </si>
  <si>
    <t>形式
Format</t>
    <phoneticPr fontId="9"/>
  </si>
  <si>
    <t>確定時処理と確定チェック
Processing at Confirmation and Confirmation Check</t>
    <phoneticPr fontId="9"/>
  </si>
  <si>
    <t>ブロック備考
Block Remarks</t>
    <phoneticPr fontId="9"/>
  </si>
  <si>
    <t>項目備考
Field Remarks</t>
    <phoneticPr fontId="9"/>
  </si>
  <si>
    <t>Operation type</t>
  </si>
  <si>
    <t>Management</t>
  </si>
  <si>
    <t>Search</t>
  </si>
  <si>
    <t>UPD,Create/Modify,0;DEL,Delete (Administrator),1;REF,View,3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</si>
  <si>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</si>
  <si>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</si>
  <si>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</si>
  <si>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</si>
  <si>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</si>
  <si>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</si>
  <si>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</si>
  <si>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Item type</t>
  </si>
  <si>
    <t>Item type name</t>
  </si>
  <si>
    <t>Item type details cd.</t>
  </si>
  <si>
    <t>Item type details name</t>
  </si>
  <si>
    <t>Standard item type details name</t>
  </si>
  <si>
    <t>Sales</t>
  </si>
  <si>
    <t>Mfg.</t>
  </si>
  <si>
    <t>Purchase</t>
  </si>
  <si>
    <t>Inspection</t>
  </si>
  <si>
    <t>Item journal cd.</t>
  </si>
  <si>
    <t>Item journal name</t>
  </si>
  <si>
    <t>Accounting item classification cd.</t>
  </si>
  <si>
    <t>Accounting item classification name</t>
  </si>
  <si>
    <t>Accept negative inventory</t>
  </si>
  <si>
    <t>Lot management type</t>
  </si>
  <si>
    <t>Lot management type name</t>
  </si>
  <si>
    <t>Lot No. numbering type</t>
  </si>
  <si>
    <t>Lot No. numbering type name</t>
  </si>
  <si>
    <t>Lot No. numbering pattern cd.</t>
  </si>
  <si>
    <t>Lot No. numbering pattern name</t>
  </si>
  <si>
    <t>Sublot management type</t>
  </si>
  <si>
    <t>Sublot management type name</t>
  </si>
  <si>
    <t>Sublot No. numbering type</t>
  </si>
  <si>
    <t>Sublot No. numbering type name</t>
  </si>
  <si>
    <t>Sublot No. numbering pattern cd.</t>
  </si>
  <si>
    <t>Sublot No. numbering pattern name</t>
  </si>
  <si>
    <t>Vendor lot No. required</t>
  </si>
  <si>
    <t>Disallow new lot input</t>
  </si>
  <si>
    <t>Check GI allocation</t>
  </si>
  <si>
    <t>SKU allocation</t>
  </si>
  <si>
    <t>Configuration/specification management type</t>
  </si>
  <si>
    <t>Configuration/specification management type name</t>
  </si>
  <si>
    <t>Allow sales order configuration rev.</t>
  </si>
  <si>
    <t>Configuration main item</t>
  </si>
  <si>
    <t>Item specification classification cd.</t>
  </si>
  <si>
    <t>Item specification classification name</t>
  </si>
  <si>
    <t>Inspection implementation unit type</t>
  </si>
  <si>
    <t>Inspection implementation unit type name</t>
  </si>
  <si>
    <t>Configuration check not required at shipping</t>
  </si>
  <si>
    <t>For expiration management</t>
  </si>
  <si>
    <t>Expiration management type</t>
  </si>
  <si>
    <t>Prohibit shipping lot reversal</t>
  </si>
  <si>
    <t>Shipping expiration date group cd.</t>
  </si>
  <si>
    <t>Shipping expiration date group name</t>
  </si>
  <si>
    <t>Sales unit price classification cd.</t>
  </si>
  <si>
    <t>Sales unit price classification name</t>
  </si>
  <si>
    <t>Sales order procurement item</t>
  </si>
  <si>
    <t>Sales order procurement type</t>
  </si>
  <si>
    <t>Sales order procurement type name</t>
  </si>
  <si>
    <t>Shipping order type</t>
  </si>
  <si>
    <t>Shipping order type name</t>
  </si>
  <si>
    <t>Item shipping group cd.</t>
  </si>
  <si>
    <t>Item shipping group name</t>
  </si>
  <si>
    <t>Receipt unnecessary</t>
  </si>
  <si>
    <t>Shipping conditions cd.</t>
  </si>
  <si>
    <t>Shipping conditions name</t>
  </si>
  <si>
    <t>For identification tag output</t>
  </si>
  <si>
    <t>For version control</t>
  </si>
  <si>
    <t>Mfg. order unit type</t>
  </si>
  <si>
    <t>Mfg. order unit type name</t>
  </si>
  <si>
    <t>Allow sales unit price change</t>
  </si>
  <si>
    <t>Allow purchasing unit price change</t>
  </si>
  <si>
    <t>Allow supply unit price change</t>
  </si>
  <si>
    <t>MRP process type</t>
  </si>
  <si>
    <t>MRP processing type name</t>
  </si>
  <si>
    <t>Requirements type</t>
  </si>
  <si>
    <t>Requirements type name</t>
  </si>
  <si>
    <t>Production planning type</t>
  </si>
  <si>
    <t>Production planning type name</t>
  </si>
  <si>
    <t>Number of months for demand disaggregation by day</t>
  </si>
  <si>
    <t>Allocation extra days</t>
  </si>
  <si>
    <t>MRP allocation extra days</t>
  </si>
  <si>
    <t>Days to consider unfirm transport request in MRP</t>
  </si>
  <si>
    <t>Allow input item addition</t>
  </si>
  <si>
    <t>Allow input item deletion</t>
  </si>
  <si>
    <t>Scheduler</t>
  </si>
  <si>
    <t>SEIBAN No. 1 management type</t>
  </si>
  <si>
    <t>SEIBAN No. 1 management type name</t>
  </si>
  <si>
    <t>Sales order SEIBAN No. 1 required</t>
  </si>
  <si>
    <t>Requirements SEIBAN No. 1 required</t>
  </si>
  <si>
    <t>SEIBAN No. 1 numbering type</t>
  </si>
  <si>
    <t>SEIBAN No. 1 numbering type name</t>
  </si>
  <si>
    <t>SEIBAN No. 1 numbering pattern cd.</t>
  </si>
  <si>
    <t>SEIBAN No. 1 numbering pattern name</t>
  </si>
  <si>
    <t>SEIBAN No. 2 management type</t>
  </si>
  <si>
    <t>SEIBAN No. 2 management type name</t>
  </si>
  <si>
    <t>Sales order SEIBAN No. 2 required</t>
  </si>
  <si>
    <t>Requirements SEIBAN No. 2 required</t>
  </si>
  <si>
    <t>SEIBAN No. 2 numbering type</t>
  </si>
  <si>
    <t>SEIBAN No. 2 numbering type name</t>
  </si>
  <si>
    <t>SEIBAN No. 2 numbering pattern cd.</t>
  </si>
  <si>
    <t>SEIBAN No. 2 numbering pattern name</t>
  </si>
  <si>
    <t>SEIBAN No. 3 management type</t>
  </si>
  <si>
    <t>SEIBAN No. 3 management type name</t>
  </si>
  <si>
    <t>Sales order SEIBAN No. 3 required</t>
  </si>
  <si>
    <t>Requirements SEIBAN No. 3 required</t>
  </si>
  <si>
    <t>SEIBAN No. 3 numbering type</t>
  </si>
  <si>
    <t>SEIBAN No. 3 numbering type name</t>
  </si>
  <si>
    <t>SEIBAN No. 3 numbering pattern cd.</t>
  </si>
  <si>
    <t>SEIBAN No. 3 numbering pattern name</t>
  </si>
  <si>
    <t>SEIBAN No. 4 management type</t>
  </si>
  <si>
    <t>SEIBAN No. 4 management type name</t>
  </si>
  <si>
    <t>Sales order SEIBAN No. 4 required</t>
  </si>
  <si>
    <t>Requirements SEIBAN No. 4 required</t>
  </si>
  <si>
    <t>SEIBAN No. 4 numbering type</t>
  </si>
  <si>
    <t>SEIBAN No. 4 numbering type name</t>
  </si>
  <si>
    <t>SEIBAN No. 4 numbering pattern cd.</t>
  </si>
  <si>
    <t>SEIBAN No. 4 numbering pattern name</t>
  </si>
  <si>
    <t>For market release decision</t>
  </si>
  <si>
    <t>Market release decision approval role cd.</t>
  </si>
  <si>
    <t>Market release decision approval role name</t>
  </si>
  <si>
    <t>Market release decision update role cd.</t>
  </si>
  <si>
    <t>Market release decision updating role name</t>
  </si>
  <si>
    <t>For factory release approval</t>
  </si>
  <si>
    <t>Factory release approval role cd.</t>
  </si>
  <si>
    <t>Factory release approval role name</t>
  </si>
  <si>
    <t>For inspection approval</t>
  </si>
  <si>
    <t>Inspection approval role cd.</t>
  </si>
  <si>
    <t>Inspection approval role name</t>
  </si>
  <si>
    <t>For mfg. approval</t>
  </si>
  <si>
    <t>Mfg. approval role cd.</t>
  </si>
  <si>
    <t>Mfg. approval role name</t>
  </si>
  <si>
    <t>SEIBAN No. 1 type</t>
  </si>
  <si>
    <t>SEIBAN No. 1 type name</t>
  </si>
  <si>
    <t>SEIBAN No. 2 type</t>
  </si>
  <si>
    <t>SEIBAN No. 2 type name</t>
  </si>
  <si>
    <t>SEIBAN No. 3 type</t>
  </si>
  <si>
    <t>SEIBAN No. 3 type name</t>
  </si>
  <si>
    <t>SEIBAN No. 4 type</t>
  </si>
  <si>
    <t>SEIBAN No. 4 type name</t>
  </si>
  <si>
    <t>By-product</t>
  </si>
  <si>
    <t>Require lot</t>
  </si>
  <si>
    <t>Lot mixed</t>
  </si>
  <si>
    <t>Sublots mixed</t>
  </si>
  <si>
    <t>Allocation control type</t>
  </si>
  <si>
    <t>Allocation control type name</t>
  </si>
  <si>
    <t>Input control type</t>
  </si>
  <si>
    <t>Input control type name</t>
  </si>
  <si>
    <t>Backflush type</t>
  </si>
  <si>
    <t>Backflush type name</t>
  </si>
  <si>
    <t>Copy-from child item</t>
  </si>
  <si>
    <t>Not costing (BOM)</t>
  </si>
  <si>
    <t>Calculation pattern cd.</t>
  </si>
  <si>
    <t>Calculation pattern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</si>
  <si>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</si>
  <si>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</si>
  <si>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</si>
  <si>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</si>
  <si>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</si>
  <si>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</si>
  <si>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</si>
  <si>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</si>
  <si>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</si>
  <si>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</si>
  <si>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</si>
  <si>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</si>
  <si>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</si>
  <si>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</si>
  <si>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</si>
  <si>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</si>
  <si>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</si>
  <si>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</si>
  <si>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</si>
  <si>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</si>
  <si>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Locale cd.</t>
  </si>
  <si>
    <t>Locale name</t>
  </si>
  <si>
    <t>Locale</t>
  </si>
  <si>
    <t>Update</t>
  </si>
  <si>
    <t>Delete</t>
  </si>
  <si>
    <t>上り項目
Request Message Field</t>
    <phoneticPr fontId="9"/>
  </si>
  <si>
    <t>下り項目
Response Message Field</t>
    <phoneticPr fontId="9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</si>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</sst>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&quot;$&quot;#,##0_);[Red]\(&quot;$&quot;#,##0\)"/>
    <numFmt numFmtId="179" formatCode="0.00_)"/>
  </numFmts>
  <fonts count="58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1"/>
      <charset val="128"/>
    </font>
    <font>
      <sz val="10"/>
      <color theme="1"/>
      <name val="Meiryo UI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41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725">
    <xf numFmtId="0" fontId="0" fillId="0" borderId="0">
      <alignment vertical="top" wrapText="1"/>
    </xf>
    <xf numFmtId="0" fontId="21" fillId="0" borderId="0"/>
    <xf numFmtId="0" fontId="21" fillId="0" borderId="0"/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177" fontId="22" fillId="0" borderId="0" applyFill="0" applyBorder="0" applyAlignment="0"/>
    <xf numFmtId="0" fontId="23" fillId="0" borderId="1" applyNumberFormat="0" applyAlignment="0" applyProtection="0">
      <alignment horizontal="left" vertical="center"/>
    </xf>
    <xf numFmtId="0" fontId="23" fillId="0" borderId="2">
      <alignment horizontal="left" vertical="center"/>
    </xf>
    <xf numFmtId="0" fontId="24" fillId="0" borderId="0"/>
    <xf numFmtId="0" fontId="25" fillId="0" borderId="0" applyNumberFormat="0" applyFont="0" applyFill="0" applyBorder="0" applyAlignment="0" applyProtection="0">
      <alignment horizontal="left"/>
    </xf>
    <xf numFmtId="0" fontId="26" fillId="0" borderId="3">
      <alignment horizontal="center"/>
    </xf>
    <xf numFmtId="0" fontId="27" fillId="0" borderId="0">
      <alignment wrapText="1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16" borderId="4" applyNumberFormat="0" applyAlignment="0" applyProtection="0">
      <alignment vertical="center"/>
    </xf>
    <xf numFmtId="0" fontId="13" fillId="16" borderId="4" applyNumberFormat="0" applyAlignment="0" applyProtection="0">
      <alignment vertical="center"/>
    </xf>
    <xf numFmtId="0" fontId="13" fillId="16" borderId="4" applyNumberFormat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5" borderId="5" applyNumberFormat="0" applyFont="0" applyAlignment="0" applyProtection="0">
      <alignment vertical="center"/>
    </xf>
    <xf numFmtId="0" fontId="30" fillId="5" borderId="5" applyNumberFormat="0" applyFont="0" applyAlignment="0" applyProtection="0">
      <alignment vertical="center"/>
    </xf>
    <xf numFmtId="0" fontId="30" fillId="5" borderId="5" applyNumberFormat="0" applyFon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36" fillId="0" borderId="0"/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31" fillId="17" borderId="7" applyNumberFormat="0" applyAlignment="0" applyProtection="0">
      <alignment vertical="center"/>
    </xf>
    <xf numFmtId="0" fontId="31" fillId="17" borderId="7" applyNumberFormat="0" applyAlignment="0" applyProtection="0">
      <alignment vertical="center"/>
    </xf>
    <xf numFmtId="0" fontId="31" fillId="1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17" borderId="12" applyNumberFormat="0" applyAlignment="0" applyProtection="0">
      <alignment vertical="center"/>
    </xf>
    <xf numFmtId="0" fontId="17" fillId="17" borderId="12" applyNumberFormat="0" applyAlignment="0" applyProtection="0">
      <alignment vertical="center"/>
    </xf>
    <xf numFmtId="0" fontId="17" fillId="17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11" fillId="0" borderId="0">
      <alignment vertical="center"/>
    </xf>
    <xf numFmtId="0" fontId="30" fillId="0" borderId="0"/>
    <xf numFmtId="0" fontId="35" fillId="0" borderId="0"/>
    <xf numFmtId="0" fontId="30" fillId="0" borderId="0"/>
    <xf numFmtId="0" fontId="30" fillId="0" borderId="0"/>
    <xf numFmtId="0" fontId="30" fillId="0" borderId="0"/>
    <xf numFmtId="0" fontId="8" fillId="0" borderId="0"/>
    <xf numFmtId="0" fontId="36" fillId="0" borderId="0"/>
    <xf numFmtId="0" fontId="30" fillId="0" borderId="0"/>
    <xf numFmtId="0" fontId="37" fillId="0" borderId="0"/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9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38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38" fontId="42" fillId="26" borderId="0" applyNumberFormat="0" applyBorder="0" applyAlignment="0" applyProtection="0"/>
    <xf numFmtId="10" fontId="42" fillId="27" borderId="15" applyNumberFormat="0" applyBorder="0" applyAlignment="0" applyProtection="0"/>
    <xf numFmtId="179" fontId="43" fillId="0" borderId="0"/>
    <xf numFmtId="10" fontId="24" fillId="0" borderId="0" applyFont="0" applyFill="0" applyBorder="0" applyAlignment="0" applyProtection="0"/>
    <xf numFmtId="0" fontId="12" fillId="2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10" fillId="5" borderId="5" applyNumberFormat="0" applyFont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4" fillId="3" borderId="0" applyNumberFormat="0" applyBorder="0" applyAlignment="0" applyProtection="0">
      <alignment vertical="center"/>
    </xf>
    <xf numFmtId="0" fontId="47" fillId="30" borderId="7" applyNumberFormat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9" fillId="0" borderId="43" applyNumberFormat="0" applyFill="0" applyAlignment="0" applyProtection="0">
      <alignment vertical="center"/>
    </xf>
    <xf numFmtId="0" fontId="50" fillId="0" borderId="44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 applyNumberFormat="0"/>
    <xf numFmtId="0" fontId="40" fillId="0" borderId="0" applyBorder="0" applyAlignment="0"/>
    <xf numFmtId="0" fontId="16" fillId="0" borderId="45" applyNumberFormat="0" applyFill="0" applyAlignment="0" applyProtection="0">
      <alignment vertical="center"/>
    </xf>
    <xf numFmtId="0" fontId="17" fillId="30" borderId="12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10" fillId="0" borderId="0">
      <alignment vertical="top" wrapText="1"/>
    </xf>
    <xf numFmtId="0" fontId="8" fillId="0" borderId="0"/>
    <xf numFmtId="0" fontId="10" fillId="0" borderId="0" applyNumberFormat="0"/>
    <xf numFmtId="0" fontId="40" fillId="0" borderId="0">
      <alignment vertical="center"/>
    </xf>
    <xf numFmtId="0" fontId="10" fillId="0" borderId="0" applyNumberFormat="0"/>
    <xf numFmtId="0" fontId="20" fillId="21" borderId="0" applyNumberFormat="0" applyBorder="0" applyAlignment="0" applyProtection="0">
      <alignment vertical="center"/>
    </xf>
    <xf numFmtId="0" fontId="7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7" fillId="0" borderId="0">
      <alignment vertical="center"/>
    </xf>
    <xf numFmtId="0" fontId="51" fillId="0" borderId="0"/>
    <xf numFmtId="0" fontId="6" fillId="0" borderId="0">
      <alignment vertical="center"/>
    </xf>
    <xf numFmtId="0" fontId="10" fillId="0" borderId="0">
      <alignment vertical="top" wrapText="1"/>
    </xf>
    <xf numFmtId="0" fontId="11" fillId="2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3" fillId="16" borderId="4" applyNumberFormat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10" fillId="5" borderId="5" applyNumberFormat="0" applyFont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47" fillId="30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9" fillId="0" borderId="43" applyNumberFormat="0" applyFill="0" applyAlignment="0" applyProtection="0">
      <alignment vertical="center"/>
    </xf>
    <xf numFmtId="0" fontId="50" fillId="0" borderId="44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16" fillId="0" borderId="45" applyNumberFormat="0" applyFill="0" applyAlignment="0" applyProtection="0">
      <alignment vertical="center"/>
    </xf>
    <xf numFmtId="0" fontId="17" fillId="30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5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>
      <alignment vertical="top"/>
    </xf>
    <xf numFmtId="38" fontId="41" fillId="0" borderId="0" applyFont="0" applyFill="0" applyBorder="0" applyAlignment="0" applyProtection="0"/>
    <xf numFmtId="0" fontId="30" fillId="0" borderId="0"/>
    <xf numFmtId="0" fontId="10" fillId="0" borderId="0">
      <alignment vertical="top"/>
    </xf>
    <xf numFmtId="0" fontId="10" fillId="0" borderId="0">
      <alignment vertical="top"/>
    </xf>
    <xf numFmtId="0" fontId="52" fillId="0" borderId="0">
      <alignment vertical="center"/>
    </xf>
    <xf numFmtId="0" fontId="10" fillId="0" borderId="0">
      <alignment vertical="top"/>
    </xf>
    <xf numFmtId="0" fontId="10" fillId="0" borderId="0">
      <alignment vertical="top"/>
    </xf>
    <xf numFmtId="38" fontId="30" fillId="0" borderId="0" applyFont="0" applyFill="0" applyBorder="0" applyAlignment="0" applyProtection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5" fillId="0" borderId="0">
      <alignment vertical="center"/>
    </xf>
    <xf numFmtId="0" fontId="10" fillId="0" borderId="0">
      <alignment vertical="top" wrapText="1"/>
    </xf>
    <xf numFmtId="0" fontId="51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>
      <alignment vertical="top"/>
    </xf>
    <xf numFmtId="0" fontId="39" fillId="0" borderId="0">
      <alignment vertical="center"/>
    </xf>
    <xf numFmtId="0" fontId="51" fillId="0" borderId="0"/>
    <xf numFmtId="0" fontId="51" fillId="0" borderId="0"/>
    <xf numFmtId="0" fontId="10" fillId="0" borderId="0">
      <alignment vertical="top" wrapText="1"/>
    </xf>
    <xf numFmtId="0" fontId="8" fillId="0" borderId="0"/>
    <xf numFmtId="0" fontId="10" fillId="0" borderId="0">
      <alignment vertical="top"/>
    </xf>
    <xf numFmtId="38" fontId="30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30" fillId="0" borderId="0">
      <alignment vertical="center"/>
    </xf>
    <xf numFmtId="0" fontId="4" fillId="0" borderId="0">
      <alignment vertical="center"/>
    </xf>
    <xf numFmtId="0" fontId="36" fillId="0" borderId="0"/>
    <xf numFmtId="0" fontId="11" fillId="0" borderId="0">
      <alignment vertical="center"/>
    </xf>
    <xf numFmtId="0" fontId="30" fillId="0" borderId="0"/>
    <xf numFmtId="0" fontId="35" fillId="0" borderId="0"/>
    <xf numFmtId="0" fontId="30" fillId="0" borderId="0"/>
    <xf numFmtId="0" fontId="5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2" fillId="0" borderId="0">
      <alignment vertical="center"/>
    </xf>
    <xf numFmtId="0" fontId="10" fillId="0" borderId="0">
      <alignment vertical="top"/>
    </xf>
    <xf numFmtId="0" fontId="4" fillId="0" borderId="0">
      <alignment vertical="center"/>
    </xf>
    <xf numFmtId="0" fontId="10" fillId="0" borderId="0">
      <alignment vertical="top" wrapText="1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6" fillId="0" borderId="0"/>
    <xf numFmtId="0" fontId="3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>
      <alignment vertical="top" wrapText="1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/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top" wrapText="1"/>
    </xf>
    <xf numFmtId="0" fontId="51" fillId="0" borderId="0"/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39" fillId="0" borderId="0">
      <alignment vertical="center"/>
    </xf>
    <xf numFmtId="0" fontId="51" fillId="0" borderId="0"/>
    <xf numFmtId="0" fontId="51" fillId="0" borderId="0"/>
    <xf numFmtId="0" fontId="10" fillId="0" borderId="0">
      <alignment vertical="top" wrapText="1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10" fillId="0" borderId="0">
      <alignment vertical="top"/>
    </xf>
    <xf numFmtId="0" fontId="10" fillId="0" borderId="0">
      <alignment vertical="top"/>
    </xf>
    <xf numFmtId="0" fontId="36" fillId="0" borderId="0"/>
    <xf numFmtId="0" fontId="10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top"/>
    </xf>
    <xf numFmtId="0" fontId="10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 wrapText="1"/>
    </xf>
    <xf numFmtId="0" fontId="11" fillId="0" borderId="0">
      <alignment vertical="center"/>
    </xf>
    <xf numFmtId="0" fontId="30" fillId="0" borderId="0"/>
    <xf numFmtId="0" fontId="35" fillId="0" borderId="0"/>
    <xf numFmtId="0" fontId="3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3">
    <xf numFmtId="0" fontId="0" fillId="0" borderId="0" xfId="0">
      <alignment vertical="top" wrapText="1"/>
    </xf>
    <xf numFmtId="0" fontId="54" fillId="0" borderId="0" xfId="0" applyFont="1">
      <alignment vertical="top" wrapText="1"/>
    </xf>
    <xf numFmtId="0" fontId="54" fillId="18" borderId="18" xfId="0" applyFont="1" applyFill="1" applyBorder="1" applyAlignment="1">
      <alignment vertical="top"/>
    </xf>
    <xf numFmtId="0" fontId="54" fillId="18" borderId="0" xfId="0" applyFont="1" applyFill="1" applyAlignment="1">
      <alignment vertical="top"/>
    </xf>
    <xf numFmtId="0" fontId="54" fillId="0" borderId="0" xfId="0" applyFont="1" applyAlignment="1">
      <alignment vertical="top"/>
    </xf>
    <xf numFmtId="0" fontId="54" fillId="0" borderId="15" xfId="0" applyFont="1" applyBorder="1" applyAlignment="1">
      <alignment vertical="top"/>
    </xf>
    <xf numFmtId="0" fontId="54" fillId="0" borderId="21" xfId="0" applyFont="1" applyBorder="1" applyAlignment="1">
      <alignment vertical="top"/>
    </xf>
    <xf numFmtId="0" fontId="54" fillId="0" borderId="14" xfId="0" applyFont="1" applyBorder="1" applyAlignment="1">
      <alignment vertical="top"/>
    </xf>
    <xf numFmtId="0" fontId="54" fillId="0" borderId="17" xfId="0" applyFont="1" applyBorder="1" applyAlignment="1">
      <alignment vertical="top"/>
    </xf>
    <xf numFmtId="0" fontId="54" fillId="0" borderId="13" xfId="0" applyFont="1" applyBorder="1" applyAlignment="1">
      <alignment vertical="top"/>
    </xf>
    <xf numFmtId="0" fontId="54" fillId="0" borderId="19" xfId="0" applyFont="1" applyBorder="1">
      <alignment vertical="top" wrapText="1"/>
    </xf>
    <xf numFmtId="0" fontId="54" fillId="18" borderId="47" xfId="0" applyFont="1" applyFill="1" applyBorder="1">
      <alignment vertical="top" wrapText="1"/>
    </xf>
    <xf numFmtId="0" fontId="54" fillId="18" borderId="47" xfId="0" applyFont="1" applyFill="1" applyBorder="1" applyAlignment="1">
      <alignment vertical="top"/>
    </xf>
    <xf numFmtId="0" fontId="54" fillId="18" borderId="48" xfId="0" applyFont="1" applyFill="1" applyBorder="1" applyAlignment="1">
      <alignment vertical="top"/>
    </xf>
    <xf numFmtId="0" fontId="54" fillId="0" borderId="50" xfId="0" applyFont="1" applyBorder="1">
      <alignment vertical="top" wrapText="1"/>
    </xf>
    <xf numFmtId="0" fontId="54" fillId="0" borderId="51" xfId="0" applyFont="1" applyBorder="1" applyAlignment="1">
      <alignment vertical="top"/>
    </xf>
    <xf numFmtId="0" fontId="54" fillId="0" borderId="50" xfId="0" applyFont="1" applyBorder="1" applyAlignment="1">
      <alignment vertical="top"/>
    </xf>
    <xf numFmtId="0" fontId="54" fillId="19" borderId="47" xfId="0" applyFont="1" applyFill="1" applyBorder="1" applyAlignment="1">
      <alignment vertical="top"/>
    </xf>
    <xf numFmtId="0" fontId="54" fillId="0" borderId="19" xfId="0" applyFont="1" applyBorder="1" applyAlignment="1">
      <alignment vertical="top"/>
    </xf>
    <xf numFmtId="0" fontId="57" fillId="0" borderId="0" xfId="138" applyFont="1"/>
    <xf numFmtId="0" fontId="57" fillId="0" borderId="0" xfId="138" applyFont="1" applyAlignment="1">
      <alignment horizontal="center" vertical="center"/>
    </xf>
    <xf numFmtId="0" fontId="57" fillId="0" borderId="0" xfId="138" applyFont="1" applyAlignment="1">
      <alignment horizontal="center"/>
    </xf>
    <xf numFmtId="0" fontId="57" fillId="0" borderId="0" xfId="139" applyFont="1"/>
    <xf numFmtId="0" fontId="57" fillId="0" borderId="0" xfId="139" applyFont="1" applyAlignment="1">
      <alignment horizontal="center"/>
    </xf>
    <xf numFmtId="0" fontId="54" fillId="0" borderId="53" xfId="0" applyFont="1" applyBorder="1" applyAlignment="1">
      <alignment vertical="top"/>
    </xf>
    <xf numFmtId="0" fontId="54" fillId="18" borderId="54" xfId="0" applyFont="1" applyFill="1" applyBorder="1" applyAlignment="1">
      <alignment vertical="top"/>
    </xf>
    <xf numFmtId="0" fontId="54" fillId="18" borderId="55" xfId="0" applyFont="1" applyFill="1" applyBorder="1" applyAlignment="1">
      <alignment vertical="top"/>
    </xf>
    <xf numFmtId="0" fontId="54" fillId="0" borderId="56" xfId="0" applyFont="1" applyBorder="1" applyAlignment="1">
      <alignment vertical="top"/>
    </xf>
    <xf numFmtId="0" fontId="54" fillId="19" borderId="54" xfId="0" applyFont="1" applyFill="1" applyBorder="1" applyAlignment="1">
      <alignment vertical="top"/>
    </xf>
    <xf numFmtId="0" fontId="54" fillId="0" borderId="57" xfId="0" applyFont="1" applyBorder="1" applyAlignment="1">
      <alignment vertical="top"/>
    </xf>
    <xf numFmtId="0" fontId="54" fillId="19" borderId="47" xfId="0" applyFont="1" applyFill="1" applyBorder="1">
      <alignment vertical="top" wrapText="1"/>
    </xf>
    <xf numFmtId="0" fontId="54" fillId="18" borderId="50" xfId="0" applyFont="1" applyFill="1" applyBorder="1">
      <alignment vertical="top" wrapText="1"/>
    </xf>
    <xf numFmtId="0" fontId="54" fillId="18" borderId="13" xfId="0" applyFont="1" applyFill="1" applyBorder="1">
      <alignment vertical="top" wrapText="1"/>
    </xf>
    <xf numFmtId="0" fontId="54" fillId="18" borderId="14" xfId="0" applyFont="1" applyFill="1" applyBorder="1">
      <alignment vertical="top" wrapText="1"/>
    </xf>
    <xf numFmtId="0" fontId="54" fillId="0" borderId="46" xfId="0" applyFont="1" applyBorder="1">
      <alignment vertical="top" wrapText="1"/>
    </xf>
    <xf numFmtId="0" fontId="54" fillId="0" borderId="47" xfId="0" applyFont="1" applyBorder="1">
      <alignment vertical="top" wrapText="1"/>
    </xf>
    <xf numFmtId="0" fontId="54" fillId="0" borderId="48" xfId="0" applyFont="1" applyBorder="1">
      <alignment vertical="top" wrapText="1"/>
    </xf>
    <xf numFmtId="3" fontId="54" fillId="18" borderId="47" xfId="0" applyNumberFormat="1" applyFont="1" applyFill="1" applyBorder="1">
      <alignment vertical="top" wrapText="1"/>
    </xf>
    <xf numFmtId="0" fontId="54" fillId="0" borderId="13" xfId="0" applyFont="1" applyBorder="1">
      <alignment vertical="top" wrapText="1"/>
    </xf>
    <xf numFmtId="0" fontId="54" fillId="0" borderId="14" xfId="0" applyFont="1" applyBorder="1">
      <alignment vertical="top" wrapText="1"/>
    </xf>
    <xf numFmtId="0" fontId="54" fillId="18" borderId="18" xfId="0" applyFont="1" applyFill="1" applyBorder="1">
      <alignment vertical="top" wrapText="1"/>
    </xf>
    <xf numFmtId="0" fontId="54" fillId="18" borderId="0" xfId="0" applyFont="1" applyFill="1">
      <alignment vertical="top" wrapText="1"/>
    </xf>
    <xf numFmtId="0" fontId="54" fillId="0" borderId="18" xfId="0" applyFont="1" applyBorder="1">
      <alignment vertical="top" wrapText="1"/>
    </xf>
    <xf numFmtId="0" fontId="54" fillId="18" borderId="20" xfId="0" applyFont="1" applyFill="1" applyBorder="1">
      <alignment vertical="top" wrapText="1"/>
    </xf>
    <xf numFmtId="0" fontId="54" fillId="0" borderId="51" xfId="0" applyFont="1" applyBorder="1">
      <alignment vertical="top" wrapText="1"/>
    </xf>
    <xf numFmtId="0" fontId="54" fillId="0" borderId="49" xfId="0" applyFont="1" applyBorder="1">
      <alignment vertical="top" wrapText="1"/>
    </xf>
    <xf numFmtId="0" fontId="54" fillId="19" borderId="14" xfId="0" applyFont="1" applyFill="1" applyBorder="1">
      <alignment vertical="top" wrapText="1"/>
    </xf>
    <xf numFmtId="0" fontId="54" fillId="0" borderId="52" xfId="0" applyFont="1" applyBorder="1">
      <alignment vertical="top" wrapText="1"/>
    </xf>
    <xf numFmtId="0" fontId="54" fillId="0" borderId="16" xfId="0" applyFont="1" applyBorder="1">
      <alignment vertical="top" wrapText="1"/>
    </xf>
    <xf numFmtId="0" fontId="54" fillId="0" borderId="22" xfId="0" applyFont="1" applyBorder="1">
      <alignment vertical="top" wrapText="1"/>
    </xf>
    <xf numFmtId="0" fontId="54" fillId="18" borderId="54" xfId="0" applyFont="1" applyFill="1" applyBorder="1">
      <alignment vertical="top" wrapText="1"/>
    </xf>
    <xf numFmtId="0" fontId="54" fillId="0" borderId="56" xfId="0" applyFont="1" applyBorder="1">
      <alignment vertical="top" wrapText="1"/>
    </xf>
    <xf numFmtId="0" fontId="54" fillId="31" borderId="47" xfId="0" applyFont="1" applyFill="1" applyBorder="1">
      <alignment vertical="top" wrapText="1"/>
    </xf>
    <xf numFmtId="0" fontId="54" fillId="0" borderId="57" xfId="0" applyFont="1" applyBorder="1">
      <alignment vertical="top" wrapText="1"/>
    </xf>
    <xf numFmtId="0" fontId="54" fillId="0" borderId="17" xfId="0" applyFont="1" applyBorder="1">
      <alignment vertical="top" wrapText="1"/>
    </xf>
    <xf numFmtId="0" fontId="54" fillId="0" borderId="15" xfId="0" applyFont="1" applyBorder="1">
      <alignment vertical="top" wrapText="1"/>
    </xf>
    <xf numFmtId="0" fontId="55" fillId="19" borderId="37" xfId="138" applyFont="1" applyFill="1" applyBorder="1" applyAlignment="1">
      <alignment horizontal="center" vertical="center"/>
    </xf>
    <xf numFmtId="0" fontId="56" fillId="0" borderId="3" xfId="137" applyFont="1" applyBorder="1" applyAlignment="1">
      <alignment vertical="center"/>
    </xf>
    <xf numFmtId="0" fontId="56" fillId="0" borderId="38" xfId="137" applyFont="1" applyBorder="1" applyAlignment="1">
      <alignment vertical="center"/>
    </xf>
    <xf numFmtId="0" fontId="57" fillId="19" borderId="39" xfId="139" applyFont="1" applyFill="1" applyBorder="1" applyAlignment="1">
      <alignment horizontal="center" vertical="center"/>
    </xf>
    <xf numFmtId="0" fontId="56" fillId="0" borderId="1" xfId="137" applyFont="1" applyBorder="1" applyAlignment="1">
      <alignment horizontal="center" vertical="center"/>
    </xf>
    <xf numFmtId="0" fontId="56" fillId="0" borderId="25" xfId="137" applyFont="1" applyBorder="1" applyAlignment="1">
      <alignment horizontal="center" vertical="center"/>
    </xf>
    <xf numFmtId="0" fontId="57" fillId="19" borderId="1" xfId="139" applyFont="1" applyFill="1" applyBorder="1" applyAlignment="1">
      <alignment horizontal="center" vertical="center"/>
    </xf>
    <xf numFmtId="0" fontId="57" fillId="19" borderId="25" xfId="139" applyFont="1" applyFill="1" applyBorder="1" applyAlignment="1">
      <alignment horizontal="center" vertical="center"/>
    </xf>
    <xf numFmtId="0" fontId="57" fillId="19" borderId="39" xfId="137" applyFont="1" applyFill="1" applyBorder="1" applyAlignment="1">
      <alignment horizontal="center" vertical="center"/>
    </xf>
    <xf numFmtId="0" fontId="57" fillId="0" borderId="1" xfId="137" applyFont="1" applyBorder="1" applyAlignment="1">
      <alignment horizontal="center" vertical="center"/>
    </xf>
    <xf numFmtId="0" fontId="57" fillId="0" borderId="40" xfId="137" applyFont="1" applyBorder="1" applyAlignment="1">
      <alignment horizontal="center" vertical="center"/>
    </xf>
    <xf numFmtId="176" fontId="56" fillId="0" borderId="29" xfId="139" applyNumberFormat="1" applyFont="1" applyBorder="1" applyAlignment="1">
      <alignment horizontal="center" vertical="center"/>
    </xf>
    <xf numFmtId="176" fontId="56" fillId="0" borderId="2" xfId="137" applyNumberFormat="1" applyFont="1" applyBorder="1" applyAlignment="1">
      <alignment horizontal="center" vertical="center"/>
    </xf>
    <xf numFmtId="176" fontId="56" fillId="0" borderId="17" xfId="137" applyNumberFormat="1" applyFont="1" applyBorder="1" applyAlignment="1">
      <alignment horizontal="center" vertical="center"/>
    </xf>
    <xf numFmtId="0" fontId="56" fillId="0" borderId="16" xfId="139" applyFont="1" applyBorder="1" applyAlignment="1">
      <alignment horizontal="left" vertical="center" wrapText="1"/>
    </xf>
    <xf numFmtId="0" fontId="56" fillId="0" borderId="2" xfId="137" applyFont="1" applyBorder="1" applyAlignment="1">
      <alignment horizontal="left" vertical="center" wrapText="1"/>
    </xf>
    <xf numFmtId="0" fontId="56" fillId="0" borderId="17" xfId="137" applyFont="1" applyBorder="1" applyAlignment="1">
      <alignment horizontal="left" vertical="center" wrapText="1"/>
    </xf>
    <xf numFmtId="0" fontId="56" fillId="0" borderId="2" xfId="137" applyFont="1" applyBorder="1" applyAlignment="1">
      <alignment vertical="center" wrapText="1"/>
    </xf>
    <xf numFmtId="0" fontId="56" fillId="0" borderId="17" xfId="137" applyFont="1" applyBorder="1" applyAlignment="1">
      <alignment vertical="center" wrapText="1"/>
    </xf>
    <xf numFmtId="0" fontId="56" fillId="0" borderId="16" xfId="139" applyFont="1" applyBorder="1" applyAlignment="1">
      <alignment vertical="center" wrapText="1"/>
    </xf>
    <xf numFmtId="0" fontId="56" fillId="0" borderId="23" xfId="137" applyFont="1" applyBorder="1" applyAlignment="1">
      <alignment vertical="center" wrapText="1"/>
    </xf>
    <xf numFmtId="176" fontId="56" fillId="0" borderId="36" xfId="139" applyNumberFormat="1" applyFont="1" applyBorder="1" applyAlignment="1">
      <alignment horizontal="center" vertical="center"/>
    </xf>
    <xf numFmtId="176" fontId="56" fillId="0" borderId="33" xfId="137" applyNumberFormat="1" applyFont="1" applyBorder="1" applyAlignment="1">
      <alignment horizontal="center" vertical="center"/>
    </xf>
    <xf numFmtId="176" fontId="56" fillId="0" borderId="34" xfId="137" applyNumberFormat="1" applyFont="1" applyBorder="1" applyAlignment="1">
      <alignment horizontal="center" vertical="center"/>
    </xf>
    <xf numFmtId="0" fontId="56" fillId="0" borderId="32" xfId="139" applyFont="1" applyBorder="1" applyAlignment="1">
      <alignment horizontal="left" vertical="center" wrapText="1"/>
    </xf>
    <xf numFmtId="0" fontId="56" fillId="0" borderId="33" xfId="137" applyFont="1" applyBorder="1" applyAlignment="1">
      <alignment horizontal="left" vertical="center" wrapText="1"/>
    </xf>
    <xf numFmtId="0" fontId="56" fillId="0" borderId="34" xfId="137" applyFont="1" applyBorder="1" applyAlignment="1">
      <alignment horizontal="left" vertical="center" wrapText="1"/>
    </xf>
    <xf numFmtId="0" fontId="56" fillId="0" borderId="33" xfId="137" applyFont="1" applyBorder="1" applyAlignment="1">
      <alignment vertical="center" wrapText="1"/>
    </xf>
    <xf numFmtId="0" fontId="56" fillId="0" borderId="34" xfId="137" applyFont="1" applyBorder="1" applyAlignment="1">
      <alignment vertical="center" wrapText="1"/>
    </xf>
    <xf numFmtId="0" fontId="56" fillId="0" borderId="32" xfId="139" applyFont="1" applyBorder="1" applyAlignment="1">
      <alignment vertical="center" wrapText="1"/>
    </xf>
    <xf numFmtId="0" fontId="56" fillId="0" borderId="35" xfId="137" applyFont="1" applyBorder="1" applyAlignment="1">
      <alignment vertical="center" wrapText="1"/>
    </xf>
    <xf numFmtId="0" fontId="56" fillId="0" borderId="30" xfId="139" applyFont="1" applyBorder="1" applyAlignment="1">
      <alignment horizontal="left" vertical="center" wrapText="1"/>
    </xf>
    <xf numFmtId="0" fontId="56" fillId="0" borderId="27" xfId="137" applyFont="1" applyBorder="1" applyAlignment="1">
      <alignment horizontal="left" vertical="center" wrapText="1"/>
    </xf>
    <xf numFmtId="0" fontId="56" fillId="0" borderId="28" xfId="137" applyFont="1" applyBorder="1" applyAlignment="1">
      <alignment horizontal="left" vertical="center" wrapText="1"/>
    </xf>
    <xf numFmtId="0" fontId="57" fillId="19" borderId="24" xfId="139" applyFont="1" applyFill="1" applyBorder="1" applyAlignment="1">
      <alignment horizontal="center" vertical="center"/>
    </xf>
    <xf numFmtId="176" fontId="56" fillId="0" borderId="26" xfId="139" applyNumberFormat="1" applyFont="1" applyBorder="1" applyAlignment="1">
      <alignment horizontal="center" vertical="center"/>
    </xf>
    <xf numFmtId="176" fontId="56" fillId="0" borderId="27" xfId="137" applyNumberFormat="1" applyFont="1" applyBorder="1" applyAlignment="1">
      <alignment horizontal="center" vertical="center"/>
    </xf>
    <xf numFmtId="176" fontId="56" fillId="0" borderId="28" xfId="137" applyNumberFormat="1" applyFont="1" applyBorder="1" applyAlignment="1">
      <alignment horizontal="center" vertical="center"/>
    </xf>
    <xf numFmtId="0" fontId="56" fillId="0" borderId="16" xfId="139" applyFont="1" applyBorder="1" applyAlignment="1">
      <alignment horizontal="left" vertical="center"/>
    </xf>
    <xf numFmtId="0" fontId="56" fillId="0" borderId="56" xfId="137" applyFont="1" applyBorder="1" applyAlignment="1">
      <alignment horizontal="left" vertical="center"/>
    </xf>
    <xf numFmtId="0" fontId="56" fillId="0" borderId="55" xfId="137" applyFont="1" applyBorder="1" applyAlignment="1">
      <alignment horizontal="left" vertical="center"/>
    </xf>
    <xf numFmtId="0" fontId="56" fillId="0" borderId="16" xfId="139" applyFont="1" applyBorder="1" applyAlignment="1">
      <alignment vertical="center"/>
    </xf>
    <xf numFmtId="0" fontId="56" fillId="0" borderId="56" xfId="137" applyFont="1" applyBorder="1" applyAlignment="1">
      <alignment vertical="center"/>
    </xf>
    <xf numFmtId="0" fontId="56" fillId="0" borderId="23" xfId="137" applyFont="1" applyBorder="1" applyAlignment="1">
      <alignment vertical="center"/>
    </xf>
    <xf numFmtId="0" fontId="56" fillId="0" borderId="27" xfId="137" applyFont="1" applyBorder="1" applyAlignment="1">
      <alignment vertical="center" wrapText="1"/>
    </xf>
    <xf numFmtId="0" fontId="56" fillId="0" borderId="28" xfId="137" applyFont="1" applyBorder="1" applyAlignment="1">
      <alignment vertical="center" wrapText="1"/>
    </xf>
    <xf numFmtId="0" fontId="56" fillId="0" borderId="30" xfId="139" applyFont="1" applyBorder="1" applyAlignment="1">
      <alignment vertical="center" wrapText="1"/>
    </xf>
    <xf numFmtId="0" fontId="56" fillId="0" borderId="31" xfId="137" applyFont="1" applyBorder="1" applyAlignment="1">
      <alignment vertical="center" wrapText="1"/>
    </xf>
    <xf numFmtId="0" fontId="54" fillId="0" borderId="16" xfId="0" applyFont="1" applyBorder="1">
      <alignment vertical="top" wrapText="1"/>
    </xf>
    <xf numFmtId="0" fontId="54" fillId="0" borderId="56" xfId="0" applyFont="1" applyBorder="1">
      <alignment vertical="top" wrapText="1"/>
    </xf>
    <xf numFmtId="0" fontId="54" fillId="0" borderId="55" xfId="0" applyFont="1" applyBorder="1">
      <alignment vertical="top" wrapText="1"/>
    </xf>
    <xf numFmtId="0" fontId="54" fillId="0" borderId="47" xfId="0" applyFont="1" applyBorder="1">
      <alignment vertical="top" wrapText="1"/>
    </xf>
    <xf numFmtId="0" fontId="54" fillId="19" borderId="14" xfId="0" applyFont="1" applyFill="1" applyBorder="1">
      <alignment vertical="top" wrapText="1"/>
    </xf>
    <xf numFmtId="0" fontId="54" fillId="0" borderId="48" xfId="0" applyFont="1" applyBorder="1">
      <alignment vertical="top" wrapText="1"/>
    </xf>
    <xf numFmtId="0" fontId="54" fillId="18" borderId="16" xfId="0" applyFont="1" applyFill="1" applyBorder="1">
      <alignment vertical="top" wrapText="1"/>
    </xf>
    <xf numFmtId="0" fontId="54" fillId="18" borderId="48" xfId="0" applyFont="1" applyFill="1" applyBorder="1">
      <alignment vertical="top" wrapText="1"/>
    </xf>
    <xf numFmtId="0" fontId="54" fillId="18" borderId="47" xfId="0" applyFont="1" applyFill="1" applyBorder="1">
      <alignment vertical="top" wrapText="1"/>
    </xf>
  </cellXfs>
  <cellStyles count="725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5" xr:uid="{00000000-0005-0000-0000-000005000000}"/>
    <cellStyle name="20% - アクセント 1 6" xfId="208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46" xr:uid="{00000000-0005-0000-0000-00000A000000}"/>
    <cellStyle name="20% - アクセント 2 6" xfId="209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47" xr:uid="{00000000-0005-0000-0000-00000F000000}"/>
    <cellStyle name="20% - アクセント 3 6" xfId="210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48" xr:uid="{00000000-0005-0000-0000-000014000000}"/>
    <cellStyle name="20% - アクセント 4 6" xfId="211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212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49" xr:uid="{00000000-0005-0000-0000-00001D000000}"/>
    <cellStyle name="20% - アクセント 6 6" xfId="213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50" xr:uid="{00000000-0005-0000-0000-000022000000}"/>
    <cellStyle name="40% - アクセント 1 6" xfId="214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215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1" xr:uid="{00000000-0005-0000-0000-00002B000000}"/>
    <cellStyle name="40% - アクセント 3 6" xfId="216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2" xr:uid="{00000000-0005-0000-0000-000030000000}"/>
    <cellStyle name="40% - アクセント 4 6" xfId="217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3" xr:uid="{00000000-0005-0000-0000-000035000000}"/>
    <cellStyle name="40% - アクセント 5 6" xfId="218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4" xr:uid="{00000000-0005-0000-0000-00003A000000}"/>
    <cellStyle name="40% - アクセント 6 6" xfId="219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5" xr:uid="{00000000-0005-0000-0000-00003F000000}"/>
    <cellStyle name="60% - アクセント 1 6" xfId="220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56" xr:uid="{00000000-0005-0000-0000-000044000000}"/>
    <cellStyle name="60% - アクセント 2 6" xfId="221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57" xr:uid="{00000000-0005-0000-0000-000049000000}"/>
    <cellStyle name="60% - アクセント 3 6" xfId="222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58" xr:uid="{00000000-0005-0000-0000-00004E000000}"/>
    <cellStyle name="60% - アクセント 4 6" xfId="223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59" xr:uid="{00000000-0005-0000-0000-000053000000}"/>
    <cellStyle name="60% - アクセント 5 6" xfId="224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60" xr:uid="{00000000-0005-0000-0000-000058000000}"/>
    <cellStyle name="60% - アクセント 6 6" xfId="225" xr:uid="{00000000-0005-0000-0000-000059000000}"/>
    <cellStyle name="Calc Currency (0)" xfId="57" xr:uid="{00000000-0005-0000-0000-00005A000000}"/>
    <cellStyle name="Comma [0]" xfId="161" xr:uid="{00000000-0005-0000-0000-00005B000000}"/>
    <cellStyle name="Comma [0] 2" xfId="264" xr:uid="{00000000-0005-0000-0000-00005C000000}"/>
    <cellStyle name="Currency [0]" xfId="162" xr:uid="{00000000-0005-0000-0000-00005D000000}"/>
    <cellStyle name="Grey" xfId="163" xr:uid="{00000000-0005-0000-0000-00005E000000}"/>
    <cellStyle name="Header1" xfId="58" xr:uid="{00000000-0005-0000-0000-00005F000000}"/>
    <cellStyle name="Header2" xfId="59" xr:uid="{00000000-0005-0000-0000-000060000000}"/>
    <cellStyle name="Input [yellow]" xfId="164" xr:uid="{00000000-0005-0000-0000-000061000000}"/>
    <cellStyle name="Normal - Style1" xfId="165" xr:uid="{00000000-0005-0000-0000-000062000000}"/>
    <cellStyle name="Normal_#18-Internet" xfId="60" xr:uid="{00000000-0005-0000-0000-000063000000}"/>
    <cellStyle name="Percent [2]" xfId="166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7" xr:uid="{00000000-0005-0000-0000-00006B000000}"/>
    <cellStyle name="アクセント 1 6" xfId="226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8" xr:uid="{00000000-0005-0000-0000-000070000000}"/>
    <cellStyle name="アクセント 2 6" xfId="227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9" xr:uid="{00000000-0005-0000-0000-000075000000}"/>
    <cellStyle name="アクセント 3 6" xfId="228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70" xr:uid="{00000000-0005-0000-0000-00007A000000}"/>
    <cellStyle name="アクセント 4 6" xfId="229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30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71" xr:uid="{00000000-0005-0000-0000-000083000000}"/>
    <cellStyle name="アクセント 6 6" xfId="231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72" xr:uid="{00000000-0005-0000-0000-000088000000}"/>
    <cellStyle name="タイトル 6" xfId="232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33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73" xr:uid="{00000000-0005-0000-0000-000091000000}"/>
    <cellStyle name="どちらでもない 6" xfId="234" xr:uid="{00000000-0005-0000-0000-000092000000}"/>
    <cellStyle name="ハイパーリンク 2" xfId="438" xr:uid="{00000000-0005-0000-0000-000093000000}"/>
    <cellStyle name="メモ 2" xfId="91" xr:uid="{00000000-0005-0000-0000-000094000000}"/>
    <cellStyle name="メモ 3" xfId="92" xr:uid="{00000000-0005-0000-0000-000095000000}"/>
    <cellStyle name="メモ 4" xfId="93" xr:uid="{00000000-0005-0000-0000-000096000000}"/>
    <cellStyle name="メモ 5" xfId="174" xr:uid="{00000000-0005-0000-0000-000097000000}"/>
    <cellStyle name="メモ 6" xfId="235" xr:uid="{00000000-0005-0000-0000-000098000000}"/>
    <cellStyle name="リンク セル 2" xfId="94" xr:uid="{00000000-0005-0000-0000-000099000000}"/>
    <cellStyle name="リンク セル 3" xfId="95" xr:uid="{00000000-0005-0000-0000-00009A000000}"/>
    <cellStyle name="リンク セル 4" xfId="96" xr:uid="{00000000-0005-0000-0000-00009B000000}"/>
    <cellStyle name="リンク セル 5" xfId="175" xr:uid="{00000000-0005-0000-0000-00009C000000}"/>
    <cellStyle name="リンク セル 6" xfId="236" xr:uid="{00000000-0005-0000-0000-00009D000000}"/>
    <cellStyle name="_x001d__x000c_K_x0014__x000d_&gt;V_x0001_&gt;_x0014_n_x001e__x0007__x0001__x0001_" xfId="97" xr:uid="{00000000-0005-0000-0000-00009E000000}"/>
    <cellStyle name="_x001d__x000c_K_x0014__x000d_&gt;V_x0001_&gt;_x0014_n_x001e__x0007__x0001__x0001_ 2" xfId="176" xr:uid="{00000000-0005-0000-0000-00009F000000}"/>
    <cellStyle name="_x001d__x000c_K_x0014__x000d_&gt;V_x0001_&gt;_x0014_n_x001e__x0007__x0001__x0001_ 2 2" xfId="177" xr:uid="{00000000-0005-0000-0000-0000A0000000}"/>
    <cellStyle name="_x001d__x000c_K_x0014__x000d_&gt;V_x0001_&gt;_x0014_n_x001e__x0007__x0001__x0001_ 2 2 2" xfId="286" xr:uid="{00000000-0005-0000-0000-0000A1000000}"/>
    <cellStyle name="_x001d__x000c_K_x0014__x000d_&gt;V_x0001_&gt;_x0014_n_x001e__x0007__x0001__x0001_ 2 2 2 2" xfId="296" xr:uid="{00000000-0005-0000-0000-0000A2000000}"/>
    <cellStyle name="_x001d__x000c_K_x0014__x000d_&gt;V_x0001_&gt;_x0014_n_x001e__x0007__x0001__x0001_ 2 2 3" xfId="369" xr:uid="{00000000-0005-0000-0000-0000A3000000}"/>
    <cellStyle name="_x001d__x000c_K_x0014__x000d_&gt;V_x0001_&gt;_x0014_n_x001e__x0007__x0001__x0001_ 2 2 4" xfId="420" xr:uid="{00000000-0005-0000-0000-0000A4000000}"/>
    <cellStyle name="_x001d__x000c_K_x0014__x000d_&gt;V_x0001_&gt;_x0014_n_x001e__x0007__x0001__x0001_ 2 2 5" xfId="441" xr:uid="{00000000-0005-0000-0000-0000A5000000}"/>
    <cellStyle name="_x001d__x000c_K_x0014__x000d_&gt;V_x0001_&gt;_x0014_n_x001e__x0007__x0001__x0001_ 2 3" xfId="178" xr:uid="{00000000-0005-0000-0000-0000A6000000}"/>
    <cellStyle name="_x001d__x000c_K_x0014__x000d_&gt;V_x0001_&gt;_x0014_n_x001e__x0007__x0001__x0001_ 2 3 2" xfId="205" xr:uid="{00000000-0005-0000-0000-0000A7000000}"/>
    <cellStyle name="_x001d__x000c_K_x0014__x000d_&gt;V_x0001_&gt;_x0014_n_x001e__x0007__x0001__x0001_ 2 4" xfId="202" xr:uid="{00000000-0005-0000-0000-0000A8000000}"/>
    <cellStyle name="_x001d__x000c_K_x0014__x000d_&gt;V_x0001_&gt;_x0014_n_x001e__x0007__x0001__x0001_ 3" xfId="179" xr:uid="{00000000-0005-0000-0000-0000A9000000}"/>
    <cellStyle name="_x001d__x000c_K_x0014__x000d_&gt;V_x0001_&gt;_x0014_n_x001e__x0007__x0001__x0001_ 3 2" xfId="180" xr:uid="{00000000-0005-0000-0000-0000AA000000}"/>
    <cellStyle name="_x001d__x000c_K_x0014__x000d_&gt;V_x0001_&gt;_x0014_n_x001e__x0007__x0001__x0001_ 3 2 2" xfId="250" xr:uid="{00000000-0005-0000-0000-0000AB000000}"/>
    <cellStyle name="_x001d__x000c_K_x0014__x000d_&gt;V_x0001_&gt;_x0014_n_x001e__x0007__x0001__x0001_ 3 2 3" xfId="332" xr:uid="{00000000-0005-0000-0000-0000AC000000}"/>
    <cellStyle name="_x001d__x000c_K_x0014__x000d_&gt;V_x0001_&gt;_x0014_n_x001e__x0007__x0001__x0001_ 3 3" xfId="203" xr:uid="{00000000-0005-0000-0000-0000AD000000}"/>
    <cellStyle name="_x001d__x000c_K_x0014__x000d_&gt;V_x0001_&gt;_x0014_n_x001e__x0007__x0001__x0001_ 3 3 2" xfId="255" xr:uid="{00000000-0005-0000-0000-0000AE000000}"/>
    <cellStyle name="_x001d__x000c_K_x0014__x000d_&gt;V_x0001_&gt;_x0014_n_x001e__x0007__x0001__x0001_ 3 3 3" xfId="387" xr:uid="{00000000-0005-0000-0000-0000AF000000}"/>
    <cellStyle name="_x001d__x000c_K_x0014__x000d_&gt;V_x0001_&gt;_x0014_n_x001e__x0007__x0001__x0001_ 3 4" xfId="278" xr:uid="{00000000-0005-0000-0000-0000B0000000}"/>
    <cellStyle name="_x001d__x000c_K_x0014__x000d_&gt;V_x0001_&gt;_x0014_n_x001e__x0007__x0001__x0001_ 3 5" xfId="421" xr:uid="{00000000-0005-0000-0000-0000B1000000}"/>
    <cellStyle name="_x001d__x000c_K_x0014__x000d_&gt;V_x0001_&gt;_x0014_n_x001e__x0007__x0001__x0001_ 4" xfId="181" xr:uid="{00000000-0005-0000-0000-0000B2000000}"/>
    <cellStyle name="_x001d__x000c_K_x0014__x000d_&gt;V_x0001_&gt;_x0014_n_x001e__x0007__x0001__x0001_ 4 2" xfId="333" xr:uid="{00000000-0005-0000-0000-0000B3000000}"/>
    <cellStyle name="_x001d__x000c_K_x0014__x000d_&gt;V_x0001_&gt;_x0014_n_x001e__x0007__x0001__x0001_ 4 3" xfId="287" xr:uid="{00000000-0005-0000-0000-0000B4000000}"/>
    <cellStyle name="_x001d__x000c_K_x0014__x000d_&gt;V_x0001_&gt;_x0014_n_x001e__x0007__x0001__x0001_ 5" xfId="201" xr:uid="{00000000-0005-0000-0000-0000B5000000}"/>
    <cellStyle name="悪い 2" xfId="98" xr:uid="{00000000-0005-0000-0000-0000B6000000}"/>
    <cellStyle name="悪い 3" xfId="99" xr:uid="{00000000-0005-0000-0000-0000B7000000}"/>
    <cellStyle name="悪い 4" xfId="100" xr:uid="{00000000-0005-0000-0000-0000B8000000}"/>
    <cellStyle name="悪い 5" xfId="182" xr:uid="{00000000-0005-0000-0000-0000B9000000}"/>
    <cellStyle name="悪い 6" xfId="237" xr:uid="{00000000-0005-0000-0000-0000BA000000}"/>
    <cellStyle name="計算 2" xfId="101" xr:uid="{00000000-0005-0000-0000-0000BB000000}"/>
    <cellStyle name="計算 3" xfId="102" xr:uid="{00000000-0005-0000-0000-0000BC000000}"/>
    <cellStyle name="計算 4" xfId="103" xr:uid="{00000000-0005-0000-0000-0000BD000000}"/>
    <cellStyle name="計算 5" xfId="183" xr:uid="{00000000-0005-0000-0000-0000BE000000}"/>
    <cellStyle name="計算 6" xfId="238" xr:uid="{00000000-0005-0000-0000-0000BF000000}"/>
    <cellStyle name="警告文 2" xfId="104" xr:uid="{00000000-0005-0000-0000-0000C0000000}"/>
    <cellStyle name="警告文 3" xfId="105" xr:uid="{00000000-0005-0000-0000-0000C1000000}"/>
    <cellStyle name="警告文 4" xfId="106" xr:uid="{00000000-0005-0000-0000-0000C2000000}"/>
    <cellStyle name="警告文 5" xfId="239" xr:uid="{00000000-0005-0000-0000-0000C3000000}"/>
    <cellStyle name="桁区切り 2" xfId="271" xr:uid="{00000000-0005-0000-0000-0000C4000000}"/>
    <cellStyle name="桁区切り 3" xfId="291" xr:uid="{00000000-0005-0000-0000-0000C5000000}"/>
    <cellStyle name="見出し 1 2" xfId="107" xr:uid="{00000000-0005-0000-0000-0000C6000000}"/>
    <cellStyle name="見出し 1 3" xfId="108" xr:uid="{00000000-0005-0000-0000-0000C7000000}"/>
    <cellStyle name="見出し 1 4" xfId="109" xr:uid="{00000000-0005-0000-0000-0000C8000000}"/>
    <cellStyle name="見出し 1 5" xfId="184" xr:uid="{00000000-0005-0000-0000-0000C9000000}"/>
    <cellStyle name="見出し 1 6" xfId="240" xr:uid="{00000000-0005-0000-0000-0000CA000000}"/>
    <cellStyle name="見出し 2 2" xfId="110" xr:uid="{00000000-0005-0000-0000-0000CB000000}"/>
    <cellStyle name="見出し 2 3" xfId="111" xr:uid="{00000000-0005-0000-0000-0000CC000000}"/>
    <cellStyle name="見出し 2 4" xfId="112" xr:uid="{00000000-0005-0000-0000-0000CD000000}"/>
    <cellStyle name="見出し 2 5" xfId="185" xr:uid="{00000000-0005-0000-0000-0000CE000000}"/>
    <cellStyle name="見出し 2 6" xfId="241" xr:uid="{00000000-0005-0000-0000-0000CF000000}"/>
    <cellStyle name="見出し 3 2" xfId="113" xr:uid="{00000000-0005-0000-0000-0000D0000000}"/>
    <cellStyle name="見出し 3 3" xfId="114" xr:uid="{00000000-0005-0000-0000-0000D1000000}"/>
    <cellStyle name="見出し 3 4" xfId="115" xr:uid="{00000000-0005-0000-0000-0000D2000000}"/>
    <cellStyle name="見出し 3 5" xfId="186" xr:uid="{00000000-0005-0000-0000-0000D3000000}"/>
    <cellStyle name="見出し 3 6" xfId="242" xr:uid="{00000000-0005-0000-0000-0000D4000000}"/>
    <cellStyle name="見出し 4 2" xfId="116" xr:uid="{00000000-0005-0000-0000-0000D5000000}"/>
    <cellStyle name="見出し 4 3" xfId="117" xr:uid="{00000000-0005-0000-0000-0000D6000000}"/>
    <cellStyle name="見出し 4 4" xfId="118" xr:uid="{00000000-0005-0000-0000-0000D7000000}"/>
    <cellStyle name="見出し 4 5" xfId="187" xr:uid="{00000000-0005-0000-0000-0000D8000000}"/>
    <cellStyle name="見出し 4 6" xfId="243" xr:uid="{00000000-0005-0000-0000-0000D9000000}"/>
    <cellStyle name="作業ﾌﾛｰ" xfId="188" xr:uid="{00000000-0005-0000-0000-0000DA000000}"/>
    <cellStyle name="資料" xfId="189" xr:uid="{00000000-0005-0000-0000-0000DB000000}"/>
    <cellStyle name="資料２" xfId="190" xr:uid="{00000000-0005-0000-0000-0000DC000000}"/>
    <cellStyle name="集計 2" xfId="119" xr:uid="{00000000-0005-0000-0000-0000DD000000}"/>
    <cellStyle name="集計 3" xfId="120" xr:uid="{00000000-0005-0000-0000-0000DE000000}"/>
    <cellStyle name="集計 4" xfId="121" xr:uid="{00000000-0005-0000-0000-0000DF000000}"/>
    <cellStyle name="集計 5" xfId="191" xr:uid="{00000000-0005-0000-0000-0000E0000000}"/>
    <cellStyle name="集計 6" xfId="244" xr:uid="{00000000-0005-0000-0000-0000E1000000}"/>
    <cellStyle name="出力 2" xfId="122" xr:uid="{00000000-0005-0000-0000-0000E2000000}"/>
    <cellStyle name="出力 3" xfId="123" xr:uid="{00000000-0005-0000-0000-0000E3000000}"/>
    <cellStyle name="出力 4" xfId="124" xr:uid="{00000000-0005-0000-0000-0000E4000000}"/>
    <cellStyle name="出力 5" xfId="192" xr:uid="{00000000-0005-0000-0000-0000E5000000}"/>
    <cellStyle name="出力 6" xfId="245" xr:uid="{00000000-0005-0000-0000-0000E6000000}"/>
    <cellStyle name="説明文 2" xfId="125" xr:uid="{00000000-0005-0000-0000-0000E7000000}"/>
    <cellStyle name="説明文 3" xfId="126" xr:uid="{00000000-0005-0000-0000-0000E8000000}"/>
    <cellStyle name="説明文 4" xfId="127" xr:uid="{00000000-0005-0000-0000-0000E9000000}"/>
    <cellStyle name="説明文 5" xfId="246" xr:uid="{00000000-0005-0000-0000-0000EA000000}"/>
    <cellStyle name="入力 2" xfId="128" xr:uid="{00000000-0005-0000-0000-0000EB000000}"/>
    <cellStyle name="入力 3" xfId="129" xr:uid="{00000000-0005-0000-0000-0000EC000000}"/>
    <cellStyle name="入力 4" xfId="130" xr:uid="{00000000-0005-0000-0000-0000ED000000}"/>
    <cellStyle name="入力 5" xfId="193" xr:uid="{00000000-0005-0000-0000-0000EE000000}"/>
    <cellStyle name="入力 6" xfId="247" xr:uid="{00000000-0005-0000-0000-0000EF000000}"/>
    <cellStyle name="標準" xfId="0" builtinId="0"/>
    <cellStyle name="標準 10" xfId="144" xr:uid="{00000000-0005-0000-0000-0000F1000000}"/>
    <cellStyle name="標準 10 2" xfId="252" xr:uid="{00000000-0005-0000-0000-0000F2000000}"/>
    <cellStyle name="標準 10 2 2" xfId="281" xr:uid="{00000000-0005-0000-0000-0000F3000000}"/>
    <cellStyle name="標準 10 2 2 2" xfId="353" xr:uid="{00000000-0005-0000-0000-0000F4000000}"/>
    <cellStyle name="標準 10 2 2 2 2" xfId="722" xr:uid="{00000000-0005-0000-0000-0000F5000000}"/>
    <cellStyle name="標準 10 2 2 3" xfId="329" xr:uid="{00000000-0005-0000-0000-0000F6000000}"/>
    <cellStyle name="標準 10 2 2 3 2" xfId="701" xr:uid="{00000000-0005-0000-0000-0000F7000000}"/>
    <cellStyle name="標準 10 2 2 4" xfId="406" xr:uid="{00000000-0005-0000-0000-0000F8000000}"/>
    <cellStyle name="標準 10 2 2 5" xfId="671" xr:uid="{00000000-0005-0000-0000-0000F9000000}"/>
    <cellStyle name="標準 10 2 3" xfId="339" xr:uid="{00000000-0005-0000-0000-0000FA000000}"/>
    <cellStyle name="標準 10 2 3 2" xfId="393" xr:uid="{00000000-0005-0000-0000-0000FB000000}"/>
    <cellStyle name="標準 10 2 3 3" xfId="709" xr:uid="{00000000-0005-0000-0000-0000FC000000}"/>
    <cellStyle name="標準 10 2 4" xfId="285" xr:uid="{00000000-0005-0000-0000-0000FD000000}"/>
    <cellStyle name="標準 10 2 5" xfId="658" xr:uid="{00000000-0005-0000-0000-0000FE000000}"/>
    <cellStyle name="標準 10 3" xfId="270" xr:uid="{00000000-0005-0000-0000-0000FF000000}"/>
    <cellStyle name="標準 10 3 2" xfId="324" xr:uid="{00000000-0005-0000-0000-000000010000}"/>
    <cellStyle name="標準 10 3 3" xfId="313" xr:uid="{00000000-0005-0000-0000-000001010000}"/>
    <cellStyle name="標準 10 3 3 2" xfId="688" xr:uid="{00000000-0005-0000-0000-000002010000}"/>
    <cellStyle name="標準 10 4" xfId="259" xr:uid="{00000000-0005-0000-0000-000003010000}"/>
    <cellStyle name="標準 10 4 2" xfId="345" xr:uid="{00000000-0005-0000-0000-000004010000}"/>
    <cellStyle name="標準 10 4 2 2" xfId="715" xr:uid="{00000000-0005-0000-0000-000005010000}"/>
    <cellStyle name="標準 10 4 3" xfId="319" xr:uid="{00000000-0005-0000-0000-000006010000}"/>
    <cellStyle name="標準 10 4 3 2" xfId="694" xr:uid="{00000000-0005-0000-0000-000007010000}"/>
    <cellStyle name="標準 10 4 4" xfId="399" xr:uid="{00000000-0005-0000-0000-000008010000}"/>
    <cellStyle name="標準 10 4 5" xfId="419" xr:uid="{00000000-0005-0000-0000-000009010000}"/>
    <cellStyle name="標準 10 4 6" xfId="664" xr:uid="{00000000-0005-0000-0000-00000A010000}"/>
    <cellStyle name="標準 10 5" xfId="385" xr:uid="{00000000-0005-0000-0000-00000B010000}"/>
    <cellStyle name="標準 10 5 2" xfId="442" xr:uid="{00000000-0005-0000-0000-00000C010000}"/>
    <cellStyle name="標準 11" xfId="200" xr:uid="{00000000-0005-0000-0000-00000D010000}"/>
    <cellStyle name="標準 11 2" xfId="253" xr:uid="{00000000-0005-0000-0000-00000E010000}"/>
    <cellStyle name="標準 11 2 2" xfId="282" xr:uid="{00000000-0005-0000-0000-00000F010000}"/>
    <cellStyle name="標準 11 2 2 2" xfId="354" xr:uid="{00000000-0005-0000-0000-000010010000}"/>
    <cellStyle name="標準 11 2 2 2 2" xfId="723" xr:uid="{00000000-0005-0000-0000-000011010000}"/>
    <cellStyle name="標準 11 2 2 3" xfId="330" xr:uid="{00000000-0005-0000-0000-000012010000}"/>
    <cellStyle name="標準 11 2 2 3 2" xfId="702" xr:uid="{00000000-0005-0000-0000-000013010000}"/>
    <cellStyle name="標準 11 2 2 4" xfId="672" xr:uid="{00000000-0005-0000-0000-000014010000}"/>
    <cellStyle name="標準 11 2 3" xfId="340" xr:uid="{00000000-0005-0000-0000-000015010000}"/>
    <cellStyle name="標準 11 2 3 2" xfId="710" xr:uid="{00000000-0005-0000-0000-000016010000}"/>
    <cellStyle name="標準 11 2 4" xfId="314" xr:uid="{00000000-0005-0000-0000-000017010000}"/>
    <cellStyle name="標準 11 2 4 2" xfId="689" xr:uid="{00000000-0005-0000-0000-000018010000}"/>
    <cellStyle name="標準 11 2 5" xfId="407" xr:uid="{00000000-0005-0000-0000-000019010000}"/>
    <cellStyle name="標準 11 2 6" xfId="659" xr:uid="{00000000-0005-0000-0000-00001A010000}"/>
    <cellStyle name="標準 11 3" xfId="274" xr:uid="{00000000-0005-0000-0000-00001B010000}"/>
    <cellStyle name="標準 11 4" xfId="260" xr:uid="{00000000-0005-0000-0000-00001C010000}"/>
    <cellStyle name="標準 11 4 2" xfId="346" xr:uid="{00000000-0005-0000-0000-00001D010000}"/>
    <cellStyle name="標準 11 4 2 2" xfId="716" xr:uid="{00000000-0005-0000-0000-00001E010000}"/>
    <cellStyle name="標準 11 4 3" xfId="320" xr:uid="{00000000-0005-0000-0000-00001F010000}"/>
    <cellStyle name="標準 11 4 3 2" xfId="695" xr:uid="{00000000-0005-0000-0000-000020010000}"/>
    <cellStyle name="標準 11 4 4" xfId="400" xr:uid="{00000000-0005-0000-0000-000021010000}"/>
    <cellStyle name="標準 11 4 5" xfId="665" xr:uid="{00000000-0005-0000-0000-000022010000}"/>
    <cellStyle name="標準 11 5" xfId="334" xr:uid="{00000000-0005-0000-0000-000023010000}"/>
    <cellStyle name="標準 11 5 2" xfId="394" xr:uid="{00000000-0005-0000-0000-000024010000}"/>
    <cellStyle name="標準 11 5 3" xfId="704" xr:uid="{00000000-0005-0000-0000-000025010000}"/>
    <cellStyle name="標準 11 6" xfId="653" xr:uid="{00000000-0005-0000-0000-000026010000}"/>
    <cellStyle name="標準 12" xfId="254" xr:uid="{00000000-0005-0000-0000-000027010000}"/>
    <cellStyle name="標準 12 2" xfId="283" xr:uid="{00000000-0005-0000-0000-000028010000}"/>
    <cellStyle name="標準 12 2 2" xfId="331" xr:uid="{00000000-0005-0000-0000-000029010000}"/>
    <cellStyle name="標準 12 2 2 2" xfId="703" xr:uid="{00000000-0005-0000-0000-00002A010000}"/>
    <cellStyle name="標準 12 2 3" xfId="355" xr:uid="{00000000-0005-0000-0000-00002B010000}"/>
    <cellStyle name="標準 12 2 3 2" xfId="724" xr:uid="{00000000-0005-0000-0000-00002C010000}"/>
    <cellStyle name="標準 12 2 4" xfId="315" xr:uid="{00000000-0005-0000-0000-00002D010000}"/>
    <cellStyle name="標準 12 2 4 2" xfId="690" xr:uid="{00000000-0005-0000-0000-00002E010000}"/>
    <cellStyle name="標準 12 2 5" xfId="408" xr:uid="{00000000-0005-0000-0000-00002F010000}"/>
    <cellStyle name="標準 12 2 6" xfId="673" xr:uid="{00000000-0005-0000-0000-000030010000}"/>
    <cellStyle name="標準 12 3" xfId="272" xr:uid="{00000000-0005-0000-0000-000031010000}"/>
    <cellStyle name="標準 12 4" xfId="261" xr:uid="{00000000-0005-0000-0000-000032010000}"/>
    <cellStyle name="標準 12 4 2" xfId="347" xr:uid="{00000000-0005-0000-0000-000033010000}"/>
    <cellStyle name="標準 12 4 2 2" xfId="717" xr:uid="{00000000-0005-0000-0000-000034010000}"/>
    <cellStyle name="標準 12 4 3" xfId="321" xr:uid="{00000000-0005-0000-0000-000035010000}"/>
    <cellStyle name="標準 12 4 3 2" xfId="696" xr:uid="{00000000-0005-0000-0000-000036010000}"/>
    <cellStyle name="標準 12 4 4" xfId="401" xr:uid="{00000000-0005-0000-0000-000037010000}"/>
    <cellStyle name="標準 12 4 5" xfId="666" xr:uid="{00000000-0005-0000-0000-000038010000}"/>
    <cellStyle name="標準 12 5" xfId="341" xr:uid="{00000000-0005-0000-0000-000039010000}"/>
    <cellStyle name="標準 12 5 2" xfId="395" xr:uid="{00000000-0005-0000-0000-00003A010000}"/>
    <cellStyle name="標準 12 5 3" xfId="711" xr:uid="{00000000-0005-0000-0000-00003B010000}"/>
    <cellStyle name="標準 12 6" xfId="660" xr:uid="{00000000-0005-0000-0000-00003C010000}"/>
    <cellStyle name="標準 13" xfId="251" xr:uid="{00000000-0005-0000-0000-00003D010000}"/>
    <cellStyle name="標準 13 2" xfId="280" xr:uid="{00000000-0005-0000-0000-00003E010000}"/>
    <cellStyle name="標準 13 2 2" xfId="352" xr:uid="{00000000-0005-0000-0000-00003F010000}"/>
    <cellStyle name="標準 13 2 2 2" xfId="721" xr:uid="{00000000-0005-0000-0000-000040010000}"/>
    <cellStyle name="標準 13 2 3" xfId="328" xr:uid="{00000000-0005-0000-0000-000041010000}"/>
    <cellStyle name="標準 13 2 3 2" xfId="700" xr:uid="{00000000-0005-0000-0000-000042010000}"/>
    <cellStyle name="標準 13 2 4" xfId="405" xr:uid="{00000000-0005-0000-0000-000043010000}"/>
    <cellStyle name="標準 13 2 5" xfId="670" xr:uid="{00000000-0005-0000-0000-000044010000}"/>
    <cellStyle name="標準 13 3" xfId="273" xr:uid="{00000000-0005-0000-0000-000045010000}"/>
    <cellStyle name="標準 13 4" xfId="258" xr:uid="{00000000-0005-0000-0000-000046010000}"/>
    <cellStyle name="標準 13 4 2" xfId="344" xr:uid="{00000000-0005-0000-0000-000047010000}"/>
    <cellStyle name="標準 13 4 2 2" xfId="714" xr:uid="{00000000-0005-0000-0000-000048010000}"/>
    <cellStyle name="標準 13 4 3" xfId="318" xr:uid="{00000000-0005-0000-0000-000049010000}"/>
    <cellStyle name="標準 13 4 3 2" xfId="693" xr:uid="{00000000-0005-0000-0000-00004A010000}"/>
    <cellStyle name="標準 13 4 4" xfId="398" xr:uid="{00000000-0005-0000-0000-00004B010000}"/>
    <cellStyle name="標準 13 4 5" xfId="663" xr:uid="{00000000-0005-0000-0000-00004C010000}"/>
    <cellStyle name="標準 13 5" xfId="338" xr:uid="{00000000-0005-0000-0000-00004D010000}"/>
    <cellStyle name="標準 13 5 2" xfId="392" xr:uid="{00000000-0005-0000-0000-00004E010000}"/>
    <cellStyle name="標準 13 5 3" xfId="708" xr:uid="{00000000-0005-0000-0000-00004F010000}"/>
    <cellStyle name="標準 13 6" xfId="657" xr:uid="{00000000-0005-0000-0000-000050010000}"/>
    <cellStyle name="標準 14" xfId="206" xr:uid="{00000000-0005-0000-0000-000051010000}"/>
    <cellStyle name="標準 14 2" xfId="262" xr:uid="{00000000-0005-0000-0000-000052010000}"/>
    <cellStyle name="標準 14 2 2" xfId="348" xr:uid="{00000000-0005-0000-0000-000053010000}"/>
    <cellStyle name="標準 14 2 2 2" xfId="718" xr:uid="{00000000-0005-0000-0000-000054010000}"/>
    <cellStyle name="標準 14 2 3" xfId="322" xr:uid="{00000000-0005-0000-0000-000055010000}"/>
    <cellStyle name="標準 14 2 3 2" xfId="697" xr:uid="{00000000-0005-0000-0000-000056010000}"/>
    <cellStyle name="標準 14 2 4" xfId="402" xr:uid="{00000000-0005-0000-0000-000057010000}"/>
    <cellStyle name="標準 14 2 5" xfId="667" xr:uid="{00000000-0005-0000-0000-000058010000}"/>
    <cellStyle name="標準 14 3" xfId="267" xr:uid="{00000000-0005-0000-0000-000059010000}"/>
    <cellStyle name="標準 14 4" xfId="336" xr:uid="{00000000-0005-0000-0000-00005A010000}"/>
    <cellStyle name="標準 14 4 2" xfId="389" xr:uid="{00000000-0005-0000-0000-00005B010000}"/>
    <cellStyle name="標準 14 4 3" xfId="706" xr:uid="{00000000-0005-0000-0000-00005C010000}"/>
    <cellStyle name="標準 14 5" xfId="655" xr:uid="{00000000-0005-0000-0000-00005D010000}"/>
    <cellStyle name="標準 15" xfId="275" xr:uid="{00000000-0005-0000-0000-00005E010000}"/>
    <cellStyle name="標準 16" xfId="269" xr:uid="{00000000-0005-0000-0000-00005F010000}"/>
    <cellStyle name="標準 17" xfId="276" xr:uid="{00000000-0005-0000-0000-000060010000}"/>
    <cellStyle name="標準 17 2" xfId="325" xr:uid="{00000000-0005-0000-0000-000061010000}"/>
    <cellStyle name="標準 17 2 2" xfId="403" xr:uid="{00000000-0005-0000-0000-000062010000}"/>
    <cellStyle name="標準 17 2 3" xfId="698" xr:uid="{00000000-0005-0000-0000-000063010000}"/>
    <cellStyle name="標準 17 3" xfId="349" xr:uid="{00000000-0005-0000-0000-000064010000}"/>
    <cellStyle name="標準 17 3 2" xfId="719" xr:uid="{00000000-0005-0000-0000-000065010000}"/>
    <cellStyle name="標準 17 4" xfId="284" xr:uid="{00000000-0005-0000-0000-000066010000}"/>
    <cellStyle name="標準 17 5" xfId="668" xr:uid="{00000000-0005-0000-0000-000067010000}"/>
    <cellStyle name="標準 18" xfId="256" xr:uid="{00000000-0005-0000-0000-000068010000}"/>
    <cellStyle name="標準 18 2" xfId="342" xr:uid="{00000000-0005-0000-0000-000069010000}"/>
    <cellStyle name="標準 18 2 2" xfId="712" xr:uid="{00000000-0005-0000-0000-00006A010000}"/>
    <cellStyle name="標準 18 3" xfId="311" xr:uid="{00000000-0005-0000-0000-00006B010000}"/>
    <cellStyle name="標準 18 3 2" xfId="686" xr:uid="{00000000-0005-0000-0000-00006C010000}"/>
    <cellStyle name="標準 18 4" xfId="396" xr:uid="{00000000-0005-0000-0000-00006D010000}"/>
    <cellStyle name="標準 18 5" xfId="415" xr:uid="{00000000-0005-0000-0000-00006E010000}"/>
    <cellStyle name="標準 18 6" xfId="661" xr:uid="{00000000-0005-0000-0000-00006F010000}"/>
    <cellStyle name="標準 19" xfId="316" xr:uid="{00000000-0005-0000-0000-000070010000}"/>
    <cellStyle name="標準 19 2" xfId="417" xr:uid="{00000000-0005-0000-0000-000071010000}"/>
    <cellStyle name="標準 19 3" xfId="691" xr:uid="{00000000-0005-0000-0000-000072010000}"/>
    <cellStyle name="標準 2" xfId="131" xr:uid="{00000000-0005-0000-0000-000073010000}"/>
    <cellStyle name="標準 2 2" xfId="265" xr:uid="{00000000-0005-0000-0000-000074010000}"/>
    <cellStyle name="標準 2 3" xfId="297" xr:uid="{00000000-0005-0000-0000-000075010000}"/>
    <cellStyle name="標準 2 3 2" xfId="360" xr:uid="{00000000-0005-0000-0000-000076010000}"/>
    <cellStyle name="標準 2 3 2 2" xfId="374" xr:uid="{00000000-0005-0000-0000-000077010000}"/>
    <cellStyle name="標準 2 3 2 2 2" xfId="503" xr:uid="{00000000-0005-0000-0000-000078010000}"/>
    <cellStyle name="標準 2 3 2 2 3" xfId="563" xr:uid="{00000000-0005-0000-0000-000079010000}"/>
    <cellStyle name="標準 2 3 2 2 4" xfId="623" xr:uid="{00000000-0005-0000-0000-00007A010000}"/>
    <cellStyle name="標準 2 3 2 2 5" xfId="461" xr:uid="{00000000-0005-0000-0000-00007B010000}"/>
    <cellStyle name="標準 2 3 2 3" xfId="523" xr:uid="{00000000-0005-0000-0000-00007C010000}"/>
    <cellStyle name="標準 2 3 2 3 2" xfId="583" xr:uid="{00000000-0005-0000-0000-00007D010000}"/>
    <cellStyle name="標準 2 3 2 3 3" xfId="643" xr:uid="{00000000-0005-0000-0000-00007E010000}"/>
    <cellStyle name="標準 2 3 2 4" xfId="483" xr:uid="{00000000-0005-0000-0000-00007F010000}"/>
    <cellStyle name="標準 2 3 2 5" xfId="543" xr:uid="{00000000-0005-0000-0000-000080010000}"/>
    <cellStyle name="標準 2 3 2 6" xfId="603" xr:uid="{00000000-0005-0000-0000-000081010000}"/>
    <cellStyle name="標準 2 3 2 7" xfId="436" xr:uid="{00000000-0005-0000-0000-000082010000}"/>
    <cellStyle name="標準 2 4" xfId="292" xr:uid="{00000000-0005-0000-0000-000083010000}"/>
    <cellStyle name="標準 2 4 10" xfId="585" xr:uid="{00000000-0005-0000-0000-000084010000}"/>
    <cellStyle name="標準 2 4 11" xfId="409" xr:uid="{00000000-0005-0000-0000-000085010000}"/>
    <cellStyle name="標準 2 4 12" xfId="674" xr:uid="{00000000-0005-0000-0000-000086010000}"/>
    <cellStyle name="標準 2 4 2" xfId="302" xr:uid="{00000000-0005-0000-0000-000087010000}"/>
    <cellStyle name="標準 2 4 2 2" xfId="308" xr:uid="{00000000-0005-0000-0000-000088010000}"/>
    <cellStyle name="標準 2 4 2 2 2" xfId="455" xr:uid="{00000000-0005-0000-0000-000089010000}"/>
    <cellStyle name="標準 2 4 2 2 2 2" xfId="497" xr:uid="{00000000-0005-0000-0000-00008A010000}"/>
    <cellStyle name="標準 2 4 2 2 2 3" xfId="557" xr:uid="{00000000-0005-0000-0000-00008B010000}"/>
    <cellStyle name="標準 2 4 2 2 2 4" xfId="617" xr:uid="{00000000-0005-0000-0000-00008C010000}"/>
    <cellStyle name="標準 2 4 2 2 3" xfId="517" xr:uid="{00000000-0005-0000-0000-00008D010000}"/>
    <cellStyle name="標準 2 4 2 2 3 2" xfId="577" xr:uid="{00000000-0005-0000-0000-00008E010000}"/>
    <cellStyle name="標準 2 4 2 2 3 3" xfId="637" xr:uid="{00000000-0005-0000-0000-00008F010000}"/>
    <cellStyle name="標準 2 4 2 2 4" xfId="477" xr:uid="{00000000-0005-0000-0000-000090010000}"/>
    <cellStyle name="標準 2 4 2 2 5" xfId="537" xr:uid="{00000000-0005-0000-0000-000091010000}"/>
    <cellStyle name="標準 2 4 2 2 6" xfId="597" xr:uid="{00000000-0005-0000-0000-000092010000}"/>
    <cellStyle name="標準 2 4 2 2 7" xfId="430" xr:uid="{00000000-0005-0000-0000-000093010000}"/>
    <cellStyle name="標準 2 4 2 2 8" xfId="683" xr:uid="{00000000-0005-0000-0000-000094010000}"/>
    <cellStyle name="標準 2 4 2 3" xfId="366" xr:uid="{00000000-0005-0000-0000-000095010000}"/>
    <cellStyle name="標準 2 4 2 3 2" xfId="488" xr:uid="{00000000-0005-0000-0000-000096010000}"/>
    <cellStyle name="標準 2 4 2 3 3" xfId="548" xr:uid="{00000000-0005-0000-0000-000097010000}"/>
    <cellStyle name="標準 2 4 2 3 4" xfId="608" xr:uid="{00000000-0005-0000-0000-000098010000}"/>
    <cellStyle name="標準 2 4 2 3 5" xfId="446" xr:uid="{00000000-0005-0000-0000-000099010000}"/>
    <cellStyle name="標準 2 4 2 4" xfId="508" xr:uid="{00000000-0005-0000-0000-00009A010000}"/>
    <cellStyle name="標準 2 4 2 4 2" xfId="568" xr:uid="{00000000-0005-0000-0000-00009B010000}"/>
    <cellStyle name="標準 2 4 2 4 3" xfId="628" xr:uid="{00000000-0005-0000-0000-00009C010000}"/>
    <cellStyle name="標準 2 4 2 5" xfId="468" xr:uid="{00000000-0005-0000-0000-00009D010000}"/>
    <cellStyle name="標準 2 4 2 6" xfId="528" xr:uid="{00000000-0005-0000-0000-00009E010000}"/>
    <cellStyle name="標準 2 4 2 7" xfId="588" xr:uid="{00000000-0005-0000-0000-00009F010000}"/>
    <cellStyle name="標準 2 4 2 8" xfId="412" xr:uid="{00000000-0005-0000-0000-0000A0010000}"/>
    <cellStyle name="標準 2 4 2 9" xfId="677" xr:uid="{00000000-0005-0000-0000-0000A1010000}"/>
    <cellStyle name="標準 2 4 3" xfId="305" xr:uid="{00000000-0005-0000-0000-0000A2010000}"/>
    <cellStyle name="標準 2 4 3 2" xfId="371" xr:uid="{00000000-0005-0000-0000-0000A3010000}"/>
    <cellStyle name="標準 2 4 3 2 2" xfId="500" xr:uid="{00000000-0005-0000-0000-0000A4010000}"/>
    <cellStyle name="標準 2 4 3 2 3" xfId="560" xr:uid="{00000000-0005-0000-0000-0000A5010000}"/>
    <cellStyle name="標準 2 4 3 2 4" xfId="620" xr:uid="{00000000-0005-0000-0000-0000A6010000}"/>
    <cellStyle name="標準 2 4 3 2 5" xfId="458" xr:uid="{00000000-0005-0000-0000-0000A7010000}"/>
    <cellStyle name="標準 2 4 3 3" xfId="520" xr:uid="{00000000-0005-0000-0000-0000A8010000}"/>
    <cellStyle name="標準 2 4 3 3 2" xfId="580" xr:uid="{00000000-0005-0000-0000-0000A9010000}"/>
    <cellStyle name="標準 2 4 3 3 3" xfId="640" xr:uid="{00000000-0005-0000-0000-0000AA010000}"/>
    <cellStyle name="標準 2 4 3 4" xfId="480" xr:uid="{00000000-0005-0000-0000-0000AB010000}"/>
    <cellStyle name="標準 2 4 3 5" xfId="540" xr:uid="{00000000-0005-0000-0000-0000AC010000}"/>
    <cellStyle name="標準 2 4 3 6" xfId="600" xr:uid="{00000000-0005-0000-0000-0000AD010000}"/>
    <cellStyle name="標準 2 4 3 7" xfId="433" xr:uid="{00000000-0005-0000-0000-0000AE010000}"/>
    <cellStyle name="標準 2 4 3 8" xfId="680" xr:uid="{00000000-0005-0000-0000-0000AF010000}"/>
    <cellStyle name="標準 2 4 4" xfId="363" xr:uid="{00000000-0005-0000-0000-0000B0010000}"/>
    <cellStyle name="標準 2 4 4 2" xfId="452" xr:uid="{00000000-0005-0000-0000-0000B1010000}"/>
    <cellStyle name="標準 2 4 4 2 2" xfId="494" xr:uid="{00000000-0005-0000-0000-0000B2010000}"/>
    <cellStyle name="標準 2 4 4 2 3" xfId="554" xr:uid="{00000000-0005-0000-0000-0000B3010000}"/>
    <cellStyle name="標準 2 4 4 2 4" xfId="614" xr:uid="{00000000-0005-0000-0000-0000B4010000}"/>
    <cellStyle name="標準 2 4 4 3" xfId="514" xr:uid="{00000000-0005-0000-0000-0000B5010000}"/>
    <cellStyle name="標準 2 4 4 3 2" xfId="574" xr:uid="{00000000-0005-0000-0000-0000B6010000}"/>
    <cellStyle name="標準 2 4 4 3 3" xfId="634" xr:uid="{00000000-0005-0000-0000-0000B7010000}"/>
    <cellStyle name="標準 2 4 4 4" xfId="474" xr:uid="{00000000-0005-0000-0000-0000B8010000}"/>
    <cellStyle name="標準 2 4 4 5" xfId="534" xr:uid="{00000000-0005-0000-0000-0000B9010000}"/>
    <cellStyle name="標準 2 4 4 6" xfId="594" xr:uid="{00000000-0005-0000-0000-0000BA010000}"/>
    <cellStyle name="標準 2 4 4 7" xfId="427" xr:uid="{00000000-0005-0000-0000-0000BB010000}"/>
    <cellStyle name="標準 2 4 5" xfId="376" xr:uid="{00000000-0005-0000-0000-0000BC010000}"/>
    <cellStyle name="標準 2 4 5 2" xfId="449" xr:uid="{00000000-0005-0000-0000-0000BD010000}"/>
    <cellStyle name="標準 2 4 5 2 2" xfId="491" xr:uid="{00000000-0005-0000-0000-0000BE010000}"/>
    <cellStyle name="標準 2 4 5 2 3" xfId="551" xr:uid="{00000000-0005-0000-0000-0000BF010000}"/>
    <cellStyle name="標準 2 4 5 2 4" xfId="611" xr:uid="{00000000-0005-0000-0000-0000C0010000}"/>
    <cellStyle name="標準 2 4 5 3" xfId="511" xr:uid="{00000000-0005-0000-0000-0000C1010000}"/>
    <cellStyle name="標準 2 4 5 3 2" xfId="571" xr:uid="{00000000-0005-0000-0000-0000C2010000}"/>
    <cellStyle name="標準 2 4 5 3 3" xfId="631" xr:uid="{00000000-0005-0000-0000-0000C3010000}"/>
    <cellStyle name="標準 2 4 5 4" xfId="471" xr:uid="{00000000-0005-0000-0000-0000C4010000}"/>
    <cellStyle name="標準 2 4 5 5" xfId="531" xr:uid="{00000000-0005-0000-0000-0000C5010000}"/>
    <cellStyle name="標準 2 4 5 6" xfId="591" xr:uid="{00000000-0005-0000-0000-0000C6010000}"/>
    <cellStyle name="標準 2 4 5 7" xfId="424" xr:uid="{00000000-0005-0000-0000-0000C7010000}"/>
    <cellStyle name="標準 2 4 6" xfId="379" xr:uid="{00000000-0005-0000-0000-0000C8010000}"/>
    <cellStyle name="標準 2 4 6 2" xfId="485" xr:uid="{00000000-0005-0000-0000-0000C9010000}"/>
    <cellStyle name="標準 2 4 6 3" xfId="545" xr:uid="{00000000-0005-0000-0000-0000CA010000}"/>
    <cellStyle name="標準 2 4 6 4" xfId="605" xr:uid="{00000000-0005-0000-0000-0000CB010000}"/>
    <cellStyle name="標準 2 4 6 5" xfId="443" xr:uid="{00000000-0005-0000-0000-0000CC010000}"/>
    <cellStyle name="標準 2 4 7" xfId="382" xr:uid="{00000000-0005-0000-0000-0000CD010000}"/>
    <cellStyle name="標準 2 4 7 2" xfId="565" xr:uid="{00000000-0005-0000-0000-0000CE010000}"/>
    <cellStyle name="標準 2 4 7 3" xfId="625" xr:uid="{00000000-0005-0000-0000-0000CF010000}"/>
    <cellStyle name="標準 2 4 7 4" xfId="505" xr:uid="{00000000-0005-0000-0000-0000D0010000}"/>
    <cellStyle name="標準 2 4 8" xfId="356" xr:uid="{00000000-0005-0000-0000-0000D1010000}"/>
    <cellStyle name="標準 2 4 8 2" xfId="465" xr:uid="{00000000-0005-0000-0000-0000D2010000}"/>
    <cellStyle name="標準 2 4 9" xfId="525" xr:uid="{00000000-0005-0000-0000-0000D3010000}"/>
    <cellStyle name="標準 2 5" xfId="649" xr:uid="{00000000-0005-0000-0000-0000D4010000}"/>
    <cellStyle name="標準 2 6" xfId="645" xr:uid="{00000000-0005-0000-0000-0000D5010000}"/>
    <cellStyle name="標準 20" xfId="416" xr:uid="{00000000-0005-0000-0000-0000D6010000}"/>
    <cellStyle name="標準 20 2" xfId="648" xr:uid="{00000000-0005-0000-0000-0000D7010000}"/>
    <cellStyle name="標準 21" xfId="418" xr:uid="{00000000-0005-0000-0000-0000D8010000}"/>
    <cellStyle name="標準 22" xfId="439" xr:uid="{00000000-0005-0000-0000-0000D9010000}"/>
    <cellStyle name="標準 23" xfId="463" xr:uid="{00000000-0005-0000-0000-0000DA010000}"/>
    <cellStyle name="標準 24" xfId="464" xr:uid="{00000000-0005-0000-0000-0000DB010000}"/>
    <cellStyle name="標準 3" xfId="132" xr:uid="{00000000-0005-0000-0000-0000DC010000}"/>
    <cellStyle name="標準 3 2" xfId="266" xr:uid="{00000000-0005-0000-0000-0000DD010000}"/>
    <cellStyle name="標準 3 3" xfId="298" xr:uid="{00000000-0005-0000-0000-0000DE010000}"/>
    <cellStyle name="標準 3 3 2" xfId="361" xr:uid="{00000000-0005-0000-0000-0000DF010000}"/>
    <cellStyle name="標準 3 3 2 2" xfId="375" xr:uid="{00000000-0005-0000-0000-0000E0010000}"/>
    <cellStyle name="標準 3 3 2 2 2" xfId="504" xr:uid="{00000000-0005-0000-0000-0000E1010000}"/>
    <cellStyle name="標準 3 3 2 2 3" xfId="564" xr:uid="{00000000-0005-0000-0000-0000E2010000}"/>
    <cellStyle name="標準 3 3 2 2 4" xfId="624" xr:uid="{00000000-0005-0000-0000-0000E3010000}"/>
    <cellStyle name="標準 3 3 2 2 5" xfId="462" xr:uid="{00000000-0005-0000-0000-0000E4010000}"/>
    <cellStyle name="標準 3 3 2 3" xfId="524" xr:uid="{00000000-0005-0000-0000-0000E5010000}"/>
    <cellStyle name="標準 3 3 2 3 2" xfId="584" xr:uid="{00000000-0005-0000-0000-0000E6010000}"/>
    <cellStyle name="標準 3 3 2 3 3" xfId="644" xr:uid="{00000000-0005-0000-0000-0000E7010000}"/>
    <cellStyle name="標準 3 3 2 4" xfId="484" xr:uid="{00000000-0005-0000-0000-0000E8010000}"/>
    <cellStyle name="標準 3 3 2 5" xfId="544" xr:uid="{00000000-0005-0000-0000-0000E9010000}"/>
    <cellStyle name="標準 3 3 2 6" xfId="604" xr:uid="{00000000-0005-0000-0000-0000EA010000}"/>
    <cellStyle name="標準 3 3 2 7" xfId="437" xr:uid="{00000000-0005-0000-0000-0000EB010000}"/>
    <cellStyle name="標準 3 4" xfId="293" xr:uid="{00000000-0005-0000-0000-0000EC010000}"/>
    <cellStyle name="標準 3 4 10" xfId="586" xr:uid="{00000000-0005-0000-0000-0000ED010000}"/>
    <cellStyle name="標準 3 4 11" xfId="410" xr:uid="{00000000-0005-0000-0000-0000EE010000}"/>
    <cellStyle name="標準 3 4 12" xfId="675" xr:uid="{00000000-0005-0000-0000-0000EF010000}"/>
    <cellStyle name="標準 3 4 2" xfId="303" xr:uid="{00000000-0005-0000-0000-0000F0010000}"/>
    <cellStyle name="標準 3 4 2 2" xfId="309" xr:uid="{00000000-0005-0000-0000-0000F1010000}"/>
    <cellStyle name="標準 3 4 2 2 2" xfId="456" xr:uid="{00000000-0005-0000-0000-0000F2010000}"/>
    <cellStyle name="標準 3 4 2 2 2 2" xfId="498" xr:uid="{00000000-0005-0000-0000-0000F3010000}"/>
    <cellStyle name="標準 3 4 2 2 2 3" xfId="558" xr:uid="{00000000-0005-0000-0000-0000F4010000}"/>
    <cellStyle name="標準 3 4 2 2 2 4" xfId="618" xr:uid="{00000000-0005-0000-0000-0000F5010000}"/>
    <cellStyle name="標準 3 4 2 2 3" xfId="518" xr:uid="{00000000-0005-0000-0000-0000F6010000}"/>
    <cellStyle name="標準 3 4 2 2 3 2" xfId="578" xr:uid="{00000000-0005-0000-0000-0000F7010000}"/>
    <cellStyle name="標準 3 4 2 2 3 3" xfId="638" xr:uid="{00000000-0005-0000-0000-0000F8010000}"/>
    <cellStyle name="標準 3 4 2 2 4" xfId="478" xr:uid="{00000000-0005-0000-0000-0000F9010000}"/>
    <cellStyle name="標準 3 4 2 2 5" xfId="538" xr:uid="{00000000-0005-0000-0000-0000FA010000}"/>
    <cellStyle name="標準 3 4 2 2 6" xfId="598" xr:uid="{00000000-0005-0000-0000-0000FB010000}"/>
    <cellStyle name="標準 3 4 2 2 7" xfId="431" xr:uid="{00000000-0005-0000-0000-0000FC010000}"/>
    <cellStyle name="標準 3 4 2 2 8" xfId="684" xr:uid="{00000000-0005-0000-0000-0000FD010000}"/>
    <cellStyle name="標準 3 4 2 3" xfId="367" xr:uid="{00000000-0005-0000-0000-0000FE010000}"/>
    <cellStyle name="標準 3 4 2 3 2" xfId="489" xr:uid="{00000000-0005-0000-0000-0000FF010000}"/>
    <cellStyle name="標準 3 4 2 3 3" xfId="549" xr:uid="{00000000-0005-0000-0000-000000020000}"/>
    <cellStyle name="標準 3 4 2 3 4" xfId="609" xr:uid="{00000000-0005-0000-0000-000001020000}"/>
    <cellStyle name="標準 3 4 2 3 5" xfId="447" xr:uid="{00000000-0005-0000-0000-000002020000}"/>
    <cellStyle name="標準 3 4 2 4" xfId="509" xr:uid="{00000000-0005-0000-0000-000003020000}"/>
    <cellStyle name="標準 3 4 2 4 2" xfId="569" xr:uid="{00000000-0005-0000-0000-000004020000}"/>
    <cellStyle name="標準 3 4 2 4 3" xfId="629" xr:uid="{00000000-0005-0000-0000-000005020000}"/>
    <cellStyle name="標準 3 4 2 5" xfId="469" xr:uid="{00000000-0005-0000-0000-000006020000}"/>
    <cellStyle name="標準 3 4 2 6" xfId="529" xr:uid="{00000000-0005-0000-0000-000007020000}"/>
    <cellStyle name="標準 3 4 2 7" xfId="589" xr:uid="{00000000-0005-0000-0000-000008020000}"/>
    <cellStyle name="標準 3 4 2 8" xfId="413" xr:uid="{00000000-0005-0000-0000-000009020000}"/>
    <cellStyle name="標準 3 4 2 9" xfId="678" xr:uid="{00000000-0005-0000-0000-00000A020000}"/>
    <cellStyle name="標準 3 4 3" xfId="306" xr:uid="{00000000-0005-0000-0000-00000B020000}"/>
    <cellStyle name="標準 3 4 3 2" xfId="372" xr:uid="{00000000-0005-0000-0000-00000C020000}"/>
    <cellStyle name="標準 3 4 3 2 2" xfId="501" xr:uid="{00000000-0005-0000-0000-00000D020000}"/>
    <cellStyle name="標準 3 4 3 2 3" xfId="561" xr:uid="{00000000-0005-0000-0000-00000E020000}"/>
    <cellStyle name="標準 3 4 3 2 4" xfId="621" xr:uid="{00000000-0005-0000-0000-00000F020000}"/>
    <cellStyle name="標準 3 4 3 2 5" xfId="459" xr:uid="{00000000-0005-0000-0000-000010020000}"/>
    <cellStyle name="標準 3 4 3 3" xfId="521" xr:uid="{00000000-0005-0000-0000-000011020000}"/>
    <cellStyle name="標準 3 4 3 3 2" xfId="581" xr:uid="{00000000-0005-0000-0000-000012020000}"/>
    <cellStyle name="標準 3 4 3 3 3" xfId="641" xr:uid="{00000000-0005-0000-0000-000013020000}"/>
    <cellStyle name="標準 3 4 3 4" xfId="481" xr:uid="{00000000-0005-0000-0000-000014020000}"/>
    <cellStyle name="標準 3 4 3 5" xfId="541" xr:uid="{00000000-0005-0000-0000-000015020000}"/>
    <cellStyle name="標準 3 4 3 6" xfId="601" xr:uid="{00000000-0005-0000-0000-000016020000}"/>
    <cellStyle name="標準 3 4 3 7" xfId="434" xr:uid="{00000000-0005-0000-0000-000017020000}"/>
    <cellStyle name="標準 3 4 3 8" xfId="681" xr:uid="{00000000-0005-0000-0000-000018020000}"/>
    <cellStyle name="標準 3 4 4" xfId="364" xr:uid="{00000000-0005-0000-0000-000019020000}"/>
    <cellStyle name="標準 3 4 4 2" xfId="453" xr:uid="{00000000-0005-0000-0000-00001A020000}"/>
    <cellStyle name="標準 3 4 4 2 2" xfId="495" xr:uid="{00000000-0005-0000-0000-00001B020000}"/>
    <cellStyle name="標準 3 4 4 2 3" xfId="555" xr:uid="{00000000-0005-0000-0000-00001C020000}"/>
    <cellStyle name="標準 3 4 4 2 4" xfId="615" xr:uid="{00000000-0005-0000-0000-00001D020000}"/>
    <cellStyle name="標準 3 4 4 3" xfId="515" xr:uid="{00000000-0005-0000-0000-00001E020000}"/>
    <cellStyle name="標準 3 4 4 3 2" xfId="575" xr:uid="{00000000-0005-0000-0000-00001F020000}"/>
    <cellStyle name="標準 3 4 4 3 3" xfId="635" xr:uid="{00000000-0005-0000-0000-000020020000}"/>
    <cellStyle name="標準 3 4 4 4" xfId="475" xr:uid="{00000000-0005-0000-0000-000021020000}"/>
    <cellStyle name="標準 3 4 4 5" xfId="535" xr:uid="{00000000-0005-0000-0000-000022020000}"/>
    <cellStyle name="標準 3 4 4 6" xfId="595" xr:uid="{00000000-0005-0000-0000-000023020000}"/>
    <cellStyle name="標準 3 4 4 7" xfId="428" xr:uid="{00000000-0005-0000-0000-000024020000}"/>
    <cellStyle name="標準 3 4 5" xfId="377" xr:uid="{00000000-0005-0000-0000-000025020000}"/>
    <cellStyle name="標準 3 4 5 2" xfId="450" xr:uid="{00000000-0005-0000-0000-000026020000}"/>
    <cellStyle name="標準 3 4 5 2 2" xfId="492" xr:uid="{00000000-0005-0000-0000-000027020000}"/>
    <cellStyle name="標準 3 4 5 2 3" xfId="552" xr:uid="{00000000-0005-0000-0000-000028020000}"/>
    <cellStyle name="標準 3 4 5 2 4" xfId="612" xr:uid="{00000000-0005-0000-0000-000029020000}"/>
    <cellStyle name="標準 3 4 5 3" xfId="512" xr:uid="{00000000-0005-0000-0000-00002A020000}"/>
    <cellStyle name="標準 3 4 5 3 2" xfId="572" xr:uid="{00000000-0005-0000-0000-00002B020000}"/>
    <cellStyle name="標準 3 4 5 3 3" xfId="632" xr:uid="{00000000-0005-0000-0000-00002C020000}"/>
    <cellStyle name="標準 3 4 5 4" xfId="472" xr:uid="{00000000-0005-0000-0000-00002D020000}"/>
    <cellStyle name="標準 3 4 5 5" xfId="532" xr:uid="{00000000-0005-0000-0000-00002E020000}"/>
    <cellStyle name="標準 3 4 5 6" xfId="592" xr:uid="{00000000-0005-0000-0000-00002F020000}"/>
    <cellStyle name="標準 3 4 5 7" xfId="425" xr:uid="{00000000-0005-0000-0000-000030020000}"/>
    <cellStyle name="標準 3 4 6" xfId="380" xr:uid="{00000000-0005-0000-0000-000031020000}"/>
    <cellStyle name="標準 3 4 6 2" xfId="486" xr:uid="{00000000-0005-0000-0000-000032020000}"/>
    <cellStyle name="標準 3 4 6 3" xfId="546" xr:uid="{00000000-0005-0000-0000-000033020000}"/>
    <cellStyle name="標準 3 4 6 4" xfId="606" xr:uid="{00000000-0005-0000-0000-000034020000}"/>
    <cellStyle name="標準 3 4 6 5" xfId="444" xr:uid="{00000000-0005-0000-0000-000035020000}"/>
    <cellStyle name="標準 3 4 7" xfId="383" xr:uid="{00000000-0005-0000-0000-000036020000}"/>
    <cellStyle name="標準 3 4 7 2" xfId="566" xr:uid="{00000000-0005-0000-0000-000037020000}"/>
    <cellStyle name="標準 3 4 7 3" xfId="626" xr:uid="{00000000-0005-0000-0000-000038020000}"/>
    <cellStyle name="標準 3 4 7 4" xfId="506" xr:uid="{00000000-0005-0000-0000-000039020000}"/>
    <cellStyle name="標準 3 4 8" xfId="357" xr:uid="{00000000-0005-0000-0000-00003A020000}"/>
    <cellStyle name="標準 3 4 8 2" xfId="466" xr:uid="{00000000-0005-0000-0000-00003B020000}"/>
    <cellStyle name="標準 3 4 9" xfId="526" xr:uid="{00000000-0005-0000-0000-00003C020000}"/>
    <cellStyle name="標準 3 5" xfId="650" xr:uid="{00000000-0005-0000-0000-00003D020000}"/>
    <cellStyle name="標準 3 6" xfId="646" xr:uid="{00000000-0005-0000-0000-00003E020000}"/>
    <cellStyle name="標準 4" xfId="133" xr:uid="{00000000-0005-0000-0000-00003F020000}"/>
    <cellStyle name="標準 4 2" xfId="299" xr:uid="{00000000-0005-0000-0000-000040020000}"/>
    <cellStyle name="標準 4 2 2" xfId="362" xr:uid="{00000000-0005-0000-0000-000041020000}"/>
    <cellStyle name="標準 4 3" xfId="294" xr:uid="{00000000-0005-0000-0000-000042020000}"/>
    <cellStyle name="標準 4 4" xfId="651" xr:uid="{00000000-0005-0000-0000-000043020000}"/>
    <cellStyle name="標準 5" xfId="134" xr:uid="{00000000-0005-0000-0000-000044020000}"/>
    <cellStyle name="標準 5 2" xfId="300" xr:uid="{00000000-0005-0000-0000-000045020000}"/>
    <cellStyle name="標準 5 3" xfId="295" xr:uid="{00000000-0005-0000-0000-000046020000}"/>
    <cellStyle name="標準 5 3 10" xfId="587" xr:uid="{00000000-0005-0000-0000-000047020000}"/>
    <cellStyle name="標準 5 3 11" xfId="411" xr:uid="{00000000-0005-0000-0000-000048020000}"/>
    <cellStyle name="標準 5 3 12" xfId="676" xr:uid="{00000000-0005-0000-0000-000049020000}"/>
    <cellStyle name="標準 5 3 2" xfId="304" xr:uid="{00000000-0005-0000-0000-00004A020000}"/>
    <cellStyle name="標準 5 3 2 2" xfId="310" xr:uid="{00000000-0005-0000-0000-00004B020000}"/>
    <cellStyle name="標準 5 3 2 2 2" xfId="457" xr:uid="{00000000-0005-0000-0000-00004C020000}"/>
    <cellStyle name="標準 5 3 2 2 2 2" xfId="499" xr:uid="{00000000-0005-0000-0000-00004D020000}"/>
    <cellStyle name="標準 5 3 2 2 2 3" xfId="559" xr:uid="{00000000-0005-0000-0000-00004E020000}"/>
    <cellStyle name="標準 5 3 2 2 2 4" xfId="619" xr:uid="{00000000-0005-0000-0000-00004F020000}"/>
    <cellStyle name="標準 5 3 2 2 3" xfId="519" xr:uid="{00000000-0005-0000-0000-000050020000}"/>
    <cellStyle name="標準 5 3 2 2 3 2" xfId="579" xr:uid="{00000000-0005-0000-0000-000051020000}"/>
    <cellStyle name="標準 5 3 2 2 3 3" xfId="639" xr:uid="{00000000-0005-0000-0000-000052020000}"/>
    <cellStyle name="標準 5 3 2 2 4" xfId="479" xr:uid="{00000000-0005-0000-0000-000053020000}"/>
    <cellStyle name="標準 5 3 2 2 5" xfId="539" xr:uid="{00000000-0005-0000-0000-000054020000}"/>
    <cellStyle name="標準 5 3 2 2 6" xfId="599" xr:uid="{00000000-0005-0000-0000-000055020000}"/>
    <cellStyle name="標準 5 3 2 2 7" xfId="432" xr:uid="{00000000-0005-0000-0000-000056020000}"/>
    <cellStyle name="標準 5 3 2 2 8" xfId="685" xr:uid="{00000000-0005-0000-0000-000057020000}"/>
    <cellStyle name="標準 5 3 2 3" xfId="368" xr:uid="{00000000-0005-0000-0000-000058020000}"/>
    <cellStyle name="標準 5 3 2 3 2" xfId="490" xr:uid="{00000000-0005-0000-0000-000059020000}"/>
    <cellStyle name="標準 5 3 2 3 3" xfId="550" xr:uid="{00000000-0005-0000-0000-00005A020000}"/>
    <cellStyle name="標準 5 3 2 3 4" xfId="610" xr:uid="{00000000-0005-0000-0000-00005B020000}"/>
    <cellStyle name="標準 5 3 2 3 5" xfId="448" xr:uid="{00000000-0005-0000-0000-00005C020000}"/>
    <cellStyle name="標準 5 3 2 4" xfId="510" xr:uid="{00000000-0005-0000-0000-00005D020000}"/>
    <cellStyle name="標準 5 3 2 4 2" xfId="570" xr:uid="{00000000-0005-0000-0000-00005E020000}"/>
    <cellStyle name="標準 5 3 2 4 3" xfId="630" xr:uid="{00000000-0005-0000-0000-00005F020000}"/>
    <cellStyle name="標準 5 3 2 5" xfId="470" xr:uid="{00000000-0005-0000-0000-000060020000}"/>
    <cellStyle name="標準 5 3 2 6" xfId="530" xr:uid="{00000000-0005-0000-0000-000061020000}"/>
    <cellStyle name="標準 5 3 2 7" xfId="590" xr:uid="{00000000-0005-0000-0000-000062020000}"/>
    <cellStyle name="標準 5 3 2 8" xfId="414" xr:uid="{00000000-0005-0000-0000-000063020000}"/>
    <cellStyle name="標準 5 3 2 9" xfId="679" xr:uid="{00000000-0005-0000-0000-000064020000}"/>
    <cellStyle name="標準 5 3 3" xfId="307" xr:uid="{00000000-0005-0000-0000-000065020000}"/>
    <cellStyle name="標準 5 3 3 2" xfId="373" xr:uid="{00000000-0005-0000-0000-000066020000}"/>
    <cellStyle name="標準 5 3 3 2 2" xfId="502" xr:uid="{00000000-0005-0000-0000-000067020000}"/>
    <cellStyle name="標準 5 3 3 2 3" xfId="562" xr:uid="{00000000-0005-0000-0000-000068020000}"/>
    <cellStyle name="標準 5 3 3 2 4" xfId="622" xr:uid="{00000000-0005-0000-0000-000069020000}"/>
    <cellStyle name="標準 5 3 3 2 5" xfId="460" xr:uid="{00000000-0005-0000-0000-00006A020000}"/>
    <cellStyle name="標準 5 3 3 3" xfId="522" xr:uid="{00000000-0005-0000-0000-00006B020000}"/>
    <cellStyle name="標準 5 3 3 3 2" xfId="582" xr:uid="{00000000-0005-0000-0000-00006C020000}"/>
    <cellStyle name="標準 5 3 3 3 3" xfId="642" xr:uid="{00000000-0005-0000-0000-00006D020000}"/>
    <cellStyle name="標準 5 3 3 4" xfId="482" xr:uid="{00000000-0005-0000-0000-00006E020000}"/>
    <cellStyle name="標準 5 3 3 5" xfId="542" xr:uid="{00000000-0005-0000-0000-00006F020000}"/>
    <cellStyle name="標準 5 3 3 6" xfId="602" xr:uid="{00000000-0005-0000-0000-000070020000}"/>
    <cellStyle name="標準 5 3 3 7" xfId="435" xr:uid="{00000000-0005-0000-0000-000071020000}"/>
    <cellStyle name="標準 5 3 3 8" xfId="682" xr:uid="{00000000-0005-0000-0000-000072020000}"/>
    <cellStyle name="標準 5 3 4" xfId="365" xr:uid="{00000000-0005-0000-0000-000073020000}"/>
    <cellStyle name="標準 5 3 4 2" xfId="454" xr:uid="{00000000-0005-0000-0000-000074020000}"/>
    <cellStyle name="標準 5 3 4 2 2" xfId="496" xr:uid="{00000000-0005-0000-0000-000075020000}"/>
    <cellStyle name="標準 5 3 4 2 3" xfId="556" xr:uid="{00000000-0005-0000-0000-000076020000}"/>
    <cellStyle name="標準 5 3 4 2 4" xfId="616" xr:uid="{00000000-0005-0000-0000-000077020000}"/>
    <cellStyle name="標準 5 3 4 3" xfId="516" xr:uid="{00000000-0005-0000-0000-000078020000}"/>
    <cellStyle name="標準 5 3 4 3 2" xfId="576" xr:uid="{00000000-0005-0000-0000-000079020000}"/>
    <cellStyle name="標準 5 3 4 3 3" xfId="636" xr:uid="{00000000-0005-0000-0000-00007A020000}"/>
    <cellStyle name="標準 5 3 4 4" xfId="476" xr:uid="{00000000-0005-0000-0000-00007B020000}"/>
    <cellStyle name="標準 5 3 4 5" xfId="536" xr:uid="{00000000-0005-0000-0000-00007C020000}"/>
    <cellStyle name="標準 5 3 4 6" xfId="596" xr:uid="{00000000-0005-0000-0000-00007D020000}"/>
    <cellStyle name="標準 5 3 4 7" xfId="429" xr:uid="{00000000-0005-0000-0000-00007E020000}"/>
    <cellStyle name="標準 5 3 5" xfId="378" xr:uid="{00000000-0005-0000-0000-00007F020000}"/>
    <cellStyle name="標準 5 3 5 2" xfId="451" xr:uid="{00000000-0005-0000-0000-000080020000}"/>
    <cellStyle name="標準 5 3 5 2 2" xfId="493" xr:uid="{00000000-0005-0000-0000-000081020000}"/>
    <cellStyle name="標準 5 3 5 2 3" xfId="553" xr:uid="{00000000-0005-0000-0000-000082020000}"/>
    <cellStyle name="標準 5 3 5 2 4" xfId="613" xr:uid="{00000000-0005-0000-0000-000083020000}"/>
    <cellStyle name="標準 5 3 5 3" xfId="513" xr:uid="{00000000-0005-0000-0000-000084020000}"/>
    <cellStyle name="標準 5 3 5 3 2" xfId="573" xr:uid="{00000000-0005-0000-0000-000085020000}"/>
    <cellStyle name="標準 5 3 5 3 3" xfId="633" xr:uid="{00000000-0005-0000-0000-000086020000}"/>
    <cellStyle name="標準 5 3 5 4" xfId="473" xr:uid="{00000000-0005-0000-0000-000087020000}"/>
    <cellStyle name="標準 5 3 5 5" xfId="533" xr:uid="{00000000-0005-0000-0000-000088020000}"/>
    <cellStyle name="標準 5 3 5 6" xfId="593" xr:uid="{00000000-0005-0000-0000-000089020000}"/>
    <cellStyle name="標準 5 3 5 7" xfId="426" xr:uid="{00000000-0005-0000-0000-00008A020000}"/>
    <cellStyle name="標準 5 3 6" xfId="381" xr:uid="{00000000-0005-0000-0000-00008B020000}"/>
    <cellStyle name="標準 5 3 6 2" xfId="487" xr:uid="{00000000-0005-0000-0000-00008C020000}"/>
    <cellStyle name="標準 5 3 6 3" xfId="547" xr:uid="{00000000-0005-0000-0000-00008D020000}"/>
    <cellStyle name="標準 5 3 6 4" xfId="607" xr:uid="{00000000-0005-0000-0000-00008E020000}"/>
    <cellStyle name="標準 5 3 6 5" xfId="445" xr:uid="{00000000-0005-0000-0000-00008F020000}"/>
    <cellStyle name="標準 5 3 7" xfId="384" xr:uid="{00000000-0005-0000-0000-000090020000}"/>
    <cellStyle name="標準 5 3 7 2" xfId="567" xr:uid="{00000000-0005-0000-0000-000091020000}"/>
    <cellStyle name="標準 5 3 7 3" xfId="627" xr:uid="{00000000-0005-0000-0000-000092020000}"/>
    <cellStyle name="標準 5 3 7 4" xfId="507" xr:uid="{00000000-0005-0000-0000-000093020000}"/>
    <cellStyle name="標準 5 3 8" xfId="358" xr:uid="{00000000-0005-0000-0000-000094020000}"/>
    <cellStyle name="標準 5 3 8 2" xfId="467" xr:uid="{00000000-0005-0000-0000-000095020000}"/>
    <cellStyle name="標準 5 3 9" xfId="527" xr:uid="{00000000-0005-0000-0000-000096020000}"/>
    <cellStyle name="標準 5 4" xfId="652" xr:uid="{00000000-0005-0000-0000-000097020000}"/>
    <cellStyle name="標準 5 5" xfId="647" xr:uid="{00000000-0005-0000-0000-000098020000}"/>
    <cellStyle name="標準 6" xfId="135" xr:uid="{00000000-0005-0000-0000-000099020000}"/>
    <cellStyle name="標準 7" xfId="136" xr:uid="{00000000-0005-0000-0000-00009A020000}"/>
    <cellStyle name="標準 8" xfId="194" xr:uid="{00000000-0005-0000-0000-00009B020000}"/>
    <cellStyle name="標準 8 2" xfId="249" xr:uid="{00000000-0005-0000-0000-00009C020000}"/>
    <cellStyle name="標準 8 2 2" xfId="279" xr:uid="{00000000-0005-0000-0000-00009D020000}"/>
    <cellStyle name="標準 8 2 2 2" xfId="351" xr:uid="{00000000-0005-0000-0000-00009E020000}"/>
    <cellStyle name="標準 8 2 2 2 2" xfId="720" xr:uid="{00000000-0005-0000-0000-00009F020000}"/>
    <cellStyle name="標準 8 2 2 3" xfId="301" xr:uid="{00000000-0005-0000-0000-0000A0020000}"/>
    <cellStyle name="標準 8 2 2 4" xfId="404" xr:uid="{00000000-0005-0000-0000-0000A1020000}"/>
    <cellStyle name="標準 8 2 2 5" xfId="669" xr:uid="{00000000-0005-0000-0000-0000A2020000}"/>
    <cellStyle name="標準 8 2 3" xfId="327" xr:uid="{00000000-0005-0000-0000-0000A3020000}"/>
    <cellStyle name="標準 8 2 3 2" xfId="386" xr:uid="{00000000-0005-0000-0000-0000A4020000}"/>
    <cellStyle name="標準 8 2 3 3" xfId="699" xr:uid="{00000000-0005-0000-0000-0000A5020000}"/>
    <cellStyle name="標準 8 2 4" xfId="337" xr:uid="{00000000-0005-0000-0000-0000A6020000}"/>
    <cellStyle name="標準 8 2 4 2" xfId="707" xr:uid="{00000000-0005-0000-0000-0000A7020000}"/>
    <cellStyle name="標準 8 2 5" xfId="288" xr:uid="{00000000-0005-0000-0000-0000A8020000}"/>
    <cellStyle name="標準 8 2 6" xfId="656" xr:uid="{00000000-0005-0000-0000-0000A9020000}"/>
    <cellStyle name="標準 8 3" xfId="268" xr:uid="{00000000-0005-0000-0000-0000AA020000}"/>
    <cellStyle name="標準 8 3 2" xfId="323" xr:uid="{00000000-0005-0000-0000-0000AB020000}"/>
    <cellStyle name="標準 8 3 3" xfId="312" xr:uid="{00000000-0005-0000-0000-0000AC020000}"/>
    <cellStyle name="標準 8 3 3 2" xfId="391" xr:uid="{00000000-0005-0000-0000-0000AD020000}"/>
    <cellStyle name="標準 8 3 3 3" xfId="687" xr:uid="{00000000-0005-0000-0000-0000AE020000}"/>
    <cellStyle name="標準 8 3 4" xfId="359" xr:uid="{00000000-0005-0000-0000-0000AF020000}"/>
    <cellStyle name="標準 8 4" xfId="257" xr:uid="{00000000-0005-0000-0000-0000B0020000}"/>
    <cellStyle name="標準 8 4 2" xfId="343" xr:uid="{00000000-0005-0000-0000-0000B1020000}"/>
    <cellStyle name="標準 8 4 2 2" xfId="713" xr:uid="{00000000-0005-0000-0000-0000B2020000}"/>
    <cellStyle name="標準 8 4 3" xfId="317" xr:uid="{00000000-0005-0000-0000-0000B3020000}"/>
    <cellStyle name="標準 8 4 3 2" xfId="692" xr:uid="{00000000-0005-0000-0000-0000B4020000}"/>
    <cellStyle name="標準 8 4 4" xfId="397" xr:uid="{00000000-0005-0000-0000-0000B5020000}"/>
    <cellStyle name="標準 8 4 5" xfId="422" xr:uid="{00000000-0005-0000-0000-0000B6020000}"/>
    <cellStyle name="標準 8 4 6" xfId="662" xr:uid="{00000000-0005-0000-0000-0000B7020000}"/>
    <cellStyle name="標準 9" xfId="195" xr:uid="{00000000-0005-0000-0000-0000B8020000}"/>
    <cellStyle name="標準 9 2" xfId="204" xr:uid="{00000000-0005-0000-0000-0000B9020000}"/>
    <cellStyle name="標準 9 2 2" xfId="277" xr:uid="{00000000-0005-0000-0000-0000BA020000}"/>
    <cellStyle name="標準 9 2 2 2" xfId="350" xr:uid="{00000000-0005-0000-0000-0000BB020000}"/>
    <cellStyle name="標準 9 2 2 3" xfId="290" xr:uid="{00000000-0005-0000-0000-0000BC020000}"/>
    <cellStyle name="標準 9 2 3" xfId="326" xr:uid="{00000000-0005-0000-0000-0000BD020000}"/>
    <cellStyle name="標準 9 2 3 2" xfId="388" xr:uid="{00000000-0005-0000-0000-0000BE020000}"/>
    <cellStyle name="標準 9 2 4" xfId="335" xr:uid="{00000000-0005-0000-0000-0000BF020000}"/>
    <cellStyle name="標準 9 2 4 2" xfId="705" xr:uid="{00000000-0005-0000-0000-0000C0020000}"/>
    <cellStyle name="標準 9 2 5" xfId="289" xr:uid="{00000000-0005-0000-0000-0000C1020000}"/>
    <cellStyle name="標準 9 2 6" xfId="654" xr:uid="{00000000-0005-0000-0000-0000C2020000}"/>
    <cellStyle name="標準 9 3" xfId="207" xr:uid="{00000000-0005-0000-0000-0000C3020000}"/>
    <cellStyle name="標準 9 3 2" xfId="263" xr:uid="{00000000-0005-0000-0000-0000C4020000}"/>
    <cellStyle name="標準 9 3 3" xfId="390" xr:uid="{00000000-0005-0000-0000-0000C5020000}"/>
    <cellStyle name="標準 9 3 4" xfId="370" xr:uid="{00000000-0005-0000-0000-0000C6020000}"/>
    <cellStyle name="標準 9 4" xfId="423" xr:uid="{00000000-0005-0000-0000-0000C7020000}"/>
    <cellStyle name="標準 9 5" xfId="440" xr:uid="{00000000-0005-0000-0000-0000C8020000}"/>
    <cellStyle name="標準_02_変更来歴例" xfId="137" xr:uid="{00000000-0005-0000-0000-0000C9020000}"/>
    <cellStyle name="標準_A00200 オーダー状況" xfId="138" xr:uid="{00000000-0005-0000-0000-0000CA020000}"/>
    <cellStyle name="標準_変更来歴_1" xfId="139" xr:uid="{00000000-0005-0000-0000-0000CB020000}"/>
    <cellStyle name="標準2" xfId="196" xr:uid="{00000000-0005-0000-0000-0000CC020000}"/>
    <cellStyle name="標準２" xfId="197" xr:uid="{00000000-0005-0000-0000-0000CD020000}"/>
    <cellStyle name="標準2_DAIICH" xfId="198" xr:uid="{00000000-0005-0000-0000-0000CE020000}"/>
    <cellStyle name="未定義" xfId="140" xr:uid="{00000000-0005-0000-0000-0000CF020000}"/>
    <cellStyle name="良い 2" xfId="141" xr:uid="{00000000-0005-0000-0000-0000D0020000}"/>
    <cellStyle name="良い 3" xfId="142" xr:uid="{00000000-0005-0000-0000-0000D1020000}"/>
    <cellStyle name="良い 4" xfId="143" xr:uid="{00000000-0005-0000-0000-0000D2020000}"/>
    <cellStyle name="良い 5" xfId="199" xr:uid="{00000000-0005-0000-0000-0000D3020000}"/>
    <cellStyle name="良い 6" xfId="248" xr:uid="{00000000-0005-0000-0000-0000D402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O323"/>
  <sheetViews>
    <sheetView topLeftCell="T161"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6.0898437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29.453125" style="4" bestFit="1" customWidth="1"/>
    <col min="20" max="20" width="18.36328125" style="4" customWidth="1"/>
    <col min="21" max="21" width="15" style="4" bestFit="1" customWidth="1"/>
    <col min="22" max="22" width="24.453125" style="4" customWidth="1"/>
    <col min="23" max="23" width="14.453125" style="4" bestFit="1" customWidth="1"/>
    <col min="24" max="25" width="10.81640625" style="4" customWidth="1"/>
    <col min="26" max="26" width="10" style="4" customWidth="1"/>
    <col min="27" max="28" width="9.453125" style="4" bestFit="1" customWidth="1"/>
    <col min="29" max="29" width="9.08984375" style="4" customWidth="1"/>
    <col min="30" max="30" width="9.453125" style="4" bestFit="1" customWidth="1"/>
    <col min="31" max="31" width="10" style="4" customWidth="1"/>
    <col min="32" max="32" width="17.1796875" style="4" bestFit="1" customWidth="1"/>
    <col min="33" max="33" width="43.90625" style="4" bestFit="1" customWidth="1"/>
    <col min="34" max="34" width="13.90625" style="4" bestFit="1" customWidth="1"/>
    <col min="35" max="35" width="42.81640625" style="4" bestFit="1" customWidth="1"/>
    <col min="36" max="36" width="13.90625" style="4" bestFit="1" customWidth="1"/>
    <col min="37" max="37" width="41.453125" style="4" customWidth="1"/>
    <col min="38" max="38" width="13.90625" style="4" bestFit="1" customWidth="1"/>
    <col min="39" max="39" width="9.453125" style="4" bestFit="1" customWidth="1"/>
    <col min="40" max="40" width="30.81640625" style="4" customWidth="1"/>
    <col min="41" max="41" width="15.81640625" style="4" customWidth="1"/>
    <col min="42" max="16384" width="9" style="4"/>
  </cols>
  <sheetData>
    <row r="1" spans="1:41" s="1" customFormat="1">
      <c r="A1" s="31" t="s">
        <v>12</v>
      </c>
      <c r="B1" s="31" t="s">
        <v>12</v>
      </c>
      <c r="C1" s="31"/>
      <c r="D1" s="14" t="s">
        <v>475</v>
      </c>
      <c r="E1" s="14">
        <v>2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1:41" s="1" customFormat="1" ht="40" customHeight="1">
      <c r="A2" s="32" t="s">
        <v>12</v>
      </c>
      <c r="B2" s="33"/>
      <c r="C2" s="33"/>
      <c r="D2" s="34" t="s">
        <v>760</v>
      </c>
      <c r="E2" s="35" t="s">
        <v>476</v>
      </c>
      <c r="F2" s="11" t="str">
        <f>LEFT(I2,2)</f>
        <v>MA</v>
      </c>
      <c r="G2" s="104" t="s">
        <v>477</v>
      </c>
      <c r="H2" s="109"/>
      <c r="I2" s="110" t="s">
        <v>84</v>
      </c>
      <c r="J2" s="111"/>
      <c r="K2" s="107" t="s">
        <v>478</v>
      </c>
      <c r="L2" s="107"/>
      <c r="M2" s="107"/>
      <c r="N2" s="107"/>
      <c r="O2" s="104"/>
      <c r="P2" s="36"/>
      <c r="Q2" s="11" t="s">
        <v>734</v>
      </c>
      <c r="R2" s="35" t="s">
        <v>479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4"/>
    </row>
    <row r="3" spans="1:41" s="1" customFormat="1" ht="13.5" customHeight="1">
      <c r="A3" s="40" t="s">
        <v>12</v>
      </c>
      <c r="B3" s="41"/>
      <c r="C3" s="41"/>
      <c r="E3" s="35" t="s">
        <v>480</v>
      </c>
      <c r="F3" s="11" t="str">
        <f>LEFT(I2,4)</f>
        <v>MABC</v>
      </c>
      <c r="G3" s="104" t="s">
        <v>481</v>
      </c>
      <c r="H3" s="109"/>
      <c r="I3" s="110" t="s">
        <v>86</v>
      </c>
      <c r="J3" s="111"/>
      <c r="K3" s="107" t="s">
        <v>482</v>
      </c>
      <c r="L3" s="107"/>
      <c r="M3" s="107"/>
      <c r="N3" s="107"/>
      <c r="O3" s="104"/>
      <c r="P3" s="36"/>
      <c r="Q3" s="11"/>
      <c r="R3" s="35" t="s">
        <v>483</v>
      </c>
      <c r="S3" s="11" t="s">
        <v>735</v>
      </c>
      <c r="T3" s="11"/>
      <c r="AO3" s="10"/>
    </row>
    <row r="4" spans="1:41" s="1" customFormat="1" ht="13.5" customHeight="1">
      <c r="A4" s="40" t="s">
        <v>12</v>
      </c>
      <c r="B4" s="41"/>
      <c r="C4" s="41"/>
      <c r="D4" s="10"/>
      <c r="E4" s="35" t="s">
        <v>484</v>
      </c>
      <c r="F4" s="11" t="s">
        <v>13</v>
      </c>
      <c r="G4" s="104" t="s">
        <v>485</v>
      </c>
      <c r="H4" s="109"/>
      <c r="I4" s="110" t="s">
        <v>85</v>
      </c>
      <c r="J4" s="111"/>
      <c r="K4" s="107" t="s">
        <v>486</v>
      </c>
      <c r="L4" s="107"/>
      <c r="M4" s="107"/>
      <c r="N4" s="107"/>
      <c r="O4" s="104"/>
      <c r="P4" s="36"/>
      <c r="Q4" s="11" t="s">
        <v>487</v>
      </c>
      <c r="R4" s="35"/>
      <c r="S4" s="35"/>
      <c r="T4" s="42"/>
      <c r="AO4" s="10"/>
    </row>
    <row r="5" spans="1:41" s="1" customFormat="1">
      <c r="A5" s="43" t="s">
        <v>12</v>
      </c>
      <c r="B5" s="31"/>
      <c r="C5" s="31"/>
      <c r="D5" s="44"/>
      <c r="E5" s="35" t="s">
        <v>488</v>
      </c>
      <c r="F5" s="11" t="s">
        <v>2</v>
      </c>
      <c r="G5" s="104" t="s">
        <v>489</v>
      </c>
      <c r="H5" s="109"/>
      <c r="I5" s="112"/>
      <c r="J5" s="112"/>
      <c r="K5" s="45"/>
      <c r="L5" s="45"/>
      <c r="M5" s="45"/>
      <c r="N5" s="45"/>
      <c r="O5" s="45"/>
      <c r="P5" s="45"/>
      <c r="Q5" s="45"/>
      <c r="R5" s="45"/>
      <c r="S5" s="45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44"/>
    </row>
    <row r="6" spans="1:41" s="1" customFormat="1" ht="13.5" customHeight="1">
      <c r="A6" s="40" t="s">
        <v>12</v>
      </c>
      <c r="B6" s="41"/>
      <c r="C6" s="41"/>
      <c r="D6" s="1" t="s">
        <v>490</v>
      </c>
      <c r="E6" s="108" t="s">
        <v>87</v>
      </c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46"/>
      <c r="Q6" s="39"/>
      <c r="R6" s="39"/>
      <c r="S6" s="39"/>
      <c r="AC6" s="14"/>
      <c r="AD6" s="14"/>
      <c r="AE6" s="14"/>
      <c r="AF6" s="14"/>
      <c r="AG6" s="14"/>
      <c r="AH6" s="14"/>
      <c r="AI6" s="14"/>
      <c r="AJ6" s="14"/>
      <c r="AL6" s="10"/>
      <c r="AO6" s="47"/>
    </row>
    <row r="7" spans="1:41" s="1" customFormat="1" ht="26">
      <c r="A7" s="2" t="s">
        <v>14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1" t="s">
        <v>491</v>
      </c>
      <c r="V7" s="11" t="s">
        <v>491</v>
      </c>
      <c r="W7" s="11" t="s">
        <v>491</v>
      </c>
      <c r="X7" s="11" t="s">
        <v>491</v>
      </c>
      <c r="Y7" s="11" t="s">
        <v>491</v>
      </c>
      <c r="Z7" s="5"/>
      <c r="AA7" s="11" t="s">
        <v>492</v>
      </c>
      <c r="AB7" s="11" t="s">
        <v>492</v>
      </c>
      <c r="AC7" s="11" t="s">
        <v>492</v>
      </c>
      <c r="AD7" s="11" t="s">
        <v>492</v>
      </c>
      <c r="AE7" s="5"/>
      <c r="AF7" s="35" t="s">
        <v>496</v>
      </c>
      <c r="AG7" s="11" t="s">
        <v>325</v>
      </c>
      <c r="AH7" s="35" t="s">
        <v>496</v>
      </c>
      <c r="AI7" s="11" t="s">
        <v>326</v>
      </c>
      <c r="AJ7" s="35" t="s">
        <v>496</v>
      </c>
      <c r="AK7" s="11" t="s">
        <v>327</v>
      </c>
      <c r="AL7" s="35" t="s">
        <v>496</v>
      </c>
      <c r="AM7" s="11"/>
      <c r="AN7" s="4"/>
      <c r="AO7" s="24"/>
    </row>
    <row r="8" spans="1:41" s="1" customFormat="1" ht="60" customHeight="1">
      <c r="A8" s="11" t="s">
        <v>14</v>
      </c>
      <c r="B8" s="11"/>
      <c r="C8" s="11"/>
      <c r="D8" s="35" t="s">
        <v>761</v>
      </c>
      <c r="E8" s="35" t="s">
        <v>736</v>
      </c>
      <c r="F8" s="35" t="s">
        <v>762</v>
      </c>
      <c r="G8" s="45" t="s">
        <v>763</v>
      </c>
      <c r="H8" s="35"/>
      <c r="I8" s="35" t="s">
        <v>764</v>
      </c>
      <c r="J8" s="35" t="s">
        <v>765</v>
      </c>
      <c r="K8" s="35" t="s">
        <v>766</v>
      </c>
      <c r="L8" s="35" t="s">
        <v>767</v>
      </c>
      <c r="M8" s="35" t="s">
        <v>737</v>
      </c>
      <c r="N8" s="35" t="s">
        <v>738</v>
      </c>
      <c r="O8" s="35" t="s">
        <v>739</v>
      </c>
      <c r="P8" s="35" t="s">
        <v>740</v>
      </c>
      <c r="Q8" s="104" t="s">
        <v>768</v>
      </c>
      <c r="R8" s="105"/>
      <c r="S8" s="106"/>
      <c r="T8" s="38" t="s">
        <v>769</v>
      </c>
      <c r="U8" s="11" t="s">
        <v>335</v>
      </c>
      <c r="V8" s="11" t="s">
        <v>431</v>
      </c>
      <c r="W8" s="11" t="s">
        <v>432</v>
      </c>
      <c r="X8" s="11" t="s">
        <v>430</v>
      </c>
      <c r="Y8" s="11" t="s">
        <v>466</v>
      </c>
      <c r="Z8" s="5"/>
      <c r="AA8" s="11" t="s">
        <v>741</v>
      </c>
      <c r="AB8" s="11" t="s">
        <v>493</v>
      </c>
      <c r="AC8" s="11" t="s">
        <v>494</v>
      </c>
      <c r="AD8" s="11" t="s">
        <v>495</v>
      </c>
      <c r="AE8" s="5"/>
      <c r="AF8" s="35" t="s">
        <v>742</v>
      </c>
      <c r="AG8" s="11" t="str">
        <f>F2&amp;"."&amp;F3&amp;"L"&amp;RIGHT(I2,4)&amp;".Srch01"</f>
        <v>MA.MABCL0350.Srch01</v>
      </c>
      <c r="AH8" s="35" t="s">
        <v>742</v>
      </c>
      <c r="AI8" s="11" t="str">
        <f>F2&amp;"."&amp;F3&amp;"L"&amp;RIGHT(I2,4)&amp;".Upd01"</f>
        <v>MA.MABCL0350.Upd01</v>
      </c>
      <c r="AJ8" s="35" t="s">
        <v>742</v>
      </c>
      <c r="AK8" s="11" t="str">
        <f>F2&amp;"."&amp;F3&amp;"L"&amp;RIGHT(I2,4)&amp;".Del01"</f>
        <v>MA.MABCL0350.Del01</v>
      </c>
      <c r="AL8" s="35" t="s">
        <v>742</v>
      </c>
      <c r="AM8" s="11"/>
      <c r="AN8" s="6"/>
      <c r="AO8" s="55" t="s">
        <v>781</v>
      </c>
    </row>
    <row r="9" spans="1:41" s="1" customFormat="1" ht="60" customHeight="1">
      <c r="A9" s="11" t="s">
        <v>14</v>
      </c>
      <c r="B9" s="11"/>
      <c r="C9" s="11"/>
      <c r="D9" s="35" t="s">
        <v>770</v>
      </c>
      <c r="E9" s="45" t="s">
        <v>771</v>
      </c>
      <c r="F9" s="48" t="s">
        <v>772</v>
      </c>
      <c r="G9" s="48" t="s">
        <v>773</v>
      </c>
      <c r="H9" s="48" t="s">
        <v>774</v>
      </c>
      <c r="I9" s="35" t="s">
        <v>775</v>
      </c>
      <c r="J9" s="48" t="s">
        <v>743</v>
      </c>
      <c r="K9" s="48" t="s">
        <v>776</v>
      </c>
      <c r="L9" s="35" t="s">
        <v>777</v>
      </c>
      <c r="M9" s="35" t="s">
        <v>778</v>
      </c>
      <c r="N9" s="35" t="s">
        <v>779</v>
      </c>
      <c r="O9" s="35" t="s">
        <v>473</v>
      </c>
      <c r="P9" s="35" t="s">
        <v>740</v>
      </c>
      <c r="Q9" s="35" t="s">
        <v>744</v>
      </c>
      <c r="R9" s="35" t="s">
        <v>474</v>
      </c>
      <c r="S9" s="35" t="s">
        <v>745</v>
      </c>
      <c r="T9" s="49"/>
      <c r="U9" s="4"/>
      <c r="V9" s="4"/>
      <c r="W9" s="4"/>
      <c r="X9" s="4"/>
      <c r="Y9" s="4"/>
      <c r="Z9" s="4"/>
      <c r="AA9" s="7"/>
      <c r="AB9" s="7"/>
      <c r="AC9" s="4"/>
      <c r="AD9" s="7"/>
      <c r="AE9" s="4"/>
      <c r="AF9" s="35" t="s">
        <v>746</v>
      </c>
      <c r="AG9" s="11" t="s">
        <v>497</v>
      </c>
      <c r="AH9" s="35" t="s">
        <v>746</v>
      </c>
      <c r="AI9" s="11" t="s">
        <v>497</v>
      </c>
      <c r="AJ9" s="35" t="s">
        <v>746</v>
      </c>
      <c r="AK9" s="11" t="s">
        <v>497</v>
      </c>
      <c r="AL9" s="35" t="s">
        <v>746</v>
      </c>
      <c r="AM9" s="11"/>
      <c r="AN9" s="54" t="s">
        <v>780</v>
      </c>
      <c r="AO9" s="55" t="s">
        <v>782</v>
      </c>
    </row>
    <row r="10" spans="1:41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35" t="s">
        <v>963</v>
      </c>
      <c r="AG10" s="35" t="s">
        <v>964</v>
      </c>
      <c r="AH10" s="35" t="s">
        <v>963</v>
      </c>
      <c r="AI10" s="35" t="s">
        <v>964</v>
      </c>
      <c r="AJ10" s="35" t="s">
        <v>963</v>
      </c>
      <c r="AK10" s="35" t="s">
        <v>964</v>
      </c>
      <c r="AL10" s="35" t="s">
        <v>963</v>
      </c>
      <c r="AM10" s="35" t="s">
        <v>964</v>
      </c>
      <c r="AN10" s="9"/>
      <c r="AO10" s="8"/>
    </row>
    <row r="11" spans="1:41" s="1" customFormat="1" ht="26">
      <c r="A11" s="50">
        <f>IF(A10="",MAX($A$10:A10)+10,A10)</f>
        <v>10</v>
      </c>
      <c r="B11" s="25" t="s">
        <v>0</v>
      </c>
      <c r="C11" s="25"/>
      <c r="D11" s="25" t="s">
        <v>78</v>
      </c>
      <c r="E11" s="26"/>
      <c r="F11" s="25"/>
      <c r="G11" s="25" t="s">
        <v>79</v>
      </c>
      <c r="H11" s="25"/>
      <c r="I11" s="25" t="s">
        <v>498</v>
      </c>
      <c r="J11" s="50" t="s">
        <v>783</v>
      </c>
      <c r="K11" s="25" t="s">
        <v>499</v>
      </c>
      <c r="L11" s="25" t="s">
        <v>500</v>
      </c>
      <c r="M11" s="25" t="s">
        <v>501</v>
      </c>
      <c r="N11" s="25" t="s">
        <v>502</v>
      </c>
      <c r="O11" s="25"/>
      <c r="P11" s="25"/>
      <c r="Q11" s="27"/>
      <c r="R11" s="27"/>
      <c r="S11" s="27"/>
      <c r="T11" s="27"/>
      <c r="U11" s="27"/>
      <c r="V11" s="27"/>
      <c r="W11" s="27"/>
      <c r="X11" s="27"/>
      <c r="Y11" s="27"/>
      <c r="Z11" s="51"/>
      <c r="AA11" s="27"/>
      <c r="AB11" s="27"/>
      <c r="AC11" s="27"/>
      <c r="AD11" s="27"/>
      <c r="AE11" s="51"/>
      <c r="AF11" s="50"/>
      <c r="AG11" s="50"/>
      <c r="AH11" s="50"/>
      <c r="AI11" s="50"/>
      <c r="AJ11" s="50"/>
      <c r="AK11" s="50"/>
      <c r="AL11" s="50"/>
      <c r="AM11" s="50"/>
      <c r="AN11" s="51"/>
      <c r="AO11" s="28"/>
    </row>
    <row r="12" spans="1:41" s="1" customFormat="1" ht="52">
      <c r="A12" s="40"/>
      <c r="AF12" s="35" t="s">
        <v>963</v>
      </c>
      <c r="AG12" s="35" t="s">
        <v>964</v>
      </c>
      <c r="AH12" s="35" t="s">
        <v>963</v>
      </c>
      <c r="AI12" s="35" t="s">
        <v>964</v>
      </c>
      <c r="AJ12" s="35" t="s">
        <v>963</v>
      </c>
      <c r="AK12" s="35" t="s">
        <v>964</v>
      </c>
      <c r="AL12" s="35" t="s">
        <v>963</v>
      </c>
      <c r="AM12" s="35" t="s">
        <v>964</v>
      </c>
      <c r="AO12" s="10"/>
    </row>
    <row r="13" spans="1:41" s="1" customFormat="1">
      <c r="A13" s="11">
        <f>IF(A12="",MAX($A$10:A12)+10,A12)</f>
        <v>20</v>
      </c>
      <c r="B13" s="12" t="s">
        <v>0</v>
      </c>
      <c r="C13" s="12"/>
      <c r="D13" s="12" t="s">
        <v>426</v>
      </c>
      <c r="E13" s="13"/>
      <c r="F13" s="12"/>
      <c r="G13" s="12"/>
      <c r="H13" s="12"/>
      <c r="I13" s="12" t="s">
        <v>498</v>
      </c>
      <c r="J13" s="12"/>
      <c r="K13" s="12" t="s">
        <v>499</v>
      </c>
      <c r="L13" s="12"/>
      <c r="M13" s="12" t="s">
        <v>503</v>
      </c>
      <c r="N13" s="12" t="s">
        <v>502</v>
      </c>
      <c r="O13" s="12"/>
      <c r="P13" s="12"/>
      <c r="Q13" s="16"/>
      <c r="R13" s="16"/>
      <c r="S13" s="16"/>
      <c r="T13" s="16"/>
      <c r="U13" s="16"/>
      <c r="V13" s="16"/>
      <c r="W13" s="16"/>
      <c r="X13" s="16"/>
      <c r="Y13" s="16"/>
      <c r="Z13" s="14"/>
      <c r="AA13" s="16"/>
      <c r="AB13" s="16"/>
      <c r="AC13" s="16"/>
      <c r="AD13" s="16"/>
      <c r="AE13" s="14"/>
      <c r="AF13" s="11"/>
      <c r="AG13" s="11"/>
      <c r="AH13" s="11"/>
      <c r="AI13" s="11"/>
      <c r="AJ13" s="11"/>
      <c r="AK13" s="11"/>
      <c r="AL13" s="11"/>
      <c r="AM13" s="11"/>
      <c r="AN13" s="14"/>
      <c r="AO13" s="15"/>
    </row>
    <row r="14" spans="1:41" s="1" customFormat="1" ht="26">
      <c r="A14" s="11">
        <f>IF(A13="",MAX($A$10:A13)+10,A13)</f>
        <v>20</v>
      </c>
      <c r="B14" s="11"/>
      <c r="C14" s="11"/>
      <c r="D14" s="11" t="s">
        <v>747</v>
      </c>
      <c r="E14" s="30" t="s">
        <v>784</v>
      </c>
      <c r="F14" s="11" t="s">
        <v>427</v>
      </c>
      <c r="G14" s="11" t="s">
        <v>428</v>
      </c>
      <c r="H14" s="11"/>
      <c r="I14" s="11" t="s">
        <v>504</v>
      </c>
      <c r="J14" s="11"/>
      <c r="K14" s="11" t="s">
        <v>505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AA14" s="11" t="s">
        <v>506</v>
      </c>
      <c r="AB14" s="11" t="s">
        <v>506</v>
      </c>
      <c r="AC14" s="11" t="s">
        <v>506</v>
      </c>
      <c r="AD14" s="11" t="s">
        <v>506</v>
      </c>
      <c r="AF14" s="11"/>
      <c r="AG14" s="11"/>
      <c r="AH14" s="11"/>
      <c r="AI14" s="11"/>
      <c r="AJ14" s="11"/>
      <c r="AK14" s="11"/>
      <c r="AL14" s="11"/>
      <c r="AM14" s="11"/>
      <c r="AO14" s="17"/>
    </row>
    <row r="15" spans="1:41" s="1" customFormat="1" ht="39">
      <c r="A15" s="40"/>
      <c r="AF15" s="35" t="s">
        <v>964</v>
      </c>
      <c r="AG15" s="35" t="s">
        <v>963</v>
      </c>
      <c r="AH15" s="35" t="s">
        <v>964</v>
      </c>
      <c r="AI15" s="35" t="s">
        <v>963</v>
      </c>
      <c r="AJ15" s="35" t="s">
        <v>964</v>
      </c>
      <c r="AK15" s="35" t="s">
        <v>963</v>
      </c>
      <c r="AL15" s="35" t="s">
        <v>964</v>
      </c>
      <c r="AM15" s="35"/>
      <c r="AO15" s="10"/>
    </row>
    <row r="16" spans="1:41" s="1" customFormat="1">
      <c r="A16" s="11">
        <f>IF(A15="",MAX($A$10:A15)+10,A15)</f>
        <v>30</v>
      </c>
      <c r="B16" s="12" t="s">
        <v>0</v>
      </c>
      <c r="C16" s="12"/>
      <c r="D16" s="12" t="s">
        <v>400</v>
      </c>
      <c r="E16" s="13"/>
      <c r="F16" s="12"/>
      <c r="G16" s="12"/>
      <c r="H16" s="12"/>
      <c r="I16" s="12" t="s">
        <v>498</v>
      </c>
      <c r="J16" s="12"/>
      <c r="K16" s="12" t="s">
        <v>499</v>
      </c>
      <c r="L16" s="12"/>
      <c r="M16" s="12" t="s">
        <v>507</v>
      </c>
      <c r="N16" s="12"/>
      <c r="O16" s="11" t="s">
        <v>508</v>
      </c>
      <c r="P16" s="12"/>
      <c r="Q16" s="16"/>
      <c r="R16" s="16"/>
      <c r="S16" s="16"/>
      <c r="T16" s="16"/>
      <c r="U16" s="16"/>
      <c r="V16" s="16"/>
      <c r="W16" s="16"/>
      <c r="X16" s="16"/>
      <c r="Y16" s="16"/>
      <c r="Z16" s="14"/>
      <c r="AA16" s="16"/>
      <c r="AB16" s="16"/>
      <c r="AC16" s="16"/>
      <c r="AD16" s="16"/>
      <c r="AE16" s="14"/>
      <c r="AF16" s="11"/>
      <c r="AG16" s="11"/>
      <c r="AH16" s="11"/>
      <c r="AI16" s="11"/>
      <c r="AJ16" s="11"/>
      <c r="AK16" s="11"/>
      <c r="AL16" s="11"/>
      <c r="AM16" s="11"/>
      <c r="AN16" s="14"/>
      <c r="AO16" s="17"/>
    </row>
    <row r="17" spans="1:41" s="1" customFormat="1">
      <c r="A17" s="11">
        <f>IF(A16="",MAX($A$10:A16)+10,A16)</f>
        <v>30</v>
      </c>
      <c r="B17" s="11"/>
      <c r="C17" s="11"/>
      <c r="D17" s="11" t="s">
        <v>401</v>
      </c>
      <c r="E17" s="30"/>
      <c r="F17" s="11"/>
      <c r="G17" s="11"/>
      <c r="H17" s="11"/>
      <c r="I17" s="11"/>
      <c r="J17" s="11"/>
      <c r="K17" s="11" t="s">
        <v>509</v>
      </c>
      <c r="L17" s="11"/>
      <c r="M17" s="11"/>
      <c r="N17" s="11"/>
      <c r="O17" s="11" t="s">
        <v>402</v>
      </c>
      <c r="P17" s="11"/>
      <c r="Q17" s="11"/>
      <c r="R17" s="11"/>
      <c r="S17" s="11"/>
      <c r="T17" s="11"/>
      <c r="U17" s="11"/>
      <c r="V17" s="11"/>
      <c r="W17" s="11"/>
      <c r="X17" s="11"/>
      <c r="Y17" s="11"/>
      <c r="AA17" s="11"/>
      <c r="AB17" s="11"/>
      <c r="AC17" s="11"/>
      <c r="AD17" s="11"/>
      <c r="AF17" s="11"/>
      <c r="AG17" s="11"/>
      <c r="AH17" s="11"/>
      <c r="AI17" s="11"/>
      <c r="AJ17" s="11"/>
      <c r="AK17" s="11"/>
      <c r="AL17" s="11"/>
      <c r="AM17" s="11"/>
      <c r="AO17" s="17"/>
    </row>
    <row r="18" spans="1:41" s="1" customFormat="1">
      <c r="A18" s="11">
        <f>IF(A17="",MAX($A$10:A17)+10,A17)</f>
        <v>30</v>
      </c>
      <c r="B18" s="11"/>
      <c r="C18" s="11"/>
      <c r="D18" s="11" t="s">
        <v>403</v>
      </c>
      <c r="E18" s="30"/>
      <c r="F18" s="11"/>
      <c r="G18" s="11"/>
      <c r="H18" s="11"/>
      <c r="I18" s="11"/>
      <c r="J18" s="11"/>
      <c r="K18" s="11" t="s">
        <v>509</v>
      </c>
      <c r="L18" s="11"/>
      <c r="M18" s="11"/>
      <c r="N18" s="11"/>
      <c r="O18" s="11" t="s">
        <v>404</v>
      </c>
      <c r="P18" s="11"/>
      <c r="Q18" s="11"/>
      <c r="R18" s="11"/>
      <c r="S18" s="11"/>
      <c r="T18" s="11"/>
      <c r="U18" s="11"/>
      <c r="V18" s="11"/>
      <c r="W18" s="11"/>
      <c r="X18" s="11"/>
      <c r="Y18" s="11"/>
      <c r="AA18" s="11"/>
      <c r="AB18" s="11"/>
      <c r="AC18" s="11"/>
      <c r="AD18" s="11"/>
      <c r="AF18" s="11"/>
      <c r="AG18" s="11"/>
      <c r="AH18" s="11"/>
      <c r="AI18" s="11"/>
      <c r="AJ18" s="11"/>
      <c r="AK18" s="11"/>
      <c r="AL18" s="11"/>
      <c r="AM18" s="11"/>
      <c r="AO18" s="17"/>
    </row>
    <row r="19" spans="1:41" s="1" customFormat="1" ht="52">
      <c r="A19" s="40"/>
      <c r="AF19" s="35"/>
      <c r="AG19" s="35" t="s">
        <v>963</v>
      </c>
      <c r="AH19" s="35" t="s">
        <v>964</v>
      </c>
      <c r="AI19" s="35" t="s">
        <v>963</v>
      </c>
      <c r="AJ19" s="35" t="s">
        <v>964</v>
      </c>
      <c r="AK19" s="35" t="s">
        <v>963</v>
      </c>
      <c r="AL19" s="35" t="s">
        <v>964</v>
      </c>
      <c r="AM19" s="35" t="s">
        <v>963</v>
      </c>
      <c r="AO19" s="10"/>
    </row>
    <row r="20" spans="1:41" s="1" customFormat="1">
      <c r="A20" s="11">
        <f>IF(A19="",MAX($A$10:A19)+10,A19)</f>
        <v>40</v>
      </c>
      <c r="B20" s="12" t="s">
        <v>0</v>
      </c>
      <c r="C20" s="12"/>
      <c r="D20" s="12" t="s">
        <v>402</v>
      </c>
      <c r="E20" s="13"/>
      <c r="F20" s="12"/>
      <c r="G20" s="12"/>
      <c r="H20" s="12"/>
      <c r="I20" s="12" t="s">
        <v>498</v>
      </c>
      <c r="J20" s="12"/>
      <c r="K20" s="12" t="s">
        <v>499</v>
      </c>
      <c r="L20" s="12"/>
      <c r="M20" s="12" t="s">
        <v>510</v>
      </c>
      <c r="N20" s="12"/>
      <c r="O20" s="11"/>
      <c r="P20" s="12"/>
      <c r="Q20" s="16"/>
      <c r="R20" s="16"/>
      <c r="S20" s="16"/>
      <c r="T20" s="16"/>
      <c r="U20" s="16"/>
      <c r="V20" s="16"/>
      <c r="W20" s="16"/>
      <c r="X20" s="16"/>
      <c r="Y20" s="16"/>
      <c r="Z20" s="14"/>
      <c r="AA20" s="16"/>
      <c r="AB20" s="16"/>
      <c r="AC20" s="16"/>
      <c r="AD20" s="16"/>
      <c r="AE20" s="14"/>
      <c r="AF20" s="11"/>
      <c r="AG20" s="11"/>
      <c r="AH20" s="11"/>
      <c r="AI20" s="11"/>
      <c r="AJ20" s="11"/>
      <c r="AK20" s="11"/>
      <c r="AL20" s="11"/>
      <c r="AM20" s="11"/>
      <c r="AN20" s="14"/>
      <c r="AO20" s="17"/>
    </row>
    <row r="21" spans="1:41" s="1" customFormat="1">
      <c r="A21" s="11">
        <f>IF(A20="",MAX($A$10:A20)+10,A20)</f>
        <v>40</v>
      </c>
      <c r="B21" s="11"/>
      <c r="C21" s="11"/>
      <c r="D21" s="11" t="s">
        <v>405</v>
      </c>
      <c r="E21" s="30"/>
      <c r="F21" s="11"/>
      <c r="G21" s="11"/>
      <c r="H21" s="11"/>
      <c r="I21" s="11"/>
      <c r="J21" s="11"/>
      <c r="K21" s="11" t="s">
        <v>509</v>
      </c>
      <c r="L21" s="11"/>
      <c r="M21" s="11"/>
      <c r="N21" s="11"/>
      <c r="O21" s="11" t="s">
        <v>511</v>
      </c>
      <c r="P21" s="11"/>
      <c r="Q21" s="11"/>
      <c r="R21" s="11"/>
      <c r="S21" s="11"/>
      <c r="T21" s="11"/>
      <c r="U21" s="11"/>
      <c r="V21" s="11"/>
      <c r="W21" s="11"/>
      <c r="X21" s="11"/>
      <c r="Y21" s="11"/>
      <c r="AA21" s="11"/>
      <c r="AB21" s="11"/>
      <c r="AC21" s="11"/>
      <c r="AD21" s="11"/>
      <c r="AF21" s="11"/>
      <c r="AG21" s="11"/>
      <c r="AH21" s="11"/>
      <c r="AI21" s="11"/>
      <c r="AJ21" s="11"/>
      <c r="AK21" s="11"/>
      <c r="AL21" s="11"/>
      <c r="AM21" s="11"/>
      <c r="AO21" s="17"/>
    </row>
    <row r="22" spans="1:41" s="1" customFormat="1" ht="52">
      <c r="A22" s="40"/>
      <c r="AF22" s="35" t="s">
        <v>963</v>
      </c>
      <c r="AG22" s="35" t="s">
        <v>964</v>
      </c>
      <c r="AH22" s="35" t="s">
        <v>963</v>
      </c>
      <c r="AI22" s="35" t="s">
        <v>964</v>
      </c>
      <c r="AJ22" s="35" t="s">
        <v>963</v>
      </c>
      <c r="AK22" s="35" t="s">
        <v>964</v>
      </c>
      <c r="AL22" s="35" t="s">
        <v>963</v>
      </c>
      <c r="AM22" s="35" t="s">
        <v>964</v>
      </c>
      <c r="AO22" s="10"/>
    </row>
    <row r="23" spans="1:41" s="1" customFormat="1">
      <c r="A23" s="11">
        <f>IF(A22="",MAX($A$10:A22)+10,A22)</f>
        <v>50</v>
      </c>
      <c r="B23" s="12" t="s">
        <v>0</v>
      </c>
      <c r="C23" s="12"/>
      <c r="D23" s="12" t="s">
        <v>748</v>
      </c>
      <c r="E23" s="13"/>
      <c r="F23" s="12"/>
      <c r="G23" s="12" t="s">
        <v>3</v>
      </c>
      <c r="H23" s="12"/>
      <c r="I23" s="12" t="s">
        <v>498</v>
      </c>
      <c r="J23" s="11" t="s">
        <v>785</v>
      </c>
      <c r="K23" s="12" t="s">
        <v>499</v>
      </c>
      <c r="L23" s="12" t="s">
        <v>500</v>
      </c>
      <c r="M23" s="12" t="s">
        <v>499</v>
      </c>
      <c r="N23" s="12"/>
      <c r="O23" s="12"/>
      <c r="P23" s="12"/>
      <c r="Q23" s="16"/>
      <c r="R23" s="16"/>
      <c r="S23" s="16"/>
      <c r="T23" s="16"/>
      <c r="U23" s="16"/>
      <c r="V23" s="16"/>
      <c r="W23" s="16"/>
      <c r="X23" s="16"/>
      <c r="Y23" s="16"/>
      <c r="Z23" s="14"/>
      <c r="AA23" s="16"/>
      <c r="AB23" s="16"/>
      <c r="AC23" s="16"/>
      <c r="AD23" s="16"/>
      <c r="AE23" s="14"/>
      <c r="AF23" s="11" t="s">
        <v>512</v>
      </c>
      <c r="AG23" s="11"/>
      <c r="AH23" s="11"/>
      <c r="AI23" s="11"/>
      <c r="AJ23" s="11"/>
      <c r="AK23" s="11"/>
      <c r="AL23" s="11"/>
      <c r="AM23" s="11"/>
      <c r="AN23" s="14"/>
      <c r="AO23" s="17"/>
    </row>
    <row r="24" spans="1:41" s="1" customFormat="1" ht="39">
      <c r="A24" s="11">
        <f>IF(A23="",MAX($A$10:A23)+10,A23)</f>
        <v>50</v>
      </c>
      <c r="B24" s="11"/>
      <c r="C24" s="11"/>
      <c r="D24" s="11" t="s">
        <v>80</v>
      </c>
      <c r="E24" s="30" t="s">
        <v>786</v>
      </c>
      <c r="F24" s="11" t="s">
        <v>434</v>
      </c>
      <c r="G24" s="11" t="s">
        <v>10</v>
      </c>
      <c r="H24" s="11"/>
      <c r="I24" s="11" t="s">
        <v>510</v>
      </c>
      <c r="J24" s="11"/>
      <c r="K24" s="11" t="s">
        <v>498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AA24" s="11" t="s">
        <v>498</v>
      </c>
      <c r="AB24" s="11" t="s">
        <v>498</v>
      </c>
      <c r="AC24" s="11" t="s">
        <v>498</v>
      </c>
      <c r="AD24" s="11" t="s">
        <v>498</v>
      </c>
      <c r="AF24" s="11"/>
      <c r="AG24" s="11"/>
      <c r="AH24" s="11"/>
      <c r="AI24" s="11"/>
      <c r="AJ24" s="11"/>
      <c r="AK24" s="11"/>
      <c r="AL24" s="11"/>
      <c r="AM24" s="11"/>
      <c r="AO24" s="17"/>
    </row>
    <row r="25" spans="1:41" s="1" customFormat="1" ht="26">
      <c r="A25" s="52">
        <f>IF(A24="",MAX($A$10:A24)+10,A24)</f>
        <v>50</v>
      </c>
      <c r="B25" s="52"/>
      <c r="C25" s="52"/>
      <c r="D25" s="52" t="s">
        <v>398</v>
      </c>
      <c r="E25" s="52"/>
      <c r="F25" s="52"/>
      <c r="G25" s="52"/>
      <c r="H25" s="52"/>
      <c r="I25" s="52" t="s">
        <v>498</v>
      </c>
      <c r="J25" s="52"/>
      <c r="K25" s="52" t="s">
        <v>513</v>
      </c>
      <c r="L25" s="52" t="s">
        <v>514</v>
      </c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 t="s">
        <v>515</v>
      </c>
      <c r="AB25" s="52" t="s">
        <v>515</v>
      </c>
      <c r="AC25" s="52" t="s">
        <v>515</v>
      </c>
      <c r="AD25" s="52" t="s">
        <v>515</v>
      </c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</row>
    <row r="26" spans="1:41" s="1" customFormat="1">
      <c r="A26" s="52">
        <f>IF(A25="",MAX($A$10:A25)+10,A25)</f>
        <v>50</v>
      </c>
      <c r="B26" s="11"/>
      <c r="C26" s="11"/>
      <c r="D26" s="11" t="s">
        <v>395</v>
      </c>
      <c r="E26" s="30"/>
      <c r="F26" s="11"/>
      <c r="G26" s="11"/>
      <c r="H26" s="11"/>
      <c r="I26" s="11" t="s">
        <v>516</v>
      </c>
      <c r="J26" s="11"/>
      <c r="K26" s="11" t="s">
        <v>517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AA26" s="11"/>
      <c r="AB26" s="11"/>
      <c r="AC26" s="11"/>
      <c r="AD26" s="11"/>
      <c r="AF26" s="11" t="s">
        <v>518</v>
      </c>
      <c r="AG26" s="11"/>
      <c r="AH26" s="11"/>
      <c r="AI26" s="11"/>
      <c r="AJ26" s="11"/>
      <c r="AK26" s="11"/>
      <c r="AL26" s="11"/>
      <c r="AM26" s="11"/>
      <c r="AO26" s="17"/>
    </row>
    <row r="27" spans="1:41" s="1" customFormat="1">
      <c r="A27" s="52">
        <f>IF(A26="",MAX($A$10:A26)+10,A26)</f>
        <v>50</v>
      </c>
      <c r="B27" s="11"/>
      <c r="C27" s="11"/>
      <c r="D27" s="11" t="s">
        <v>399</v>
      </c>
      <c r="E27" s="30"/>
      <c r="F27" s="11"/>
      <c r="G27" s="11"/>
      <c r="H27" s="11"/>
      <c r="I27" s="11" t="s">
        <v>516</v>
      </c>
      <c r="J27" s="11"/>
      <c r="K27" s="11" t="s">
        <v>517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AA27" s="11"/>
      <c r="AB27" s="11"/>
      <c r="AC27" s="11"/>
      <c r="AD27" s="11"/>
      <c r="AF27" s="11"/>
      <c r="AG27" s="11"/>
      <c r="AH27" s="11"/>
      <c r="AI27" s="11"/>
      <c r="AJ27" s="11"/>
      <c r="AK27" s="11"/>
      <c r="AL27" s="11"/>
      <c r="AM27" s="11"/>
      <c r="AO27" s="17"/>
    </row>
    <row r="28" spans="1:41" s="1" customFormat="1">
      <c r="A28" s="52">
        <f>IF(A27="",MAX($A$10:A27)+10,A27)</f>
        <v>50</v>
      </c>
      <c r="B28" s="11"/>
      <c r="C28" s="11"/>
      <c r="D28" s="11" t="s">
        <v>396</v>
      </c>
      <c r="E28" s="30"/>
      <c r="F28" s="11"/>
      <c r="G28" s="11"/>
      <c r="H28" s="11"/>
      <c r="I28" s="11" t="s">
        <v>516</v>
      </c>
      <c r="J28" s="11"/>
      <c r="K28" s="11" t="s">
        <v>517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AA28" s="11"/>
      <c r="AB28" s="11"/>
      <c r="AC28" s="11"/>
      <c r="AD28" s="11"/>
      <c r="AF28" s="11" t="s">
        <v>519</v>
      </c>
      <c r="AG28" s="11"/>
      <c r="AH28" s="11"/>
      <c r="AI28" s="11"/>
      <c r="AJ28" s="11"/>
      <c r="AK28" s="11"/>
      <c r="AL28" s="11"/>
      <c r="AM28" s="11"/>
      <c r="AO28" s="17"/>
    </row>
    <row r="29" spans="1:41" s="1" customFormat="1">
      <c r="A29" s="52">
        <f>IF(A28="",MAX($A$10:A28)+10,A28)</f>
        <v>50</v>
      </c>
      <c r="B29" s="11"/>
      <c r="C29" s="11"/>
      <c r="D29" s="11" t="s">
        <v>397</v>
      </c>
      <c r="E29" s="30"/>
      <c r="F29" s="11"/>
      <c r="G29" s="11"/>
      <c r="H29" s="11"/>
      <c r="I29" s="11" t="s">
        <v>516</v>
      </c>
      <c r="J29" s="11"/>
      <c r="K29" s="11" t="s">
        <v>517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AA29" s="11"/>
      <c r="AB29" s="11"/>
      <c r="AC29" s="11"/>
      <c r="AD29" s="11"/>
      <c r="AF29" s="11" t="s">
        <v>470</v>
      </c>
      <c r="AG29" s="11"/>
      <c r="AH29" s="11"/>
      <c r="AI29" s="11"/>
      <c r="AJ29" s="11"/>
      <c r="AK29" s="11"/>
      <c r="AL29" s="11"/>
      <c r="AM29" s="11"/>
      <c r="AO29" s="17"/>
    </row>
    <row r="30" spans="1:41" s="1" customFormat="1">
      <c r="A30" s="11">
        <f>IF(A29="",MAX($A$10:A29)+10,A29)</f>
        <v>50</v>
      </c>
      <c r="B30" s="11"/>
      <c r="C30" s="11"/>
      <c r="D30" s="11" t="s">
        <v>45</v>
      </c>
      <c r="E30" s="30" t="s">
        <v>787</v>
      </c>
      <c r="F30" s="11" t="s">
        <v>22</v>
      </c>
      <c r="G30" s="11" t="s">
        <v>10</v>
      </c>
      <c r="H30" s="11"/>
      <c r="I30" s="11" t="s">
        <v>520</v>
      </c>
      <c r="J30" s="11"/>
      <c r="K30" s="11" t="s">
        <v>521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AA30" s="11" t="s">
        <v>83</v>
      </c>
      <c r="AB30" s="11" t="s">
        <v>83</v>
      </c>
      <c r="AC30" s="11" t="s">
        <v>83</v>
      </c>
      <c r="AD30" s="11" t="s">
        <v>83</v>
      </c>
      <c r="AF30" s="11" t="s">
        <v>83</v>
      </c>
      <c r="AG30" s="11"/>
      <c r="AH30" s="11"/>
      <c r="AI30" s="11"/>
      <c r="AJ30" s="11"/>
      <c r="AK30" s="11"/>
      <c r="AL30" s="11"/>
      <c r="AM30" s="11"/>
      <c r="AO30" s="17"/>
    </row>
    <row r="31" spans="1:41" s="1" customFormat="1">
      <c r="A31" s="11">
        <f>IF(A30="",MAX($A$10:A30)+10,A30)</f>
        <v>50</v>
      </c>
      <c r="B31" s="11"/>
      <c r="C31" s="11"/>
      <c r="D31" s="11" t="s">
        <v>23</v>
      </c>
      <c r="E31" s="30" t="s">
        <v>788</v>
      </c>
      <c r="F31" s="11" t="s">
        <v>25</v>
      </c>
      <c r="G31" s="11" t="s">
        <v>10</v>
      </c>
      <c r="H31" s="11"/>
      <c r="I31" s="11" t="s">
        <v>522</v>
      </c>
      <c r="J31" s="11"/>
      <c r="K31" s="11" t="s">
        <v>521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AA31" s="11" t="s">
        <v>83</v>
      </c>
      <c r="AB31" s="11" t="s">
        <v>83</v>
      </c>
      <c r="AC31" s="11" t="s">
        <v>83</v>
      </c>
      <c r="AD31" s="11" t="s">
        <v>83</v>
      </c>
      <c r="AF31" s="11" t="s">
        <v>83</v>
      </c>
      <c r="AG31" s="11"/>
      <c r="AH31" s="11"/>
      <c r="AI31" s="11"/>
      <c r="AJ31" s="11"/>
      <c r="AK31" s="11"/>
      <c r="AL31" s="11"/>
      <c r="AM31" s="11"/>
      <c r="AO31" s="17"/>
    </row>
    <row r="32" spans="1:41" s="1" customFormat="1">
      <c r="A32" s="11">
        <f>IF(A31="",MAX($A$10:A31)+10,A31)</f>
        <v>50</v>
      </c>
      <c r="B32" s="11"/>
      <c r="C32" s="11"/>
      <c r="D32" s="11" t="s">
        <v>24</v>
      </c>
      <c r="E32" s="30" t="s">
        <v>789</v>
      </c>
      <c r="F32" s="11" t="s">
        <v>26</v>
      </c>
      <c r="G32" s="11" t="s">
        <v>10</v>
      </c>
      <c r="H32" s="11"/>
      <c r="I32" s="11" t="s">
        <v>523</v>
      </c>
      <c r="J32" s="11"/>
      <c r="K32" s="11" t="s">
        <v>521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AA32" s="11" t="s">
        <v>83</v>
      </c>
      <c r="AB32" s="11" t="s">
        <v>83</v>
      </c>
      <c r="AC32" s="11" t="s">
        <v>83</v>
      </c>
      <c r="AD32" s="11" t="s">
        <v>83</v>
      </c>
      <c r="AF32" s="11" t="s">
        <v>83</v>
      </c>
      <c r="AG32" s="11"/>
      <c r="AH32" s="11"/>
      <c r="AI32" s="11"/>
      <c r="AJ32" s="11"/>
      <c r="AK32" s="11"/>
      <c r="AL32" s="11"/>
      <c r="AM32" s="11"/>
      <c r="AO32" s="17"/>
    </row>
    <row r="33" spans="1:41" s="1" customFormat="1">
      <c r="A33" s="11">
        <f>IF(A32="",MAX($A$10:A32)+10,A32)</f>
        <v>50</v>
      </c>
      <c r="B33" s="11"/>
      <c r="C33" s="11"/>
      <c r="D33" s="11" t="s">
        <v>71</v>
      </c>
      <c r="E33" s="30" t="s">
        <v>790</v>
      </c>
      <c r="F33" s="11" t="s">
        <v>47</v>
      </c>
      <c r="G33" s="11" t="s">
        <v>10</v>
      </c>
      <c r="H33" s="11"/>
      <c r="I33" s="11"/>
      <c r="J33" s="11"/>
      <c r="K33" s="11" t="s">
        <v>524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AA33" s="11"/>
      <c r="AB33" s="11"/>
      <c r="AC33" s="11"/>
      <c r="AD33" s="11"/>
      <c r="AF33" s="11"/>
      <c r="AG33" s="11"/>
      <c r="AH33" s="11"/>
      <c r="AI33" s="11"/>
      <c r="AJ33" s="11"/>
      <c r="AK33" s="11"/>
      <c r="AL33" s="11"/>
      <c r="AM33" s="11"/>
      <c r="AO33" s="17"/>
    </row>
    <row r="34" spans="1:41" s="1" customFormat="1">
      <c r="A34" s="11">
        <f>IF(A33="",MAX($A$10:A33)+10,A33)</f>
        <v>50</v>
      </c>
      <c r="B34" s="11"/>
      <c r="C34" s="11"/>
      <c r="D34" s="11" t="s">
        <v>72</v>
      </c>
      <c r="E34" s="30" t="s">
        <v>791</v>
      </c>
      <c r="F34" s="11" t="s">
        <v>393</v>
      </c>
      <c r="G34" s="11" t="s">
        <v>391</v>
      </c>
      <c r="H34" s="11"/>
      <c r="I34" s="11" t="s">
        <v>525</v>
      </c>
      <c r="J34" s="11"/>
      <c r="K34" s="11" t="s">
        <v>526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AA34" s="11" t="s">
        <v>83</v>
      </c>
      <c r="AB34" s="11" t="s">
        <v>83</v>
      </c>
      <c r="AC34" s="11" t="s">
        <v>83</v>
      </c>
      <c r="AD34" s="11" t="s">
        <v>83</v>
      </c>
      <c r="AF34" s="11" t="s">
        <v>83</v>
      </c>
      <c r="AG34" s="11"/>
      <c r="AH34" s="11"/>
      <c r="AI34" s="11"/>
      <c r="AJ34" s="11"/>
      <c r="AK34" s="11"/>
      <c r="AL34" s="11"/>
      <c r="AM34" s="11"/>
      <c r="AO34" s="17"/>
    </row>
    <row r="35" spans="1:41" s="1" customFormat="1">
      <c r="A35" s="11">
        <f>IF(A34="",MAX($A$10:A34)+10,A34)</f>
        <v>50</v>
      </c>
      <c r="B35" s="11"/>
      <c r="C35" s="11"/>
      <c r="D35" s="11" t="s">
        <v>73</v>
      </c>
      <c r="E35" s="30" t="s">
        <v>792</v>
      </c>
      <c r="F35" s="11" t="s">
        <v>394</v>
      </c>
      <c r="G35" s="11" t="s">
        <v>392</v>
      </c>
      <c r="H35" s="11"/>
      <c r="I35" s="11" t="s">
        <v>525</v>
      </c>
      <c r="J35" s="11"/>
      <c r="K35" s="11" t="s">
        <v>526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AA35" s="11" t="s">
        <v>83</v>
      </c>
      <c r="AB35" s="11" t="s">
        <v>83</v>
      </c>
      <c r="AC35" s="11" t="s">
        <v>83</v>
      </c>
      <c r="AD35" s="11" t="s">
        <v>83</v>
      </c>
      <c r="AF35" s="11" t="s">
        <v>83</v>
      </c>
      <c r="AG35" s="11"/>
      <c r="AH35" s="11"/>
      <c r="AI35" s="11"/>
      <c r="AJ35" s="11"/>
      <c r="AK35" s="11"/>
      <c r="AL35" s="11"/>
      <c r="AM35" s="11"/>
      <c r="AO35" s="17"/>
    </row>
    <row r="36" spans="1:41" s="1" customFormat="1" ht="39">
      <c r="A36" s="40"/>
      <c r="AF36" s="35" t="s">
        <v>964</v>
      </c>
      <c r="AG36" s="35" t="s">
        <v>963</v>
      </c>
      <c r="AH36" s="35" t="s">
        <v>964</v>
      </c>
      <c r="AI36" s="35" t="s">
        <v>963</v>
      </c>
      <c r="AJ36" s="35" t="s">
        <v>964</v>
      </c>
      <c r="AK36" s="35" t="s">
        <v>963</v>
      </c>
      <c r="AL36" s="35" t="s">
        <v>964</v>
      </c>
      <c r="AM36" s="35"/>
      <c r="AO36" s="10"/>
    </row>
    <row r="37" spans="1:41" s="1" customFormat="1" ht="26">
      <c r="A37" s="11">
        <f>IF(A36="",MAX($A$10:A36)+10,A36)</f>
        <v>60</v>
      </c>
      <c r="B37" s="12" t="s">
        <v>0</v>
      </c>
      <c r="C37" s="12"/>
      <c r="D37" s="12" t="s">
        <v>404</v>
      </c>
      <c r="E37" s="13"/>
      <c r="F37" s="12"/>
      <c r="G37" s="12"/>
      <c r="H37" s="12"/>
      <c r="I37" s="12" t="s">
        <v>498</v>
      </c>
      <c r="J37" s="12"/>
      <c r="K37" s="11" t="s">
        <v>499</v>
      </c>
      <c r="L37" s="11" t="s">
        <v>527</v>
      </c>
      <c r="M37" s="11" t="s">
        <v>528</v>
      </c>
      <c r="N37" s="11" t="s">
        <v>502</v>
      </c>
      <c r="O37" s="11"/>
      <c r="P37" s="12"/>
      <c r="Q37" s="16"/>
      <c r="R37" s="16"/>
      <c r="S37" s="16"/>
      <c r="T37" s="16"/>
      <c r="U37" s="16"/>
      <c r="V37" s="16"/>
      <c r="W37" s="16"/>
      <c r="X37" s="16"/>
      <c r="Y37" s="16"/>
      <c r="Z37" s="14"/>
      <c r="AA37" s="16"/>
      <c r="AB37" s="16"/>
      <c r="AC37" s="16"/>
      <c r="AD37" s="16"/>
      <c r="AE37" s="14"/>
      <c r="AF37" s="11"/>
      <c r="AG37" s="11"/>
      <c r="AH37" s="11"/>
      <c r="AI37" s="11"/>
      <c r="AJ37" s="11"/>
      <c r="AK37" s="11"/>
      <c r="AL37" s="11"/>
      <c r="AM37" s="11"/>
      <c r="AN37" s="14"/>
      <c r="AO37" s="15"/>
    </row>
    <row r="38" spans="1:41" s="1" customFormat="1">
      <c r="A38" s="11">
        <f>IF(A37="",MAX($A$10:A37)+10,A37)</f>
        <v>60</v>
      </c>
      <c r="B38" s="11"/>
      <c r="C38" s="11"/>
      <c r="D38" s="11" t="s">
        <v>403</v>
      </c>
      <c r="E38" s="30"/>
      <c r="F38" s="11"/>
      <c r="G38" s="11"/>
      <c r="H38" s="11"/>
      <c r="I38" s="11"/>
      <c r="J38" s="11"/>
      <c r="K38" s="11" t="s">
        <v>513</v>
      </c>
      <c r="L38" s="11" t="s">
        <v>529</v>
      </c>
      <c r="M38" s="11" t="s">
        <v>502</v>
      </c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AA38" s="11"/>
      <c r="AB38" s="11"/>
      <c r="AC38" s="11"/>
      <c r="AD38" s="11"/>
      <c r="AF38" s="11"/>
      <c r="AG38" s="11"/>
      <c r="AH38" s="11"/>
      <c r="AI38" s="11"/>
      <c r="AJ38" s="11"/>
      <c r="AK38" s="11"/>
      <c r="AL38" s="11"/>
      <c r="AM38" s="11"/>
      <c r="AO38" s="17"/>
    </row>
    <row r="39" spans="1:41" s="1" customFormat="1">
      <c r="A39" s="40"/>
      <c r="AF39" s="35"/>
      <c r="AG39" s="35"/>
      <c r="AH39" s="35"/>
      <c r="AI39" s="35"/>
      <c r="AJ39" s="35"/>
      <c r="AK39" s="35"/>
      <c r="AL39" s="35"/>
      <c r="AM39" s="35"/>
      <c r="AO39" s="10"/>
    </row>
    <row r="40" spans="1:41" s="1" customFormat="1">
      <c r="A40" s="11">
        <f>IF(A39="",MAX($A$10:A39)+10,A39)</f>
        <v>70</v>
      </c>
      <c r="B40" s="12" t="s">
        <v>12</v>
      </c>
      <c r="C40" s="12"/>
      <c r="D40" s="12" t="s">
        <v>69</v>
      </c>
      <c r="E40" s="13"/>
      <c r="F40" s="12"/>
      <c r="G40" s="12"/>
      <c r="H40" s="12"/>
      <c r="I40" s="12" t="s">
        <v>498</v>
      </c>
      <c r="J40" s="12"/>
      <c r="K40" s="12" t="s">
        <v>499</v>
      </c>
      <c r="L40" s="12"/>
      <c r="M40" s="12" t="s">
        <v>530</v>
      </c>
      <c r="N40" s="12"/>
      <c r="O40" s="12"/>
      <c r="P40" s="12"/>
      <c r="Q40" s="16"/>
      <c r="R40" s="16"/>
      <c r="S40" s="16"/>
      <c r="T40" s="16"/>
      <c r="U40" s="16"/>
      <c r="V40" s="16"/>
      <c r="W40" s="16"/>
      <c r="X40" s="16"/>
      <c r="Y40" s="16"/>
      <c r="Z40" s="14"/>
      <c r="AA40" s="16"/>
      <c r="AB40" s="16"/>
      <c r="AC40" s="16"/>
      <c r="AD40" s="16"/>
      <c r="AE40" s="14"/>
      <c r="AF40" s="11"/>
      <c r="AG40" s="11"/>
      <c r="AH40" s="11"/>
      <c r="AI40" s="11"/>
      <c r="AJ40" s="11"/>
      <c r="AK40" s="11"/>
      <c r="AL40" s="11"/>
      <c r="AM40" s="11"/>
      <c r="AN40" s="14"/>
      <c r="AO40" s="17"/>
    </row>
    <row r="41" spans="1:41" s="1" customFormat="1">
      <c r="A41" s="11">
        <f>IF(A40="",MAX($A$10:A40)+10,A40)</f>
        <v>70</v>
      </c>
      <c r="B41" s="11"/>
      <c r="C41" s="11"/>
      <c r="D41" s="11" t="s">
        <v>65</v>
      </c>
      <c r="E41" s="30"/>
      <c r="F41" s="11"/>
      <c r="G41" s="11"/>
      <c r="H41" s="11"/>
      <c r="I41" s="11"/>
      <c r="J41" s="11"/>
      <c r="K41" s="11" t="s">
        <v>509</v>
      </c>
      <c r="L41" s="11"/>
      <c r="M41" s="11"/>
      <c r="N41" s="11"/>
      <c r="O41" s="11" t="s">
        <v>65</v>
      </c>
      <c r="P41" s="11"/>
      <c r="Q41" s="11"/>
      <c r="R41" s="11"/>
      <c r="S41" s="11"/>
      <c r="T41" s="11"/>
      <c r="U41" s="11"/>
      <c r="V41" s="11"/>
      <c r="W41" s="11"/>
      <c r="X41" s="11"/>
      <c r="Y41" s="11"/>
      <c r="AA41" s="11"/>
      <c r="AB41" s="11"/>
      <c r="AC41" s="11"/>
      <c r="AD41" s="11"/>
      <c r="AF41" s="11"/>
      <c r="AG41" s="11"/>
      <c r="AH41" s="11"/>
      <c r="AI41" s="11"/>
      <c r="AJ41" s="11"/>
      <c r="AK41" s="11"/>
      <c r="AL41" s="11"/>
      <c r="AM41" s="11"/>
      <c r="AO41" s="17"/>
    </row>
    <row r="42" spans="1:41" s="1" customFormat="1">
      <c r="A42" s="11">
        <f>IF(A41="",MAX($A$10:A41)+10,A41)</f>
        <v>70</v>
      </c>
      <c r="B42" s="11"/>
      <c r="C42" s="11"/>
      <c r="D42" s="11" t="s">
        <v>66</v>
      </c>
      <c r="E42" s="30"/>
      <c r="F42" s="11"/>
      <c r="G42" s="11"/>
      <c r="H42" s="11"/>
      <c r="I42" s="11"/>
      <c r="J42" s="11"/>
      <c r="K42" s="11" t="s">
        <v>509</v>
      </c>
      <c r="L42" s="11"/>
      <c r="M42" s="11"/>
      <c r="N42" s="11"/>
      <c r="O42" s="11" t="s">
        <v>64</v>
      </c>
      <c r="P42" s="11"/>
      <c r="Q42" s="11"/>
      <c r="R42" s="11"/>
      <c r="S42" s="11"/>
      <c r="T42" s="11"/>
      <c r="U42" s="11"/>
      <c r="V42" s="11"/>
      <c r="W42" s="11"/>
      <c r="X42" s="11"/>
      <c r="Y42" s="11"/>
      <c r="AA42" s="11"/>
      <c r="AB42" s="11"/>
      <c r="AC42" s="11"/>
      <c r="AD42" s="11"/>
      <c r="AF42" s="11"/>
      <c r="AG42" s="11"/>
      <c r="AH42" s="11"/>
      <c r="AI42" s="11"/>
      <c r="AJ42" s="11"/>
      <c r="AK42" s="11"/>
      <c r="AL42" s="11"/>
      <c r="AM42" s="11"/>
      <c r="AO42" s="17"/>
    </row>
    <row r="43" spans="1:41" s="1" customFormat="1" ht="52">
      <c r="A43" s="40"/>
      <c r="AF43" s="35" t="s">
        <v>963</v>
      </c>
      <c r="AG43" s="35" t="s">
        <v>964</v>
      </c>
      <c r="AH43" s="35" t="s">
        <v>963</v>
      </c>
      <c r="AI43" s="35" t="s">
        <v>964</v>
      </c>
      <c r="AJ43" s="35" t="s">
        <v>963</v>
      </c>
      <c r="AK43" s="35" t="s">
        <v>964</v>
      </c>
      <c r="AL43" s="35" t="s">
        <v>963</v>
      </c>
      <c r="AM43" s="35" t="s">
        <v>964</v>
      </c>
      <c r="AO43" s="10"/>
    </row>
    <row r="44" spans="1:41" s="1" customFormat="1">
      <c r="A44" s="11">
        <f>IF(A43="",MAX($A$10:A43)+10,A43)</f>
        <v>80</v>
      </c>
      <c r="B44" s="12" t="s">
        <v>0</v>
      </c>
      <c r="C44" s="12"/>
      <c r="D44" s="12" t="s">
        <v>749</v>
      </c>
      <c r="E44" s="13"/>
      <c r="F44" s="12"/>
      <c r="G44" s="12"/>
      <c r="H44" s="12"/>
      <c r="I44" s="12" t="s">
        <v>531</v>
      </c>
      <c r="J44" s="12"/>
      <c r="K44" s="12" t="s">
        <v>532</v>
      </c>
      <c r="L44" s="12"/>
      <c r="M44" s="12" t="s">
        <v>510</v>
      </c>
      <c r="N44" s="12" t="s">
        <v>533</v>
      </c>
      <c r="O44" s="12"/>
      <c r="P44" s="12"/>
      <c r="Q44" s="16"/>
      <c r="R44" s="16"/>
      <c r="S44" s="16"/>
      <c r="T44" s="16"/>
      <c r="U44" s="16"/>
      <c r="V44" s="16"/>
      <c r="W44" s="16"/>
      <c r="X44" s="16"/>
      <c r="Y44" s="16"/>
      <c r="Z44" s="14"/>
      <c r="AA44" s="16"/>
      <c r="AB44" s="16"/>
      <c r="AC44" s="16"/>
      <c r="AD44" s="16"/>
      <c r="AE44" s="14"/>
      <c r="AF44" s="11"/>
      <c r="AG44" s="11" t="s">
        <v>534</v>
      </c>
      <c r="AH44" s="11" t="s">
        <v>535</v>
      </c>
      <c r="AI44" s="11"/>
      <c r="AJ44" s="11" t="s">
        <v>536</v>
      </c>
      <c r="AK44" s="11"/>
      <c r="AL44" s="11"/>
      <c r="AM44" s="11"/>
      <c r="AN44" s="14"/>
      <c r="AO44" s="17"/>
    </row>
    <row r="45" spans="1:41" s="1" customFormat="1">
      <c r="A45" s="11">
        <f>IF(A44="",MAX($A$10:A44)+10,A44)</f>
        <v>80</v>
      </c>
      <c r="B45" s="11"/>
      <c r="C45" s="11"/>
      <c r="D45" s="11" t="s">
        <v>27</v>
      </c>
      <c r="E45" s="30" t="s">
        <v>793</v>
      </c>
      <c r="F45" s="11" t="s">
        <v>28</v>
      </c>
      <c r="G45" s="11" t="s">
        <v>10</v>
      </c>
      <c r="H45" s="11"/>
      <c r="I45" s="11" t="s">
        <v>525</v>
      </c>
      <c r="J45" s="11"/>
      <c r="K45" s="11" t="s">
        <v>526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AA45" s="11" t="s">
        <v>498</v>
      </c>
      <c r="AB45" s="11" t="s">
        <v>506</v>
      </c>
      <c r="AC45" s="11" t="s">
        <v>498</v>
      </c>
      <c r="AD45" s="11" t="s">
        <v>537</v>
      </c>
      <c r="AF45" s="11"/>
      <c r="AG45" s="11"/>
      <c r="AH45" s="11"/>
      <c r="AI45" s="11"/>
      <c r="AJ45" s="11"/>
      <c r="AK45" s="11"/>
      <c r="AL45" s="11"/>
      <c r="AM45" s="11"/>
      <c r="AO45" s="17"/>
    </row>
    <row r="46" spans="1:41" s="1" customFormat="1">
      <c r="A46" s="11">
        <f>IF(A45="",MAX($A$10:A45)+10,A45)</f>
        <v>80</v>
      </c>
      <c r="B46" s="11"/>
      <c r="C46" s="11"/>
      <c r="D46" s="11" t="s">
        <v>74</v>
      </c>
      <c r="E46" s="30" t="s">
        <v>790</v>
      </c>
      <c r="F46" s="11" t="s">
        <v>47</v>
      </c>
      <c r="G46" s="11" t="s">
        <v>10</v>
      </c>
      <c r="H46" s="11"/>
      <c r="I46" s="11" t="s">
        <v>525</v>
      </c>
      <c r="J46" s="11"/>
      <c r="K46" s="11" t="s">
        <v>526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AA46" s="11" t="s">
        <v>498</v>
      </c>
      <c r="AB46" s="11" t="s">
        <v>506</v>
      </c>
      <c r="AC46" s="11" t="s">
        <v>506</v>
      </c>
      <c r="AD46" s="11" t="s">
        <v>506</v>
      </c>
      <c r="AF46" s="11"/>
      <c r="AG46" s="11" t="s">
        <v>83</v>
      </c>
      <c r="AH46" s="11" t="s">
        <v>83</v>
      </c>
      <c r="AI46" s="11"/>
      <c r="AJ46" s="11"/>
      <c r="AK46" s="11"/>
      <c r="AL46" s="11"/>
      <c r="AM46" s="11"/>
      <c r="AO46" s="17"/>
    </row>
    <row r="47" spans="1:41" s="1" customFormat="1">
      <c r="A47" s="11">
        <f>IF(A46="",MAX($A$10:A46)+10,A46)</f>
        <v>80</v>
      </c>
      <c r="B47" s="11"/>
      <c r="C47" s="11"/>
      <c r="D47" s="11" t="s">
        <v>70</v>
      </c>
      <c r="E47" s="3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AA47" s="11"/>
      <c r="AB47" s="11"/>
      <c r="AC47" s="11"/>
      <c r="AD47" s="11"/>
      <c r="AF47" s="11"/>
      <c r="AG47" s="11"/>
      <c r="AH47" s="11"/>
      <c r="AI47" s="11"/>
      <c r="AJ47" s="11"/>
      <c r="AK47" s="11"/>
      <c r="AL47" s="11"/>
      <c r="AM47" s="11"/>
      <c r="AO47" s="17"/>
    </row>
    <row r="48" spans="1:41" s="1" customFormat="1" ht="26">
      <c r="A48" s="11">
        <f>IF(A47="",MAX($A$10:A47)+10,A47)</f>
        <v>80</v>
      </c>
      <c r="B48" s="11"/>
      <c r="C48" s="11"/>
      <c r="D48" s="11" t="s">
        <v>88</v>
      </c>
      <c r="E48" s="30" t="s">
        <v>794</v>
      </c>
      <c r="F48" s="11" t="s">
        <v>175</v>
      </c>
      <c r="G48" s="11" t="s">
        <v>2</v>
      </c>
      <c r="H48" s="11"/>
      <c r="I48" s="11" t="s">
        <v>538</v>
      </c>
      <c r="J48" s="11"/>
      <c r="K48" s="11" t="s">
        <v>510</v>
      </c>
      <c r="L48" s="11"/>
      <c r="M48" s="11"/>
      <c r="N48" s="11"/>
      <c r="O48" s="11" t="s">
        <v>473</v>
      </c>
      <c r="P48" s="11"/>
      <c r="Q48" s="11" t="s">
        <v>539</v>
      </c>
      <c r="R48" s="11"/>
      <c r="S48" s="11" t="s">
        <v>468</v>
      </c>
      <c r="T48" s="11"/>
      <c r="U48" s="11"/>
      <c r="V48" s="11"/>
      <c r="W48" s="11"/>
      <c r="X48" s="11"/>
      <c r="Y48" s="11"/>
      <c r="AA48" s="11" t="s">
        <v>498</v>
      </c>
      <c r="AB48" s="11" t="s">
        <v>506</v>
      </c>
      <c r="AC48" s="11" t="s">
        <v>506</v>
      </c>
      <c r="AD48" s="11" t="s">
        <v>506</v>
      </c>
      <c r="AF48" s="11"/>
      <c r="AG48" s="11" t="s">
        <v>83</v>
      </c>
      <c r="AH48" s="11" t="s">
        <v>83</v>
      </c>
      <c r="AI48" s="11"/>
      <c r="AJ48" s="11" t="s">
        <v>83</v>
      </c>
      <c r="AK48" s="11"/>
      <c r="AL48" s="11"/>
      <c r="AM48" s="11"/>
      <c r="AO48" s="17"/>
    </row>
    <row r="49" spans="1:41" s="1" customFormat="1">
      <c r="A49" s="11">
        <f>IF(A48="",MAX($A$10:A48)+10,A48)</f>
        <v>80</v>
      </c>
      <c r="B49" s="11"/>
      <c r="C49" s="11"/>
      <c r="D49" s="11" t="s">
        <v>468</v>
      </c>
      <c r="E49" s="30" t="s">
        <v>795</v>
      </c>
      <c r="F49" s="11" t="s">
        <v>91</v>
      </c>
      <c r="G49" s="11" t="s">
        <v>2</v>
      </c>
      <c r="H49" s="11"/>
      <c r="I49" s="11" t="s">
        <v>540</v>
      </c>
      <c r="J49" s="11"/>
      <c r="K49" s="11" t="s">
        <v>505</v>
      </c>
      <c r="L49" s="11"/>
      <c r="M49" s="11"/>
      <c r="N49" s="11"/>
      <c r="O49" s="11"/>
      <c r="P49" s="11"/>
      <c r="Q49" s="11" t="s">
        <v>174</v>
      </c>
      <c r="R49" s="11"/>
      <c r="S49" s="11" t="s">
        <v>174</v>
      </c>
      <c r="T49" s="11"/>
      <c r="U49" s="11"/>
      <c r="V49" s="11"/>
      <c r="W49" s="11"/>
      <c r="X49" s="11"/>
      <c r="Y49" s="11"/>
      <c r="AA49" s="11" t="s">
        <v>506</v>
      </c>
      <c r="AB49" s="11" t="s">
        <v>506</v>
      </c>
      <c r="AC49" s="11" t="s">
        <v>506</v>
      </c>
      <c r="AD49" s="11" t="s">
        <v>506</v>
      </c>
      <c r="AF49" s="11"/>
      <c r="AG49" s="11" t="s">
        <v>83</v>
      </c>
      <c r="AH49" s="11" t="s">
        <v>174</v>
      </c>
      <c r="AI49" s="11"/>
      <c r="AJ49" s="11"/>
      <c r="AK49" s="11"/>
      <c r="AL49" s="11"/>
      <c r="AM49" s="11"/>
      <c r="AO49" s="17"/>
    </row>
    <row r="50" spans="1:41" s="1" customFormat="1">
      <c r="A50" s="11">
        <f>IF(A49="",MAX($A$10:A49)+10,A49)</f>
        <v>80</v>
      </c>
      <c r="B50" s="11"/>
      <c r="C50" s="11"/>
      <c r="D50" s="11" t="s">
        <v>89</v>
      </c>
      <c r="E50" s="30" t="s">
        <v>796</v>
      </c>
      <c r="F50" s="11" t="s">
        <v>176</v>
      </c>
      <c r="G50" s="11" t="s">
        <v>253</v>
      </c>
      <c r="H50" s="11"/>
      <c r="I50" s="11" t="s">
        <v>541</v>
      </c>
      <c r="J50" s="11"/>
      <c r="K50" s="11" t="s">
        <v>505</v>
      </c>
      <c r="L50" s="11"/>
      <c r="M50" s="11"/>
      <c r="N50" s="11"/>
      <c r="O50" s="11" t="s">
        <v>473</v>
      </c>
      <c r="P50" s="11"/>
      <c r="Q50" s="11"/>
      <c r="R50" s="11"/>
      <c r="S50" s="11"/>
      <c r="T50" s="11"/>
      <c r="U50" s="11"/>
      <c r="V50" s="11"/>
      <c r="W50" s="11"/>
      <c r="X50" s="11"/>
      <c r="Y50" s="11"/>
      <c r="AA50" s="11" t="s">
        <v>498</v>
      </c>
      <c r="AB50" s="11" t="s">
        <v>506</v>
      </c>
      <c r="AC50" s="11" t="s">
        <v>506</v>
      </c>
      <c r="AD50" s="11" t="s">
        <v>506</v>
      </c>
      <c r="AF50" s="11"/>
      <c r="AG50" s="11" t="s">
        <v>83</v>
      </c>
      <c r="AH50" s="11" t="s">
        <v>83</v>
      </c>
      <c r="AI50" s="11"/>
      <c r="AJ50" s="11" t="s">
        <v>83</v>
      </c>
      <c r="AK50" s="11"/>
      <c r="AL50" s="11"/>
      <c r="AM50" s="11"/>
      <c r="AO50" s="17"/>
    </row>
    <row r="51" spans="1:41" s="1" customFormat="1">
      <c r="A51" s="11">
        <f>IF(A50="",MAX($A$10:A50)+10,A50)</f>
        <v>80</v>
      </c>
      <c r="B51" s="11"/>
      <c r="C51" s="11"/>
      <c r="D51" s="11" t="s">
        <v>470</v>
      </c>
      <c r="E51" s="30" t="s">
        <v>797</v>
      </c>
      <c r="F51" s="11" t="s">
        <v>92</v>
      </c>
      <c r="G51" s="11" t="s">
        <v>2</v>
      </c>
      <c r="H51" s="11"/>
      <c r="I51" s="11" t="s">
        <v>542</v>
      </c>
      <c r="J51" s="11"/>
      <c r="K51" s="11" t="s">
        <v>505</v>
      </c>
      <c r="L51" s="11"/>
      <c r="M51" s="11"/>
      <c r="N51" s="11"/>
      <c r="O51" s="11"/>
      <c r="P51" s="11"/>
      <c r="Q51" s="11"/>
      <c r="R51" s="11"/>
      <c r="S51" s="11" t="s">
        <v>174</v>
      </c>
      <c r="T51" s="11"/>
      <c r="U51" s="11"/>
      <c r="V51" s="11"/>
      <c r="W51" s="11"/>
      <c r="X51" s="11"/>
      <c r="Y51" s="11"/>
      <c r="AA51" s="11" t="s">
        <v>506</v>
      </c>
      <c r="AB51" s="11" t="s">
        <v>506</v>
      </c>
      <c r="AC51" s="11" t="s">
        <v>506</v>
      </c>
      <c r="AD51" s="11" t="s">
        <v>506</v>
      </c>
      <c r="AF51" s="11"/>
      <c r="AG51" s="11" t="s">
        <v>83</v>
      </c>
      <c r="AH51" s="11"/>
      <c r="AI51" s="11"/>
      <c r="AJ51" s="11"/>
      <c r="AK51" s="11"/>
      <c r="AL51" s="11"/>
      <c r="AM51" s="11"/>
      <c r="AO51" s="17"/>
    </row>
    <row r="52" spans="1:41" s="1" customFormat="1" ht="26">
      <c r="A52" s="11">
        <f>IF(A51="",MAX($A$10:A51)+10,A51)</f>
        <v>80</v>
      </c>
      <c r="B52" s="11"/>
      <c r="C52" s="11"/>
      <c r="D52" s="11" t="s">
        <v>469</v>
      </c>
      <c r="E52" s="30" t="s">
        <v>798</v>
      </c>
      <c r="F52" s="11" t="s">
        <v>319</v>
      </c>
      <c r="G52" s="11" t="s">
        <v>2</v>
      </c>
      <c r="H52" s="11"/>
      <c r="I52" s="11" t="s">
        <v>542</v>
      </c>
      <c r="J52" s="11"/>
      <c r="K52" s="11" t="s">
        <v>505</v>
      </c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AA52" s="11" t="s">
        <v>498</v>
      </c>
      <c r="AB52" s="11" t="s">
        <v>506</v>
      </c>
      <c r="AC52" s="11" t="s">
        <v>506</v>
      </c>
      <c r="AD52" s="11" t="s">
        <v>506</v>
      </c>
      <c r="AF52" s="11"/>
      <c r="AG52" s="11" t="s">
        <v>83</v>
      </c>
      <c r="AH52" s="11" t="s">
        <v>83</v>
      </c>
      <c r="AI52" s="11"/>
      <c r="AJ52" s="11"/>
      <c r="AK52" s="11"/>
      <c r="AL52" s="11"/>
      <c r="AM52" s="11"/>
      <c r="AO52" s="17"/>
    </row>
    <row r="53" spans="1:41" s="1" customFormat="1">
      <c r="A53" s="11">
        <f>IF(A52="",MAX($A$10:A52)+10,A52)</f>
        <v>80</v>
      </c>
      <c r="B53" s="11"/>
      <c r="C53" s="11"/>
      <c r="D53" s="11" t="s">
        <v>94</v>
      </c>
      <c r="E53" s="30" t="s">
        <v>799</v>
      </c>
      <c r="F53" s="11" t="s">
        <v>367</v>
      </c>
      <c r="G53" s="11" t="s">
        <v>2</v>
      </c>
      <c r="H53" s="11"/>
      <c r="I53" s="11" t="s">
        <v>525</v>
      </c>
      <c r="J53" s="11"/>
      <c r="K53" s="11" t="s">
        <v>526</v>
      </c>
      <c r="L53" s="11"/>
      <c r="M53" s="11"/>
      <c r="N53" s="11"/>
      <c r="O53" s="11"/>
      <c r="P53" s="11"/>
      <c r="Q53" s="11" t="s">
        <v>174</v>
      </c>
      <c r="R53" s="11"/>
      <c r="S53" s="11" t="s">
        <v>174</v>
      </c>
      <c r="T53" s="11"/>
      <c r="U53" s="11"/>
      <c r="V53" s="11"/>
      <c r="W53" s="11"/>
      <c r="X53" s="11"/>
      <c r="Y53" s="11" t="s">
        <v>543</v>
      </c>
      <c r="AA53" s="11" t="s">
        <v>498</v>
      </c>
      <c r="AB53" s="11" t="s">
        <v>506</v>
      </c>
      <c r="AC53" s="11" t="s">
        <v>506</v>
      </c>
      <c r="AD53" s="11" t="s">
        <v>506</v>
      </c>
      <c r="AF53" s="11"/>
      <c r="AG53" s="11" t="s">
        <v>83</v>
      </c>
      <c r="AH53" s="11" t="s">
        <v>83</v>
      </c>
      <c r="AI53" s="11"/>
      <c r="AJ53" s="11"/>
      <c r="AK53" s="11"/>
      <c r="AL53" s="11"/>
      <c r="AM53" s="11"/>
      <c r="AO53" s="17"/>
    </row>
    <row r="54" spans="1:41" s="1" customFormat="1">
      <c r="A54" s="11">
        <f>IF(A53="",MAX($A$10:A53)+10,A53)</f>
        <v>80</v>
      </c>
      <c r="B54" s="11"/>
      <c r="C54" s="11"/>
      <c r="D54" s="11" t="s">
        <v>95</v>
      </c>
      <c r="E54" s="30" t="s">
        <v>800</v>
      </c>
      <c r="F54" s="11" t="s">
        <v>368</v>
      </c>
      <c r="G54" s="11" t="s">
        <v>2</v>
      </c>
      <c r="H54" s="11"/>
      <c r="I54" s="11" t="s">
        <v>525</v>
      </c>
      <c r="J54" s="11"/>
      <c r="K54" s="11" t="s">
        <v>526</v>
      </c>
      <c r="L54" s="11"/>
      <c r="M54" s="11"/>
      <c r="N54" s="11"/>
      <c r="O54" s="11"/>
      <c r="P54" s="11"/>
      <c r="Q54" s="11" t="s">
        <v>174</v>
      </c>
      <c r="R54" s="11"/>
      <c r="S54" s="11" t="s">
        <v>174</v>
      </c>
      <c r="T54" s="11"/>
      <c r="U54" s="11"/>
      <c r="V54" s="11"/>
      <c r="W54" s="11"/>
      <c r="X54" s="11"/>
      <c r="Y54" s="11" t="s">
        <v>543</v>
      </c>
      <c r="AA54" s="11" t="s">
        <v>498</v>
      </c>
      <c r="AB54" s="11" t="s">
        <v>506</v>
      </c>
      <c r="AC54" s="11" t="s">
        <v>506</v>
      </c>
      <c r="AD54" s="11" t="s">
        <v>506</v>
      </c>
      <c r="AF54" s="11"/>
      <c r="AG54" s="11" t="s">
        <v>83</v>
      </c>
      <c r="AH54" s="11" t="s">
        <v>83</v>
      </c>
      <c r="AI54" s="11"/>
      <c r="AJ54" s="11"/>
      <c r="AK54" s="11"/>
      <c r="AL54" s="11"/>
      <c r="AM54" s="11"/>
      <c r="AO54" s="17"/>
    </row>
    <row r="55" spans="1:41" s="1" customFormat="1">
      <c r="A55" s="11">
        <f>IF(A54="",MAX($A$10:A54)+10,A54)</f>
        <v>80</v>
      </c>
      <c r="B55" s="11"/>
      <c r="C55" s="11"/>
      <c r="D55" s="11" t="s">
        <v>96</v>
      </c>
      <c r="E55" s="30" t="s">
        <v>801</v>
      </c>
      <c r="F55" s="11" t="s">
        <v>369</v>
      </c>
      <c r="G55" s="11" t="s">
        <v>2</v>
      </c>
      <c r="H55" s="11"/>
      <c r="I55" s="11" t="s">
        <v>525</v>
      </c>
      <c r="J55" s="11"/>
      <c r="K55" s="11" t="s">
        <v>526</v>
      </c>
      <c r="L55" s="11"/>
      <c r="M55" s="11"/>
      <c r="N55" s="11"/>
      <c r="O55" s="11"/>
      <c r="P55" s="11"/>
      <c r="Q55" s="11" t="s">
        <v>174</v>
      </c>
      <c r="R55" s="11"/>
      <c r="S55" s="11" t="s">
        <v>174</v>
      </c>
      <c r="T55" s="11"/>
      <c r="U55" s="11"/>
      <c r="V55" s="11"/>
      <c r="W55" s="11"/>
      <c r="X55" s="11"/>
      <c r="Y55" s="11" t="s">
        <v>543</v>
      </c>
      <c r="AA55" s="11" t="s">
        <v>498</v>
      </c>
      <c r="AB55" s="11" t="s">
        <v>506</v>
      </c>
      <c r="AC55" s="11" t="s">
        <v>506</v>
      </c>
      <c r="AD55" s="11" t="s">
        <v>506</v>
      </c>
      <c r="AF55" s="11"/>
      <c r="AG55" s="11" t="s">
        <v>83</v>
      </c>
      <c r="AH55" s="11" t="s">
        <v>83</v>
      </c>
      <c r="AI55" s="11"/>
      <c r="AJ55" s="11"/>
      <c r="AK55" s="11"/>
      <c r="AL55" s="11"/>
      <c r="AM55" s="11"/>
      <c r="AO55" s="17"/>
    </row>
    <row r="56" spans="1:41" s="1" customFormat="1">
      <c r="A56" s="11">
        <f>IF(A55="",MAX($A$10:A55)+10,A55)</f>
        <v>80</v>
      </c>
      <c r="B56" s="11"/>
      <c r="C56" s="11"/>
      <c r="D56" s="11" t="s">
        <v>97</v>
      </c>
      <c r="E56" s="30" t="s">
        <v>802</v>
      </c>
      <c r="F56" s="11" t="s">
        <v>370</v>
      </c>
      <c r="G56" s="11" t="s">
        <v>2</v>
      </c>
      <c r="H56" s="11"/>
      <c r="I56" s="11" t="s">
        <v>525</v>
      </c>
      <c r="J56" s="11"/>
      <c r="K56" s="11" t="s">
        <v>526</v>
      </c>
      <c r="L56" s="11"/>
      <c r="M56" s="11"/>
      <c r="N56" s="11"/>
      <c r="O56" s="11"/>
      <c r="P56" s="11"/>
      <c r="Q56" s="11" t="s">
        <v>174</v>
      </c>
      <c r="R56" s="11"/>
      <c r="S56" s="11" t="s">
        <v>174</v>
      </c>
      <c r="T56" s="11"/>
      <c r="U56" s="11"/>
      <c r="V56" s="11"/>
      <c r="W56" s="11"/>
      <c r="X56" s="11"/>
      <c r="Y56" s="11" t="s">
        <v>543</v>
      </c>
      <c r="AA56" s="11" t="s">
        <v>498</v>
      </c>
      <c r="AB56" s="11" t="s">
        <v>506</v>
      </c>
      <c r="AC56" s="11" t="s">
        <v>506</v>
      </c>
      <c r="AD56" s="11" t="s">
        <v>506</v>
      </c>
      <c r="AF56" s="11"/>
      <c r="AG56" s="11" t="s">
        <v>83</v>
      </c>
      <c r="AH56" s="11" t="s">
        <v>83</v>
      </c>
      <c r="AI56" s="11"/>
      <c r="AJ56" s="11"/>
      <c r="AK56" s="11"/>
      <c r="AL56" s="11"/>
      <c r="AM56" s="11"/>
      <c r="AO56" s="17"/>
    </row>
    <row r="57" spans="1:41" s="1" customFormat="1" ht="26">
      <c r="A57" s="11">
        <f>IF(A56="",MAX($A$10:A56)+10,A56)</f>
        <v>80</v>
      </c>
      <c r="B57" s="11"/>
      <c r="C57" s="11"/>
      <c r="D57" s="11" t="s">
        <v>98</v>
      </c>
      <c r="E57" s="30" t="s">
        <v>803</v>
      </c>
      <c r="F57" s="11" t="s">
        <v>177</v>
      </c>
      <c r="G57" s="11" t="s">
        <v>254</v>
      </c>
      <c r="H57" s="11"/>
      <c r="I57" s="11" t="s">
        <v>544</v>
      </c>
      <c r="J57" s="11"/>
      <c r="K57" s="11" t="s">
        <v>510</v>
      </c>
      <c r="L57" s="11"/>
      <c r="M57" s="11"/>
      <c r="N57" s="11"/>
      <c r="O57" s="11"/>
      <c r="P57" s="11"/>
      <c r="Q57" s="11" t="s">
        <v>545</v>
      </c>
      <c r="R57" s="11"/>
      <c r="S57" s="11" t="s">
        <v>546</v>
      </c>
      <c r="T57" s="11"/>
      <c r="U57" s="11" t="s">
        <v>547</v>
      </c>
      <c r="V57" s="11"/>
      <c r="W57" s="11"/>
      <c r="X57" s="11"/>
      <c r="Y57" s="11"/>
      <c r="AA57" s="11" t="s">
        <v>83</v>
      </c>
      <c r="AB57" s="11" t="s">
        <v>506</v>
      </c>
      <c r="AC57" s="11" t="s">
        <v>506</v>
      </c>
      <c r="AD57" s="11" t="s">
        <v>506</v>
      </c>
      <c r="AF57" s="11"/>
      <c r="AG57" s="11" t="s">
        <v>83</v>
      </c>
      <c r="AH57" s="11" t="s">
        <v>83</v>
      </c>
      <c r="AI57" s="11"/>
      <c r="AJ57" s="11"/>
      <c r="AK57" s="11"/>
      <c r="AL57" s="11"/>
      <c r="AM57" s="11"/>
      <c r="AO57" s="17"/>
    </row>
    <row r="58" spans="1:41" s="1" customFormat="1">
      <c r="A58" s="11">
        <f>IF(A57="",MAX($A$10:A57)+10,A57)</f>
        <v>80</v>
      </c>
      <c r="B58" s="11"/>
      <c r="C58" s="11"/>
      <c r="D58" s="11" t="s">
        <v>99</v>
      </c>
      <c r="E58" s="30" t="s">
        <v>804</v>
      </c>
      <c r="F58" s="11" t="s">
        <v>178</v>
      </c>
      <c r="G58" s="11" t="s">
        <v>2</v>
      </c>
      <c r="H58" s="11"/>
      <c r="I58" s="11" t="s">
        <v>548</v>
      </c>
      <c r="J58" s="11"/>
      <c r="K58" s="11" t="s">
        <v>505</v>
      </c>
      <c r="L58" s="11"/>
      <c r="M58" s="11"/>
      <c r="N58" s="11"/>
      <c r="O58" s="11"/>
      <c r="P58" s="11"/>
      <c r="Q58" s="11" t="s">
        <v>174</v>
      </c>
      <c r="R58" s="11"/>
      <c r="S58" s="11" t="s">
        <v>174</v>
      </c>
      <c r="T58" s="11"/>
      <c r="U58" s="11" t="s">
        <v>174</v>
      </c>
      <c r="V58" s="11"/>
      <c r="W58" s="11"/>
      <c r="X58" s="11"/>
      <c r="Y58" s="11"/>
      <c r="AA58" s="11" t="s">
        <v>506</v>
      </c>
      <c r="AB58" s="11" t="s">
        <v>506</v>
      </c>
      <c r="AC58" s="11" t="s">
        <v>506</v>
      </c>
      <c r="AD58" s="11" t="s">
        <v>506</v>
      </c>
      <c r="AF58" s="11"/>
      <c r="AG58" s="11" t="s">
        <v>83</v>
      </c>
      <c r="AH58" s="11" t="s">
        <v>174</v>
      </c>
      <c r="AI58" s="11"/>
      <c r="AJ58" s="11"/>
      <c r="AK58" s="11"/>
      <c r="AL58" s="11"/>
      <c r="AM58" s="11"/>
      <c r="AO58" s="17"/>
    </row>
    <row r="59" spans="1:41" s="1" customFormat="1" ht="26">
      <c r="A59" s="11">
        <f>IF(A58="",MAX($A$10:A58)+10,A58)</f>
        <v>80</v>
      </c>
      <c r="B59" s="11"/>
      <c r="C59" s="11"/>
      <c r="D59" s="11" t="s">
        <v>100</v>
      </c>
      <c r="E59" s="30" t="s">
        <v>805</v>
      </c>
      <c r="F59" s="11" t="s">
        <v>179</v>
      </c>
      <c r="G59" s="11" t="s">
        <v>255</v>
      </c>
      <c r="H59" s="11"/>
      <c r="I59" s="11" t="s">
        <v>549</v>
      </c>
      <c r="J59" s="11"/>
      <c r="K59" s="11" t="s">
        <v>510</v>
      </c>
      <c r="L59" s="11"/>
      <c r="M59" s="11"/>
      <c r="N59" s="11"/>
      <c r="O59" s="11"/>
      <c r="P59" s="11"/>
      <c r="Q59" s="11" t="s">
        <v>550</v>
      </c>
      <c r="R59" s="11"/>
      <c r="S59" s="11" t="s">
        <v>551</v>
      </c>
      <c r="T59" s="11"/>
      <c r="U59" s="11" t="s">
        <v>552</v>
      </c>
      <c r="V59" s="11"/>
      <c r="W59" s="11"/>
      <c r="X59" s="11"/>
      <c r="Y59" s="11"/>
      <c r="AA59" s="11" t="s">
        <v>83</v>
      </c>
      <c r="AB59" s="11" t="s">
        <v>506</v>
      </c>
      <c r="AC59" s="11" t="s">
        <v>506</v>
      </c>
      <c r="AD59" s="11" t="s">
        <v>506</v>
      </c>
      <c r="AF59" s="11"/>
      <c r="AG59" s="11" t="s">
        <v>83</v>
      </c>
      <c r="AH59" s="11" t="s">
        <v>83</v>
      </c>
      <c r="AI59" s="11"/>
      <c r="AJ59" s="11"/>
      <c r="AK59" s="11"/>
      <c r="AL59" s="11"/>
      <c r="AM59" s="11"/>
      <c r="AO59" s="17"/>
    </row>
    <row r="60" spans="1:41" s="1" customFormat="1" ht="26">
      <c r="A60" s="11">
        <f>IF(A59="",MAX($A$10:A59)+10,A59)</f>
        <v>80</v>
      </c>
      <c r="B60" s="11"/>
      <c r="C60" s="11"/>
      <c r="D60" s="11" t="s">
        <v>101</v>
      </c>
      <c r="E60" s="30" t="s">
        <v>806</v>
      </c>
      <c r="F60" s="11" t="s">
        <v>180</v>
      </c>
      <c r="G60" s="11" t="s">
        <v>2</v>
      </c>
      <c r="H60" s="11"/>
      <c r="I60" s="11" t="s">
        <v>553</v>
      </c>
      <c r="J60" s="11"/>
      <c r="K60" s="11" t="s">
        <v>505</v>
      </c>
      <c r="L60" s="11"/>
      <c r="M60" s="11"/>
      <c r="N60" s="11"/>
      <c r="O60" s="11"/>
      <c r="P60" s="11"/>
      <c r="Q60" s="11" t="s">
        <v>174</v>
      </c>
      <c r="R60" s="11"/>
      <c r="S60" s="11" t="s">
        <v>174</v>
      </c>
      <c r="T60" s="11"/>
      <c r="U60" s="11"/>
      <c r="V60" s="11"/>
      <c r="W60" s="11"/>
      <c r="X60" s="11"/>
      <c r="Y60" s="11"/>
      <c r="AA60" s="11" t="s">
        <v>506</v>
      </c>
      <c r="AB60" s="11" t="s">
        <v>506</v>
      </c>
      <c r="AC60" s="11" t="s">
        <v>506</v>
      </c>
      <c r="AD60" s="11" t="s">
        <v>506</v>
      </c>
      <c r="AF60" s="11"/>
      <c r="AG60" s="11" t="s">
        <v>83</v>
      </c>
      <c r="AH60" s="11" t="s">
        <v>174</v>
      </c>
      <c r="AI60" s="11"/>
      <c r="AJ60" s="11"/>
      <c r="AK60" s="11"/>
      <c r="AL60" s="11"/>
      <c r="AM60" s="11"/>
      <c r="AO60" s="17"/>
    </row>
    <row r="61" spans="1:41" s="1" customFormat="1">
      <c r="A61" s="11">
        <f>IF(A60="",MAX($A$10:A60)+10,A60)</f>
        <v>80</v>
      </c>
      <c r="B61" s="11"/>
      <c r="C61" s="11"/>
      <c r="D61" s="11" t="s">
        <v>102</v>
      </c>
      <c r="E61" s="30" t="s">
        <v>807</v>
      </c>
      <c r="F61" s="11" t="s">
        <v>371</v>
      </c>
      <c r="G61" s="11" t="s">
        <v>2</v>
      </c>
      <c r="H61" s="11"/>
      <c r="I61" s="11" t="s">
        <v>525</v>
      </c>
      <c r="J61" s="11"/>
      <c r="K61" s="11" t="s">
        <v>526</v>
      </c>
      <c r="L61" s="11"/>
      <c r="M61" s="11"/>
      <c r="N61" s="11"/>
      <c r="O61" s="11"/>
      <c r="P61" s="11"/>
      <c r="Q61" s="11" t="s">
        <v>174</v>
      </c>
      <c r="R61" s="11"/>
      <c r="S61" s="11" t="s">
        <v>174</v>
      </c>
      <c r="T61" s="11"/>
      <c r="U61" s="11"/>
      <c r="V61" s="11"/>
      <c r="W61" s="11"/>
      <c r="X61" s="11"/>
      <c r="Y61" s="11" t="s">
        <v>543</v>
      </c>
      <c r="AA61" s="11" t="s">
        <v>498</v>
      </c>
      <c r="AB61" s="11" t="s">
        <v>506</v>
      </c>
      <c r="AC61" s="11" t="s">
        <v>506</v>
      </c>
      <c r="AD61" s="11" t="s">
        <v>506</v>
      </c>
      <c r="AF61" s="11"/>
      <c r="AG61" s="11" t="s">
        <v>83</v>
      </c>
      <c r="AH61" s="11" t="s">
        <v>83</v>
      </c>
      <c r="AI61" s="11"/>
      <c r="AJ61" s="11"/>
      <c r="AK61" s="11"/>
      <c r="AL61" s="11"/>
      <c r="AM61" s="11"/>
      <c r="AO61" s="17"/>
    </row>
    <row r="62" spans="1:41" s="1" customFormat="1" ht="26">
      <c r="A62" s="11">
        <f>IF(A61="",MAX($A$10:A61)+10,A61)</f>
        <v>80</v>
      </c>
      <c r="B62" s="11"/>
      <c r="C62" s="11"/>
      <c r="D62" s="11" t="s">
        <v>423</v>
      </c>
      <c r="E62" s="30" t="s">
        <v>808</v>
      </c>
      <c r="F62" s="11" t="s">
        <v>200</v>
      </c>
      <c r="G62" s="11" t="s">
        <v>2</v>
      </c>
      <c r="H62" s="11"/>
      <c r="I62" s="11" t="s">
        <v>554</v>
      </c>
      <c r="J62" s="11"/>
      <c r="K62" s="11" t="s">
        <v>510</v>
      </c>
      <c r="L62" s="11"/>
      <c r="M62" s="11"/>
      <c r="N62" s="11"/>
      <c r="O62" s="11"/>
      <c r="P62" s="11"/>
      <c r="Q62" s="11" t="s">
        <v>555</v>
      </c>
      <c r="R62" s="11"/>
      <c r="S62" s="11" t="s">
        <v>556</v>
      </c>
      <c r="T62" s="11"/>
      <c r="U62" s="11" t="s">
        <v>557</v>
      </c>
      <c r="V62" s="11"/>
      <c r="W62" s="11"/>
      <c r="X62" s="11"/>
      <c r="Y62" s="11" t="s">
        <v>543</v>
      </c>
      <c r="AA62" s="11" t="s">
        <v>83</v>
      </c>
      <c r="AB62" s="11" t="s">
        <v>506</v>
      </c>
      <c r="AC62" s="11" t="s">
        <v>506</v>
      </c>
      <c r="AD62" s="11" t="s">
        <v>506</v>
      </c>
      <c r="AF62" s="11"/>
      <c r="AG62" s="11" t="s">
        <v>83</v>
      </c>
      <c r="AH62" s="11" t="s">
        <v>83</v>
      </c>
      <c r="AI62" s="11"/>
      <c r="AJ62" s="11"/>
      <c r="AK62" s="11"/>
      <c r="AL62" s="11"/>
      <c r="AM62" s="11"/>
      <c r="AO62" s="17"/>
    </row>
    <row r="63" spans="1:41" s="1" customFormat="1" ht="26">
      <c r="A63" s="11">
        <f>IF(A62="",MAX($A$10:A62)+10,A62)</f>
        <v>80</v>
      </c>
      <c r="B63" s="11"/>
      <c r="C63" s="11"/>
      <c r="D63" s="11" t="s">
        <v>135</v>
      </c>
      <c r="E63" s="30" t="s">
        <v>809</v>
      </c>
      <c r="F63" s="11" t="s">
        <v>201</v>
      </c>
      <c r="G63" s="11" t="s">
        <v>2</v>
      </c>
      <c r="H63" s="11"/>
      <c r="I63" s="11" t="s">
        <v>558</v>
      </c>
      <c r="J63" s="11"/>
      <c r="K63" s="11" t="s">
        <v>505</v>
      </c>
      <c r="L63" s="11"/>
      <c r="M63" s="11"/>
      <c r="N63" s="11"/>
      <c r="O63" s="11"/>
      <c r="P63" s="11"/>
      <c r="Q63" s="11" t="s">
        <v>174</v>
      </c>
      <c r="R63" s="11"/>
      <c r="S63" s="11" t="s">
        <v>174</v>
      </c>
      <c r="T63" s="11"/>
      <c r="U63" s="11" t="s">
        <v>174</v>
      </c>
      <c r="V63" s="11"/>
      <c r="W63" s="11"/>
      <c r="X63" s="11"/>
      <c r="Y63" s="11"/>
      <c r="AA63" s="11" t="s">
        <v>506</v>
      </c>
      <c r="AB63" s="11" t="s">
        <v>506</v>
      </c>
      <c r="AC63" s="11" t="s">
        <v>506</v>
      </c>
      <c r="AD63" s="11" t="s">
        <v>506</v>
      </c>
      <c r="AF63" s="11"/>
      <c r="AG63" s="11" t="s">
        <v>83</v>
      </c>
      <c r="AH63" s="11" t="s">
        <v>174</v>
      </c>
      <c r="AI63" s="11"/>
      <c r="AJ63" s="11"/>
      <c r="AK63" s="11"/>
      <c r="AL63" s="11"/>
      <c r="AM63" s="11"/>
      <c r="AO63" s="17"/>
    </row>
    <row r="64" spans="1:41" s="1" customFormat="1" ht="26">
      <c r="A64" s="11">
        <f>IF(A63="",MAX($A$10:A63)+10,A63)</f>
        <v>80</v>
      </c>
      <c r="B64" s="11"/>
      <c r="C64" s="11"/>
      <c r="D64" s="11" t="s">
        <v>321</v>
      </c>
      <c r="E64" s="30" t="s">
        <v>810</v>
      </c>
      <c r="F64" s="11" t="s">
        <v>202</v>
      </c>
      <c r="G64" s="11" t="s">
        <v>2</v>
      </c>
      <c r="H64" s="11"/>
      <c r="I64" s="11" t="s">
        <v>559</v>
      </c>
      <c r="J64" s="11"/>
      <c r="K64" s="11" t="s">
        <v>510</v>
      </c>
      <c r="L64" s="11"/>
      <c r="M64" s="11"/>
      <c r="N64" s="11"/>
      <c r="O64" s="11"/>
      <c r="P64" s="11"/>
      <c r="Q64" s="11" t="s">
        <v>560</v>
      </c>
      <c r="R64" s="11"/>
      <c r="S64" s="11" t="s">
        <v>561</v>
      </c>
      <c r="T64" s="11"/>
      <c r="U64" s="11" t="s">
        <v>562</v>
      </c>
      <c r="V64" s="11"/>
      <c r="W64" s="11"/>
      <c r="X64" s="11"/>
      <c r="Y64" s="11" t="s">
        <v>543</v>
      </c>
      <c r="AA64" s="11" t="s">
        <v>83</v>
      </c>
      <c r="AB64" s="11" t="s">
        <v>506</v>
      </c>
      <c r="AC64" s="11" t="s">
        <v>506</v>
      </c>
      <c r="AD64" s="11" t="s">
        <v>506</v>
      </c>
      <c r="AF64" s="11"/>
      <c r="AG64" s="11" t="s">
        <v>83</v>
      </c>
      <c r="AH64" s="11" t="s">
        <v>83</v>
      </c>
      <c r="AI64" s="11"/>
      <c r="AJ64" s="11"/>
      <c r="AK64" s="11"/>
      <c r="AL64" s="11"/>
      <c r="AM64" s="11"/>
      <c r="AO64" s="17"/>
    </row>
    <row r="65" spans="1:41" s="1" customFormat="1">
      <c r="A65" s="11">
        <f>IF(A64="",MAX($A$10:A64)+10,A64)</f>
        <v>80</v>
      </c>
      <c r="B65" s="11"/>
      <c r="C65" s="11"/>
      <c r="D65" s="11" t="s">
        <v>136</v>
      </c>
      <c r="E65" s="30" t="s">
        <v>811</v>
      </c>
      <c r="F65" s="11" t="s">
        <v>203</v>
      </c>
      <c r="G65" s="11" t="s">
        <v>2</v>
      </c>
      <c r="H65" s="11"/>
      <c r="I65" s="11" t="s">
        <v>563</v>
      </c>
      <c r="J65" s="11"/>
      <c r="K65" s="11" t="s">
        <v>505</v>
      </c>
      <c r="L65" s="11"/>
      <c r="M65" s="11"/>
      <c r="N65" s="11"/>
      <c r="O65" s="11"/>
      <c r="P65" s="11"/>
      <c r="Q65" s="11"/>
      <c r="R65" s="11"/>
      <c r="S65" s="11" t="s">
        <v>174</v>
      </c>
      <c r="T65" s="11"/>
      <c r="U65" s="11" t="s">
        <v>174</v>
      </c>
      <c r="V65" s="11"/>
      <c r="W65" s="11"/>
      <c r="X65" s="11"/>
      <c r="Y65" s="11"/>
      <c r="AA65" s="11" t="s">
        <v>506</v>
      </c>
      <c r="AB65" s="11" t="s">
        <v>506</v>
      </c>
      <c r="AC65" s="11" t="s">
        <v>506</v>
      </c>
      <c r="AD65" s="11" t="s">
        <v>506</v>
      </c>
      <c r="AF65" s="11"/>
      <c r="AG65" s="11" t="s">
        <v>83</v>
      </c>
      <c r="AH65" s="11" t="s">
        <v>174</v>
      </c>
      <c r="AI65" s="11"/>
      <c r="AJ65" s="11"/>
      <c r="AK65" s="11"/>
      <c r="AL65" s="11"/>
      <c r="AM65" s="11"/>
      <c r="AO65" s="17"/>
    </row>
    <row r="66" spans="1:41" s="1" customFormat="1" ht="26">
      <c r="A66" s="11">
        <f>IF(A65="",MAX($A$10:A65)+10,A65)</f>
        <v>80</v>
      </c>
      <c r="B66" s="11"/>
      <c r="C66" s="11"/>
      <c r="D66" s="11" t="s">
        <v>322</v>
      </c>
      <c r="E66" s="30" t="s">
        <v>812</v>
      </c>
      <c r="F66" s="11" t="s">
        <v>436</v>
      </c>
      <c r="G66" s="11" t="s">
        <v>258</v>
      </c>
      <c r="H66" s="11"/>
      <c r="I66" s="11" t="s">
        <v>564</v>
      </c>
      <c r="J66" s="11"/>
      <c r="K66" s="11" t="s">
        <v>510</v>
      </c>
      <c r="L66" s="11"/>
      <c r="M66" s="11"/>
      <c r="N66" s="11"/>
      <c r="O66" s="11"/>
      <c r="P66" s="11"/>
      <c r="Q66" s="11" t="s">
        <v>565</v>
      </c>
      <c r="R66" s="11"/>
      <c r="S66" s="11" t="s">
        <v>351</v>
      </c>
      <c r="T66" s="11"/>
      <c r="U66" s="11" t="s">
        <v>566</v>
      </c>
      <c r="V66" s="11" t="s">
        <v>567</v>
      </c>
      <c r="W66" s="11" t="s">
        <v>568</v>
      </c>
      <c r="X66" s="11"/>
      <c r="Y66" s="11" t="s">
        <v>543</v>
      </c>
      <c r="AA66" s="11" t="s">
        <v>83</v>
      </c>
      <c r="AB66" s="11" t="s">
        <v>506</v>
      </c>
      <c r="AC66" s="11" t="s">
        <v>506</v>
      </c>
      <c r="AD66" s="11" t="s">
        <v>506</v>
      </c>
      <c r="AF66" s="11"/>
      <c r="AG66" s="11" t="s">
        <v>83</v>
      </c>
      <c r="AH66" s="11" t="s">
        <v>83</v>
      </c>
      <c r="AI66" s="11"/>
      <c r="AJ66" s="11"/>
      <c r="AK66" s="11"/>
      <c r="AL66" s="11"/>
      <c r="AM66" s="11"/>
      <c r="AO66" s="17"/>
    </row>
    <row r="67" spans="1:41" s="1" customFormat="1">
      <c r="A67" s="11">
        <f>IF(A66="",MAX($A$10:A66)+10,A66)</f>
        <v>80</v>
      </c>
      <c r="B67" s="11"/>
      <c r="C67" s="11"/>
      <c r="D67" s="11" t="s">
        <v>351</v>
      </c>
      <c r="E67" s="30" t="s">
        <v>813</v>
      </c>
      <c r="F67" s="11" t="s">
        <v>204</v>
      </c>
      <c r="G67" s="11" t="s">
        <v>2</v>
      </c>
      <c r="H67" s="11"/>
      <c r="I67" s="11" t="s">
        <v>569</v>
      </c>
      <c r="J67" s="11"/>
      <c r="K67" s="11" t="s">
        <v>505</v>
      </c>
      <c r="L67" s="11"/>
      <c r="M67" s="11"/>
      <c r="N67" s="11"/>
      <c r="O67" s="11"/>
      <c r="P67" s="11"/>
      <c r="Q67" s="11"/>
      <c r="R67" s="11"/>
      <c r="S67" s="11" t="s">
        <v>174</v>
      </c>
      <c r="T67" s="11"/>
      <c r="U67" s="11" t="s">
        <v>174</v>
      </c>
      <c r="V67" s="11"/>
      <c r="W67" s="11"/>
      <c r="X67" s="11"/>
      <c r="Y67" s="11"/>
      <c r="AA67" s="11" t="s">
        <v>506</v>
      </c>
      <c r="AB67" s="11" t="s">
        <v>506</v>
      </c>
      <c r="AC67" s="11" t="s">
        <v>506</v>
      </c>
      <c r="AD67" s="11" t="s">
        <v>506</v>
      </c>
      <c r="AF67" s="11"/>
      <c r="AG67" s="11" t="s">
        <v>83</v>
      </c>
      <c r="AH67" s="11"/>
      <c r="AI67" s="11"/>
      <c r="AJ67" s="11"/>
      <c r="AK67" s="11"/>
      <c r="AL67" s="11"/>
      <c r="AM67" s="11"/>
      <c r="AO67" s="17"/>
    </row>
    <row r="68" spans="1:41" s="1" customFormat="1" ht="26">
      <c r="A68" s="11">
        <f>IF(A67="",MAX($A$10:A67)+10,A67)</f>
        <v>80</v>
      </c>
      <c r="B68" s="11"/>
      <c r="C68" s="11"/>
      <c r="D68" s="11" t="s">
        <v>433</v>
      </c>
      <c r="E68" s="30" t="s">
        <v>814</v>
      </c>
      <c r="F68" s="11" t="s">
        <v>429</v>
      </c>
      <c r="G68" s="11" t="s">
        <v>346</v>
      </c>
      <c r="H68" s="11"/>
      <c r="I68" s="11" t="s">
        <v>570</v>
      </c>
      <c r="J68" s="11"/>
      <c r="K68" s="11" t="s">
        <v>510</v>
      </c>
      <c r="L68" s="11"/>
      <c r="M68" s="11"/>
      <c r="N68" s="11"/>
      <c r="O68" s="11"/>
      <c r="P68" s="11"/>
      <c r="Q68" s="11" t="s">
        <v>571</v>
      </c>
      <c r="R68" s="11"/>
      <c r="S68" s="11" t="s">
        <v>349</v>
      </c>
      <c r="T68" s="11"/>
      <c r="U68" s="11" t="s">
        <v>572</v>
      </c>
      <c r="V68" s="11"/>
      <c r="W68" s="11"/>
      <c r="X68" s="11"/>
      <c r="Y68" s="11" t="s">
        <v>543</v>
      </c>
      <c r="AA68" s="11" t="s">
        <v>83</v>
      </c>
      <c r="AB68" s="11" t="s">
        <v>506</v>
      </c>
      <c r="AC68" s="11" t="s">
        <v>506</v>
      </c>
      <c r="AD68" s="11" t="s">
        <v>506</v>
      </c>
      <c r="AF68" s="11"/>
      <c r="AG68" s="11" t="s">
        <v>83</v>
      </c>
      <c r="AH68" s="11" t="s">
        <v>83</v>
      </c>
      <c r="AI68" s="11"/>
      <c r="AJ68" s="11"/>
      <c r="AK68" s="11"/>
      <c r="AL68" s="11"/>
      <c r="AM68" s="11"/>
      <c r="AO68" s="17"/>
    </row>
    <row r="69" spans="1:41" s="1" customFormat="1" ht="26">
      <c r="A69" s="11">
        <f>IF(A68="",MAX($A$10:A68)+10,A68)</f>
        <v>80</v>
      </c>
      <c r="B69" s="11"/>
      <c r="C69" s="11"/>
      <c r="D69" s="11" t="s">
        <v>349</v>
      </c>
      <c r="E69" s="30" t="s">
        <v>815</v>
      </c>
      <c r="F69" s="11" t="s">
        <v>345</v>
      </c>
      <c r="G69" s="11" t="s">
        <v>346</v>
      </c>
      <c r="H69" s="11"/>
      <c r="I69" s="11" t="s">
        <v>573</v>
      </c>
      <c r="J69" s="11"/>
      <c r="K69" s="11" t="s">
        <v>505</v>
      </c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AA69" s="11" t="s">
        <v>506</v>
      </c>
      <c r="AB69" s="11" t="s">
        <v>506</v>
      </c>
      <c r="AC69" s="11" t="s">
        <v>506</v>
      </c>
      <c r="AD69" s="11" t="s">
        <v>506</v>
      </c>
      <c r="AF69" s="11"/>
      <c r="AG69" s="11" t="s">
        <v>83</v>
      </c>
      <c r="AH69" s="11"/>
      <c r="AI69" s="11"/>
      <c r="AJ69" s="11"/>
      <c r="AK69" s="11"/>
      <c r="AL69" s="11"/>
      <c r="AM69" s="11"/>
      <c r="AO69" s="17"/>
    </row>
    <row r="70" spans="1:41" s="1" customFormat="1" ht="26">
      <c r="A70" s="11">
        <f>IF(A69="",MAX($A$10:A69)+10,A69)</f>
        <v>80</v>
      </c>
      <c r="B70" s="11"/>
      <c r="C70" s="11"/>
      <c r="D70" s="11" t="s">
        <v>137</v>
      </c>
      <c r="E70" s="30" t="s">
        <v>816</v>
      </c>
      <c r="F70" s="11" t="s">
        <v>205</v>
      </c>
      <c r="G70" s="11" t="s">
        <v>2</v>
      </c>
      <c r="H70" s="11"/>
      <c r="I70" s="11" t="s">
        <v>559</v>
      </c>
      <c r="J70" s="11"/>
      <c r="K70" s="11" t="s">
        <v>510</v>
      </c>
      <c r="L70" s="11"/>
      <c r="M70" s="11"/>
      <c r="N70" s="11"/>
      <c r="O70" s="11"/>
      <c r="P70" s="11"/>
      <c r="Q70" s="11" t="s">
        <v>560</v>
      </c>
      <c r="R70" s="11"/>
      <c r="S70" s="11" t="s">
        <v>440</v>
      </c>
      <c r="T70" s="11"/>
      <c r="U70" s="11" t="s">
        <v>562</v>
      </c>
      <c r="V70" s="11"/>
      <c r="W70" s="11"/>
      <c r="X70" s="11"/>
      <c r="Y70" s="11" t="s">
        <v>543</v>
      </c>
      <c r="AA70" s="11" t="s">
        <v>83</v>
      </c>
      <c r="AB70" s="11" t="s">
        <v>506</v>
      </c>
      <c r="AC70" s="11" t="s">
        <v>506</v>
      </c>
      <c r="AD70" s="11" t="s">
        <v>506</v>
      </c>
      <c r="AF70" s="11"/>
      <c r="AG70" s="11" t="s">
        <v>83</v>
      </c>
      <c r="AH70" s="11" t="s">
        <v>83</v>
      </c>
      <c r="AI70" s="11"/>
      <c r="AJ70" s="11"/>
      <c r="AK70" s="11"/>
      <c r="AL70" s="11"/>
      <c r="AM70" s="11"/>
      <c r="AO70" s="17"/>
    </row>
    <row r="71" spans="1:41" s="1" customFormat="1">
      <c r="A71" s="11">
        <f>IF(A70="",MAX($A$10:A70)+10,A70)</f>
        <v>80</v>
      </c>
      <c r="B71" s="11"/>
      <c r="C71" s="11"/>
      <c r="D71" s="11" t="s">
        <v>440</v>
      </c>
      <c r="E71" s="30" t="s">
        <v>817</v>
      </c>
      <c r="F71" s="11" t="s">
        <v>206</v>
      </c>
      <c r="G71" s="11" t="s">
        <v>2</v>
      </c>
      <c r="H71" s="11"/>
      <c r="I71" s="11" t="s">
        <v>563</v>
      </c>
      <c r="J71" s="11"/>
      <c r="K71" s="11" t="s">
        <v>505</v>
      </c>
      <c r="L71" s="11"/>
      <c r="M71" s="11"/>
      <c r="N71" s="11"/>
      <c r="O71" s="11"/>
      <c r="P71" s="11"/>
      <c r="Q71" s="11" t="s">
        <v>174</v>
      </c>
      <c r="R71" s="11"/>
      <c r="S71" s="11" t="s">
        <v>174</v>
      </c>
      <c r="T71" s="11"/>
      <c r="U71" s="11" t="s">
        <v>174</v>
      </c>
      <c r="V71" s="11"/>
      <c r="W71" s="11"/>
      <c r="X71" s="11"/>
      <c r="Y71" s="11"/>
      <c r="AA71" s="11" t="s">
        <v>506</v>
      </c>
      <c r="AB71" s="11" t="s">
        <v>506</v>
      </c>
      <c r="AC71" s="11" t="s">
        <v>506</v>
      </c>
      <c r="AD71" s="11" t="s">
        <v>506</v>
      </c>
      <c r="AF71" s="11"/>
      <c r="AG71" s="11" t="s">
        <v>83</v>
      </c>
      <c r="AH71" s="11" t="s">
        <v>174</v>
      </c>
      <c r="AI71" s="11"/>
      <c r="AJ71" s="11"/>
      <c r="AK71" s="11"/>
      <c r="AL71" s="11"/>
      <c r="AM71" s="11"/>
      <c r="AO71" s="17"/>
    </row>
    <row r="72" spans="1:41" s="1" customFormat="1" ht="26">
      <c r="A72" s="11">
        <f>IF(A71="",MAX($A$10:A71)+10,A71)</f>
        <v>80</v>
      </c>
      <c r="B72" s="11"/>
      <c r="C72" s="11"/>
      <c r="D72" s="11" t="s">
        <v>138</v>
      </c>
      <c r="E72" s="30" t="s">
        <v>818</v>
      </c>
      <c r="F72" s="11" t="s">
        <v>362</v>
      </c>
      <c r="G72" s="11" t="s">
        <v>259</v>
      </c>
      <c r="H72" s="11"/>
      <c r="I72" s="11" t="s">
        <v>564</v>
      </c>
      <c r="J72" s="11"/>
      <c r="K72" s="11" t="s">
        <v>510</v>
      </c>
      <c r="L72" s="11"/>
      <c r="M72" s="11"/>
      <c r="N72" s="11"/>
      <c r="O72" s="11"/>
      <c r="P72" s="11"/>
      <c r="Q72" s="11" t="s">
        <v>565</v>
      </c>
      <c r="R72" s="11"/>
      <c r="S72" s="11" t="s">
        <v>350</v>
      </c>
      <c r="T72" s="11"/>
      <c r="U72" s="11" t="s">
        <v>566</v>
      </c>
      <c r="V72" s="11" t="s">
        <v>574</v>
      </c>
      <c r="W72" s="11" t="s">
        <v>568</v>
      </c>
      <c r="X72" s="11"/>
      <c r="Y72" s="11" t="s">
        <v>543</v>
      </c>
      <c r="AA72" s="11" t="s">
        <v>83</v>
      </c>
      <c r="AB72" s="11" t="s">
        <v>506</v>
      </c>
      <c r="AC72" s="11" t="s">
        <v>506</v>
      </c>
      <c r="AD72" s="11" t="s">
        <v>506</v>
      </c>
      <c r="AF72" s="11"/>
      <c r="AG72" s="11" t="s">
        <v>83</v>
      </c>
      <c r="AH72" s="11" t="s">
        <v>83</v>
      </c>
      <c r="AI72" s="11"/>
      <c r="AJ72" s="11"/>
      <c r="AK72" s="11"/>
      <c r="AL72" s="11"/>
      <c r="AM72" s="11"/>
      <c r="AO72" s="17"/>
    </row>
    <row r="73" spans="1:41" s="1" customFormat="1" ht="26">
      <c r="A73" s="11">
        <f>IF(A72="",MAX($A$10:A72)+10,A72)</f>
        <v>80</v>
      </c>
      <c r="B73" s="11"/>
      <c r="C73" s="11"/>
      <c r="D73" s="11" t="s">
        <v>350</v>
      </c>
      <c r="E73" s="30" t="s">
        <v>819</v>
      </c>
      <c r="F73" s="11" t="s">
        <v>207</v>
      </c>
      <c r="G73" s="11" t="s">
        <v>2</v>
      </c>
      <c r="H73" s="11"/>
      <c r="I73" s="11" t="s">
        <v>569</v>
      </c>
      <c r="J73" s="11"/>
      <c r="K73" s="11" t="s">
        <v>505</v>
      </c>
      <c r="L73" s="11"/>
      <c r="M73" s="11"/>
      <c r="N73" s="11"/>
      <c r="O73" s="11"/>
      <c r="P73" s="11"/>
      <c r="Q73" s="11" t="s">
        <v>174</v>
      </c>
      <c r="R73" s="11"/>
      <c r="S73" s="11" t="s">
        <v>174</v>
      </c>
      <c r="T73" s="11"/>
      <c r="U73" s="11" t="s">
        <v>174</v>
      </c>
      <c r="V73" s="11"/>
      <c r="W73" s="11"/>
      <c r="X73" s="11"/>
      <c r="Y73" s="11"/>
      <c r="AA73" s="11" t="s">
        <v>506</v>
      </c>
      <c r="AB73" s="11" t="s">
        <v>506</v>
      </c>
      <c r="AC73" s="11" t="s">
        <v>506</v>
      </c>
      <c r="AD73" s="11" t="s">
        <v>506</v>
      </c>
      <c r="AF73" s="11"/>
      <c r="AG73" s="11" t="s">
        <v>83</v>
      </c>
      <c r="AH73" s="11"/>
      <c r="AI73" s="11"/>
      <c r="AJ73" s="11"/>
      <c r="AK73" s="11"/>
      <c r="AL73" s="11"/>
      <c r="AM73" s="11"/>
      <c r="AO73" s="17"/>
    </row>
    <row r="74" spans="1:41" s="1" customFormat="1">
      <c r="A74" s="11">
        <f>IF(A73="",MAX($A$10:A73)+10,A73)</f>
        <v>80</v>
      </c>
      <c r="B74" s="11"/>
      <c r="C74" s="11"/>
      <c r="D74" s="11" t="s">
        <v>104</v>
      </c>
      <c r="E74" s="30" t="s">
        <v>820</v>
      </c>
      <c r="F74" s="11" t="s">
        <v>373</v>
      </c>
      <c r="G74" s="11" t="s">
        <v>2</v>
      </c>
      <c r="H74" s="11"/>
      <c r="I74" s="11" t="s">
        <v>525</v>
      </c>
      <c r="J74" s="11"/>
      <c r="K74" s="11" t="s">
        <v>526</v>
      </c>
      <c r="L74" s="11"/>
      <c r="M74" s="11"/>
      <c r="N74" s="11"/>
      <c r="O74" s="11"/>
      <c r="P74" s="11"/>
      <c r="Q74" s="11" t="s">
        <v>174</v>
      </c>
      <c r="R74" s="11"/>
      <c r="S74" s="11" t="s">
        <v>174</v>
      </c>
      <c r="T74" s="11"/>
      <c r="U74" s="11"/>
      <c r="V74" s="11"/>
      <c r="W74" s="11"/>
      <c r="X74" s="11"/>
      <c r="Y74" s="11" t="s">
        <v>543</v>
      </c>
      <c r="AA74" s="11" t="s">
        <v>498</v>
      </c>
      <c r="AB74" s="11" t="s">
        <v>506</v>
      </c>
      <c r="AC74" s="11" t="s">
        <v>506</v>
      </c>
      <c r="AD74" s="11" t="s">
        <v>506</v>
      </c>
      <c r="AF74" s="11"/>
      <c r="AG74" s="11" t="s">
        <v>83</v>
      </c>
      <c r="AH74" s="11" t="s">
        <v>83</v>
      </c>
      <c r="AI74" s="11"/>
      <c r="AJ74" s="11"/>
      <c r="AK74" s="11"/>
      <c r="AL74" s="11"/>
      <c r="AM74" s="11"/>
      <c r="AO74" s="17"/>
    </row>
    <row r="75" spans="1:41" s="1" customFormat="1">
      <c r="A75" s="11">
        <f>IF(A74="",MAX($A$10:A74)+10,A74)</f>
        <v>80</v>
      </c>
      <c r="B75" s="11"/>
      <c r="C75" s="11"/>
      <c r="D75" s="11" t="s">
        <v>471</v>
      </c>
      <c r="E75" s="30" t="s">
        <v>821</v>
      </c>
      <c r="F75" s="11" t="s">
        <v>472</v>
      </c>
      <c r="G75" s="11" t="s">
        <v>2</v>
      </c>
      <c r="H75" s="11"/>
      <c r="I75" s="11" t="s">
        <v>525</v>
      </c>
      <c r="J75" s="11"/>
      <c r="K75" s="11" t="s">
        <v>526</v>
      </c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 t="s">
        <v>543</v>
      </c>
      <c r="AA75" s="11" t="s">
        <v>498</v>
      </c>
      <c r="AB75" s="11" t="s">
        <v>506</v>
      </c>
      <c r="AC75" s="11" t="s">
        <v>506</v>
      </c>
      <c r="AD75" s="11" t="s">
        <v>506</v>
      </c>
      <c r="AF75" s="11"/>
      <c r="AG75" s="11" t="s">
        <v>83</v>
      </c>
      <c r="AH75" s="11" t="s">
        <v>83</v>
      </c>
      <c r="AI75" s="11"/>
      <c r="AJ75" s="11"/>
      <c r="AK75" s="11"/>
      <c r="AL75" s="11"/>
      <c r="AM75" s="11"/>
      <c r="AO75" s="17"/>
    </row>
    <row r="76" spans="1:41" s="1" customFormat="1">
      <c r="A76" s="11">
        <f>IF(A75="",MAX($A$10:A75)+10,A75)</f>
        <v>80</v>
      </c>
      <c r="B76" s="11"/>
      <c r="C76" s="11"/>
      <c r="D76" s="11" t="s">
        <v>439</v>
      </c>
      <c r="E76" s="30" t="s">
        <v>822</v>
      </c>
      <c r="F76" s="11" t="s">
        <v>406</v>
      </c>
      <c r="G76" s="11" t="s">
        <v>2</v>
      </c>
      <c r="H76" s="11"/>
      <c r="I76" s="11" t="s">
        <v>525</v>
      </c>
      <c r="J76" s="11"/>
      <c r="K76" s="11" t="s">
        <v>526</v>
      </c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 t="s">
        <v>543</v>
      </c>
      <c r="AA76" s="11" t="s">
        <v>498</v>
      </c>
      <c r="AB76" s="11" t="s">
        <v>506</v>
      </c>
      <c r="AC76" s="11" t="s">
        <v>506</v>
      </c>
      <c r="AD76" s="11" t="s">
        <v>506</v>
      </c>
      <c r="AF76" s="11"/>
      <c r="AG76" s="11" t="s">
        <v>83</v>
      </c>
      <c r="AH76" s="11" t="s">
        <v>83</v>
      </c>
      <c r="AI76" s="11"/>
      <c r="AJ76" s="11"/>
      <c r="AK76" s="11"/>
      <c r="AL76" s="11"/>
      <c r="AM76" s="11"/>
      <c r="AO76" s="17"/>
    </row>
    <row r="77" spans="1:41" s="1" customFormat="1">
      <c r="A77" s="11">
        <f>IF(A76="",MAX($A$10:A76)+10,A76)</f>
        <v>80</v>
      </c>
      <c r="B77" s="11"/>
      <c r="C77" s="11"/>
      <c r="D77" s="11" t="s">
        <v>103</v>
      </c>
      <c r="E77" s="30" t="s">
        <v>823</v>
      </c>
      <c r="F77" s="11" t="s">
        <v>372</v>
      </c>
      <c r="G77" s="11" t="s">
        <v>2</v>
      </c>
      <c r="H77" s="11"/>
      <c r="I77" s="11" t="s">
        <v>525</v>
      </c>
      <c r="J77" s="11"/>
      <c r="K77" s="11" t="s">
        <v>526</v>
      </c>
      <c r="L77" s="11"/>
      <c r="M77" s="11"/>
      <c r="N77" s="11"/>
      <c r="O77" s="11"/>
      <c r="P77" s="11"/>
      <c r="Q77" s="11" t="s">
        <v>174</v>
      </c>
      <c r="R77" s="11"/>
      <c r="S77" s="11" t="s">
        <v>174</v>
      </c>
      <c r="T77" s="11"/>
      <c r="U77" s="11"/>
      <c r="V77" s="11"/>
      <c r="W77" s="11"/>
      <c r="X77" s="11"/>
      <c r="Y77" s="11" t="s">
        <v>543</v>
      </c>
      <c r="AA77" s="11" t="s">
        <v>498</v>
      </c>
      <c r="AB77" s="11" t="s">
        <v>506</v>
      </c>
      <c r="AC77" s="11" t="s">
        <v>506</v>
      </c>
      <c r="AD77" s="11" t="s">
        <v>506</v>
      </c>
      <c r="AF77" s="11"/>
      <c r="AG77" s="11" t="s">
        <v>83</v>
      </c>
      <c r="AH77" s="11" t="s">
        <v>83</v>
      </c>
      <c r="AI77" s="11"/>
      <c r="AJ77" s="11"/>
      <c r="AK77" s="11"/>
      <c r="AL77" s="11"/>
      <c r="AM77" s="11"/>
      <c r="AO77" s="17"/>
    </row>
    <row r="78" spans="1:41" s="1" customFormat="1" ht="26">
      <c r="A78" s="11">
        <f>IF(A77="",MAX($A$10:A77)+10,A77)</f>
        <v>80</v>
      </c>
      <c r="B78" s="11"/>
      <c r="C78" s="11"/>
      <c r="D78" s="11" t="s">
        <v>105</v>
      </c>
      <c r="E78" s="30" t="s">
        <v>824</v>
      </c>
      <c r="F78" s="11" t="s">
        <v>181</v>
      </c>
      <c r="G78" s="11" t="s">
        <v>2</v>
      </c>
      <c r="H78" s="11"/>
      <c r="I78" s="11" t="s">
        <v>575</v>
      </c>
      <c r="J78" s="11"/>
      <c r="K78" s="11" t="s">
        <v>510</v>
      </c>
      <c r="L78" s="11"/>
      <c r="M78" s="11"/>
      <c r="N78" s="11"/>
      <c r="O78" s="11"/>
      <c r="P78" s="11"/>
      <c r="Q78" s="11" t="s">
        <v>576</v>
      </c>
      <c r="R78" s="11"/>
      <c r="S78" s="11" t="s">
        <v>577</v>
      </c>
      <c r="T78" s="11"/>
      <c r="U78" s="11" t="s">
        <v>578</v>
      </c>
      <c r="V78" s="11"/>
      <c r="W78" s="11"/>
      <c r="X78" s="11"/>
      <c r="Y78" s="11" t="s">
        <v>543</v>
      </c>
      <c r="AA78" s="11" t="s">
        <v>537</v>
      </c>
      <c r="AB78" s="11" t="s">
        <v>537</v>
      </c>
      <c r="AC78" s="11" t="s">
        <v>537</v>
      </c>
      <c r="AD78" s="11" t="s">
        <v>537</v>
      </c>
      <c r="AF78" s="11"/>
      <c r="AG78" s="11" t="s">
        <v>83</v>
      </c>
      <c r="AH78" s="11" t="s">
        <v>83</v>
      </c>
      <c r="AI78" s="11"/>
      <c r="AJ78" s="11"/>
      <c r="AK78" s="11"/>
      <c r="AL78" s="11"/>
      <c r="AM78" s="11"/>
      <c r="AO78" s="17"/>
    </row>
    <row r="79" spans="1:41" s="1" customFormat="1" ht="26">
      <c r="A79" s="11">
        <f>IF(A78="",MAX($A$10:A78)+10,A78)</f>
        <v>80</v>
      </c>
      <c r="B79" s="11"/>
      <c r="C79" s="11"/>
      <c r="D79" s="11" t="s">
        <v>106</v>
      </c>
      <c r="E79" s="30" t="s">
        <v>825</v>
      </c>
      <c r="F79" s="11" t="s">
        <v>182</v>
      </c>
      <c r="G79" s="11" t="s">
        <v>2</v>
      </c>
      <c r="H79" s="11"/>
      <c r="I79" s="11" t="s">
        <v>579</v>
      </c>
      <c r="J79" s="11"/>
      <c r="K79" s="11" t="s">
        <v>505</v>
      </c>
      <c r="L79" s="11"/>
      <c r="M79" s="11"/>
      <c r="N79" s="11"/>
      <c r="O79" s="11"/>
      <c r="P79" s="11"/>
      <c r="Q79" s="11" t="s">
        <v>174</v>
      </c>
      <c r="R79" s="11"/>
      <c r="S79" s="11" t="s">
        <v>174</v>
      </c>
      <c r="T79" s="11"/>
      <c r="U79" s="11" t="s">
        <v>174</v>
      </c>
      <c r="V79" s="11"/>
      <c r="W79" s="11"/>
      <c r="X79" s="11"/>
      <c r="Y79" s="11"/>
      <c r="AA79" s="11" t="s">
        <v>537</v>
      </c>
      <c r="AB79" s="11" t="s">
        <v>537</v>
      </c>
      <c r="AC79" s="11" t="s">
        <v>537</v>
      </c>
      <c r="AD79" s="11" t="s">
        <v>537</v>
      </c>
      <c r="AF79" s="11"/>
      <c r="AG79" s="11" t="s">
        <v>83</v>
      </c>
      <c r="AH79" s="11" t="s">
        <v>174</v>
      </c>
      <c r="AI79" s="11"/>
      <c r="AJ79" s="11"/>
      <c r="AK79" s="11"/>
      <c r="AL79" s="11"/>
      <c r="AM79" s="11"/>
      <c r="AO79" s="17"/>
    </row>
    <row r="80" spans="1:41" s="1" customFormat="1" ht="26">
      <c r="A80" s="11">
        <f>IF(A79="",MAX($A$10:A79)+10,A79)</f>
        <v>80</v>
      </c>
      <c r="B80" s="11"/>
      <c r="C80" s="11"/>
      <c r="D80" s="11" t="s">
        <v>435</v>
      </c>
      <c r="E80" s="30" t="s">
        <v>826</v>
      </c>
      <c r="F80" s="11" t="s">
        <v>268</v>
      </c>
      <c r="G80" s="11" t="s">
        <v>2</v>
      </c>
      <c r="H80" s="11"/>
      <c r="I80" s="11" t="s">
        <v>525</v>
      </c>
      <c r="J80" s="11"/>
      <c r="K80" s="11" t="s">
        <v>526</v>
      </c>
      <c r="L80" s="11"/>
      <c r="M80" s="11"/>
      <c r="N80" s="11"/>
      <c r="O80" s="11"/>
      <c r="P80" s="11"/>
      <c r="Q80" s="11" t="s">
        <v>174</v>
      </c>
      <c r="R80" s="11"/>
      <c r="S80" s="11" t="s">
        <v>174</v>
      </c>
      <c r="T80" s="11"/>
      <c r="U80" s="11" t="s">
        <v>174</v>
      </c>
      <c r="V80" s="11"/>
      <c r="W80" s="11"/>
      <c r="X80" s="11"/>
      <c r="Y80" s="11" t="s">
        <v>543</v>
      </c>
      <c r="AA80" s="11" t="s">
        <v>537</v>
      </c>
      <c r="AB80" s="11" t="s">
        <v>537</v>
      </c>
      <c r="AC80" s="11" t="s">
        <v>537</v>
      </c>
      <c r="AD80" s="11" t="s">
        <v>537</v>
      </c>
      <c r="AF80" s="11"/>
      <c r="AG80" s="11" t="s">
        <v>83</v>
      </c>
      <c r="AH80" s="11" t="s">
        <v>83</v>
      </c>
      <c r="AI80" s="11"/>
      <c r="AJ80" s="11"/>
      <c r="AK80" s="11"/>
      <c r="AL80" s="11"/>
      <c r="AM80" s="11"/>
      <c r="AO80" s="17"/>
    </row>
    <row r="81" spans="1:41" s="1" customFormat="1">
      <c r="A81" s="11">
        <f>IF(A80="",MAX($A$10:A80)+10,A80)</f>
        <v>80</v>
      </c>
      <c r="B81" s="11"/>
      <c r="C81" s="11"/>
      <c r="D81" s="11" t="s">
        <v>107</v>
      </c>
      <c r="E81" s="30" t="s">
        <v>827</v>
      </c>
      <c r="F81" s="11" t="s">
        <v>269</v>
      </c>
      <c r="G81" s="11" t="s">
        <v>2</v>
      </c>
      <c r="H81" s="11"/>
      <c r="I81" s="11" t="s">
        <v>525</v>
      </c>
      <c r="J81" s="11"/>
      <c r="K81" s="11" t="s">
        <v>526</v>
      </c>
      <c r="L81" s="11"/>
      <c r="M81" s="11"/>
      <c r="N81" s="11"/>
      <c r="O81" s="11"/>
      <c r="P81" s="11"/>
      <c r="Q81" s="11" t="s">
        <v>174</v>
      </c>
      <c r="R81" s="11"/>
      <c r="S81" s="11" t="s">
        <v>174</v>
      </c>
      <c r="T81" s="11"/>
      <c r="U81" s="11" t="s">
        <v>174</v>
      </c>
      <c r="V81" s="11"/>
      <c r="W81" s="11"/>
      <c r="X81" s="11"/>
      <c r="Y81" s="11" t="s">
        <v>543</v>
      </c>
      <c r="AA81" s="11" t="s">
        <v>537</v>
      </c>
      <c r="AB81" s="11" t="s">
        <v>537</v>
      </c>
      <c r="AC81" s="11" t="s">
        <v>537</v>
      </c>
      <c r="AD81" s="11" t="s">
        <v>537</v>
      </c>
      <c r="AF81" s="11"/>
      <c r="AG81" s="11" t="s">
        <v>83</v>
      </c>
      <c r="AH81" s="11" t="s">
        <v>83</v>
      </c>
      <c r="AI81" s="11"/>
      <c r="AJ81" s="11"/>
      <c r="AK81" s="11"/>
      <c r="AL81" s="11"/>
      <c r="AM81" s="11"/>
      <c r="AO81" s="17"/>
    </row>
    <row r="82" spans="1:41" s="1" customFormat="1" ht="26">
      <c r="A82" s="11">
        <f>IF(A81="",MAX($A$10:A81)+10,A81)</f>
        <v>80</v>
      </c>
      <c r="B82" s="11"/>
      <c r="C82" s="11"/>
      <c r="D82" s="11" t="s">
        <v>110</v>
      </c>
      <c r="E82" s="30" t="s">
        <v>828</v>
      </c>
      <c r="F82" s="11" t="s">
        <v>185</v>
      </c>
      <c r="G82" s="11" t="s">
        <v>256</v>
      </c>
      <c r="H82" s="11"/>
      <c r="I82" s="11" t="s">
        <v>580</v>
      </c>
      <c r="J82" s="11"/>
      <c r="K82" s="11" t="s">
        <v>510</v>
      </c>
      <c r="L82" s="11"/>
      <c r="M82" s="11"/>
      <c r="N82" s="11"/>
      <c r="O82" s="11"/>
      <c r="P82" s="11"/>
      <c r="Q82" s="11" t="s">
        <v>581</v>
      </c>
      <c r="R82" s="11"/>
      <c r="S82" s="11" t="s">
        <v>582</v>
      </c>
      <c r="T82" s="11"/>
      <c r="U82" s="11" t="s">
        <v>583</v>
      </c>
      <c r="V82" s="11"/>
      <c r="W82" s="11"/>
      <c r="X82" s="11"/>
      <c r="Y82" s="11" t="s">
        <v>543</v>
      </c>
      <c r="AA82" s="11" t="s">
        <v>537</v>
      </c>
      <c r="AB82" s="11" t="s">
        <v>537</v>
      </c>
      <c r="AC82" s="11" t="s">
        <v>537</v>
      </c>
      <c r="AD82" s="11" t="s">
        <v>537</v>
      </c>
      <c r="AF82" s="11"/>
      <c r="AG82" s="11" t="s">
        <v>83</v>
      </c>
      <c r="AH82" s="11" t="s">
        <v>83</v>
      </c>
      <c r="AI82" s="11"/>
      <c r="AJ82" s="11"/>
      <c r="AK82" s="11"/>
      <c r="AL82" s="11"/>
      <c r="AM82" s="11"/>
      <c r="AO82" s="17"/>
    </row>
    <row r="83" spans="1:41" s="1" customFormat="1" ht="26">
      <c r="A83" s="11">
        <f>IF(A82="",MAX($A$10:A82)+10,A82)</f>
        <v>80</v>
      </c>
      <c r="B83" s="11"/>
      <c r="C83" s="11"/>
      <c r="D83" s="11" t="s">
        <v>111</v>
      </c>
      <c r="E83" s="30" t="s">
        <v>829</v>
      </c>
      <c r="F83" s="11" t="s">
        <v>186</v>
      </c>
      <c r="G83" s="11" t="s">
        <v>2</v>
      </c>
      <c r="H83" s="11"/>
      <c r="I83" s="11" t="s">
        <v>584</v>
      </c>
      <c r="J83" s="11"/>
      <c r="K83" s="11" t="s">
        <v>505</v>
      </c>
      <c r="L83" s="11"/>
      <c r="M83" s="11"/>
      <c r="N83" s="11"/>
      <c r="O83" s="11"/>
      <c r="P83" s="11"/>
      <c r="Q83" s="11" t="s">
        <v>174</v>
      </c>
      <c r="R83" s="11"/>
      <c r="S83" s="11" t="s">
        <v>174</v>
      </c>
      <c r="T83" s="11"/>
      <c r="U83" s="11" t="s">
        <v>174</v>
      </c>
      <c r="V83" s="11"/>
      <c r="W83" s="11"/>
      <c r="X83" s="11"/>
      <c r="Y83" s="11"/>
      <c r="AA83" s="11" t="s">
        <v>537</v>
      </c>
      <c r="AB83" s="11" t="s">
        <v>537</v>
      </c>
      <c r="AC83" s="11" t="s">
        <v>537</v>
      </c>
      <c r="AD83" s="11" t="s">
        <v>537</v>
      </c>
      <c r="AF83" s="11"/>
      <c r="AG83" s="11" t="s">
        <v>83</v>
      </c>
      <c r="AH83" s="11" t="s">
        <v>174</v>
      </c>
      <c r="AI83" s="11"/>
      <c r="AJ83" s="11"/>
      <c r="AK83" s="11"/>
      <c r="AL83" s="11"/>
      <c r="AM83" s="11"/>
      <c r="AO83" s="17"/>
    </row>
    <row r="84" spans="1:41" s="1" customFormat="1" ht="26">
      <c r="A84" s="11">
        <f>IF(A83="",MAX($A$10:A83)+10,A83)</f>
        <v>80</v>
      </c>
      <c r="B84" s="11"/>
      <c r="C84" s="11"/>
      <c r="D84" s="11" t="s">
        <v>467</v>
      </c>
      <c r="E84" s="30" t="s">
        <v>830</v>
      </c>
      <c r="F84" s="11" t="s">
        <v>183</v>
      </c>
      <c r="G84" s="11" t="s">
        <v>2</v>
      </c>
      <c r="H84" s="11"/>
      <c r="I84" s="11" t="s">
        <v>585</v>
      </c>
      <c r="J84" s="11"/>
      <c r="K84" s="11" t="s">
        <v>510</v>
      </c>
      <c r="L84" s="11"/>
      <c r="M84" s="11"/>
      <c r="N84" s="11"/>
      <c r="O84" s="11"/>
      <c r="P84" s="11"/>
      <c r="Q84" s="11" t="s">
        <v>586</v>
      </c>
      <c r="R84" s="11"/>
      <c r="S84" s="11" t="s">
        <v>587</v>
      </c>
      <c r="T84" s="11"/>
      <c r="U84" s="11" t="s">
        <v>588</v>
      </c>
      <c r="V84" s="11"/>
      <c r="W84" s="11"/>
      <c r="X84" s="11"/>
      <c r="Y84" s="11" t="s">
        <v>543</v>
      </c>
      <c r="AA84" s="11" t="s">
        <v>83</v>
      </c>
      <c r="AB84" s="11" t="s">
        <v>506</v>
      </c>
      <c r="AC84" s="11" t="s">
        <v>506</v>
      </c>
      <c r="AD84" s="11" t="s">
        <v>506</v>
      </c>
      <c r="AF84" s="11"/>
      <c r="AG84" s="11" t="s">
        <v>83</v>
      </c>
      <c r="AH84" s="11" t="s">
        <v>83</v>
      </c>
      <c r="AI84" s="11"/>
      <c r="AJ84" s="11"/>
      <c r="AK84" s="11"/>
      <c r="AL84" s="11"/>
      <c r="AM84" s="11"/>
      <c r="AO84" s="17"/>
    </row>
    <row r="85" spans="1:41" s="1" customFormat="1" ht="26">
      <c r="A85" s="11">
        <f>IF(A84="",MAX($A$10:A84)+10,A84)</f>
        <v>80</v>
      </c>
      <c r="B85" s="11"/>
      <c r="C85" s="11"/>
      <c r="D85" s="11" t="s">
        <v>108</v>
      </c>
      <c r="E85" s="30" t="s">
        <v>831</v>
      </c>
      <c r="F85" s="11" t="s">
        <v>184</v>
      </c>
      <c r="G85" s="11" t="s">
        <v>2</v>
      </c>
      <c r="H85" s="11"/>
      <c r="I85" s="11" t="s">
        <v>589</v>
      </c>
      <c r="J85" s="11"/>
      <c r="K85" s="11" t="s">
        <v>505</v>
      </c>
      <c r="L85" s="11"/>
      <c r="M85" s="11"/>
      <c r="N85" s="11"/>
      <c r="O85" s="11"/>
      <c r="P85" s="11"/>
      <c r="Q85" s="11" t="s">
        <v>174</v>
      </c>
      <c r="R85" s="11"/>
      <c r="S85" s="11" t="s">
        <v>174</v>
      </c>
      <c r="T85" s="11"/>
      <c r="U85" s="11" t="s">
        <v>174</v>
      </c>
      <c r="V85" s="11"/>
      <c r="W85" s="11"/>
      <c r="X85" s="11"/>
      <c r="Y85" s="11"/>
      <c r="AA85" s="11" t="s">
        <v>506</v>
      </c>
      <c r="AB85" s="11" t="s">
        <v>506</v>
      </c>
      <c r="AC85" s="11" t="s">
        <v>506</v>
      </c>
      <c r="AD85" s="11" t="s">
        <v>506</v>
      </c>
      <c r="AF85" s="11"/>
      <c r="AG85" s="11" t="s">
        <v>83</v>
      </c>
      <c r="AH85" s="11" t="s">
        <v>174</v>
      </c>
      <c r="AI85" s="11"/>
      <c r="AJ85" s="11"/>
      <c r="AK85" s="11"/>
      <c r="AL85" s="11"/>
      <c r="AM85" s="11"/>
      <c r="AO85" s="17"/>
    </row>
    <row r="86" spans="1:41" s="1" customFormat="1" ht="26">
      <c r="A86" s="11">
        <f>IF(A85="",MAX($A$10:A85)+10,A85)</f>
        <v>80</v>
      </c>
      <c r="B86" s="11"/>
      <c r="C86" s="11"/>
      <c r="D86" s="11" t="s">
        <v>109</v>
      </c>
      <c r="E86" s="30" t="s">
        <v>832</v>
      </c>
      <c r="F86" s="11" t="s">
        <v>270</v>
      </c>
      <c r="G86" s="11" t="s">
        <v>2</v>
      </c>
      <c r="H86" s="11"/>
      <c r="I86" s="11" t="s">
        <v>525</v>
      </c>
      <c r="J86" s="11"/>
      <c r="K86" s="11" t="s">
        <v>526</v>
      </c>
      <c r="L86" s="11"/>
      <c r="M86" s="11"/>
      <c r="N86" s="11"/>
      <c r="O86" s="11"/>
      <c r="P86" s="11"/>
      <c r="Q86" s="11" t="s">
        <v>174</v>
      </c>
      <c r="R86" s="11"/>
      <c r="S86" s="11" t="s">
        <v>174</v>
      </c>
      <c r="T86" s="11"/>
      <c r="U86" s="11" t="s">
        <v>174</v>
      </c>
      <c r="V86" s="11"/>
      <c r="W86" s="11"/>
      <c r="X86" s="11"/>
      <c r="Y86" s="11" t="s">
        <v>543</v>
      </c>
      <c r="AA86" s="11" t="s">
        <v>498</v>
      </c>
      <c r="AB86" s="11" t="s">
        <v>506</v>
      </c>
      <c r="AC86" s="11" t="s">
        <v>506</v>
      </c>
      <c r="AD86" s="11" t="s">
        <v>506</v>
      </c>
      <c r="AF86" s="11"/>
      <c r="AG86" s="11" t="s">
        <v>83</v>
      </c>
      <c r="AH86" s="11" t="s">
        <v>83</v>
      </c>
      <c r="AI86" s="11"/>
      <c r="AJ86" s="11"/>
      <c r="AK86" s="11"/>
      <c r="AL86" s="11"/>
      <c r="AM86" s="11"/>
      <c r="AO86" s="17"/>
    </row>
    <row r="87" spans="1:41" s="1" customFormat="1">
      <c r="A87" s="11">
        <f>IF(A86="",MAX($A$10:A86)+10,A86)</f>
        <v>80</v>
      </c>
      <c r="B87" s="11"/>
      <c r="C87" s="11"/>
      <c r="D87" s="11" t="s">
        <v>112</v>
      </c>
      <c r="E87" s="30" t="s">
        <v>833</v>
      </c>
      <c r="F87" s="11" t="s">
        <v>271</v>
      </c>
      <c r="G87" s="11" t="s">
        <v>2</v>
      </c>
      <c r="H87" s="11"/>
      <c r="I87" s="11" t="s">
        <v>525</v>
      </c>
      <c r="J87" s="11"/>
      <c r="K87" s="11" t="s">
        <v>526</v>
      </c>
      <c r="L87" s="11"/>
      <c r="M87" s="11"/>
      <c r="N87" s="11"/>
      <c r="O87" s="11"/>
      <c r="P87" s="11"/>
      <c r="Q87" s="11" t="s">
        <v>174</v>
      </c>
      <c r="R87" s="11"/>
      <c r="S87" s="11" t="s">
        <v>174</v>
      </c>
      <c r="T87" s="11"/>
      <c r="U87" s="11" t="s">
        <v>174</v>
      </c>
      <c r="V87" s="11" t="s">
        <v>174</v>
      </c>
      <c r="W87" s="11" t="s">
        <v>174</v>
      </c>
      <c r="X87" s="11"/>
      <c r="Y87" s="11" t="s">
        <v>543</v>
      </c>
      <c r="AA87" s="11" t="s">
        <v>498</v>
      </c>
      <c r="AB87" s="11" t="s">
        <v>506</v>
      </c>
      <c r="AC87" s="11" t="s">
        <v>506</v>
      </c>
      <c r="AD87" s="11" t="s">
        <v>506</v>
      </c>
      <c r="AF87" s="11"/>
      <c r="AG87" s="11" t="s">
        <v>83</v>
      </c>
      <c r="AH87" s="11" t="s">
        <v>83</v>
      </c>
      <c r="AI87" s="11"/>
      <c r="AJ87" s="11"/>
      <c r="AK87" s="11"/>
      <c r="AL87" s="11"/>
      <c r="AM87" s="11"/>
      <c r="AO87" s="17"/>
    </row>
    <row r="88" spans="1:41" s="1" customFormat="1">
      <c r="A88" s="11">
        <f>IF(A87="",MAX($A$10:A87)+10,A87)</f>
        <v>80</v>
      </c>
      <c r="B88" s="11"/>
      <c r="C88" s="11"/>
      <c r="D88" s="11" t="s">
        <v>113</v>
      </c>
      <c r="E88" s="30" t="s">
        <v>834</v>
      </c>
      <c r="F88" s="11" t="s">
        <v>187</v>
      </c>
      <c r="G88" s="11" t="s">
        <v>2</v>
      </c>
      <c r="H88" s="11"/>
      <c r="I88" s="11" t="s">
        <v>590</v>
      </c>
      <c r="J88" s="11"/>
      <c r="K88" s="11" t="s">
        <v>505</v>
      </c>
      <c r="L88" s="11"/>
      <c r="M88" s="11"/>
      <c r="N88" s="11"/>
      <c r="O88" s="11"/>
      <c r="P88" s="11"/>
      <c r="Q88" s="11" t="s">
        <v>174</v>
      </c>
      <c r="R88" s="11"/>
      <c r="S88" s="11" t="s">
        <v>174</v>
      </c>
      <c r="T88" s="11"/>
      <c r="U88" s="11" t="s">
        <v>174</v>
      </c>
      <c r="V88" s="11"/>
      <c r="W88" s="11"/>
      <c r="X88" s="11"/>
      <c r="Y88" s="11" t="s">
        <v>543</v>
      </c>
      <c r="AA88" s="11" t="s">
        <v>83</v>
      </c>
      <c r="AB88" s="11" t="s">
        <v>506</v>
      </c>
      <c r="AC88" s="11" t="s">
        <v>506</v>
      </c>
      <c r="AD88" s="11" t="s">
        <v>506</v>
      </c>
      <c r="AF88" s="11"/>
      <c r="AG88" s="11" t="s">
        <v>83</v>
      </c>
      <c r="AH88" s="11" t="s">
        <v>83</v>
      </c>
      <c r="AI88" s="11"/>
      <c r="AJ88" s="11"/>
      <c r="AK88" s="11"/>
      <c r="AL88" s="11"/>
      <c r="AM88" s="11"/>
      <c r="AO88" s="17"/>
    </row>
    <row r="89" spans="1:41" s="1" customFormat="1">
      <c r="A89" s="11">
        <f>IF(A88="",MAX($A$10:A88)+10,A88)</f>
        <v>80</v>
      </c>
      <c r="B89" s="11"/>
      <c r="C89" s="11"/>
      <c r="D89" s="11" t="s">
        <v>320</v>
      </c>
      <c r="E89" s="30" t="s">
        <v>835</v>
      </c>
      <c r="F89" s="11" t="s">
        <v>437</v>
      </c>
      <c r="G89" s="11" t="s">
        <v>2</v>
      </c>
      <c r="H89" s="11"/>
      <c r="I89" s="11" t="s">
        <v>525</v>
      </c>
      <c r="J89" s="11"/>
      <c r="K89" s="11" t="s">
        <v>526</v>
      </c>
      <c r="L89" s="11"/>
      <c r="M89" s="11"/>
      <c r="N89" s="11"/>
      <c r="O89" s="11"/>
      <c r="P89" s="11"/>
      <c r="Q89" s="11" t="s">
        <v>174</v>
      </c>
      <c r="R89" s="11"/>
      <c r="S89" s="11" t="s">
        <v>174</v>
      </c>
      <c r="T89" s="11"/>
      <c r="U89" s="11"/>
      <c r="V89" s="11"/>
      <c r="W89" s="11"/>
      <c r="X89" s="11"/>
      <c r="Y89" s="11" t="s">
        <v>543</v>
      </c>
      <c r="AA89" s="11" t="s">
        <v>498</v>
      </c>
      <c r="AB89" s="11" t="s">
        <v>506</v>
      </c>
      <c r="AC89" s="11" t="s">
        <v>506</v>
      </c>
      <c r="AD89" s="11" t="s">
        <v>506</v>
      </c>
      <c r="AF89" s="11"/>
      <c r="AG89" s="11" t="s">
        <v>83</v>
      </c>
      <c r="AH89" s="11" t="s">
        <v>83</v>
      </c>
      <c r="AI89" s="11"/>
      <c r="AJ89" s="11"/>
      <c r="AK89" s="11"/>
      <c r="AL89" s="11"/>
      <c r="AM89" s="11"/>
      <c r="AO89" s="17"/>
    </row>
    <row r="90" spans="1:41" s="1" customFormat="1" ht="26">
      <c r="A90" s="11">
        <f>IF(A89="",MAX($A$10:A89)+10,A89)</f>
        <v>80</v>
      </c>
      <c r="B90" s="11"/>
      <c r="C90" s="11"/>
      <c r="D90" s="11" t="s">
        <v>123</v>
      </c>
      <c r="E90" s="30" t="s">
        <v>836</v>
      </c>
      <c r="F90" s="11" t="s">
        <v>361</v>
      </c>
      <c r="G90" s="11" t="s">
        <v>442</v>
      </c>
      <c r="H90" s="11"/>
      <c r="I90" s="11" t="s">
        <v>591</v>
      </c>
      <c r="J90" s="11"/>
      <c r="K90" s="11" t="s">
        <v>510</v>
      </c>
      <c r="L90" s="11"/>
      <c r="M90" s="11"/>
      <c r="N90" s="11"/>
      <c r="O90" s="11"/>
      <c r="P90" s="11"/>
      <c r="Q90" s="11" t="s">
        <v>592</v>
      </c>
      <c r="R90" s="11"/>
      <c r="S90" s="11" t="s">
        <v>348</v>
      </c>
      <c r="T90" s="11"/>
      <c r="U90" s="11" t="s">
        <v>593</v>
      </c>
      <c r="V90" s="11"/>
      <c r="W90" s="11"/>
      <c r="X90" s="11"/>
      <c r="Y90" s="11" t="s">
        <v>543</v>
      </c>
      <c r="AA90" s="11" t="s">
        <v>83</v>
      </c>
      <c r="AB90" s="11" t="s">
        <v>506</v>
      </c>
      <c r="AC90" s="11" t="s">
        <v>506</v>
      </c>
      <c r="AD90" s="11" t="s">
        <v>506</v>
      </c>
      <c r="AF90" s="11"/>
      <c r="AG90" s="11" t="s">
        <v>83</v>
      </c>
      <c r="AH90" s="11" t="s">
        <v>83</v>
      </c>
      <c r="AI90" s="11"/>
      <c r="AJ90" s="11"/>
      <c r="AK90" s="11"/>
      <c r="AL90" s="11"/>
      <c r="AM90" s="11"/>
      <c r="AO90" s="17"/>
    </row>
    <row r="91" spans="1:41" s="1" customFormat="1" ht="26">
      <c r="A91" s="11">
        <f>IF(A90="",MAX($A$10:A90)+10,A90)</f>
        <v>80</v>
      </c>
      <c r="B91" s="11"/>
      <c r="C91" s="11"/>
      <c r="D91" s="11" t="s">
        <v>348</v>
      </c>
      <c r="E91" s="30" t="s">
        <v>837</v>
      </c>
      <c r="F91" s="11" t="s">
        <v>347</v>
      </c>
      <c r="G91" s="11" t="s">
        <v>459</v>
      </c>
      <c r="H91" s="11"/>
      <c r="I91" s="11" t="s">
        <v>594</v>
      </c>
      <c r="J91" s="11"/>
      <c r="K91" s="11" t="s">
        <v>505</v>
      </c>
      <c r="L91" s="11"/>
      <c r="M91" s="11"/>
      <c r="N91" s="11"/>
      <c r="O91" s="11"/>
      <c r="P91" s="11"/>
      <c r="Q91" s="11" t="s">
        <v>174</v>
      </c>
      <c r="R91" s="11"/>
      <c r="S91" s="11" t="s">
        <v>174</v>
      </c>
      <c r="T91" s="11"/>
      <c r="U91" s="11" t="s">
        <v>174</v>
      </c>
      <c r="V91" s="11"/>
      <c r="W91" s="11"/>
      <c r="X91" s="11"/>
      <c r="Y91" s="11"/>
      <c r="AA91" s="11" t="s">
        <v>506</v>
      </c>
      <c r="AB91" s="11" t="s">
        <v>506</v>
      </c>
      <c r="AC91" s="11" t="s">
        <v>506</v>
      </c>
      <c r="AD91" s="11" t="s">
        <v>506</v>
      </c>
      <c r="AF91" s="11"/>
      <c r="AG91" s="11" t="s">
        <v>83</v>
      </c>
      <c r="AH91" s="11" t="s">
        <v>174</v>
      </c>
      <c r="AI91" s="11"/>
      <c r="AJ91" s="11"/>
      <c r="AK91" s="11"/>
      <c r="AL91" s="11"/>
      <c r="AM91" s="11"/>
      <c r="AO91" s="17"/>
    </row>
    <row r="92" spans="1:41" s="1" customFormat="1" ht="26">
      <c r="A92" s="11">
        <f>IF(A91="",MAX($A$10:A91)+10,A91)</f>
        <v>80</v>
      </c>
      <c r="B92" s="11"/>
      <c r="C92" s="11"/>
      <c r="D92" s="11" t="s">
        <v>114</v>
      </c>
      <c r="E92" s="30" t="s">
        <v>838</v>
      </c>
      <c r="F92" s="11" t="s">
        <v>188</v>
      </c>
      <c r="G92" s="11" t="s">
        <v>257</v>
      </c>
      <c r="H92" s="11"/>
      <c r="I92" s="11" t="s">
        <v>595</v>
      </c>
      <c r="J92" s="11"/>
      <c r="K92" s="11" t="s">
        <v>510</v>
      </c>
      <c r="L92" s="11"/>
      <c r="M92" s="11"/>
      <c r="N92" s="11"/>
      <c r="O92" s="11"/>
      <c r="P92" s="11"/>
      <c r="Q92" s="11" t="s">
        <v>596</v>
      </c>
      <c r="R92" s="11"/>
      <c r="S92" s="11" t="s">
        <v>597</v>
      </c>
      <c r="T92" s="11"/>
      <c r="U92" s="11" t="s">
        <v>598</v>
      </c>
      <c r="V92" s="11"/>
      <c r="W92" s="11"/>
      <c r="X92" s="11"/>
      <c r="Y92" s="11" t="s">
        <v>543</v>
      </c>
      <c r="AA92" s="11" t="s">
        <v>83</v>
      </c>
      <c r="AB92" s="11" t="s">
        <v>506</v>
      </c>
      <c r="AC92" s="11" t="s">
        <v>506</v>
      </c>
      <c r="AD92" s="11" t="s">
        <v>506</v>
      </c>
      <c r="AF92" s="11"/>
      <c r="AG92" s="11" t="s">
        <v>83</v>
      </c>
      <c r="AH92" s="11" t="s">
        <v>83</v>
      </c>
      <c r="AI92" s="11"/>
      <c r="AJ92" s="11"/>
      <c r="AK92" s="11"/>
      <c r="AL92" s="11"/>
      <c r="AM92" s="11"/>
      <c r="AO92" s="17"/>
    </row>
    <row r="93" spans="1:41" s="1" customFormat="1" ht="26">
      <c r="A93" s="11">
        <f>IF(A92="",MAX($A$10:A92)+10,A92)</f>
        <v>80</v>
      </c>
      <c r="B93" s="11"/>
      <c r="C93" s="11"/>
      <c r="D93" s="11" t="s">
        <v>115</v>
      </c>
      <c r="E93" s="30" t="s">
        <v>839</v>
      </c>
      <c r="F93" s="11" t="s">
        <v>189</v>
      </c>
      <c r="G93" s="11" t="s">
        <v>2</v>
      </c>
      <c r="H93" s="11"/>
      <c r="I93" s="11" t="s">
        <v>599</v>
      </c>
      <c r="J93" s="11"/>
      <c r="K93" s="11" t="s">
        <v>505</v>
      </c>
      <c r="L93" s="11"/>
      <c r="M93" s="11"/>
      <c r="N93" s="11"/>
      <c r="O93" s="11"/>
      <c r="P93" s="11"/>
      <c r="Q93" s="11" t="s">
        <v>174</v>
      </c>
      <c r="R93" s="11"/>
      <c r="S93" s="11" t="s">
        <v>174</v>
      </c>
      <c r="T93" s="11"/>
      <c r="U93" s="11" t="s">
        <v>174</v>
      </c>
      <c r="V93" s="11"/>
      <c r="W93" s="11"/>
      <c r="X93" s="11"/>
      <c r="Y93" s="11"/>
      <c r="AA93" s="11" t="s">
        <v>506</v>
      </c>
      <c r="AB93" s="11" t="s">
        <v>506</v>
      </c>
      <c r="AC93" s="11" t="s">
        <v>506</v>
      </c>
      <c r="AD93" s="11" t="s">
        <v>506</v>
      </c>
      <c r="AF93" s="11"/>
      <c r="AG93" s="11" t="s">
        <v>83</v>
      </c>
      <c r="AH93" s="11" t="s">
        <v>174</v>
      </c>
      <c r="AI93" s="11"/>
      <c r="AJ93" s="11"/>
      <c r="AK93" s="11"/>
      <c r="AL93" s="11"/>
      <c r="AM93" s="11"/>
      <c r="AO93" s="17"/>
    </row>
    <row r="94" spans="1:41" s="1" customFormat="1">
      <c r="A94" s="11">
        <f>IF(A93="",MAX($A$10:A93)+10,A93)</f>
        <v>80</v>
      </c>
      <c r="B94" s="11"/>
      <c r="C94" s="11"/>
      <c r="D94" s="11" t="s">
        <v>116</v>
      </c>
      <c r="E94" s="30" t="s">
        <v>840</v>
      </c>
      <c r="F94" s="11" t="s">
        <v>272</v>
      </c>
      <c r="G94" s="11" t="s">
        <v>2</v>
      </c>
      <c r="H94" s="11"/>
      <c r="I94" s="11" t="s">
        <v>525</v>
      </c>
      <c r="J94" s="11"/>
      <c r="K94" s="11" t="s">
        <v>526</v>
      </c>
      <c r="L94" s="11"/>
      <c r="M94" s="11"/>
      <c r="N94" s="11"/>
      <c r="O94" s="11"/>
      <c r="P94" s="11"/>
      <c r="Q94" s="11" t="s">
        <v>174</v>
      </c>
      <c r="R94" s="11"/>
      <c r="S94" s="11" t="s">
        <v>174</v>
      </c>
      <c r="T94" s="11"/>
      <c r="U94" s="11" t="s">
        <v>174</v>
      </c>
      <c r="V94" s="11"/>
      <c r="W94" s="11"/>
      <c r="X94" s="11"/>
      <c r="Y94" s="11" t="s">
        <v>543</v>
      </c>
      <c r="AA94" s="11" t="s">
        <v>498</v>
      </c>
      <c r="AB94" s="11" t="s">
        <v>506</v>
      </c>
      <c r="AC94" s="11" t="s">
        <v>506</v>
      </c>
      <c r="AD94" s="11" t="s">
        <v>506</v>
      </c>
      <c r="AF94" s="11"/>
      <c r="AG94" s="11" t="s">
        <v>83</v>
      </c>
      <c r="AH94" s="11" t="s">
        <v>83</v>
      </c>
      <c r="AI94" s="11"/>
      <c r="AJ94" s="11"/>
      <c r="AK94" s="11"/>
      <c r="AL94" s="11"/>
      <c r="AM94" s="11"/>
      <c r="AO94" s="17"/>
    </row>
    <row r="95" spans="1:41" s="1" customFormat="1" ht="26">
      <c r="A95" s="11">
        <f>IF(A94="",MAX($A$10:A94)+10,A94)</f>
        <v>80</v>
      </c>
      <c r="B95" s="11"/>
      <c r="C95" s="11"/>
      <c r="D95" s="11" t="s">
        <v>117</v>
      </c>
      <c r="E95" s="30" t="s">
        <v>841</v>
      </c>
      <c r="F95" s="11" t="s">
        <v>190</v>
      </c>
      <c r="G95" s="11" t="s">
        <v>2</v>
      </c>
      <c r="H95" s="11"/>
      <c r="I95" s="11" t="s">
        <v>600</v>
      </c>
      <c r="J95" s="11"/>
      <c r="K95" s="11" t="s">
        <v>510</v>
      </c>
      <c r="L95" s="11"/>
      <c r="M95" s="11"/>
      <c r="N95" s="11"/>
      <c r="O95" s="11"/>
      <c r="P95" s="11"/>
      <c r="Q95" s="11" t="s">
        <v>601</v>
      </c>
      <c r="R95" s="11"/>
      <c r="S95" s="11" t="s">
        <v>602</v>
      </c>
      <c r="T95" s="11"/>
      <c r="U95" s="11" t="s">
        <v>603</v>
      </c>
      <c r="V95" s="11"/>
      <c r="W95" s="11"/>
      <c r="X95" s="11"/>
      <c r="Y95" s="11" t="s">
        <v>543</v>
      </c>
      <c r="AA95" s="11" t="s">
        <v>83</v>
      </c>
      <c r="AB95" s="11" t="s">
        <v>506</v>
      </c>
      <c r="AC95" s="11" t="s">
        <v>506</v>
      </c>
      <c r="AD95" s="11" t="s">
        <v>506</v>
      </c>
      <c r="AF95" s="11"/>
      <c r="AG95" s="11" t="s">
        <v>83</v>
      </c>
      <c r="AH95" s="11" t="s">
        <v>83</v>
      </c>
      <c r="AI95" s="11"/>
      <c r="AJ95" s="11"/>
      <c r="AK95" s="11"/>
      <c r="AL95" s="11"/>
      <c r="AM95" s="11"/>
      <c r="AO95" s="17"/>
    </row>
    <row r="96" spans="1:41" s="1" customFormat="1" ht="26">
      <c r="A96" s="11">
        <f>IF(A95="",MAX($A$10:A95)+10,A95)</f>
        <v>80</v>
      </c>
      <c r="B96" s="11"/>
      <c r="C96" s="11"/>
      <c r="D96" s="11" t="s">
        <v>118</v>
      </c>
      <c r="E96" s="30" t="s">
        <v>842</v>
      </c>
      <c r="F96" s="11" t="s">
        <v>191</v>
      </c>
      <c r="G96" s="11" t="s">
        <v>2</v>
      </c>
      <c r="H96" s="11"/>
      <c r="I96" s="11" t="s">
        <v>604</v>
      </c>
      <c r="J96" s="11"/>
      <c r="K96" s="11" t="s">
        <v>505</v>
      </c>
      <c r="L96" s="11"/>
      <c r="M96" s="11"/>
      <c r="N96" s="11"/>
      <c r="O96" s="11"/>
      <c r="P96" s="11"/>
      <c r="Q96" s="11" t="s">
        <v>174</v>
      </c>
      <c r="R96" s="11"/>
      <c r="S96" s="11" t="s">
        <v>174</v>
      </c>
      <c r="T96" s="11"/>
      <c r="U96" s="11"/>
      <c r="V96" s="11"/>
      <c r="W96" s="11"/>
      <c r="X96" s="11"/>
      <c r="Y96" s="11"/>
      <c r="AA96" s="11" t="s">
        <v>506</v>
      </c>
      <c r="AB96" s="11" t="s">
        <v>506</v>
      </c>
      <c r="AC96" s="11" t="s">
        <v>506</v>
      </c>
      <c r="AD96" s="11" t="s">
        <v>506</v>
      </c>
      <c r="AF96" s="11"/>
      <c r="AG96" s="11" t="s">
        <v>83</v>
      </c>
      <c r="AH96" s="11" t="s">
        <v>174</v>
      </c>
      <c r="AI96" s="11"/>
      <c r="AJ96" s="11"/>
      <c r="AK96" s="11"/>
      <c r="AL96" s="11"/>
      <c r="AM96" s="11"/>
      <c r="AO96" s="17"/>
    </row>
    <row r="97" spans="1:41" s="1" customFormat="1" ht="26">
      <c r="A97" s="11">
        <f>IF(A96="",MAX($A$10:A96)+10,A96)</f>
        <v>80</v>
      </c>
      <c r="B97" s="11"/>
      <c r="C97" s="11"/>
      <c r="D97" s="11" t="s">
        <v>119</v>
      </c>
      <c r="E97" s="30" t="s">
        <v>843</v>
      </c>
      <c r="F97" s="11" t="s">
        <v>192</v>
      </c>
      <c r="G97" s="11" t="s">
        <v>2</v>
      </c>
      <c r="H97" s="11"/>
      <c r="I97" s="11" t="s">
        <v>605</v>
      </c>
      <c r="J97" s="11"/>
      <c r="K97" s="11" t="s">
        <v>510</v>
      </c>
      <c r="L97" s="11"/>
      <c r="M97" s="11"/>
      <c r="N97" s="11"/>
      <c r="O97" s="11"/>
      <c r="P97" s="11"/>
      <c r="Q97" s="11" t="s">
        <v>606</v>
      </c>
      <c r="R97" s="11"/>
      <c r="S97" s="11" t="s">
        <v>607</v>
      </c>
      <c r="T97" s="11"/>
      <c r="U97" s="11" t="s">
        <v>608</v>
      </c>
      <c r="V97" s="11"/>
      <c r="W97" s="11"/>
      <c r="X97" s="11"/>
      <c r="Y97" s="11" t="s">
        <v>543</v>
      </c>
      <c r="AA97" s="11" t="s">
        <v>83</v>
      </c>
      <c r="AB97" s="11" t="s">
        <v>506</v>
      </c>
      <c r="AC97" s="11" t="s">
        <v>506</v>
      </c>
      <c r="AD97" s="11" t="s">
        <v>506</v>
      </c>
      <c r="AF97" s="11"/>
      <c r="AG97" s="11" t="s">
        <v>83</v>
      </c>
      <c r="AH97" s="11" t="s">
        <v>83</v>
      </c>
      <c r="AI97" s="11"/>
      <c r="AJ97" s="11"/>
      <c r="AK97" s="11"/>
      <c r="AL97" s="11"/>
      <c r="AM97" s="11"/>
      <c r="AO97" s="17"/>
    </row>
    <row r="98" spans="1:41" s="1" customFormat="1" ht="26">
      <c r="A98" s="11">
        <f>IF(A97="",MAX($A$10:A97)+10,A97)</f>
        <v>80</v>
      </c>
      <c r="B98" s="11"/>
      <c r="C98" s="11"/>
      <c r="D98" s="11" t="s">
        <v>120</v>
      </c>
      <c r="E98" s="30" t="s">
        <v>844</v>
      </c>
      <c r="F98" s="11" t="s">
        <v>193</v>
      </c>
      <c r="G98" s="11" t="s">
        <v>2</v>
      </c>
      <c r="H98" s="11"/>
      <c r="I98" s="11" t="s">
        <v>609</v>
      </c>
      <c r="J98" s="11"/>
      <c r="K98" s="11" t="s">
        <v>505</v>
      </c>
      <c r="L98" s="11"/>
      <c r="M98" s="11"/>
      <c r="N98" s="11"/>
      <c r="O98" s="11"/>
      <c r="P98" s="11"/>
      <c r="Q98" s="11"/>
      <c r="R98" s="11"/>
      <c r="S98" s="11" t="s">
        <v>174</v>
      </c>
      <c r="T98" s="11"/>
      <c r="U98" s="11"/>
      <c r="V98" s="11"/>
      <c r="W98" s="11"/>
      <c r="X98" s="11"/>
      <c r="Y98" s="11"/>
      <c r="AA98" s="11" t="s">
        <v>506</v>
      </c>
      <c r="AB98" s="11" t="s">
        <v>506</v>
      </c>
      <c r="AC98" s="11" t="s">
        <v>506</v>
      </c>
      <c r="AD98" s="11" t="s">
        <v>506</v>
      </c>
      <c r="AF98" s="11"/>
      <c r="AG98" s="11" t="s">
        <v>83</v>
      </c>
      <c r="AH98" s="11" t="s">
        <v>174</v>
      </c>
      <c r="AI98" s="11"/>
      <c r="AJ98" s="11"/>
      <c r="AK98" s="11"/>
      <c r="AL98" s="11"/>
      <c r="AM98" s="11"/>
      <c r="AO98" s="17"/>
    </row>
    <row r="99" spans="1:41" s="1" customFormat="1" ht="26">
      <c r="A99" s="11">
        <f>IF(A98="",MAX($A$10:A98)+10,A98)</f>
        <v>80</v>
      </c>
      <c r="B99" s="11"/>
      <c r="C99" s="11"/>
      <c r="D99" s="11" t="s">
        <v>121</v>
      </c>
      <c r="E99" s="30" t="s">
        <v>845</v>
      </c>
      <c r="F99" s="11" t="s">
        <v>194</v>
      </c>
      <c r="G99" s="11" t="s">
        <v>441</v>
      </c>
      <c r="H99" s="11"/>
      <c r="I99" s="11" t="s">
        <v>610</v>
      </c>
      <c r="J99" s="11"/>
      <c r="K99" s="11" t="s">
        <v>510</v>
      </c>
      <c r="L99" s="11"/>
      <c r="M99" s="11"/>
      <c r="N99" s="11"/>
      <c r="O99" s="11"/>
      <c r="P99" s="11"/>
      <c r="Q99" s="11" t="s">
        <v>611</v>
      </c>
      <c r="R99" s="11"/>
      <c r="S99" s="11" t="s">
        <v>612</v>
      </c>
      <c r="T99" s="11"/>
      <c r="U99" s="11" t="s">
        <v>613</v>
      </c>
      <c r="V99" s="11"/>
      <c r="W99" s="11"/>
      <c r="X99" s="11"/>
      <c r="Y99" s="11" t="s">
        <v>543</v>
      </c>
      <c r="AA99" s="11" t="s">
        <v>83</v>
      </c>
      <c r="AB99" s="11" t="s">
        <v>506</v>
      </c>
      <c r="AC99" s="11" t="s">
        <v>506</v>
      </c>
      <c r="AD99" s="11" t="s">
        <v>506</v>
      </c>
      <c r="AF99" s="11"/>
      <c r="AG99" s="11" t="s">
        <v>83</v>
      </c>
      <c r="AH99" s="11" t="s">
        <v>83</v>
      </c>
      <c r="AI99" s="11"/>
      <c r="AJ99" s="11"/>
      <c r="AK99" s="11"/>
      <c r="AL99" s="11"/>
      <c r="AM99" s="11"/>
      <c r="AO99" s="17"/>
    </row>
    <row r="100" spans="1:41" s="1" customFormat="1" ht="26">
      <c r="A100" s="11">
        <f>IF(A99="",MAX($A$10:A99)+10,A99)</f>
        <v>80</v>
      </c>
      <c r="B100" s="11"/>
      <c r="C100" s="11"/>
      <c r="D100" s="11" t="s">
        <v>122</v>
      </c>
      <c r="E100" s="30" t="s">
        <v>846</v>
      </c>
      <c r="F100" s="11" t="s">
        <v>457</v>
      </c>
      <c r="G100" s="11" t="s">
        <v>458</v>
      </c>
      <c r="H100" s="11"/>
      <c r="I100" s="11" t="s">
        <v>614</v>
      </c>
      <c r="J100" s="11"/>
      <c r="K100" s="11" t="s">
        <v>505</v>
      </c>
      <c r="L100" s="11"/>
      <c r="M100" s="11"/>
      <c r="N100" s="11"/>
      <c r="O100" s="11"/>
      <c r="P100" s="11"/>
      <c r="Q100" s="11"/>
      <c r="R100" s="11"/>
      <c r="S100" s="11" t="s">
        <v>174</v>
      </c>
      <c r="T100" s="11"/>
      <c r="U100" s="11" t="s">
        <v>174</v>
      </c>
      <c r="V100" s="11"/>
      <c r="W100" s="11"/>
      <c r="X100" s="11"/>
      <c r="Y100" s="11"/>
      <c r="AA100" s="11" t="s">
        <v>506</v>
      </c>
      <c r="AB100" s="11" t="s">
        <v>506</v>
      </c>
      <c r="AC100" s="11" t="s">
        <v>506</v>
      </c>
      <c r="AD100" s="11" t="s">
        <v>506</v>
      </c>
      <c r="AF100" s="11"/>
      <c r="AG100" s="11" t="s">
        <v>83</v>
      </c>
      <c r="AH100" s="11" t="s">
        <v>174</v>
      </c>
      <c r="AI100" s="11"/>
      <c r="AJ100" s="11"/>
      <c r="AK100" s="11"/>
      <c r="AL100" s="11"/>
      <c r="AM100" s="11"/>
      <c r="AO100" s="17"/>
    </row>
    <row r="101" spans="1:41" s="1" customFormat="1">
      <c r="A101" s="11">
        <f>IF(A100="",MAX($A$10:A100)+10,A100)</f>
        <v>80</v>
      </c>
      <c r="B101" s="11"/>
      <c r="C101" s="11"/>
      <c r="D101" s="11" t="s">
        <v>124</v>
      </c>
      <c r="E101" s="30" t="s">
        <v>847</v>
      </c>
      <c r="F101" s="11" t="s">
        <v>374</v>
      </c>
      <c r="G101" s="11" t="s">
        <v>2</v>
      </c>
      <c r="H101" s="11"/>
      <c r="I101" s="11" t="s">
        <v>525</v>
      </c>
      <c r="J101" s="11"/>
      <c r="K101" s="11" t="s">
        <v>526</v>
      </c>
      <c r="L101" s="11"/>
      <c r="M101" s="11"/>
      <c r="N101" s="11"/>
      <c r="O101" s="11"/>
      <c r="P101" s="11"/>
      <c r="Q101" s="11" t="s">
        <v>174</v>
      </c>
      <c r="R101" s="11"/>
      <c r="S101" s="11" t="s">
        <v>174</v>
      </c>
      <c r="T101" s="11"/>
      <c r="U101" s="11" t="s">
        <v>174</v>
      </c>
      <c r="V101" s="11"/>
      <c r="W101" s="11"/>
      <c r="X101" s="11"/>
      <c r="Y101" s="11" t="s">
        <v>543</v>
      </c>
      <c r="AA101" s="11" t="s">
        <v>498</v>
      </c>
      <c r="AB101" s="11" t="s">
        <v>506</v>
      </c>
      <c r="AC101" s="11" t="s">
        <v>506</v>
      </c>
      <c r="AD101" s="11" t="s">
        <v>506</v>
      </c>
      <c r="AF101" s="11"/>
      <c r="AG101" s="11" t="s">
        <v>83</v>
      </c>
      <c r="AH101" s="11" t="s">
        <v>83</v>
      </c>
      <c r="AI101" s="11"/>
      <c r="AJ101" s="11"/>
      <c r="AK101" s="11"/>
      <c r="AL101" s="11"/>
      <c r="AM101" s="11"/>
      <c r="AO101" s="17"/>
    </row>
    <row r="102" spans="1:41" s="1" customFormat="1" ht="26">
      <c r="A102" s="11">
        <f>IF(A101="",MAX($A$10:A101)+10,A101)</f>
        <v>80</v>
      </c>
      <c r="B102" s="11"/>
      <c r="C102" s="11"/>
      <c r="D102" s="11" t="s">
        <v>340</v>
      </c>
      <c r="E102" s="30" t="s">
        <v>848</v>
      </c>
      <c r="F102" s="11" t="s">
        <v>336</v>
      </c>
      <c r="G102" s="11" t="s">
        <v>337</v>
      </c>
      <c r="H102" s="11"/>
      <c r="I102" s="11" t="s">
        <v>615</v>
      </c>
      <c r="J102" s="11"/>
      <c r="K102" s="11" t="s">
        <v>510</v>
      </c>
      <c r="L102" s="11"/>
      <c r="M102" s="11"/>
      <c r="N102" s="11"/>
      <c r="O102" s="11"/>
      <c r="P102" s="11"/>
      <c r="Q102" s="11" t="s">
        <v>616</v>
      </c>
      <c r="R102" s="11"/>
      <c r="S102" s="11" t="s">
        <v>617</v>
      </c>
      <c r="T102" s="11"/>
      <c r="U102" s="11" t="s">
        <v>618</v>
      </c>
      <c r="V102" s="11"/>
      <c r="W102" s="11"/>
      <c r="X102" s="11"/>
      <c r="Y102" s="11" t="s">
        <v>543</v>
      </c>
      <c r="AA102" s="11" t="s">
        <v>83</v>
      </c>
      <c r="AB102" s="11" t="s">
        <v>506</v>
      </c>
      <c r="AC102" s="11" t="s">
        <v>506</v>
      </c>
      <c r="AD102" s="11" t="s">
        <v>506</v>
      </c>
      <c r="AF102" s="11"/>
      <c r="AG102" s="11" t="s">
        <v>83</v>
      </c>
      <c r="AH102" s="11" t="s">
        <v>83</v>
      </c>
      <c r="AI102" s="11"/>
      <c r="AJ102" s="11"/>
      <c r="AK102" s="11"/>
      <c r="AL102" s="11"/>
      <c r="AM102" s="11"/>
      <c r="AO102" s="17"/>
    </row>
    <row r="103" spans="1:41" s="1" customFormat="1">
      <c r="A103" s="11">
        <f>IF(A102="",MAX($A$10:A102)+10,A102)</f>
        <v>80</v>
      </c>
      <c r="B103" s="11"/>
      <c r="C103" s="11"/>
      <c r="D103" s="11" t="s">
        <v>339</v>
      </c>
      <c r="E103" s="30" t="s">
        <v>849</v>
      </c>
      <c r="F103" s="11" t="s">
        <v>338</v>
      </c>
      <c r="G103" s="11" t="s">
        <v>2</v>
      </c>
      <c r="H103" s="11"/>
      <c r="I103" s="11" t="s">
        <v>619</v>
      </c>
      <c r="J103" s="11"/>
      <c r="K103" s="11" t="s">
        <v>505</v>
      </c>
      <c r="L103" s="11"/>
      <c r="M103" s="11"/>
      <c r="N103" s="11"/>
      <c r="O103" s="11"/>
      <c r="P103" s="11"/>
      <c r="Q103" s="11"/>
      <c r="R103" s="11"/>
      <c r="S103" s="11" t="s">
        <v>174</v>
      </c>
      <c r="T103" s="11"/>
      <c r="U103" s="11" t="s">
        <v>174</v>
      </c>
      <c r="V103" s="11"/>
      <c r="W103" s="11"/>
      <c r="X103" s="11"/>
      <c r="Y103" s="11"/>
      <c r="AA103" s="11" t="s">
        <v>506</v>
      </c>
      <c r="AB103" s="11" t="s">
        <v>506</v>
      </c>
      <c r="AC103" s="11" t="s">
        <v>506</v>
      </c>
      <c r="AD103" s="11" t="s">
        <v>506</v>
      </c>
      <c r="AF103" s="11"/>
      <c r="AG103" s="11" t="s">
        <v>83</v>
      </c>
      <c r="AH103" s="11" t="s">
        <v>174</v>
      </c>
      <c r="AI103" s="11"/>
      <c r="AJ103" s="11"/>
      <c r="AK103" s="11"/>
      <c r="AL103" s="11"/>
      <c r="AM103" s="11"/>
      <c r="AO103" s="17"/>
    </row>
    <row r="104" spans="1:41" s="1" customFormat="1">
      <c r="A104" s="11">
        <f>IF(A103="",MAX($A$10:A103)+10,A103)</f>
        <v>80</v>
      </c>
      <c r="B104" s="11"/>
      <c r="C104" s="11"/>
      <c r="D104" s="11" t="s">
        <v>125</v>
      </c>
      <c r="E104" s="30" t="s">
        <v>850</v>
      </c>
      <c r="F104" s="11" t="s">
        <v>273</v>
      </c>
      <c r="G104" s="11" t="s">
        <v>2</v>
      </c>
      <c r="H104" s="11"/>
      <c r="I104" s="11" t="s">
        <v>525</v>
      </c>
      <c r="J104" s="11"/>
      <c r="K104" s="11" t="s">
        <v>526</v>
      </c>
      <c r="L104" s="11"/>
      <c r="M104" s="11"/>
      <c r="N104" s="11"/>
      <c r="O104" s="11"/>
      <c r="P104" s="11"/>
      <c r="Q104" s="11" t="s">
        <v>174</v>
      </c>
      <c r="R104" s="11"/>
      <c r="S104" s="11" t="s">
        <v>174</v>
      </c>
      <c r="T104" s="11"/>
      <c r="U104" s="11" t="s">
        <v>174</v>
      </c>
      <c r="V104" s="11"/>
      <c r="W104" s="11"/>
      <c r="X104" s="11"/>
      <c r="Y104" s="11" t="s">
        <v>543</v>
      </c>
      <c r="AA104" s="11" t="s">
        <v>498</v>
      </c>
      <c r="AB104" s="11" t="s">
        <v>506</v>
      </c>
      <c r="AC104" s="11" t="s">
        <v>506</v>
      </c>
      <c r="AD104" s="11" t="s">
        <v>506</v>
      </c>
      <c r="AF104" s="11"/>
      <c r="AG104" s="11" t="s">
        <v>83</v>
      </c>
      <c r="AH104" s="11" t="s">
        <v>83</v>
      </c>
      <c r="AI104" s="11"/>
      <c r="AJ104" s="11"/>
      <c r="AK104" s="11"/>
      <c r="AL104" s="11"/>
      <c r="AM104" s="11"/>
      <c r="AO104" s="17"/>
    </row>
    <row r="105" spans="1:41" s="1" customFormat="1">
      <c r="A105" s="11">
        <f>IF(A104="",MAX($A$10:A104)+10,A104)</f>
        <v>80</v>
      </c>
      <c r="B105" s="11"/>
      <c r="C105" s="11"/>
      <c r="D105" s="11" t="s">
        <v>126</v>
      </c>
      <c r="E105" s="30" t="s">
        <v>851</v>
      </c>
      <c r="F105" s="11" t="s">
        <v>274</v>
      </c>
      <c r="G105" s="11" t="s">
        <v>2</v>
      </c>
      <c r="H105" s="11"/>
      <c r="I105" s="11" t="s">
        <v>525</v>
      </c>
      <c r="J105" s="11"/>
      <c r="K105" s="11" t="s">
        <v>526</v>
      </c>
      <c r="L105" s="11"/>
      <c r="M105" s="11"/>
      <c r="N105" s="11"/>
      <c r="O105" s="11"/>
      <c r="P105" s="11"/>
      <c r="Q105" s="11" t="s">
        <v>174</v>
      </c>
      <c r="R105" s="11"/>
      <c r="S105" s="11" t="s">
        <v>174</v>
      </c>
      <c r="T105" s="11"/>
      <c r="U105" s="11" t="s">
        <v>174</v>
      </c>
      <c r="V105" s="11"/>
      <c r="W105" s="11"/>
      <c r="X105" s="11" t="s">
        <v>620</v>
      </c>
      <c r="Y105" s="11" t="s">
        <v>543</v>
      </c>
      <c r="AA105" s="11" t="s">
        <v>498</v>
      </c>
      <c r="AB105" s="11" t="s">
        <v>506</v>
      </c>
      <c r="AC105" s="11" t="s">
        <v>506</v>
      </c>
      <c r="AD105" s="11" t="s">
        <v>506</v>
      </c>
      <c r="AF105" s="11"/>
      <c r="AG105" s="11" t="s">
        <v>83</v>
      </c>
      <c r="AH105" s="11" t="s">
        <v>83</v>
      </c>
      <c r="AI105" s="11"/>
      <c r="AJ105" s="11"/>
      <c r="AK105" s="11"/>
      <c r="AL105" s="11"/>
      <c r="AM105" s="11"/>
      <c r="AO105" s="17"/>
    </row>
    <row r="106" spans="1:41" s="1" customFormat="1" ht="26">
      <c r="A106" s="11">
        <f>IF(A105="",MAX($A$10:A105)+10,A105)</f>
        <v>80</v>
      </c>
      <c r="B106" s="11"/>
      <c r="C106" s="11"/>
      <c r="D106" s="11" t="s">
        <v>127</v>
      </c>
      <c r="E106" s="30" t="s">
        <v>852</v>
      </c>
      <c r="F106" s="11" t="s">
        <v>195</v>
      </c>
      <c r="G106" s="11" t="s">
        <v>2</v>
      </c>
      <c r="H106" s="11"/>
      <c r="I106" s="11" t="s">
        <v>621</v>
      </c>
      <c r="J106" s="11"/>
      <c r="K106" s="11" t="s">
        <v>510</v>
      </c>
      <c r="L106" s="11"/>
      <c r="M106" s="11"/>
      <c r="N106" s="11"/>
      <c r="O106" s="11"/>
      <c r="P106" s="11"/>
      <c r="Q106" s="11" t="s">
        <v>622</v>
      </c>
      <c r="R106" s="11"/>
      <c r="S106" s="11" t="s">
        <v>623</v>
      </c>
      <c r="T106" s="11"/>
      <c r="U106" s="11" t="s">
        <v>624</v>
      </c>
      <c r="V106" s="11"/>
      <c r="W106" s="11"/>
      <c r="X106" s="11"/>
      <c r="Y106" s="11" t="s">
        <v>543</v>
      </c>
      <c r="AA106" s="11" t="s">
        <v>83</v>
      </c>
      <c r="AB106" s="11" t="s">
        <v>506</v>
      </c>
      <c r="AC106" s="11" t="s">
        <v>506</v>
      </c>
      <c r="AD106" s="11" t="s">
        <v>506</v>
      </c>
      <c r="AF106" s="11"/>
      <c r="AG106" s="11" t="s">
        <v>83</v>
      </c>
      <c r="AH106" s="11" t="s">
        <v>83</v>
      </c>
      <c r="AI106" s="11"/>
      <c r="AJ106" s="11"/>
      <c r="AK106" s="11"/>
      <c r="AL106" s="11"/>
      <c r="AM106" s="11"/>
      <c r="AO106" s="17"/>
    </row>
    <row r="107" spans="1:41" s="1" customFormat="1" ht="26">
      <c r="A107" s="11">
        <f>IF(A106="",MAX($A$10:A106)+10,A106)</f>
        <v>80</v>
      </c>
      <c r="B107" s="11"/>
      <c r="C107" s="11"/>
      <c r="D107" s="11" t="s">
        <v>128</v>
      </c>
      <c r="E107" s="30" t="s">
        <v>853</v>
      </c>
      <c r="F107" s="11" t="s">
        <v>196</v>
      </c>
      <c r="G107" s="11" t="s">
        <v>2</v>
      </c>
      <c r="H107" s="11"/>
      <c r="I107" s="11" t="s">
        <v>625</v>
      </c>
      <c r="J107" s="11"/>
      <c r="K107" s="11" t="s">
        <v>505</v>
      </c>
      <c r="L107" s="11"/>
      <c r="M107" s="11"/>
      <c r="N107" s="11"/>
      <c r="O107" s="11"/>
      <c r="P107" s="11"/>
      <c r="Q107" s="11" t="s">
        <v>174</v>
      </c>
      <c r="R107" s="11"/>
      <c r="S107" s="11" t="s">
        <v>174</v>
      </c>
      <c r="T107" s="11"/>
      <c r="U107" s="11" t="s">
        <v>174</v>
      </c>
      <c r="V107" s="11"/>
      <c r="W107" s="11"/>
      <c r="X107" s="11"/>
      <c r="Y107" s="11"/>
      <c r="AA107" s="11" t="s">
        <v>506</v>
      </c>
      <c r="AB107" s="11" t="s">
        <v>506</v>
      </c>
      <c r="AC107" s="11" t="s">
        <v>506</v>
      </c>
      <c r="AD107" s="11" t="s">
        <v>506</v>
      </c>
      <c r="AF107" s="11"/>
      <c r="AG107" s="11" t="s">
        <v>83</v>
      </c>
      <c r="AH107" s="11" t="s">
        <v>174</v>
      </c>
      <c r="AI107" s="11"/>
      <c r="AJ107" s="11"/>
      <c r="AK107" s="11"/>
      <c r="AL107" s="11"/>
      <c r="AM107" s="11"/>
      <c r="AO107" s="17"/>
    </row>
    <row r="108" spans="1:41" s="1" customFormat="1">
      <c r="A108" s="11">
        <f>IF(A107="",MAX($A$10:A107)+10,A107)</f>
        <v>80</v>
      </c>
      <c r="B108" s="11"/>
      <c r="C108" s="11"/>
      <c r="D108" s="11" t="s">
        <v>129</v>
      </c>
      <c r="E108" s="30" t="s">
        <v>854</v>
      </c>
      <c r="F108" s="11" t="s">
        <v>375</v>
      </c>
      <c r="G108" s="11" t="s">
        <v>2</v>
      </c>
      <c r="H108" s="11"/>
      <c r="I108" s="11" t="s">
        <v>525</v>
      </c>
      <c r="J108" s="11"/>
      <c r="K108" s="11" t="s">
        <v>526</v>
      </c>
      <c r="L108" s="11"/>
      <c r="M108" s="11"/>
      <c r="N108" s="11"/>
      <c r="O108" s="11"/>
      <c r="P108" s="11"/>
      <c r="Q108" s="11" t="s">
        <v>174</v>
      </c>
      <c r="R108" s="11"/>
      <c r="S108" s="11" t="s">
        <v>174</v>
      </c>
      <c r="T108" s="11"/>
      <c r="U108" s="11" t="s">
        <v>174</v>
      </c>
      <c r="V108" s="11"/>
      <c r="W108" s="11"/>
      <c r="X108" s="11"/>
      <c r="Y108" s="11" t="s">
        <v>543</v>
      </c>
      <c r="AA108" s="11" t="s">
        <v>498</v>
      </c>
      <c r="AB108" s="11" t="s">
        <v>506</v>
      </c>
      <c r="AC108" s="11" t="s">
        <v>506</v>
      </c>
      <c r="AD108" s="11" t="s">
        <v>506</v>
      </c>
      <c r="AF108" s="11"/>
      <c r="AG108" s="11" t="s">
        <v>83</v>
      </c>
      <c r="AH108" s="11" t="s">
        <v>83</v>
      </c>
      <c r="AI108" s="11"/>
      <c r="AJ108" s="11"/>
      <c r="AK108" s="11"/>
      <c r="AL108" s="11"/>
      <c r="AM108" s="11"/>
      <c r="AO108" s="17"/>
    </row>
    <row r="109" spans="1:41" s="1" customFormat="1" ht="26">
      <c r="A109" s="11">
        <f>IF(A108="",MAX($A$10:A108)+10,A108)</f>
        <v>80</v>
      </c>
      <c r="B109" s="11"/>
      <c r="C109" s="11"/>
      <c r="D109" s="11" t="s">
        <v>130</v>
      </c>
      <c r="E109" s="30" t="s">
        <v>855</v>
      </c>
      <c r="F109" s="11" t="s">
        <v>376</v>
      </c>
      <c r="G109" s="11" t="s">
        <v>2</v>
      </c>
      <c r="H109" s="11"/>
      <c r="I109" s="11" t="s">
        <v>525</v>
      </c>
      <c r="J109" s="11"/>
      <c r="K109" s="11" t="s">
        <v>526</v>
      </c>
      <c r="L109" s="11"/>
      <c r="M109" s="11"/>
      <c r="N109" s="11"/>
      <c r="O109" s="11"/>
      <c r="P109" s="11"/>
      <c r="Q109" s="11" t="s">
        <v>174</v>
      </c>
      <c r="R109" s="11"/>
      <c r="S109" s="11" t="s">
        <v>174</v>
      </c>
      <c r="T109" s="11"/>
      <c r="U109" s="11" t="s">
        <v>174</v>
      </c>
      <c r="V109" s="11"/>
      <c r="W109" s="11"/>
      <c r="X109" s="11"/>
      <c r="Y109" s="11" t="s">
        <v>543</v>
      </c>
      <c r="AA109" s="11" t="s">
        <v>498</v>
      </c>
      <c r="AB109" s="11" t="s">
        <v>506</v>
      </c>
      <c r="AC109" s="11" t="s">
        <v>506</v>
      </c>
      <c r="AD109" s="11" t="s">
        <v>506</v>
      </c>
      <c r="AF109" s="11"/>
      <c r="AG109" s="11" t="s">
        <v>83</v>
      </c>
      <c r="AH109" s="11" t="s">
        <v>83</v>
      </c>
      <c r="AI109" s="11"/>
      <c r="AJ109" s="11"/>
      <c r="AK109" s="11"/>
      <c r="AL109" s="11"/>
      <c r="AM109" s="11"/>
      <c r="AO109" s="17"/>
    </row>
    <row r="110" spans="1:41" s="1" customFormat="1">
      <c r="A110" s="11">
        <f>IF(A109="",MAX($A$10:A109)+10,A109)</f>
        <v>80</v>
      </c>
      <c r="B110" s="11"/>
      <c r="C110" s="11"/>
      <c r="D110" s="11" t="s">
        <v>131</v>
      </c>
      <c r="E110" s="30" t="s">
        <v>856</v>
      </c>
      <c r="F110" s="11" t="s">
        <v>377</v>
      </c>
      <c r="G110" s="11" t="s">
        <v>2</v>
      </c>
      <c r="H110" s="11"/>
      <c r="I110" s="11" t="s">
        <v>525</v>
      </c>
      <c r="J110" s="11"/>
      <c r="K110" s="11" t="s">
        <v>526</v>
      </c>
      <c r="L110" s="11"/>
      <c r="M110" s="11"/>
      <c r="N110" s="11"/>
      <c r="O110" s="11"/>
      <c r="P110" s="11"/>
      <c r="Q110" s="11" t="s">
        <v>174</v>
      </c>
      <c r="R110" s="11"/>
      <c r="S110" s="11" t="s">
        <v>174</v>
      </c>
      <c r="T110" s="11"/>
      <c r="U110" s="11" t="s">
        <v>174</v>
      </c>
      <c r="V110" s="11"/>
      <c r="W110" s="11"/>
      <c r="X110" s="11"/>
      <c r="Y110" s="11" t="s">
        <v>543</v>
      </c>
      <c r="AA110" s="11" t="s">
        <v>498</v>
      </c>
      <c r="AB110" s="11" t="s">
        <v>506</v>
      </c>
      <c r="AC110" s="11" t="s">
        <v>506</v>
      </c>
      <c r="AD110" s="11" t="s">
        <v>506</v>
      </c>
      <c r="AF110" s="11"/>
      <c r="AG110" s="11" t="s">
        <v>83</v>
      </c>
      <c r="AH110" s="11" t="s">
        <v>83</v>
      </c>
      <c r="AI110" s="11"/>
      <c r="AJ110" s="11"/>
      <c r="AK110" s="11"/>
      <c r="AL110" s="11"/>
      <c r="AM110" s="11"/>
      <c r="AO110" s="17"/>
    </row>
    <row r="111" spans="1:41" s="1" customFormat="1" ht="26">
      <c r="A111" s="11">
        <f>IF(A110="",MAX($A$10:A110)+10,A110)</f>
        <v>80</v>
      </c>
      <c r="B111" s="11"/>
      <c r="C111" s="11"/>
      <c r="D111" s="11" t="s">
        <v>132</v>
      </c>
      <c r="E111" s="30" t="s">
        <v>857</v>
      </c>
      <c r="F111" s="11" t="s">
        <v>197</v>
      </c>
      <c r="G111" s="11" t="s">
        <v>2</v>
      </c>
      <c r="H111" s="11"/>
      <c r="I111" s="11" t="s">
        <v>626</v>
      </c>
      <c r="J111" s="11"/>
      <c r="K111" s="11" t="s">
        <v>510</v>
      </c>
      <c r="L111" s="11"/>
      <c r="M111" s="11"/>
      <c r="N111" s="11"/>
      <c r="O111" s="11"/>
      <c r="P111" s="11"/>
      <c r="Q111" s="11" t="s">
        <v>627</v>
      </c>
      <c r="R111" s="11"/>
      <c r="S111" s="11" t="s">
        <v>628</v>
      </c>
      <c r="T111" s="11"/>
      <c r="U111" s="11" t="s">
        <v>629</v>
      </c>
      <c r="V111" s="11"/>
      <c r="W111" s="11"/>
      <c r="X111" s="11"/>
      <c r="Y111" s="11" t="s">
        <v>543</v>
      </c>
      <c r="AA111" s="11" t="s">
        <v>83</v>
      </c>
      <c r="AB111" s="11" t="s">
        <v>506</v>
      </c>
      <c r="AC111" s="11" t="s">
        <v>506</v>
      </c>
      <c r="AD111" s="11" t="s">
        <v>506</v>
      </c>
      <c r="AF111" s="11"/>
      <c r="AG111" s="11" t="s">
        <v>83</v>
      </c>
      <c r="AH111" s="11" t="s">
        <v>83</v>
      </c>
      <c r="AI111" s="11"/>
      <c r="AJ111" s="11"/>
      <c r="AK111" s="11"/>
      <c r="AL111" s="11"/>
      <c r="AM111" s="11"/>
      <c r="AO111" s="17"/>
    </row>
    <row r="112" spans="1:41" s="1" customFormat="1" ht="26">
      <c r="A112" s="11">
        <f>IF(A111="",MAX($A$10:A111)+10,A111)</f>
        <v>80</v>
      </c>
      <c r="B112" s="11"/>
      <c r="C112" s="11"/>
      <c r="D112" s="11" t="s">
        <v>133</v>
      </c>
      <c r="E112" s="30" t="s">
        <v>858</v>
      </c>
      <c r="F112" s="11" t="s">
        <v>198</v>
      </c>
      <c r="G112" s="11" t="s">
        <v>2</v>
      </c>
      <c r="H112" s="11"/>
      <c r="I112" s="11" t="s">
        <v>630</v>
      </c>
      <c r="J112" s="11"/>
      <c r="K112" s="11" t="s">
        <v>505</v>
      </c>
      <c r="L112" s="11"/>
      <c r="M112" s="11"/>
      <c r="N112" s="11"/>
      <c r="O112" s="11"/>
      <c r="P112" s="11"/>
      <c r="Q112" s="11" t="s">
        <v>174</v>
      </c>
      <c r="R112" s="11"/>
      <c r="S112" s="11" t="s">
        <v>174</v>
      </c>
      <c r="T112" s="11"/>
      <c r="U112" s="11" t="s">
        <v>174</v>
      </c>
      <c r="V112" s="11"/>
      <c r="W112" s="11"/>
      <c r="X112" s="11"/>
      <c r="Y112" s="11"/>
      <c r="AA112" s="11" t="s">
        <v>506</v>
      </c>
      <c r="AB112" s="11" t="s">
        <v>506</v>
      </c>
      <c r="AC112" s="11" t="s">
        <v>506</v>
      </c>
      <c r="AD112" s="11" t="s">
        <v>506</v>
      </c>
      <c r="AF112" s="11"/>
      <c r="AG112" s="11" t="s">
        <v>83</v>
      </c>
      <c r="AH112" s="11" t="s">
        <v>174</v>
      </c>
      <c r="AI112" s="11"/>
      <c r="AJ112" s="11"/>
      <c r="AK112" s="11"/>
      <c r="AL112" s="11"/>
      <c r="AM112" s="11"/>
      <c r="AO112" s="17"/>
    </row>
    <row r="113" spans="1:41" s="1" customFormat="1" ht="26">
      <c r="A113" s="11">
        <f>IF(A112="",MAX($A$10:A112)+10,A112)</f>
        <v>80</v>
      </c>
      <c r="B113" s="11"/>
      <c r="C113" s="11"/>
      <c r="D113" s="11" t="s">
        <v>419</v>
      </c>
      <c r="E113" s="30" t="s">
        <v>859</v>
      </c>
      <c r="F113" s="11" t="s">
        <v>418</v>
      </c>
      <c r="G113" s="11" t="s">
        <v>2</v>
      </c>
      <c r="H113" s="11"/>
      <c r="I113" s="11" t="s">
        <v>631</v>
      </c>
      <c r="J113" s="11"/>
      <c r="K113" s="11" t="s">
        <v>510</v>
      </c>
      <c r="L113" s="11"/>
      <c r="M113" s="11"/>
      <c r="N113" s="11"/>
      <c r="O113" s="11"/>
      <c r="P113" s="11"/>
      <c r="Q113" s="11" t="s">
        <v>632</v>
      </c>
      <c r="R113" s="11"/>
      <c r="S113" s="11" t="s">
        <v>408</v>
      </c>
      <c r="T113" s="11"/>
      <c r="U113" s="11" t="s">
        <v>633</v>
      </c>
      <c r="V113" s="11"/>
      <c r="W113" s="11"/>
      <c r="X113" s="11"/>
      <c r="Y113" s="11" t="s">
        <v>543</v>
      </c>
      <c r="AA113" s="11" t="s">
        <v>83</v>
      </c>
      <c r="AB113" s="11" t="s">
        <v>506</v>
      </c>
      <c r="AC113" s="11" t="s">
        <v>506</v>
      </c>
      <c r="AD113" s="11" t="s">
        <v>506</v>
      </c>
      <c r="AF113" s="11"/>
      <c r="AG113" s="11" t="s">
        <v>83</v>
      </c>
      <c r="AH113" s="11" t="s">
        <v>83</v>
      </c>
      <c r="AI113" s="11"/>
      <c r="AJ113" s="11"/>
      <c r="AK113" s="11"/>
      <c r="AL113" s="11"/>
      <c r="AM113" s="11"/>
      <c r="AO113" s="17"/>
    </row>
    <row r="114" spans="1:41" s="1" customFormat="1">
      <c r="A114" s="11">
        <f>IF(A113="",MAX($A$10:A113)+10,A113)</f>
        <v>80</v>
      </c>
      <c r="B114" s="11"/>
      <c r="C114" s="11"/>
      <c r="D114" s="11" t="s">
        <v>408</v>
      </c>
      <c r="E114" s="30" t="s">
        <v>860</v>
      </c>
      <c r="F114" s="11" t="s">
        <v>407</v>
      </c>
      <c r="G114" s="11" t="s">
        <v>2</v>
      </c>
      <c r="H114" s="11"/>
      <c r="I114" s="11" t="s">
        <v>634</v>
      </c>
      <c r="J114" s="11"/>
      <c r="K114" s="11" t="s">
        <v>505</v>
      </c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AA114" s="11" t="s">
        <v>506</v>
      </c>
      <c r="AB114" s="11" t="s">
        <v>506</v>
      </c>
      <c r="AC114" s="11" t="s">
        <v>506</v>
      </c>
      <c r="AD114" s="11" t="s">
        <v>506</v>
      </c>
      <c r="AF114" s="11"/>
      <c r="AG114" s="11" t="s">
        <v>83</v>
      </c>
      <c r="AH114" s="11"/>
      <c r="AI114" s="11"/>
      <c r="AJ114" s="11"/>
      <c r="AK114" s="11"/>
      <c r="AL114" s="11"/>
      <c r="AM114" s="11"/>
      <c r="AO114" s="17"/>
    </row>
    <row r="115" spans="1:41" s="1" customFormat="1" ht="26">
      <c r="A115" s="11">
        <f>IF(A114="",MAX($A$10:A114)+10,A114)</f>
        <v>80</v>
      </c>
      <c r="B115" s="11"/>
      <c r="C115" s="11"/>
      <c r="D115" s="11" t="s">
        <v>420</v>
      </c>
      <c r="E115" s="30" t="s">
        <v>861</v>
      </c>
      <c r="F115" s="11" t="s">
        <v>412</v>
      </c>
      <c r="G115" s="11" t="s">
        <v>2</v>
      </c>
      <c r="H115" s="11"/>
      <c r="I115" s="11" t="s">
        <v>635</v>
      </c>
      <c r="J115" s="11"/>
      <c r="K115" s="11" t="s">
        <v>510</v>
      </c>
      <c r="L115" s="11"/>
      <c r="M115" s="11"/>
      <c r="N115" s="11"/>
      <c r="O115" s="11"/>
      <c r="P115" s="11"/>
      <c r="Q115" s="11" t="s">
        <v>636</v>
      </c>
      <c r="R115" s="11"/>
      <c r="S115" s="11" t="s">
        <v>409</v>
      </c>
      <c r="T115" s="11"/>
      <c r="U115" s="11" t="s">
        <v>637</v>
      </c>
      <c r="V115" s="11"/>
      <c r="W115" s="11"/>
      <c r="X115" s="11"/>
      <c r="Y115" s="11" t="s">
        <v>543</v>
      </c>
      <c r="AA115" s="11" t="s">
        <v>83</v>
      </c>
      <c r="AB115" s="11" t="s">
        <v>506</v>
      </c>
      <c r="AC115" s="11" t="s">
        <v>506</v>
      </c>
      <c r="AD115" s="11" t="s">
        <v>506</v>
      </c>
      <c r="AF115" s="11"/>
      <c r="AG115" s="11" t="s">
        <v>83</v>
      </c>
      <c r="AH115" s="11" t="s">
        <v>83</v>
      </c>
      <c r="AI115" s="11"/>
      <c r="AJ115" s="11"/>
      <c r="AK115" s="11"/>
      <c r="AL115" s="11"/>
      <c r="AM115" s="11"/>
      <c r="AO115" s="17"/>
    </row>
    <row r="116" spans="1:41" s="1" customFormat="1" ht="26">
      <c r="A116" s="11">
        <f>IF(A115="",MAX($A$10:A115)+10,A115)</f>
        <v>80</v>
      </c>
      <c r="B116" s="11"/>
      <c r="C116" s="11"/>
      <c r="D116" s="11" t="s">
        <v>409</v>
      </c>
      <c r="E116" s="30" t="s">
        <v>862</v>
      </c>
      <c r="F116" s="11" t="s">
        <v>410</v>
      </c>
      <c r="G116" s="11" t="s">
        <v>2</v>
      </c>
      <c r="H116" s="11"/>
      <c r="I116" s="11" t="s">
        <v>638</v>
      </c>
      <c r="J116" s="11"/>
      <c r="K116" s="11" t="s">
        <v>505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AA116" s="11" t="s">
        <v>506</v>
      </c>
      <c r="AB116" s="11" t="s">
        <v>506</v>
      </c>
      <c r="AC116" s="11" t="s">
        <v>506</v>
      </c>
      <c r="AD116" s="11" t="s">
        <v>506</v>
      </c>
      <c r="AF116" s="11"/>
      <c r="AG116" s="11" t="s">
        <v>83</v>
      </c>
      <c r="AH116" s="11"/>
      <c r="AI116" s="11"/>
      <c r="AJ116" s="11"/>
      <c r="AK116" s="11"/>
      <c r="AL116" s="11"/>
      <c r="AM116" s="11"/>
      <c r="AO116" s="17"/>
    </row>
    <row r="117" spans="1:41" s="1" customFormat="1" ht="26">
      <c r="A117" s="11">
        <f>IF(A116="",MAX($A$10:A116)+10,A116)</f>
        <v>80</v>
      </c>
      <c r="B117" s="11"/>
      <c r="C117" s="11"/>
      <c r="D117" s="11" t="s">
        <v>421</v>
      </c>
      <c r="E117" s="30" t="s">
        <v>863</v>
      </c>
      <c r="F117" s="11" t="s">
        <v>411</v>
      </c>
      <c r="G117" s="11" t="s">
        <v>2</v>
      </c>
      <c r="H117" s="11"/>
      <c r="I117" s="11" t="s">
        <v>639</v>
      </c>
      <c r="J117" s="11"/>
      <c r="K117" s="11" t="s">
        <v>505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 t="s">
        <v>543</v>
      </c>
      <c r="AA117" s="11" t="s">
        <v>83</v>
      </c>
      <c r="AB117" s="11" t="s">
        <v>506</v>
      </c>
      <c r="AC117" s="11" t="s">
        <v>506</v>
      </c>
      <c r="AD117" s="11" t="s">
        <v>506</v>
      </c>
      <c r="AF117" s="11"/>
      <c r="AG117" s="11" t="s">
        <v>83</v>
      </c>
      <c r="AH117" s="11" t="s">
        <v>83</v>
      </c>
      <c r="AI117" s="11"/>
      <c r="AJ117" s="11"/>
      <c r="AK117" s="11"/>
      <c r="AL117" s="11"/>
      <c r="AM117" s="11"/>
      <c r="AO117" s="17"/>
    </row>
    <row r="118" spans="1:41" s="1" customFormat="1">
      <c r="A118" s="11">
        <f>IF(A117="",MAX($A$10:A117)+10,A117)</f>
        <v>80</v>
      </c>
      <c r="B118" s="11"/>
      <c r="C118" s="11"/>
      <c r="D118" s="11" t="s">
        <v>134</v>
      </c>
      <c r="E118" s="30" t="s">
        <v>864</v>
      </c>
      <c r="F118" s="11" t="s">
        <v>199</v>
      </c>
      <c r="G118" s="11" t="s">
        <v>2</v>
      </c>
      <c r="H118" s="11"/>
      <c r="I118" s="11" t="s">
        <v>640</v>
      </c>
      <c r="J118" s="11"/>
      <c r="K118" s="11" t="s">
        <v>505</v>
      </c>
      <c r="L118" s="11" t="s">
        <v>641</v>
      </c>
      <c r="M118" s="11"/>
      <c r="N118" s="11"/>
      <c r="O118" s="11"/>
      <c r="P118" s="11"/>
      <c r="Q118" s="11" t="s">
        <v>174</v>
      </c>
      <c r="R118" s="11"/>
      <c r="S118" s="11" t="s">
        <v>174</v>
      </c>
      <c r="T118" s="11"/>
      <c r="U118" s="11" t="s">
        <v>174</v>
      </c>
      <c r="V118" s="11"/>
      <c r="W118" s="11"/>
      <c r="X118" s="11"/>
      <c r="Y118" s="11" t="s">
        <v>543</v>
      </c>
      <c r="AA118" s="11" t="s">
        <v>83</v>
      </c>
      <c r="AB118" s="11" t="s">
        <v>506</v>
      </c>
      <c r="AC118" s="11" t="s">
        <v>506</v>
      </c>
      <c r="AD118" s="11" t="s">
        <v>506</v>
      </c>
      <c r="AF118" s="11"/>
      <c r="AG118" s="11" t="s">
        <v>83</v>
      </c>
      <c r="AH118" s="11" t="s">
        <v>83</v>
      </c>
      <c r="AI118" s="11"/>
      <c r="AJ118" s="11"/>
      <c r="AK118" s="11"/>
      <c r="AL118" s="11"/>
      <c r="AM118" s="11"/>
      <c r="AO118" s="17"/>
    </row>
    <row r="119" spans="1:41" s="1" customFormat="1">
      <c r="A119" s="11">
        <f>IF(A118="",MAX($A$10:A118)+10,A118)</f>
        <v>80</v>
      </c>
      <c r="B119" s="11"/>
      <c r="C119" s="11"/>
      <c r="D119" s="11" t="s">
        <v>355</v>
      </c>
      <c r="E119" s="30" t="s">
        <v>865</v>
      </c>
      <c r="F119" s="11" t="s">
        <v>354</v>
      </c>
      <c r="G119" s="11" t="s">
        <v>2</v>
      </c>
      <c r="H119" s="11"/>
      <c r="I119" s="11" t="s">
        <v>640</v>
      </c>
      <c r="J119" s="11"/>
      <c r="K119" s="11" t="s">
        <v>505</v>
      </c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 t="s">
        <v>543</v>
      </c>
      <c r="AA119" s="11" t="s">
        <v>83</v>
      </c>
      <c r="AB119" s="11" t="s">
        <v>506</v>
      </c>
      <c r="AC119" s="11" t="s">
        <v>506</v>
      </c>
      <c r="AD119" s="11" t="s">
        <v>506</v>
      </c>
      <c r="AF119" s="11"/>
      <c r="AG119" s="11" t="s">
        <v>83</v>
      </c>
      <c r="AH119" s="11" t="s">
        <v>83</v>
      </c>
      <c r="AI119" s="11"/>
      <c r="AJ119" s="11"/>
      <c r="AK119" s="11"/>
      <c r="AL119" s="11"/>
      <c r="AM119" s="11"/>
      <c r="AO119" s="17"/>
    </row>
    <row r="120" spans="1:41" s="1" customFormat="1" ht="26">
      <c r="A120" s="11">
        <f>IF(A119="",MAX($A$10:A119)+10,A119)</f>
        <v>80</v>
      </c>
      <c r="B120" s="11"/>
      <c r="C120" s="11"/>
      <c r="D120" s="11" t="s">
        <v>465</v>
      </c>
      <c r="E120" s="30" t="s">
        <v>866</v>
      </c>
      <c r="F120" s="11" t="s">
        <v>463</v>
      </c>
      <c r="G120" s="11" t="s">
        <v>2</v>
      </c>
      <c r="H120" s="11"/>
      <c r="I120" s="11" t="s">
        <v>640</v>
      </c>
      <c r="J120" s="11"/>
      <c r="K120" s="11" t="s">
        <v>505</v>
      </c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 t="s">
        <v>543</v>
      </c>
      <c r="AA120" s="11" t="s">
        <v>83</v>
      </c>
      <c r="AB120" s="11" t="s">
        <v>506</v>
      </c>
      <c r="AC120" s="11" t="s">
        <v>506</v>
      </c>
      <c r="AD120" s="11" t="s">
        <v>506</v>
      </c>
      <c r="AF120" s="11"/>
      <c r="AG120" s="11" t="s">
        <v>83</v>
      </c>
      <c r="AH120" s="11" t="s">
        <v>83</v>
      </c>
      <c r="AI120" s="11"/>
      <c r="AJ120" s="11"/>
      <c r="AK120" s="11"/>
      <c r="AL120" s="11"/>
      <c r="AM120" s="11"/>
      <c r="AO120" s="17"/>
    </row>
    <row r="121" spans="1:41" s="1" customFormat="1">
      <c r="A121" s="11">
        <f>IF(A120="",MAX($A$10:A120)+10,A120)</f>
        <v>80</v>
      </c>
      <c r="B121" s="11"/>
      <c r="C121" s="11"/>
      <c r="D121" s="11" t="s">
        <v>464</v>
      </c>
      <c r="E121" s="30" t="s">
        <v>867</v>
      </c>
      <c r="F121" s="11" t="s">
        <v>358</v>
      </c>
      <c r="G121" s="11" t="s">
        <v>2</v>
      </c>
      <c r="H121" s="11"/>
      <c r="I121" s="11" t="s">
        <v>525</v>
      </c>
      <c r="J121" s="11"/>
      <c r="K121" s="11" t="s">
        <v>526</v>
      </c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 t="s">
        <v>543</v>
      </c>
      <c r="AA121" s="11" t="s">
        <v>498</v>
      </c>
      <c r="AB121" s="11" t="s">
        <v>506</v>
      </c>
      <c r="AC121" s="11" t="s">
        <v>506</v>
      </c>
      <c r="AD121" s="11" t="s">
        <v>506</v>
      </c>
      <c r="AF121" s="11"/>
      <c r="AG121" s="11" t="s">
        <v>83</v>
      </c>
      <c r="AH121" s="11" t="s">
        <v>83</v>
      </c>
      <c r="AI121" s="11"/>
      <c r="AJ121" s="11"/>
      <c r="AK121" s="11"/>
      <c r="AL121" s="11"/>
      <c r="AM121" s="11"/>
      <c r="AO121" s="17"/>
    </row>
    <row r="122" spans="1:41" s="1" customFormat="1">
      <c r="A122" s="11">
        <f>IF(A121="",MAX($A$10:A121)+10,A121)</f>
        <v>80</v>
      </c>
      <c r="B122" s="11"/>
      <c r="C122" s="11"/>
      <c r="D122" s="11" t="s">
        <v>356</v>
      </c>
      <c r="E122" s="30" t="s">
        <v>868</v>
      </c>
      <c r="F122" s="11" t="s">
        <v>359</v>
      </c>
      <c r="G122" s="11" t="s">
        <v>2</v>
      </c>
      <c r="H122" s="11"/>
      <c r="I122" s="11" t="s">
        <v>525</v>
      </c>
      <c r="J122" s="11"/>
      <c r="K122" s="11" t="s">
        <v>526</v>
      </c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 t="s">
        <v>543</v>
      </c>
      <c r="AA122" s="11" t="s">
        <v>498</v>
      </c>
      <c r="AB122" s="11" t="s">
        <v>506</v>
      </c>
      <c r="AC122" s="11" t="s">
        <v>506</v>
      </c>
      <c r="AD122" s="11" t="s">
        <v>506</v>
      </c>
      <c r="AF122" s="11"/>
      <c r="AG122" s="11" t="s">
        <v>83</v>
      </c>
      <c r="AH122" s="11" t="s">
        <v>83</v>
      </c>
      <c r="AI122" s="11"/>
      <c r="AJ122" s="11"/>
      <c r="AK122" s="11"/>
      <c r="AL122" s="11"/>
      <c r="AM122" s="11"/>
      <c r="AO122" s="17"/>
    </row>
    <row r="123" spans="1:41" s="1" customFormat="1">
      <c r="A123" s="11">
        <f>IF(A122="",MAX($A$10:A122)+10,A122)</f>
        <v>80</v>
      </c>
      <c r="B123" s="11"/>
      <c r="C123" s="11"/>
      <c r="D123" s="11" t="s">
        <v>357</v>
      </c>
      <c r="E123" s="30" t="s">
        <v>869</v>
      </c>
      <c r="F123" s="11" t="s">
        <v>360</v>
      </c>
      <c r="G123" s="11" t="s">
        <v>2</v>
      </c>
      <c r="H123" s="11"/>
      <c r="I123" s="11" t="s">
        <v>525</v>
      </c>
      <c r="J123" s="11"/>
      <c r="K123" s="11" t="s">
        <v>526</v>
      </c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 t="s">
        <v>543</v>
      </c>
      <c r="AA123" s="11" t="s">
        <v>498</v>
      </c>
      <c r="AB123" s="11" t="s">
        <v>506</v>
      </c>
      <c r="AC123" s="11" t="s">
        <v>506</v>
      </c>
      <c r="AD123" s="11" t="s">
        <v>506</v>
      </c>
      <c r="AF123" s="11"/>
      <c r="AG123" s="11" t="s">
        <v>83</v>
      </c>
      <c r="AH123" s="11" t="s">
        <v>83</v>
      </c>
      <c r="AI123" s="11"/>
      <c r="AJ123" s="11"/>
      <c r="AK123" s="11"/>
      <c r="AL123" s="11"/>
      <c r="AM123" s="11"/>
      <c r="AO123" s="17"/>
    </row>
    <row r="124" spans="1:41" s="1" customFormat="1" ht="26">
      <c r="A124" s="11">
        <f>IF(A123="",MAX($A$10:A123)+10,A123)</f>
        <v>80</v>
      </c>
      <c r="B124" s="11"/>
      <c r="C124" s="11"/>
      <c r="D124" s="11" t="s">
        <v>139</v>
      </c>
      <c r="E124" s="30" t="s">
        <v>870</v>
      </c>
      <c r="F124" s="11" t="s">
        <v>208</v>
      </c>
      <c r="G124" s="11" t="s">
        <v>2</v>
      </c>
      <c r="H124" s="11"/>
      <c r="I124" s="11" t="s">
        <v>642</v>
      </c>
      <c r="J124" s="11"/>
      <c r="K124" s="11" t="s">
        <v>510</v>
      </c>
      <c r="L124" s="11"/>
      <c r="M124" s="11"/>
      <c r="N124" s="11"/>
      <c r="O124" s="11"/>
      <c r="P124" s="11"/>
      <c r="Q124" s="11" t="s">
        <v>643</v>
      </c>
      <c r="R124" s="11"/>
      <c r="S124" s="11" t="s">
        <v>644</v>
      </c>
      <c r="T124" s="11"/>
      <c r="U124" s="11" t="s">
        <v>645</v>
      </c>
      <c r="V124" s="11"/>
      <c r="W124" s="11"/>
      <c r="X124" s="11" t="s">
        <v>646</v>
      </c>
      <c r="Y124" s="11" t="s">
        <v>543</v>
      </c>
      <c r="AA124" s="11" t="s">
        <v>83</v>
      </c>
      <c r="AB124" s="11" t="s">
        <v>506</v>
      </c>
      <c r="AC124" s="11" t="s">
        <v>506</v>
      </c>
      <c r="AD124" s="11" t="s">
        <v>506</v>
      </c>
      <c r="AF124" s="11"/>
      <c r="AG124" s="11" t="s">
        <v>83</v>
      </c>
      <c r="AH124" s="11" t="s">
        <v>83</v>
      </c>
      <c r="AI124" s="11"/>
      <c r="AJ124" s="11"/>
      <c r="AK124" s="11"/>
      <c r="AL124" s="11"/>
      <c r="AM124" s="11"/>
      <c r="AO124" s="17"/>
    </row>
    <row r="125" spans="1:41" s="1" customFormat="1" ht="26">
      <c r="A125" s="11">
        <f>IF(A124="",MAX($A$10:A124)+10,A124)</f>
        <v>80</v>
      </c>
      <c r="B125" s="11"/>
      <c r="C125" s="11"/>
      <c r="D125" s="11" t="s">
        <v>140</v>
      </c>
      <c r="E125" s="30" t="s">
        <v>871</v>
      </c>
      <c r="F125" s="11" t="s">
        <v>209</v>
      </c>
      <c r="G125" s="11" t="s">
        <v>2</v>
      </c>
      <c r="H125" s="11"/>
      <c r="I125" s="11" t="s">
        <v>647</v>
      </c>
      <c r="J125" s="11"/>
      <c r="K125" s="11" t="s">
        <v>505</v>
      </c>
      <c r="L125" s="11"/>
      <c r="M125" s="11"/>
      <c r="N125" s="11"/>
      <c r="O125" s="11"/>
      <c r="P125" s="11"/>
      <c r="Q125" s="11" t="s">
        <v>174</v>
      </c>
      <c r="R125" s="11"/>
      <c r="S125" s="11" t="s">
        <v>174</v>
      </c>
      <c r="T125" s="11"/>
      <c r="U125" s="11" t="s">
        <v>174</v>
      </c>
      <c r="V125" s="11"/>
      <c r="W125" s="11"/>
      <c r="X125" s="11" t="s">
        <v>646</v>
      </c>
      <c r="Y125" s="11"/>
      <c r="AA125" s="11" t="s">
        <v>506</v>
      </c>
      <c r="AB125" s="11" t="s">
        <v>506</v>
      </c>
      <c r="AC125" s="11" t="s">
        <v>506</v>
      </c>
      <c r="AD125" s="11" t="s">
        <v>506</v>
      </c>
      <c r="AF125" s="11"/>
      <c r="AG125" s="11" t="s">
        <v>83</v>
      </c>
      <c r="AH125" s="11" t="s">
        <v>174</v>
      </c>
      <c r="AI125" s="11"/>
      <c r="AJ125" s="11"/>
      <c r="AK125" s="11"/>
      <c r="AL125" s="11"/>
      <c r="AM125" s="11"/>
      <c r="AO125" s="17"/>
    </row>
    <row r="126" spans="1:41" s="1" customFormat="1" ht="26">
      <c r="A126" s="11">
        <f>IF(A125="",MAX($A$10:A125)+10,A125)</f>
        <v>80</v>
      </c>
      <c r="B126" s="11"/>
      <c r="C126" s="11"/>
      <c r="D126" s="11" t="s">
        <v>323</v>
      </c>
      <c r="E126" s="30" t="s">
        <v>872</v>
      </c>
      <c r="F126" s="11" t="s">
        <v>378</v>
      </c>
      <c r="G126" s="11" t="s">
        <v>2</v>
      </c>
      <c r="H126" s="11"/>
      <c r="I126" s="11" t="s">
        <v>525</v>
      </c>
      <c r="J126" s="11"/>
      <c r="K126" s="11" t="s">
        <v>526</v>
      </c>
      <c r="L126" s="11"/>
      <c r="M126" s="11"/>
      <c r="N126" s="11"/>
      <c r="O126" s="11"/>
      <c r="P126" s="11"/>
      <c r="Q126" s="11" t="s">
        <v>174</v>
      </c>
      <c r="R126" s="11"/>
      <c r="S126" s="11" t="s">
        <v>174</v>
      </c>
      <c r="T126" s="11"/>
      <c r="U126" s="11" t="s">
        <v>174</v>
      </c>
      <c r="V126" s="11"/>
      <c r="W126" s="11"/>
      <c r="X126" s="11" t="s">
        <v>646</v>
      </c>
      <c r="Y126" s="11" t="s">
        <v>543</v>
      </c>
      <c r="AA126" s="11" t="s">
        <v>83</v>
      </c>
      <c r="AB126" s="11" t="s">
        <v>506</v>
      </c>
      <c r="AC126" s="11" t="s">
        <v>506</v>
      </c>
      <c r="AD126" s="11" t="s">
        <v>506</v>
      </c>
      <c r="AF126" s="11"/>
      <c r="AG126" s="11" t="s">
        <v>83</v>
      </c>
      <c r="AH126" s="11" t="s">
        <v>83</v>
      </c>
      <c r="AI126" s="11"/>
      <c r="AJ126" s="11"/>
      <c r="AK126" s="11"/>
      <c r="AL126" s="11"/>
      <c r="AM126" s="11"/>
      <c r="AO126" s="17"/>
    </row>
    <row r="127" spans="1:41" s="1" customFormat="1" ht="26">
      <c r="A127" s="11">
        <f>IF(A126="",MAX($A$10:A126)+10,A126)</f>
        <v>80</v>
      </c>
      <c r="B127" s="11"/>
      <c r="C127" s="11"/>
      <c r="D127" s="11" t="s">
        <v>141</v>
      </c>
      <c r="E127" s="30" t="s">
        <v>873</v>
      </c>
      <c r="F127" s="11" t="s">
        <v>379</v>
      </c>
      <c r="G127" s="11" t="s">
        <v>2</v>
      </c>
      <c r="H127" s="11"/>
      <c r="I127" s="11" t="s">
        <v>525</v>
      </c>
      <c r="J127" s="11"/>
      <c r="K127" s="11" t="s">
        <v>526</v>
      </c>
      <c r="L127" s="11"/>
      <c r="M127" s="11"/>
      <c r="N127" s="11"/>
      <c r="O127" s="11"/>
      <c r="P127" s="11"/>
      <c r="Q127" s="11" t="s">
        <v>174</v>
      </c>
      <c r="R127" s="11"/>
      <c r="S127" s="11" t="s">
        <v>174</v>
      </c>
      <c r="T127" s="11"/>
      <c r="U127" s="11" t="s">
        <v>174</v>
      </c>
      <c r="V127" s="11"/>
      <c r="W127" s="11"/>
      <c r="X127" s="11" t="s">
        <v>646</v>
      </c>
      <c r="Y127" s="11" t="s">
        <v>543</v>
      </c>
      <c r="AA127" s="11" t="s">
        <v>83</v>
      </c>
      <c r="AB127" s="11" t="s">
        <v>506</v>
      </c>
      <c r="AC127" s="11" t="s">
        <v>506</v>
      </c>
      <c r="AD127" s="11" t="s">
        <v>506</v>
      </c>
      <c r="AF127" s="11"/>
      <c r="AG127" s="11" t="s">
        <v>83</v>
      </c>
      <c r="AH127" s="11" t="s">
        <v>83</v>
      </c>
      <c r="AI127" s="11"/>
      <c r="AJ127" s="11"/>
      <c r="AK127" s="11"/>
      <c r="AL127" s="11"/>
      <c r="AM127" s="11"/>
      <c r="AO127" s="17"/>
    </row>
    <row r="128" spans="1:41" s="1" customFormat="1" ht="26">
      <c r="A128" s="11">
        <f>IF(A127="",MAX($A$10:A127)+10,A127)</f>
        <v>80</v>
      </c>
      <c r="B128" s="11"/>
      <c r="C128" s="11"/>
      <c r="D128" s="11" t="s">
        <v>142</v>
      </c>
      <c r="E128" s="30" t="s">
        <v>874</v>
      </c>
      <c r="F128" s="11" t="s">
        <v>210</v>
      </c>
      <c r="G128" s="11" t="s">
        <v>2</v>
      </c>
      <c r="H128" s="11"/>
      <c r="I128" s="11" t="s">
        <v>648</v>
      </c>
      <c r="J128" s="11"/>
      <c r="K128" s="11" t="s">
        <v>510</v>
      </c>
      <c r="L128" s="11"/>
      <c r="M128" s="11"/>
      <c r="N128" s="11"/>
      <c r="O128" s="11"/>
      <c r="P128" s="11"/>
      <c r="Q128" s="11" t="s">
        <v>649</v>
      </c>
      <c r="R128" s="11"/>
      <c r="S128" s="11" t="s">
        <v>650</v>
      </c>
      <c r="T128" s="11"/>
      <c r="U128" s="11" t="s">
        <v>651</v>
      </c>
      <c r="V128" s="11"/>
      <c r="W128" s="11"/>
      <c r="X128" s="11" t="s">
        <v>646</v>
      </c>
      <c r="Y128" s="11" t="s">
        <v>543</v>
      </c>
      <c r="AA128" s="11" t="s">
        <v>83</v>
      </c>
      <c r="AB128" s="11" t="s">
        <v>506</v>
      </c>
      <c r="AC128" s="11" t="s">
        <v>506</v>
      </c>
      <c r="AD128" s="11" t="s">
        <v>506</v>
      </c>
      <c r="AF128" s="11"/>
      <c r="AG128" s="11" t="s">
        <v>83</v>
      </c>
      <c r="AH128" s="11" t="s">
        <v>83</v>
      </c>
      <c r="AI128" s="11"/>
      <c r="AJ128" s="11"/>
      <c r="AK128" s="11"/>
      <c r="AL128" s="11"/>
      <c r="AM128" s="11"/>
      <c r="AO128" s="17"/>
    </row>
    <row r="129" spans="1:41" s="1" customFormat="1" ht="26">
      <c r="A129" s="11">
        <f>IF(A128="",MAX($A$10:A128)+10,A128)</f>
        <v>80</v>
      </c>
      <c r="B129" s="11"/>
      <c r="C129" s="11"/>
      <c r="D129" s="11" t="s">
        <v>143</v>
      </c>
      <c r="E129" s="30" t="s">
        <v>875</v>
      </c>
      <c r="F129" s="11" t="s">
        <v>211</v>
      </c>
      <c r="G129" s="11" t="s">
        <v>2</v>
      </c>
      <c r="H129" s="11"/>
      <c r="I129" s="11" t="s">
        <v>652</v>
      </c>
      <c r="J129" s="11"/>
      <c r="K129" s="11" t="s">
        <v>505</v>
      </c>
      <c r="L129" s="11"/>
      <c r="M129" s="11"/>
      <c r="N129" s="11"/>
      <c r="O129" s="11"/>
      <c r="P129" s="11"/>
      <c r="Q129" s="11" t="s">
        <v>174</v>
      </c>
      <c r="R129" s="11"/>
      <c r="S129" s="11" t="s">
        <v>174</v>
      </c>
      <c r="T129" s="11"/>
      <c r="U129" s="11" t="s">
        <v>174</v>
      </c>
      <c r="V129" s="11"/>
      <c r="W129" s="11"/>
      <c r="X129" s="11" t="s">
        <v>646</v>
      </c>
      <c r="Y129" s="11"/>
      <c r="AA129" s="11" t="s">
        <v>506</v>
      </c>
      <c r="AB129" s="11" t="s">
        <v>506</v>
      </c>
      <c r="AC129" s="11" t="s">
        <v>506</v>
      </c>
      <c r="AD129" s="11" t="s">
        <v>506</v>
      </c>
      <c r="AF129" s="11"/>
      <c r="AG129" s="11" t="s">
        <v>83</v>
      </c>
      <c r="AH129" s="11" t="s">
        <v>174</v>
      </c>
      <c r="AI129" s="11"/>
      <c r="AJ129" s="11"/>
      <c r="AK129" s="11"/>
      <c r="AL129" s="11"/>
      <c r="AM129" s="11"/>
      <c r="AO129" s="17"/>
    </row>
    <row r="130" spans="1:41" s="1" customFormat="1" ht="26">
      <c r="A130" s="11">
        <f>IF(A129="",MAX($A$10:A129)+10,A129)</f>
        <v>80</v>
      </c>
      <c r="B130" s="11"/>
      <c r="C130" s="11"/>
      <c r="D130" s="11" t="s">
        <v>144</v>
      </c>
      <c r="E130" s="30" t="s">
        <v>876</v>
      </c>
      <c r="F130" s="11" t="s">
        <v>212</v>
      </c>
      <c r="G130" s="11" t="s">
        <v>260</v>
      </c>
      <c r="H130" s="11"/>
      <c r="I130" s="11" t="s">
        <v>564</v>
      </c>
      <c r="J130" s="11"/>
      <c r="K130" s="11" t="s">
        <v>510</v>
      </c>
      <c r="L130" s="11"/>
      <c r="M130" s="11"/>
      <c r="N130" s="11"/>
      <c r="O130" s="11"/>
      <c r="P130" s="11"/>
      <c r="Q130" s="11" t="s">
        <v>565</v>
      </c>
      <c r="R130" s="11"/>
      <c r="S130" s="11" t="s">
        <v>352</v>
      </c>
      <c r="T130" s="11"/>
      <c r="U130" s="11" t="s">
        <v>566</v>
      </c>
      <c r="V130" s="11" t="s">
        <v>653</v>
      </c>
      <c r="W130" s="11" t="s">
        <v>568</v>
      </c>
      <c r="X130" s="11" t="s">
        <v>646</v>
      </c>
      <c r="Y130" s="11" t="s">
        <v>543</v>
      </c>
      <c r="AA130" s="11" t="s">
        <v>83</v>
      </c>
      <c r="AB130" s="11" t="s">
        <v>506</v>
      </c>
      <c r="AC130" s="11" t="s">
        <v>506</v>
      </c>
      <c r="AD130" s="11" t="s">
        <v>506</v>
      </c>
      <c r="AF130" s="11"/>
      <c r="AG130" s="11" t="s">
        <v>83</v>
      </c>
      <c r="AH130" s="11" t="s">
        <v>83</v>
      </c>
      <c r="AI130" s="11"/>
      <c r="AJ130" s="11"/>
      <c r="AK130" s="11"/>
      <c r="AL130" s="11"/>
      <c r="AM130" s="11"/>
      <c r="AO130" s="17"/>
    </row>
    <row r="131" spans="1:41" s="1" customFormat="1" ht="26">
      <c r="A131" s="11">
        <f>IF(A130="",MAX($A$10:A130)+10,A130)</f>
        <v>80</v>
      </c>
      <c r="B131" s="11"/>
      <c r="C131" s="11"/>
      <c r="D131" s="11" t="s">
        <v>352</v>
      </c>
      <c r="E131" s="30" t="s">
        <v>877</v>
      </c>
      <c r="F131" s="11" t="s">
        <v>213</v>
      </c>
      <c r="G131" s="11" t="s">
        <v>2</v>
      </c>
      <c r="H131" s="11"/>
      <c r="I131" s="11" t="s">
        <v>569</v>
      </c>
      <c r="J131" s="11"/>
      <c r="K131" s="11" t="s">
        <v>505</v>
      </c>
      <c r="L131" s="11"/>
      <c r="M131" s="11"/>
      <c r="N131" s="11"/>
      <c r="O131" s="11"/>
      <c r="P131" s="11"/>
      <c r="Q131" s="11" t="s">
        <v>174</v>
      </c>
      <c r="R131" s="11"/>
      <c r="S131" s="11" t="s">
        <v>174</v>
      </c>
      <c r="T131" s="11"/>
      <c r="U131" s="11" t="s">
        <v>174</v>
      </c>
      <c r="V131" s="11"/>
      <c r="W131" s="11"/>
      <c r="X131" s="11" t="s">
        <v>646</v>
      </c>
      <c r="Y131" s="11"/>
      <c r="AA131" s="11" t="s">
        <v>506</v>
      </c>
      <c r="AB131" s="11" t="s">
        <v>506</v>
      </c>
      <c r="AC131" s="11" t="s">
        <v>506</v>
      </c>
      <c r="AD131" s="11" t="s">
        <v>506</v>
      </c>
      <c r="AF131" s="11"/>
      <c r="AG131" s="11" t="s">
        <v>83</v>
      </c>
      <c r="AH131" s="11"/>
      <c r="AI131" s="11"/>
      <c r="AJ131" s="11"/>
      <c r="AK131" s="11"/>
      <c r="AL131" s="11"/>
      <c r="AM131" s="11"/>
      <c r="AO131" s="17"/>
    </row>
    <row r="132" spans="1:41" s="1" customFormat="1" ht="26">
      <c r="A132" s="11">
        <f>IF(A131="",MAX($A$10:A131)+10,A131)</f>
        <v>80</v>
      </c>
      <c r="B132" s="11"/>
      <c r="C132" s="11"/>
      <c r="D132" s="11" t="s">
        <v>145</v>
      </c>
      <c r="E132" s="30" t="s">
        <v>878</v>
      </c>
      <c r="F132" s="11" t="s">
        <v>214</v>
      </c>
      <c r="G132" s="11" t="s">
        <v>2</v>
      </c>
      <c r="H132" s="11"/>
      <c r="I132" s="11" t="s">
        <v>642</v>
      </c>
      <c r="J132" s="11"/>
      <c r="K132" s="11" t="s">
        <v>510</v>
      </c>
      <c r="L132" s="11"/>
      <c r="M132" s="11"/>
      <c r="N132" s="11"/>
      <c r="O132" s="11"/>
      <c r="P132" s="11"/>
      <c r="Q132" s="11" t="s">
        <v>643</v>
      </c>
      <c r="R132" s="11"/>
      <c r="S132" s="11" t="s">
        <v>654</v>
      </c>
      <c r="T132" s="11"/>
      <c r="U132" s="11" t="s">
        <v>645</v>
      </c>
      <c r="V132" s="11"/>
      <c r="W132" s="11"/>
      <c r="X132" s="11" t="s">
        <v>655</v>
      </c>
      <c r="Y132" s="11" t="s">
        <v>543</v>
      </c>
      <c r="AA132" s="11" t="s">
        <v>83</v>
      </c>
      <c r="AB132" s="11" t="s">
        <v>506</v>
      </c>
      <c r="AC132" s="11" t="s">
        <v>506</v>
      </c>
      <c r="AD132" s="11" t="s">
        <v>506</v>
      </c>
      <c r="AF132" s="11"/>
      <c r="AG132" s="11" t="s">
        <v>83</v>
      </c>
      <c r="AH132" s="11" t="s">
        <v>83</v>
      </c>
      <c r="AI132" s="11"/>
      <c r="AJ132" s="11"/>
      <c r="AK132" s="11"/>
      <c r="AL132" s="11"/>
      <c r="AM132" s="11"/>
      <c r="AO132" s="17"/>
    </row>
    <row r="133" spans="1:41" s="1" customFormat="1" ht="26">
      <c r="A133" s="11">
        <f>IF(A132="",MAX($A$10:A132)+10,A132)</f>
        <v>80</v>
      </c>
      <c r="B133" s="11"/>
      <c r="C133" s="11"/>
      <c r="D133" s="11" t="s">
        <v>146</v>
      </c>
      <c r="E133" s="30" t="s">
        <v>879</v>
      </c>
      <c r="F133" s="11" t="s">
        <v>215</v>
      </c>
      <c r="G133" s="11" t="s">
        <v>2</v>
      </c>
      <c r="H133" s="11"/>
      <c r="I133" s="11" t="s">
        <v>647</v>
      </c>
      <c r="J133" s="11"/>
      <c r="K133" s="11" t="s">
        <v>505</v>
      </c>
      <c r="L133" s="11"/>
      <c r="M133" s="11"/>
      <c r="N133" s="11"/>
      <c r="O133" s="11"/>
      <c r="P133" s="11"/>
      <c r="Q133" s="11" t="s">
        <v>174</v>
      </c>
      <c r="R133" s="11"/>
      <c r="S133" s="11" t="s">
        <v>174</v>
      </c>
      <c r="T133" s="11"/>
      <c r="U133" s="11" t="s">
        <v>174</v>
      </c>
      <c r="V133" s="11"/>
      <c r="W133" s="11"/>
      <c r="X133" s="11" t="s">
        <v>655</v>
      </c>
      <c r="Y133" s="11"/>
      <c r="AA133" s="11" t="s">
        <v>506</v>
      </c>
      <c r="AB133" s="11" t="s">
        <v>506</v>
      </c>
      <c r="AC133" s="11" t="s">
        <v>506</v>
      </c>
      <c r="AD133" s="11" t="s">
        <v>506</v>
      </c>
      <c r="AF133" s="11"/>
      <c r="AG133" s="11" t="s">
        <v>83</v>
      </c>
      <c r="AH133" s="11" t="s">
        <v>174</v>
      </c>
      <c r="AI133" s="11"/>
      <c r="AJ133" s="11"/>
      <c r="AK133" s="11"/>
      <c r="AL133" s="11"/>
      <c r="AM133" s="11"/>
      <c r="AO133" s="17"/>
    </row>
    <row r="134" spans="1:41" s="1" customFormat="1" ht="26">
      <c r="A134" s="11">
        <f>IF(A133="",MAX($A$10:A133)+10,A133)</f>
        <v>80</v>
      </c>
      <c r="B134" s="11"/>
      <c r="C134" s="11"/>
      <c r="D134" s="11" t="s">
        <v>147</v>
      </c>
      <c r="E134" s="30" t="s">
        <v>880</v>
      </c>
      <c r="F134" s="11" t="s">
        <v>380</v>
      </c>
      <c r="G134" s="11" t="s">
        <v>2</v>
      </c>
      <c r="H134" s="11"/>
      <c r="I134" s="11" t="s">
        <v>525</v>
      </c>
      <c r="J134" s="11"/>
      <c r="K134" s="11" t="s">
        <v>526</v>
      </c>
      <c r="L134" s="11"/>
      <c r="M134" s="11"/>
      <c r="N134" s="11"/>
      <c r="O134" s="11"/>
      <c r="P134" s="11"/>
      <c r="Q134" s="11" t="s">
        <v>174</v>
      </c>
      <c r="R134" s="11"/>
      <c r="S134" s="11" t="s">
        <v>174</v>
      </c>
      <c r="T134" s="11"/>
      <c r="U134" s="11" t="s">
        <v>174</v>
      </c>
      <c r="V134" s="11"/>
      <c r="W134" s="11"/>
      <c r="X134" s="11" t="s">
        <v>655</v>
      </c>
      <c r="Y134" s="11" t="s">
        <v>543</v>
      </c>
      <c r="AA134" s="11" t="s">
        <v>83</v>
      </c>
      <c r="AB134" s="11" t="s">
        <v>506</v>
      </c>
      <c r="AC134" s="11" t="s">
        <v>506</v>
      </c>
      <c r="AD134" s="11" t="s">
        <v>506</v>
      </c>
      <c r="AF134" s="11"/>
      <c r="AG134" s="11" t="s">
        <v>83</v>
      </c>
      <c r="AH134" s="11" t="s">
        <v>83</v>
      </c>
      <c r="AI134" s="11"/>
      <c r="AJ134" s="11"/>
      <c r="AK134" s="11"/>
      <c r="AL134" s="11"/>
      <c r="AM134" s="11"/>
      <c r="AO134" s="17"/>
    </row>
    <row r="135" spans="1:41" s="1" customFormat="1" ht="26">
      <c r="A135" s="11">
        <f>IF(A134="",MAX($A$10:A134)+10,A134)</f>
        <v>80</v>
      </c>
      <c r="B135" s="11"/>
      <c r="C135" s="11"/>
      <c r="D135" s="11" t="s">
        <v>148</v>
      </c>
      <c r="E135" s="30" t="s">
        <v>881</v>
      </c>
      <c r="F135" s="11" t="s">
        <v>381</v>
      </c>
      <c r="G135" s="11" t="s">
        <v>2</v>
      </c>
      <c r="H135" s="11"/>
      <c r="I135" s="11" t="s">
        <v>525</v>
      </c>
      <c r="J135" s="11"/>
      <c r="K135" s="11" t="s">
        <v>526</v>
      </c>
      <c r="L135" s="11"/>
      <c r="M135" s="11"/>
      <c r="N135" s="11"/>
      <c r="O135" s="11"/>
      <c r="P135" s="11"/>
      <c r="Q135" s="11" t="s">
        <v>174</v>
      </c>
      <c r="R135" s="11"/>
      <c r="S135" s="11" t="s">
        <v>174</v>
      </c>
      <c r="T135" s="11"/>
      <c r="U135" s="11" t="s">
        <v>174</v>
      </c>
      <c r="V135" s="11"/>
      <c r="W135" s="11"/>
      <c r="X135" s="11" t="s">
        <v>655</v>
      </c>
      <c r="Y135" s="11" t="s">
        <v>543</v>
      </c>
      <c r="AA135" s="11" t="s">
        <v>83</v>
      </c>
      <c r="AB135" s="11" t="s">
        <v>506</v>
      </c>
      <c r="AC135" s="11" t="s">
        <v>506</v>
      </c>
      <c r="AD135" s="11" t="s">
        <v>506</v>
      </c>
      <c r="AF135" s="11"/>
      <c r="AG135" s="11" t="s">
        <v>83</v>
      </c>
      <c r="AH135" s="11" t="s">
        <v>83</v>
      </c>
      <c r="AI135" s="11"/>
      <c r="AJ135" s="11"/>
      <c r="AK135" s="11"/>
      <c r="AL135" s="11"/>
      <c r="AM135" s="11"/>
      <c r="AO135" s="17"/>
    </row>
    <row r="136" spans="1:41" s="1" customFormat="1" ht="26">
      <c r="A136" s="11">
        <f>IF(A135="",MAX($A$10:A135)+10,A135)</f>
        <v>80</v>
      </c>
      <c r="B136" s="11"/>
      <c r="C136" s="11"/>
      <c r="D136" s="11" t="s">
        <v>149</v>
      </c>
      <c r="E136" s="30" t="s">
        <v>882</v>
      </c>
      <c r="F136" s="11" t="s">
        <v>216</v>
      </c>
      <c r="G136" s="11" t="s">
        <v>2</v>
      </c>
      <c r="H136" s="11"/>
      <c r="I136" s="11" t="s">
        <v>648</v>
      </c>
      <c r="J136" s="11"/>
      <c r="K136" s="11" t="s">
        <v>510</v>
      </c>
      <c r="L136" s="11"/>
      <c r="M136" s="11"/>
      <c r="N136" s="11"/>
      <c r="O136" s="11"/>
      <c r="P136" s="11"/>
      <c r="Q136" s="11" t="s">
        <v>649</v>
      </c>
      <c r="R136" s="11"/>
      <c r="S136" s="11" t="s">
        <v>656</v>
      </c>
      <c r="T136" s="11"/>
      <c r="U136" s="11" t="s">
        <v>651</v>
      </c>
      <c r="V136" s="11"/>
      <c r="W136" s="11"/>
      <c r="X136" s="11" t="s">
        <v>655</v>
      </c>
      <c r="Y136" s="11" t="s">
        <v>543</v>
      </c>
      <c r="AA136" s="11" t="s">
        <v>83</v>
      </c>
      <c r="AB136" s="11" t="s">
        <v>506</v>
      </c>
      <c r="AC136" s="11" t="s">
        <v>506</v>
      </c>
      <c r="AD136" s="11" t="s">
        <v>506</v>
      </c>
      <c r="AF136" s="11"/>
      <c r="AG136" s="11" t="s">
        <v>83</v>
      </c>
      <c r="AH136" s="11" t="s">
        <v>83</v>
      </c>
      <c r="AI136" s="11"/>
      <c r="AJ136" s="11"/>
      <c r="AK136" s="11"/>
      <c r="AL136" s="11"/>
      <c r="AM136" s="11"/>
      <c r="AO136" s="17"/>
    </row>
    <row r="137" spans="1:41" s="1" customFormat="1" ht="26">
      <c r="A137" s="11">
        <f>IF(A136="",MAX($A$10:A136)+10,A136)</f>
        <v>80</v>
      </c>
      <c r="B137" s="11"/>
      <c r="C137" s="11"/>
      <c r="D137" s="11" t="s">
        <v>150</v>
      </c>
      <c r="E137" s="30" t="s">
        <v>883</v>
      </c>
      <c r="F137" s="11" t="s">
        <v>217</v>
      </c>
      <c r="G137" s="11" t="s">
        <v>2</v>
      </c>
      <c r="H137" s="11"/>
      <c r="I137" s="11" t="s">
        <v>652</v>
      </c>
      <c r="J137" s="11"/>
      <c r="K137" s="11" t="s">
        <v>505</v>
      </c>
      <c r="L137" s="11"/>
      <c r="M137" s="11"/>
      <c r="N137" s="11"/>
      <c r="O137" s="11"/>
      <c r="P137" s="11"/>
      <c r="Q137" s="11" t="s">
        <v>174</v>
      </c>
      <c r="R137" s="11"/>
      <c r="S137" s="11" t="s">
        <v>174</v>
      </c>
      <c r="T137" s="11"/>
      <c r="U137" s="11" t="s">
        <v>174</v>
      </c>
      <c r="V137" s="11"/>
      <c r="W137" s="11"/>
      <c r="X137" s="11" t="s">
        <v>655</v>
      </c>
      <c r="Y137" s="11"/>
      <c r="AA137" s="11" t="s">
        <v>506</v>
      </c>
      <c r="AB137" s="11" t="s">
        <v>506</v>
      </c>
      <c r="AC137" s="11" t="s">
        <v>506</v>
      </c>
      <c r="AD137" s="11" t="s">
        <v>506</v>
      </c>
      <c r="AF137" s="11"/>
      <c r="AG137" s="11" t="s">
        <v>83</v>
      </c>
      <c r="AH137" s="11" t="s">
        <v>174</v>
      </c>
      <c r="AI137" s="11"/>
      <c r="AJ137" s="11"/>
      <c r="AK137" s="11"/>
      <c r="AL137" s="11"/>
      <c r="AM137" s="11"/>
      <c r="AO137" s="17"/>
    </row>
    <row r="138" spans="1:41" s="1" customFormat="1" ht="26">
      <c r="A138" s="11">
        <f>IF(A137="",MAX($A$10:A137)+10,A137)</f>
        <v>80</v>
      </c>
      <c r="B138" s="11"/>
      <c r="C138" s="11"/>
      <c r="D138" s="11" t="s">
        <v>151</v>
      </c>
      <c r="E138" s="30" t="s">
        <v>884</v>
      </c>
      <c r="F138" s="11" t="s">
        <v>218</v>
      </c>
      <c r="G138" s="11" t="s">
        <v>261</v>
      </c>
      <c r="H138" s="11"/>
      <c r="I138" s="11" t="s">
        <v>564</v>
      </c>
      <c r="J138" s="11"/>
      <c r="K138" s="11" t="s">
        <v>510</v>
      </c>
      <c r="L138" s="11"/>
      <c r="M138" s="11"/>
      <c r="N138" s="11"/>
      <c r="O138" s="11"/>
      <c r="P138" s="11"/>
      <c r="Q138" s="11" t="s">
        <v>565</v>
      </c>
      <c r="R138" s="11"/>
      <c r="S138" s="11" t="s">
        <v>353</v>
      </c>
      <c r="T138" s="11"/>
      <c r="U138" s="11" t="s">
        <v>566</v>
      </c>
      <c r="V138" s="11" t="s">
        <v>653</v>
      </c>
      <c r="W138" s="11" t="s">
        <v>568</v>
      </c>
      <c r="X138" s="11" t="s">
        <v>655</v>
      </c>
      <c r="Y138" s="11" t="s">
        <v>543</v>
      </c>
      <c r="AA138" s="11" t="s">
        <v>83</v>
      </c>
      <c r="AB138" s="11" t="s">
        <v>506</v>
      </c>
      <c r="AC138" s="11" t="s">
        <v>506</v>
      </c>
      <c r="AD138" s="11" t="s">
        <v>506</v>
      </c>
      <c r="AF138" s="11"/>
      <c r="AG138" s="11" t="s">
        <v>83</v>
      </c>
      <c r="AH138" s="11" t="s">
        <v>83</v>
      </c>
      <c r="AI138" s="11"/>
      <c r="AJ138" s="11"/>
      <c r="AK138" s="11"/>
      <c r="AL138" s="11"/>
      <c r="AM138" s="11"/>
      <c r="AO138" s="17"/>
    </row>
    <row r="139" spans="1:41" s="1" customFormat="1" ht="26">
      <c r="A139" s="11">
        <f>IF(A138="",MAX($A$10:A138)+10,A138)</f>
        <v>80</v>
      </c>
      <c r="B139" s="11"/>
      <c r="C139" s="11"/>
      <c r="D139" s="11" t="s">
        <v>353</v>
      </c>
      <c r="E139" s="30" t="s">
        <v>885</v>
      </c>
      <c r="F139" s="11" t="s">
        <v>278</v>
      </c>
      <c r="G139" s="11" t="s">
        <v>2</v>
      </c>
      <c r="H139" s="11"/>
      <c r="I139" s="11" t="s">
        <v>569</v>
      </c>
      <c r="J139" s="11"/>
      <c r="K139" s="11" t="s">
        <v>505</v>
      </c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 t="s">
        <v>655</v>
      </c>
      <c r="Y139" s="11"/>
      <c r="AA139" s="11" t="s">
        <v>506</v>
      </c>
      <c r="AB139" s="11" t="s">
        <v>506</v>
      </c>
      <c r="AC139" s="11" t="s">
        <v>506</v>
      </c>
      <c r="AD139" s="11" t="s">
        <v>506</v>
      </c>
      <c r="AF139" s="11"/>
      <c r="AG139" s="11" t="s">
        <v>83</v>
      </c>
      <c r="AH139" s="11"/>
      <c r="AI139" s="11"/>
      <c r="AJ139" s="11"/>
      <c r="AK139" s="11"/>
      <c r="AL139" s="11"/>
      <c r="AM139" s="11"/>
      <c r="AO139" s="17"/>
    </row>
    <row r="140" spans="1:41" s="1" customFormat="1" ht="26">
      <c r="A140" s="11">
        <f>IF(A139="",MAX($A$10:A139)+10,A139)</f>
        <v>80</v>
      </c>
      <c r="B140" s="11"/>
      <c r="C140" s="11"/>
      <c r="D140" s="11" t="s">
        <v>152</v>
      </c>
      <c r="E140" s="30" t="s">
        <v>886</v>
      </c>
      <c r="F140" s="11" t="s">
        <v>219</v>
      </c>
      <c r="G140" s="11" t="s">
        <v>2</v>
      </c>
      <c r="H140" s="11"/>
      <c r="I140" s="11" t="s">
        <v>642</v>
      </c>
      <c r="J140" s="11"/>
      <c r="K140" s="11" t="s">
        <v>510</v>
      </c>
      <c r="L140" s="11"/>
      <c r="M140" s="11"/>
      <c r="N140" s="11"/>
      <c r="O140" s="11"/>
      <c r="P140" s="11"/>
      <c r="Q140" s="11" t="s">
        <v>643</v>
      </c>
      <c r="R140" s="11"/>
      <c r="S140" s="11" t="s">
        <v>657</v>
      </c>
      <c r="T140" s="11"/>
      <c r="U140" s="11" t="s">
        <v>645</v>
      </c>
      <c r="V140" s="11"/>
      <c r="W140" s="11"/>
      <c r="X140" s="11" t="s">
        <v>658</v>
      </c>
      <c r="Y140" s="11" t="s">
        <v>543</v>
      </c>
      <c r="AA140" s="11" t="s">
        <v>83</v>
      </c>
      <c r="AB140" s="11" t="s">
        <v>506</v>
      </c>
      <c r="AC140" s="11" t="s">
        <v>506</v>
      </c>
      <c r="AD140" s="11" t="s">
        <v>506</v>
      </c>
      <c r="AF140" s="11"/>
      <c r="AG140" s="11" t="s">
        <v>83</v>
      </c>
      <c r="AH140" s="11" t="s">
        <v>83</v>
      </c>
      <c r="AI140" s="11"/>
      <c r="AJ140" s="11"/>
      <c r="AK140" s="11"/>
      <c r="AL140" s="11"/>
      <c r="AM140" s="11"/>
      <c r="AO140" s="17"/>
    </row>
    <row r="141" spans="1:41" s="1" customFormat="1" ht="26">
      <c r="A141" s="11">
        <f>IF(A140="",MAX($A$10:A140)+10,A140)</f>
        <v>80</v>
      </c>
      <c r="B141" s="11"/>
      <c r="C141" s="11"/>
      <c r="D141" s="11" t="s">
        <v>153</v>
      </c>
      <c r="E141" s="30" t="s">
        <v>887</v>
      </c>
      <c r="F141" s="11" t="s">
        <v>220</v>
      </c>
      <c r="G141" s="11" t="s">
        <v>2</v>
      </c>
      <c r="H141" s="11"/>
      <c r="I141" s="11" t="s">
        <v>647</v>
      </c>
      <c r="J141" s="11"/>
      <c r="K141" s="11" t="s">
        <v>505</v>
      </c>
      <c r="L141" s="11"/>
      <c r="M141" s="11"/>
      <c r="N141" s="11"/>
      <c r="O141" s="11"/>
      <c r="P141" s="11"/>
      <c r="Q141" s="11" t="s">
        <v>174</v>
      </c>
      <c r="R141" s="11"/>
      <c r="S141" s="11" t="s">
        <v>174</v>
      </c>
      <c r="T141" s="11"/>
      <c r="U141" s="11" t="s">
        <v>174</v>
      </c>
      <c r="V141" s="11"/>
      <c r="W141" s="11"/>
      <c r="X141" s="11" t="s">
        <v>658</v>
      </c>
      <c r="Y141" s="11"/>
      <c r="AA141" s="11" t="s">
        <v>506</v>
      </c>
      <c r="AB141" s="11" t="s">
        <v>506</v>
      </c>
      <c r="AC141" s="11" t="s">
        <v>506</v>
      </c>
      <c r="AD141" s="11" t="s">
        <v>506</v>
      </c>
      <c r="AF141" s="11"/>
      <c r="AG141" s="11" t="s">
        <v>83</v>
      </c>
      <c r="AH141" s="11" t="s">
        <v>174</v>
      </c>
      <c r="AI141" s="11"/>
      <c r="AJ141" s="11"/>
      <c r="AK141" s="11"/>
      <c r="AL141" s="11"/>
      <c r="AM141" s="11"/>
      <c r="AO141" s="17"/>
    </row>
    <row r="142" spans="1:41" s="1" customFormat="1" ht="26">
      <c r="A142" s="11">
        <f>IF(A141="",MAX($A$10:A141)+10,A141)</f>
        <v>80</v>
      </c>
      <c r="B142" s="11"/>
      <c r="C142" s="11"/>
      <c r="D142" s="11" t="s">
        <v>154</v>
      </c>
      <c r="E142" s="30" t="s">
        <v>888</v>
      </c>
      <c r="F142" s="11" t="s">
        <v>382</v>
      </c>
      <c r="G142" s="11" t="s">
        <v>2</v>
      </c>
      <c r="H142" s="11"/>
      <c r="I142" s="11" t="s">
        <v>525</v>
      </c>
      <c r="J142" s="11"/>
      <c r="K142" s="11" t="s">
        <v>526</v>
      </c>
      <c r="L142" s="11"/>
      <c r="M142" s="11"/>
      <c r="N142" s="11"/>
      <c r="O142" s="11"/>
      <c r="P142" s="11"/>
      <c r="Q142" s="11" t="s">
        <v>174</v>
      </c>
      <c r="R142" s="11"/>
      <c r="S142" s="11" t="s">
        <v>174</v>
      </c>
      <c r="T142" s="11"/>
      <c r="U142" s="11" t="s">
        <v>174</v>
      </c>
      <c r="V142" s="11"/>
      <c r="W142" s="11"/>
      <c r="X142" s="11" t="s">
        <v>658</v>
      </c>
      <c r="Y142" s="11" t="s">
        <v>543</v>
      </c>
      <c r="AA142" s="11" t="s">
        <v>83</v>
      </c>
      <c r="AB142" s="11" t="s">
        <v>506</v>
      </c>
      <c r="AC142" s="11" t="s">
        <v>506</v>
      </c>
      <c r="AD142" s="11" t="s">
        <v>506</v>
      </c>
      <c r="AF142" s="11"/>
      <c r="AG142" s="11" t="s">
        <v>83</v>
      </c>
      <c r="AH142" s="11" t="s">
        <v>83</v>
      </c>
      <c r="AI142" s="11"/>
      <c r="AJ142" s="11"/>
      <c r="AK142" s="11"/>
      <c r="AL142" s="11"/>
      <c r="AM142" s="11"/>
      <c r="AO142" s="17"/>
    </row>
    <row r="143" spans="1:41" s="1" customFormat="1" ht="26">
      <c r="A143" s="11">
        <f>IF(A142="",MAX($A$10:A142)+10,A142)</f>
        <v>80</v>
      </c>
      <c r="B143" s="11"/>
      <c r="C143" s="11"/>
      <c r="D143" s="11" t="s">
        <v>155</v>
      </c>
      <c r="E143" s="30" t="s">
        <v>889</v>
      </c>
      <c r="F143" s="11" t="s">
        <v>383</v>
      </c>
      <c r="G143" s="11" t="s">
        <v>2</v>
      </c>
      <c r="H143" s="11"/>
      <c r="I143" s="11" t="s">
        <v>525</v>
      </c>
      <c r="J143" s="11"/>
      <c r="K143" s="11" t="s">
        <v>526</v>
      </c>
      <c r="L143" s="11"/>
      <c r="M143" s="11"/>
      <c r="N143" s="11"/>
      <c r="O143" s="11"/>
      <c r="P143" s="11"/>
      <c r="Q143" s="11" t="s">
        <v>174</v>
      </c>
      <c r="R143" s="11"/>
      <c r="S143" s="11" t="s">
        <v>174</v>
      </c>
      <c r="T143" s="11"/>
      <c r="U143" s="11" t="s">
        <v>174</v>
      </c>
      <c r="V143" s="11"/>
      <c r="W143" s="11"/>
      <c r="X143" s="11" t="s">
        <v>658</v>
      </c>
      <c r="Y143" s="11" t="s">
        <v>543</v>
      </c>
      <c r="AA143" s="11" t="s">
        <v>83</v>
      </c>
      <c r="AB143" s="11" t="s">
        <v>506</v>
      </c>
      <c r="AC143" s="11" t="s">
        <v>506</v>
      </c>
      <c r="AD143" s="11" t="s">
        <v>506</v>
      </c>
      <c r="AF143" s="11"/>
      <c r="AG143" s="11" t="s">
        <v>83</v>
      </c>
      <c r="AH143" s="11" t="s">
        <v>83</v>
      </c>
      <c r="AI143" s="11"/>
      <c r="AJ143" s="11"/>
      <c r="AK143" s="11"/>
      <c r="AL143" s="11"/>
      <c r="AM143" s="11"/>
      <c r="AO143" s="17"/>
    </row>
    <row r="144" spans="1:41" s="1" customFormat="1" ht="26">
      <c r="A144" s="11">
        <f>IF(A143="",MAX($A$10:A143)+10,A143)</f>
        <v>80</v>
      </c>
      <c r="B144" s="11"/>
      <c r="C144" s="11"/>
      <c r="D144" s="11" t="s">
        <v>156</v>
      </c>
      <c r="E144" s="30" t="s">
        <v>890</v>
      </c>
      <c r="F144" s="11" t="s">
        <v>221</v>
      </c>
      <c r="G144" s="11" t="s">
        <v>2</v>
      </c>
      <c r="H144" s="11"/>
      <c r="I144" s="11" t="s">
        <v>648</v>
      </c>
      <c r="J144" s="11"/>
      <c r="K144" s="11" t="s">
        <v>510</v>
      </c>
      <c r="L144" s="11"/>
      <c r="M144" s="11"/>
      <c r="N144" s="11"/>
      <c r="O144" s="11"/>
      <c r="P144" s="11"/>
      <c r="Q144" s="11" t="s">
        <v>649</v>
      </c>
      <c r="R144" s="11"/>
      <c r="S144" s="11" t="s">
        <v>659</v>
      </c>
      <c r="T144" s="11"/>
      <c r="U144" s="11" t="s">
        <v>651</v>
      </c>
      <c r="V144" s="11"/>
      <c r="W144" s="11"/>
      <c r="X144" s="11" t="s">
        <v>658</v>
      </c>
      <c r="Y144" s="11" t="s">
        <v>543</v>
      </c>
      <c r="AA144" s="11" t="s">
        <v>83</v>
      </c>
      <c r="AB144" s="11" t="s">
        <v>506</v>
      </c>
      <c r="AC144" s="11" t="s">
        <v>506</v>
      </c>
      <c r="AD144" s="11" t="s">
        <v>506</v>
      </c>
      <c r="AF144" s="11"/>
      <c r="AG144" s="11" t="s">
        <v>83</v>
      </c>
      <c r="AH144" s="11" t="s">
        <v>83</v>
      </c>
      <c r="AI144" s="11"/>
      <c r="AJ144" s="11"/>
      <c r="AK144" s="11"/>
      <c r="AL144" s="11"/>
      <c r="AM144" s="11"/>
      <c r="AO144" s="17"/>
    </row>
    <row r="145" spans="1:41" s="1" customFormat="1" ht="26">
      <c r="A145" s="11">
        <f>IF(A144="",MAX($A$10:A144)+10,A144)</f>
        <v>80</v>
      </c>
      <c r="B145" s="11"/>
      <c r="C145" s="11"/>
      <c r="D145" s="11" t="s">
        <v>157</v>
      </c>
      <c r="E145" s="30" t="s">
        <v>891</v>
      </c>
      <c r="F145" s="11" t="s">
        <v>222</v>
      </c>
      <c r="G145" s="11" t="s">
        <v>2</v>
      </c>
      <c r="H145" s="11"/>
      <c r="I145" s="11" t="s">
        <v>652</v>
      </c>
      <c r="J145" s="11"/>
      <c r="K145" s="11" t="s">
        <v>505</v>
      </c>
      <c r="L145" s="11"/>
      <c r="M145" s="11"/>
      <c r="N145" s="11"/>
      <c r="O145" s="11"/>
      <c r="P145" s="11"/>
      <c r="Q145" s="11" t="s">
        <v>174</v>
      </c>
      <c r="R145" s="11"/>
      <c r="S145" s="11" t="s">
        <v>174</v>
      </c>
      <c r="T145" s="11"/>
      <c r="U145" s="11" t="s">
        <v>174</v>
      </c>
      <c r="V145" s="11"/>
      <c r="W145" s="11"/>
      <c r="X145" s="11" t="s">
        <v>658</v>
      </c>
      <c r="Y145" s="11"/>
      <c r="AA145" s="11" t="s">
        <v>506</v>
      </c>
      <c r="AB145" s="11" t="s">
        <v>506</v>
      </c>
      <c r="AC145" s="11" t="s">
        <v>506</v>
      </c>
      <c r="AD145" s="11" t="s">
        <v>506</v>
      </c>
      <c r="AF145" s="11"/>
      <c r="AG145" s="11" t="s">
        <v>83</v>
      </c>
      <c r="AH145" s="11" t="s">
        <v>174</v>
      </c>
      <c r="AI145" s="11"/>
      <c r="AJ145" s="11"/>
      <c r="AK145" s="11"/>
      <c r="AL145" s="11"/>
      <c r="AM145" s="11"/>
      <c r="AO145" s="17"/>
    </row>
    <row r="146" spans="1:41" s="1" customFormat="1" ht="26">
      <c r="A146" s="11">
        <f>IF(A145="",MAX($A$10:A145)+10,A145)</f>
        <v>80</v>
      </c>
      <c r="B146" s="11"/>
      <c r="C146" s="11"/>
      <c r="D146" s="11" t="s">
        <v>158</v>
      </c>
      <c r="E146" s="30" t="s">
        <v>892</v>
      </c>
      <c r="F146" s="11" t="s">
        <v>223</v>
      </c>
      <c r="G146" s="11" t="s">
        <v>262</v>
      </c>
      <c r="H146" s="11"/>
      <c r="I146" s="11" t="s">
        <v>564</v>
      </c>
      <c r="J146" s="11"/>
      <c r="K146" s="11" t="s">
        <v>510</v>
      </c>
      <c r="L146" s="11"/>
      <c r="M146" s="11"/>
      <c r="N146" s="11"/>
      <c r="O146" s="11"/>
      <c r="P146" s="11"/>
      <c r="Q146" s="11" t="s">
        <v>565</v>
      </c>
      <c r="R146" s="11"/>
      <c r="S146" s="11" t="s">
        <v>660</v>
      </c>
      <c r="T146" s="11"/>
      <c r="U146" s="11" t="s">
        <v>566</v>
      </c>
      <c r="V146" s="11" t="s">
        <v>653</v>
      </c>
      <c r="W146" s="11" t="s">
        <v>568</v>
      </c>
      <c r="X146" s="11" t="s">
        <v>658</v>
      </c>
      <c r="Y146" s="11" t="s">
        <v>543</v>
      </c>
      <c r="AA146" s="11" t="s">
        <v>83</v>
      </c>
      <c r="AB146" s="11" t="s">
        <v>506</v>
      </c>
      <c r="AC146" s="11" t="s">
        <v>506</v>
      </c>
      <c r="AD146" s="11" t="s">
        <v>506</v>
      </c>
      <c r="AF146" s="11"/>
      <c r="AG146" s="11" t="s">
        <v>83</v>
      </c>
      <c r="AH146" s="11" t="s">
        <v>83</v>
      </c>
      <c r="AI146" s="11"/>
      <c r="AJ146" s="11"/>
      <c r="AK146" s="11"/>
      <c r="AL146" s="11"/>
      <c r="AM146" s="11"/>
      <c r="AO146" s="17"/>
    </row>
    <row r="147" spans="1:41" s="1" customFormat="1" ht="26">
      <c r="A147" s="11">
        <f>IF(A146="",MAX($A$10:A146)+10,A146)</f>
        <v>80</v>
      </c>
      <c r="B147" s="11"/>
      <c r="C147" s="11"/>
      <c r="D147" s="11" t="s">
        <v>159</v>
      </c>
      <c r="E147" s="30" t="s">
        <v>893</v>
      </c>
      <c r="F147" s="11" t="s">
        <v>224</v>
      </c>
      <c r="G147" s="11" t="s">
        <v>2</v>
      </c>
      <c r="H147" s="11"/>
      <c r="I147" s="11" t="s">
        <v>569</v>
      </c>
      <c r="J147" s="11"/>
      <c r="K147" s="11" t="s">
        <v>505</v>
      </c>
      <c r="L147" s="11"/>
      <c r="M147" s="11"/>
      <c r="N147" s="11"/>
      <c r="O147" s="11"/>
      <c r="P147" s="11"/>
      <c r="Q147" s="11" t="s">
        <v>174</v>
      </c>
      <c r="R147" s="11"/>
      <c r="S147" s="11" t="s">
        <v>174</v>
      </c>
      <c r="T147" s="11"/>
      <c r="U147" s="11" t="s">
        <v>174</v>
      </c>
      <c r="V147" s="11"/>
      <c r="W147" s="11"/>
      <c r="X147" s="11" t="s">
        <v>658</v>
      </c>
      <c r="Y147" s="11"/>
      <c r="AA147" s="11" t="s">
        <v>506</v>
      </c>
      <c r="AB147" s="11" t="s">
        <v>506</v>
      </c>
      <c r="AC147" s="11" t="s">
        <v>506</v>
      </c>
      <c r="AD147" s="11" t="s">
        <v>506</v>
      </c>
      <c r="AF147" s="11"/>
      <c r="AG147" s="11" t="s">
        <v>83</v>
      </c>
      <c r="AH147" s="11"/>
      <c r="AI147" s="11"/>
      <c r="AJ147" s="11"/>
      <c r="AK147" s="11"/>
      <c r="AL147" s="11"/>
      <c r="AM147" s="11"/>
      <c r="AO147" s="17"/>
    </row>
    <row r="148" spans="1:41" s="1" customFormat="1" ht="26">
      <c r="A148" s="11">
        <f>IF(A147="",MAX($A$10:A147)+10,A147)</f>
        <v>80</v>
      </c>
      <c r="B148" s="11"/>
      <c r="C148" s="11"/>
      <c r="D148" s="11" t="s">
        <v>160</v>
      </c>
      <c r="E148" s="30" t="s">
        <v>894</v>
      </c>
      <c r="F148" s="11" t="s">
        <v>225</v>
      </c>
      <c r="G148" s="11" t="s">
        <v>2</v>
      </c>
      <c r="H148" s="11"/>
      <c r="I148" s="11" t="s">
        <v>642</v>
      </c>
      <c r="J148" s="11"/>
      <c r="K148" s="11" t="s">
        <v>510</v>
      </c>
      <c r="L148" s="11"/>
      <c r="M148" s="11"/>
      <c r="N148" s="11"/>
      <c r="O148" s="11"/>
      <c r="P148" s="11"/>
      <c r="Q148" s="11" t="s">
        <v>643</v>
      </c>
      <c r="R148" s="11"/>
      <c r="S148" s="11" t="s">
        <v>661</v>
      </c>
      <c r="T148" s="11"/>
      <c r="U148" s="11" t="s">
        <v>645</v>
      </c>
      <c r="V148" s="11"/>
      <c r="W148" s="11"/>
      <c r="X148" s="11" t="s">
        <v>662</v>
      </c>
      <c r="Y148" s="11" t="s">
        <v>543</v>
      </c>
      <c r="AA148" s="11" t="s">
        <v>83</v>
      </c>
      <c r="AB148" s="11" t="s">
        <v>506</v>
      </c>
      <c r="AC148" s="11" t="s">
        <v>506</v>
      </c>
      <c r="AD148" s="11" t="s">
        <v>506</v>
      </c>
      <c r="AF148" s="11"/>
      <c r="AG148" s="11" t="s">
        <v>83</v>
      </c>
      <c r="AH148" s="11" t="s">
        <v>83</v>
      </c>
      <c r="AI148" s="11"/>
      <c r="AJ148" s="11"/>
      <c r="AK148" s="11"/>
      <c r="AL148" s="11"/>
      <c r="AM148" s="11"/>
      <c r="AO148" s="17"/>
    </row>
    <row r="149" spans="1:41" s="1" customFormat="1" ht="26">
      <c r="A149" s="11">
        <f>IF(A148="",MAX($A$10:A148)+10,A148)</f>
        <v>80</v>
      </c>
      <c r="B149" s="11"/>
      <c r="C149" s="11"/>
      <c r="D149" s="11" t="s">
        <v>161</v>
      </c>
      <c r="E149" s="30" t="s">
        <v>895</v>
      </c>
      <c r="F149" s="11" t="s">
        <v>226</v>
      </c>
      <c r="G149" s="11" t="s">
        <v>2</v>
      </c>
      <c r="H149" s="11"/>
      <c r="I149" s="11" t="s">
        <v>647</v>
      </c>
      <c r="J149" s="11"/>
      <c r="K149" s="11" t="s">
        <v>505</v>
      </c>
      <c r="L149" s="11"/>
      <c r="M149" s="11"/>
      <c r="N149" s="11"/>
      <c r="O149" s="11"/>
      <c r="P149" s="11"/>
      <c r="Q149" s="11" t="s">
        <v>174</v>
      </c>
      <c r="R149" s="11"/>
      <c r="S149" s="11" t="s">
        <v>174</v>
      </c>
      <c r="T149" s="11"/>
      <c r="U149" s="11" t="s">
        <v>174</v>
      </c>
      <c r="V149" s="11"/>
      <c r="W149" s="11"/>
      <c r="X149" s="11" t="s">
        <v>662</v>
      </c>
      <c r="Y149" s="11"/>
      <c r="AA149" s="11" t="s">
        <v>506</v>
      </c>
      <c r="AB149" s="11" t="s">
        <v>506</v>
      </c>
      <c r="AC149" s="11" t="s">
        <v>506</v>
      </c>
      <c r="AD149" s="11" t="s">
        <v>506</v>
      </c>
      <c r="AF149" s="11"/>
      <c r="AG149" s="11" t="s">
        <v>83</v>
      </c>
      <c r="AH149" s="11" t="s">
        <v>174</v>
      </c>
      <c r="AI149" s="11"/>
      <c r="AJ149" s="11"/>
      <c r="AK149" s="11"/>
      <c r="AL149" s="11"/>
      <c r="AM149" s="11"/>
      <c r="AO149" s="17"/>
    </row>
    <row r="150" spans="1:41" s="1" customFormat="1" ht="26">
      <c r="A150" s="11">
        <f>IF(A149="",MAX($A$10:A149)+10,A149)</f>
        <v>80</v>
      </c>
      <c r="B150" s="11"/>
      <c r="C150" s="11"/>
      <c r="D150" s="11" t="s">
        <v>162</v>
      </c>
      <c r="E150" s="30" t="s">
        <v>896</v>
      </c>
      <c r="F150" s="11" t="s">
        <v>384</v>
      </c>
      <c r="G150" s="11" t="s">
        <v>2</v>
      </c>
      <c r="H150" s="11"/>
      <c r="I150" s="11" t="s">
        <v>525</v>
      </c>
      <c r="J150" s="11"/>
      <c r="K150" s="11" t="s">
        <v>526</v>
      </c>
      <c r="L150" s="11"/>
      <c r="M150" s="11"/>
      <c r="N150" s="11"/>
      <c r="O150" s="11"/>
      <c r="P150" s="11"/>
      <c r="Q150" s="11" t="s">
        <v>174</v>
      </c>
      <c r="R150" s="11"/>
      <c r="S150" s="11" t="s">
        <v>174</v>
      </c>
      <c r="T150" s="11"/>
      <c r="U150" s="11" t="s">
        <v>174</v>
      </c>
      <c r="V150" s="11"/>
      <c r="W150" s="11"/>
      <c r="X150" s="11" t="s">
        <v>662</v>
      </c>
      <c r="Y150" s="11" t="s">
        <v>543</v>
      </c>
      <c r="AA150" s="11" t="s">
        <v>83</v>
      </c>
      <c r="AB150" s="11" t="s">
        <v>506</v>
      </c>
      <c r="AC150" s="11" t="s">
        <v>506</v>
      </c>
      <c r="AD150" s="11" t="s">
        <v>506</v>
      </c>
      <c r="AF150" s="11"/>
      <c r="AG150" s="11" t="s">
        <v>83</v>
      </c>
      <c r="AH150" s="11" t="s">
        <v>83</v>
      </c>
      <c r="AI150" s="11"/>
      <c r="AJ150" s="11"/>
      <c r="AK150" s="11"/>
      <c r="AL150" s="11"/>
      <c r="AM150" s="11"/>
      <c r="AO150" s="17"/>
    </row>
    <row r="151" spans="1:41" s="1" customFormat="1" ht="26">
      <c r="A151" s="11">
        <f>IF(A150="",MAX($A$10:A150)+10,A150)</f>
        <v>80</v>
      </c>
      <c r="B151" s="11"/>
      <c r="C151" s="11"/>
      <c r="D151" s="11" t="s">
        <v>163</v>
      </c>
      <c r="E151" s="30" t="s">
        <v>897</v>
      </c>
      <c r="F151" s="11" t="s">
        <v>385</v>
      </c>
      <c r="G151" s="11" t="s">
        <v>2</v>
      </c>
      <c r="H151" s="11"/>
      <c r="I151" s="11" t="s">
        <v>525</v>
      </c>
      <c r="J151" s="11"/>
      <c r="K151" s="11" t="s">
        <v>526</v>
      </c>
      <c r="L151" s="11"/>
      <c r="M151" s="11"/>
      <c r="N151" s="11"/>
      <c r="O151" s="11"/>
      <c r="P151" s="11"/>
      <c r="Q151" s="11" t="s">
        <v>174</v>
      </c>
      <c r="R151" s="11"/>
      <c r="S151" s="11" t="s">
        <v>174</v>
      </c>
      <c r="T151" s="11"/>
      <c r="U151" s="11" t="s">
        <v>174</v>
      </c>
      <c r="V151" s="11"/>
      <c r="W151" s="11"/>
      <c r="X151" s="11" t="s">
        <v>662</v>
      </c>
      <c r="Y151" s="11" t="s">
        <v>543</v>
      </c>
      <c r="AA151" s="11" t="s">
        <v>83</v>
      </c>
      <c r="AB151" s="11" t="s">
        <v>506</v>
      </c>
      <c r="AC151" s="11" t="s">
        <v>506</v>
      </c>
      <c r="AD151" s="11" t="s">
        <v>506</v>
      </c>
      <c r="AF151" s="11"/>
      <c r="AG151" s="11" t="s">
        <v>83</v>
      </c>
      <c r="AH151" s="11" t="s">
        <v>83</v>
      </c>
      <c r="AI151" s="11"/>
      <c r="AJ151" s="11"/>
      <c r="AK151" s="11"/>
      <c r="AL151" s="11"/>
      <c r="AM151" s="11"/>
      <c r="AO151" s="17"/>
    </row>
    <row r="152" spans="1:41" s="1" customFormat="1" ht="26">
      <c r="A152" s="11">
        <f>IF(A151="",MAX($A$10:A151)+10,A151)</f>
        <v>80</v>
      </c>
      <c r="B152" s="11"/>
      <c r="C152" s="11"/>
      <c r="D152" s="11" t="s">
        <v>164</v>
      </c>
      <c r="E152" s="30" t="s">
        <v>898</v>
      </c>
      <c r="F152" s="11" t="s">
        <v>227</v>
      </c>
      <c r="G152" s="11" t="s">
        <v>2</v>
      </c>
      <c r="H152" s="11"/>
      <c r="I152" s="11" t="s">
        <v>648</v>
      </c>
      <c r="J152" s="11"/>
      <c r="K152" s="11" t="s">
        <v>510</v>
      </c>
      <c r="L152" s="11"/>
      <c r="M152" s="11"/>
      <c r="N152" s="11"/>
      <c r="O152" s="11"/>
      <c r="P152" s="11"/>
      <c r="Q152" s="11" t="s">
        <v>649</v>
      </c>
      <c r="R152" s="11"/>
      <c r="S152" s="11" t="s">
        <v>663</v>
      </c>
      <c r="T152" s="11"/>
      <c r="U152" s="11" t="s">
        <v>651</v>
      </c>
      <c r="V152" s="11"/>
      <c r="W152" s="11"/>
      <c r="X152" s="11" t="s">
        <v>662</v>
      </c>
      <c r="Y152" s="11" t="s">
        <v>543</v>
      </c>
      <c r="AA152" s="11" t="s">
        <v>83</v>
      </c>
      <c r="AB152" s="11" t="s">
        <v>506</v>
      </c>
      <c r="AC152" s="11" t="s">
        <v>506</v>
      </c>
      <c r="AD152" s="11" t="s">
        <v>506</v>
      </c>
      <c r="AF152" s="11"/>
      <c r="AG152" s="11" t="s">
        <v>83</v>
      </c>
      <c r="AH152" s="11" t="s">
        <v>83</v>
      </c>
      <c r="AI152" s="11"/>
      <c r="AJ152" s="11"/>
      <c r="AK152" s="11"/>
      <c r="AL152" s="11"/>
      <c r="AM152" s="11"/>
      <c r="AO152" s="17"/>
    </row>
    <row r="153" spans="1:41" s="1" customFormat="1" ht="26">
      <c r="A153" s="11">
        <f>IF(A152="",MAX($A$10:A152)+10,A152)</f>
        <v>80</v>
      </c>
      <c r="B153" s="11"/>
      <c r="C153" s="11"/>
      <c r="D153" s="11" t="s">
        <v>165</v>
      </c>
      <c r="E153" s="30" t="s">
        <v>899</v>
      </c>
      <c r="F153" s="11" t="s">
        <v>228</v>
      </c>
      <c r="G153" s="11" t="s">
        <v>2</v>
      </c>
      <c r="H153" s="11"/>
      <c r="I153" s="11" t="s">
        <v>652</v>
      </c>
      <c r="J153" s="11"/>
      <c r="K153" s="11" t="s">
        <v>505</v>
      </c>
      <c r="L153" s="11"/>
      <c r="M153" s="11"/>
      <c r="N153" s="11"/>
      <c r="O153" s="11"/>
      <c r="P153" s="11"/>
      <c r="Q153" s="11" t="s">
        <v>174</v>
      </c>
      <c r="R153" s="11"/>
      <c r="S153" s="11" t="s">
        <v>174</v>
      </c>
      <c r="T153" s="11"/>
      <c r="U153" s="11" t="s">
        <v>174</v>
      </c>
      <c r="V153" s="11"/>
      <c r="W153" s="11"/>
      <c r="X153" s="11" t="s">
        <v>662</v>
      </c>
      <c r="Y153" s="11"/>
      <c r="AA153" s="11" t="s">
        <v>506</v>
      </c>
      <c r="AB153" s="11" t="s">
        <v>506</v>
      </c>
      <c r="AC153" s="11" t="s">
        <v>506</v>
      </c>
      <c r="AD153" s="11" t="s">
        <v>506</v>
      </c>
      <c r="AF153" s="11"/>
      <c r="AG153" s="11" t="s">
        <v>83</v>
      </c>
      <c r="AH153" s="11" t="s">
        <v>174</v>
      </c>
      <c r="AI153" s="11"/>
      <c r="AJ153" s="11"/>
      <c r="AK153" s="11"/>
      <c r="AL153" s="11"/>
      <c r="AM153" s="11"/>
      <c r="AO153" s="17"/>
    </row>
    <row r="154" spans="1:41" s="1" customFormat="1" ht="26">
      <c r="A154" s="11">
        <f>IF(A153="",MAX($A$10:A153)+10,A153)</f>
        <v>80</v>
      </c>
      <c r="B154" s="11"/>
      <c r="C154" s="11"/>
      <c r="D154" s="11" t="s">
        <v>166</v>
      </c>
      <c r="E154" s="30" t="s">
        <v>900</v>
      </c>
      <c r="F154" s="11" t="s">
        <v>229</v>
      </c>
      <c r="G154" s="11" t="s">
        <v>263</v>
      </c>
      <c r="H154" s="11"/>
      <c r="I154" s="11" t="s">
        <v>564</v>
      </c>
      <c r="J154" s="11"/>
      <c r="K154" s="11" t="s">
        <v>510</v>
      </c>
      <c r="L154" s="11"/>
      <c r="M154" s="11"/>
      <c r="N154" s="11"/>
      <c r="O154" s="11"/>
      <c r="P154" s="11"/>
      <c r="Q154" s="11" t="s">
        <v>565</v>
      </c>
      <c r="R154" s="11"/>
      <c r="S154" s="11" t="s">
        <v>664</v>
      </c>
      <c r="T154" s="11"/>
      <c r="U154" s="11" t="s">
        <v>566</v>
      </c>
      <c r="V154" s="11" t="s">
        <v>653</v>
      </c>
      <c r="W154" s="11" t="s">
        <v>568</v>
      </c>
      <c r="X154" s="11" t="s">
        <v>662</v>
      </c>
      <c r="Y154" s="11" t="s">
        <v>543</v>
      </c>
      <c r="AA154" s="11" t="s">
        <v>83</v>
      </c>
      <c r="AB154" s="11" t="s">
        <v>506</v>
      </c>
      <c r="AC154" s="11" t="s">
        <v>506</v>
      </c>
      <c r="AD154" s="11" t="s">
        <v>506</v>
      </c>
      <c r="AF154" s="11"/>
      <c r="AG154" s="11" t="s">
        <v>83</v>
      </c>
      <c r="AH154" s="11" t="s">
        <v>83</v>
      </c>
      <c r="AI154" s="11"/>
      <c r="AJ154" s="11"/>
      <c r="AK154" s="11"/>
      <c r="AL154" s="11"/>
      <c r="AM154" s="11"/>
      <c r="AO154" s="17"/>
    </row>
    <row r="155" spans="1:41" s="1" customFormat="1" ht="26">
      <c r="A155" s="11">
        <f>IF(A154="",MAX($A$10:A154)+10,A154)</f>
        <v>80</v>
      </c>
      <c r="B155" s="11"/>
      <c r="C155" s="11"/>
      <c r="D155" s="11" t="s">
        <v>167</v>
      </c>
      <c r="E155" s="30" t="s">
        <v>901</v>
      </c>
      <c r="F155" s="11" t="s">
        <v>230</v>
      </c>
      <c r="G155" s="11" t="s">
        <v>2</v>
      </c>
      <c r="H155" s="11"/>
      <c r="I155" s="11" t="s">
        <v>569</v>
      </c>
      <c r="J155" s="11"/>
      <c r="K155" s="11" t="s">
        <v>505</v>
      </c>
      <c r="L155" s="11"/>
      <c r="M155" s="11"/>
      <c r="N155" s="11"/>
      <c r="O155" s="11"/>
      <c r="P155" s="11"/>
      <c r="Q155" s="11" t="s">
        <v>174</v>
      </c>
      <c r="R155" s="11"/>
      <c r="S155" s="11" t="s">
        <v>174</v>
      </c>
      <c r="T155" s="11"/>
      <c r="U155" s="11" t="s">
        <v>174</v>
      </c>
      <c r="V155" s="11"/>
      <c r="W155" s="11"/>
      <c r="X155" s="11" t="s">
        <v>662</v>
      </c>
      <c r="Y155" s="11"/>
      <c r="AA155" s="11" t="s">
        <v>506</v>
      </c>
      <c r="AB155" s="11" t="s">
        <v>506</v>
      </c>
      <c r="AC155" s="11" t="s">
        <v>506</v>
      </c>
      <c r="AD155" s="11" t="s">
        <v>506</v>
      </c>
      <c r="AF155" s="11"/>
      <c r="AG155" s="11" t="s">
        <v>83</v>
      </c>
      <c r="AH155" s="11"/>
      <c r="AI155" s="11"/>
      <c r="AJ155" s="11"/>
      <c r="AK155" s="11"/>
      <c r="AL155" s="11"/>
      <c r="AM155" s="11"/>
      <c r="AO155" s="17"/>
    </row>
    <row r="156" spans="1:41" s="1" customFormat="1">
      <c r="A156" s="11">
        <f>IF(A155="",MAX($A$10:A155)+10,A155)</f>
        <v>80</v>
      </c>
      <c r="B156" s="11"/>
      <c r="C156" s="11"/>
      <c r="D156" s="11" t="s">
        <v>424</v>
      </c>
      <c r="E156" s="30" t="s">
        <v>902</v>
      </c>
      <c r="F156" s="11" t="s">
        <v>386</v>
      </c>
      <c r="G156" s="11" t="s">
        <v>2</v>
      </c>
      <c r="H156" s="11"/>
      <c r="I156" s="11" t="s">
        <v>525</v>
      </c>
      <c r="J156" s="11"/>
      <c r="K156" s="11" t="s">
        <v>526</v>
      </c>
      <c r="L156" s="11"/>
      <c r="M156" s="11"/>
      <c r="N156" s="11"/>
      <c r="O156" s="11"/>
      <c r="P156" s="11"/>
      <c r="Q156" s="11" t="s">
        <v>174</v>
      </c>
      <c r="R156" s="11"/>
      <c r="S156" s="11" t="s">
        <v>174</v>
      </c>
      <c r="T156" s="11"/>
      <c r="U156" s="11" t="s">
        <v>174</v>
      </c>
      <c r="V156" s="11"/>
      <c r="W156" s="11"/>
      <c r="X156" s="11" t="s">
        <v>665</v>
      </c>
      <c r="Y156" s="11" t="s">
        <v>543</v>
      </c>
      <c r="AA156" s="11" t="s">
        <v>83</v>
      </c>
      <c r="AB156" s="11" t="s">
        <v>506</v>
      </c>
      <c r="AC156" s="11" t="s">
        <v>506</v>
      </c>
      <c r="AD156" s="11" t="s">
        <v>506</v>
      </c>
      <c r="AF156" s="11"/>
      <c r="AG156" s="11" t="s">
        <v>83</v>
      </c>
      <c r="AH156" s="11" t="s">
        <v>83</v>
      </c>
      <c r="AI156" s="11"/>
      <c r="AJ156" s="11"/>
      <c r="AK156" s="11"/>
      <c r="AL156" s="11"/>
      <c r="AM156" s="11"/>
      <c r="AO156" s="17"/>
    </row>
    <row r="157" spans="1:41" s="1" customFormat="1" ht="26">
      <c r="A157" s="11">
        <f>IF(A156="",MAX($A$10:A156)+10,A156)</f>
        <v>80</v>
      </c>
      <c r="B157" s="11"/>
      <c r="C157" s="11"/>
      <c r="D157" s="11" t="s">
        <v>416</v>
      </c>
      <c r="E157" s="30" t="s">
        <v>903</v>
      </c>
      <c r="F157" s="11" t="s">
        <v>461</v>
      </c>
      <c r="G157" s="11" t="s">
        <v>460</v>
      </c>
      <c r="H157" s="11"/>
      <c r="I157" s="11" t="s">
        <v>666</v>
      </c>
      <c r="J157" s="11"/>
      <c r="K157" s="11" t="s">
        <v>510</v>
      </c>
      <c r="L157" s="11"/>
      <c r="M157" s="11"/>
      <c r="N157" s="11"/>
      <c r="O157" s="11"/>
      <c r="P157" s="11"/>
      <c r="Q157" s="11" t="s">
        <v>667</v>
      </c>
      <c r="R157" s="11"/>
      <c r="S157" s="11" t="s">
        <v>331</v>
      </c>
      <c r="T157" s="11"/>
      <c r="U157" s="11" t="s">
        <v>668</v>
      </c>
      <c r="V157" s="11"/>
      <c r="W157" s="11"/>
      <c r="X157" s="11" t="s">
        <v>665</v>
      </c>
      <c r="Y157" s="11" t="s">
        <v>543</v>
      </c>
      <c r="AA157" s="11" t="s">
        <v>498</v>
      </c>
      <c r="AB157" s="11" t="s">
        <v>506</v>
      </c>
      <c r="AC157" s="11" t="s">
        <v>506</v>
      </c>
      <c r="AD157" s="11" t="s">
        <v>506</v>
      </c>
      <c r="AF157" s="11"/>
      <c r="AG157" s="11" t="s">
        <v>83</v>
      </c>
      <c r="AH157" s="11" t="s">
        <v>83</v>
      </c>
      <c r="AI157" s="11"/>
      <c r="AJ157" s="11"/>
      <c r="AK157" s="11"/>
      <c r="AL157" s="11"/>
      <c r="AM157" s="11"/>
      <c r="AO157" s="17"/>
    </row>
    <row r="158" spans="1:41" s="1" customFormat="1" ht="26">
      <c r="A158" s="11">
        <f>IF(A157="",MAX($A$10:A157)+10,A157)</f>
        <v>80</v>
      </c>
      <c r="B158" s="11"/>
      <c r="C158" s="11"/>
      <c r="D158" s="11" t="s">
        <v>331</v>
      </c>
      <c r="E158" s="30" t="s">
        <v>904</v>
      </c>
      <c r="F158" s="11" t="s">
        <v>462</v>
      </c>
      <c r="G158" s="11" t="s">
        <v>2</v>
      </c>
      <c r="H158" s="11"/>
      <c r="I158" s="11" t="s">
        <v>669</v>
      </c>
      <c r="J158" s="11"/>
      <c r="K158" s="11" t="s">
        <v>505</v>
      </c>
      <c r="L158" s="11"/>
      <c r="M158" s="11"/>
      <c r="N158" s="11"/>
      <c r="O158" s="11"/>
      <c r="P158" s="11"/>
      <c r="Q158" s="11" t="s">
        <v>174</v>
      </c>
      <c r="R158" s="11"/>
      <c r="S158" s="11" t="s">
        <v>174</v>
      </c>
      <c r="T158" s="11"/>
      <c r="U158" s="11" t="s">
        <v>174</v>
      </c>
      <c r="V158" s="11"/>
      <c r="W158" s="11"/>
      <c r="X158" s="11" t="s">
        <v>665</v>
      </c>
      <c r="Y158" s="11"/>
      <c r="AA158" s="11" t="s">
        <v>506</v>
      </c>
      <c r="AB158" s="11" t="s">
        <v>506</v>
      </c>
      <c r="AC158" s="11" t="s">
        <v>506</v>
      </c>
      <c r="AD158" s="11" t="s">
        <v>506</v>
      </c>
      <c r="AF158" s="11"/>
      <c r="AG158" s="11" t="s">
        <v>83</v>
      </c>
      <c r="AH158" s="11" t="s">
        <v>174</v>
      </c>
      <c r="AI158" s="11"/>
      <c r="AJ158" s="11"/>
      <c r="AK158" s="11"/>
      <c r="AL158" s="11"/>
      <c r="AM158" s="11"/>
      <c r="AO158" s="17"/>
    </row>
    <row r="159" spans="1:41" s="1" customFormat="1" ht="26">
      <c r="A159" s="11">
        <f>IF(A158="",MAX($A$10:A158)+10,A158)</f>
        <v>80</v>
      </c>
      <c r="B159" s="11"/>
      <c r="C159" s="11"/>
      <c r="D159" s="11" t="s">
        <v>422</v>
      </c>
      <c r="E159" s="30" t="s">
        <v>905</v>
      </c>
      <c r="F159" s="11" t="s">
        <v>415</v>
      </c>
      <c r="G159" s="11" t="s">
        <v>413</v>
      </c>
      <c r="H159" s="11"/>
      <c r="I159" s="11" t="s">
        <v>666</v>
      </c>
      <c r="J159" s="11"/>
      <c r="K159" s="11" t="s">
        <v>510</v>
      </c>
      <c r="L159" s="11"/>
      <c r="M159" s="11"/>
      <c r="N159" s="11"/>
      <c r="O159" s="11"/>
      <c r="P159" s="11"/>
      <c r="Q159" s="11" t="s">
        <v>667</v>
      </c>
      <c r="R159" s="11"/>
      <c r="S159" s="11" t="s">
        <v>417</v>
      </c>
      <c r="T159" s="11"/>
      <c r="U159" s="11" t="s">
        <v>668</v>
      </c>
      <c r="V159" s="11"/>
      <c r="W159" s="11"/>
      <c r="X159" s="11" t="s">
        <v>665</v>
      </c>
      <c r="Y159" s="11" t="s">
        <v>543</v>
      </c>
      <c r="AA159" s="11" t="s">
        <v>498</v>
      </c>
      <c r="AB159" s="11" t="s">
        <v>506</v>
      </c>
      <c r="AC159" s="11" t="s">
        <v>506</v>
      </c>
      <c r="AD159" s="11" t="s">
        <v>506</v>
      </c>
      <c r="AF159" s="11"/>
      <c r="AG159" s="11" t="s">
        <v>83</v>
      </c>
      <c r="AH159" s="11" t="s">
        <v>83</v>
      </c>
      <c r="AI159" s="11"/>
      <c r="AJ159" s="11"/>
      <c r="AK159" s="11"/>
      <c r="AL159" s="11"/>
      <c r="AM159" s="11"/>
      <c r="AO159" s="17"/>
    </row>
    <row r="160" spans="1:41" s="1" customFormat="1" ht="26">
      <c r="A160" s="11">
        <f>IF(A159="",MAX($A$10:A159)+10,A159)</f>
        <v>80</v>
      </c>
      <c r="B160" s="11"/>
      <c r="C160" s="11"/>
      <c r="D160" s="11" t="s">
        <v>417</v>
      </c>
      <c r="E160" s="30" t="s">
        <v>906</v>
      </c>
      <c r="F160" s="11" t="s">
        <v>414</v>
      </c>
      <c r="G160" s="11" t="s">
        <v>2</v>
      </c>
      <c r="H160" s="11"/>
      <c r="I160" s="11" t="s">
        <v>669</v>
      </c>
      <c r="J160" s="11"/>
      <c r="K160" s="11" t="s">
        <v>505</v>
      </c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 t="s">
        <v>665</v>
      </c>
      <c r="Y160" s="11"/>
      <c r="AA160" s="11" t="s">
        <v>506</v>
      </c>
      <c r="AB160" s="11" t="s">
        <v>506</v>
      </c>
      <c r="AC160" s="11" t="s">
        <v>506</v>
      </c>
      <c r="AD160" s="11" t="s">
        <v>506</v>
      </c>
      <c r="AF160" s="11"/>
      <c r="AG160" s="11" t="s">
        <v>83</v>
      </c>
      <c r="AH160" s="11"/>
      <c r="AI160" s="11"/>
      <c r="AJ160" s="11"/>
      <c r="AK160" s="11"/>
      <c r="AL160" s="11"/>
      <c r="AM160" s="11"/>
      <c r="AO160" s="17"/>
    </row>
    <row r="161" spans="1:41" s="1" customFormat="1">
      <c r="A161" s="11">
        <f>IF(A160="",MAX($A$10:A160)+10,A160)</f>
        <v>80</v>
      </c>
      <c r="B161" s="11"/>
      <c r="C161" s="11"/>
      <c r="D161" s="11" t="s">
        <v>332</v>
      </c>
      <c r="E161" s="30" t="s">
        <v>907</v>
      </c>
      <c r="F161" s="11" t="s">
        <v>387</v>
      </c>
      <c r="G161" s="11" t="s">
        <v>2</v>
      </c>
      <c r="H161" s="11"/>
      <c r="I161" s="11" t="s">
        <v>525</v>
      </c>
      <c r="J161" s="11"/>
      <c r="K161" s="11" t="s">
        <v>526</v>
      </c>
      <c r="L161" s="11"/>
      <c r="M161" s="11"/>
      <c r="N161" s="11"/>
      <c r="O161" s="11"/>
      <c r="P161" s="11"/>
      <c r="Q161" s="11" t="s">
        <v>174</v>
      </c>
      <c r="R161" s="11"/>
      <c r="S161" s="11" t="s">
        <v>174</v>
      </c>
      <c r="T161" s="11"/>
      <c r="U161" s="11" t="s">
        <v>174</v>
      </c>
      <c r="V161" s="11"/>
      <c r="W161" s="11"/>
      <c r="X161" s="11"/>
      <c r="Y161" s="11" t="s">
        <v>543</v>
      </c>
      <c r="AA161" s="11" t="s">
        <v>83</v>
      </c>
      <c r="AB161" s="11" t="s">
        <v>506</v>
      </c>
      <c r="AC161" s="11" t="s">
        <v>506</v>
      </c>
      <c r="AD161" s="11" t="s">
        <v>506</v>
      </c>
      <c r="AF161" s="11"/>
      <c r="AG161" s="11" t="s">
        <v>83</v>
      </c>
      <c r="AH161" s="11" t="s">
        <v>83</v>
      </c>
      <c r="AI161" s="11"/>
      <c r="AJ161" s="11"/>
      <c r="AK161" s="11"/>
      <c r="AL161" s="11"/>
      <c r="AM161" s="11"/>
      <c r="AO161" s="17"/>
    </row>
    <row r="162" spans="1:41" s="1" customFormat="1" ht="26">
      <c r="A162" s="11">
        <f>IF(A161="",MAX($A$10:A161)+10,A161)</f>
        <v>80</v>
      </c>
      <c r="B162" s="11"/>
      <c r="C162" s="11"/>
      <c r="D162" s="11" t="s">
        <v>333</v>
      </c>
      <c r="E162" s="30" t="s">
        <v>908</v>
      </c>
      <c r="F162" s="11" t="s">
        <v>231</v>
      </c>
      <c r="G162" s="11" t="s">
        <v>264</v>
      </c>
      <c r="H162" s="11"/>
      <c r="I162" s="11" t="s">
        <v>666</v>
      </c>
      <c r="J162" s="11"/>
      <c r="K162" s="11" t="s">
        <v>510</v>
      </c>
      <c r="L162" s="11"/>
      <c r="M162" s="11"/>
      <c r="N162" s="11"/>
      <c r="O162" s="11"/>
      <c r="P162" s="11"/>
      <c r="Q162" s="11" t="s">
        <v>667</v>
      </c>
      <c r="R162" s="11"/>
      <c r="S162" s="11" t="s">
        <v>334</v>
      </c>
      <c r="T162" s="11"/>
      <c r="U162" s="11" t="s">
        <v>668</v>
      </c>
      <c r="V162" s="11"/>
      <c r="W162" s="11"/>
      <c r="X162" s="11"/>
      <c r="Y162" s="11" t="s">
        <v>543</v>
      </c>
      <c r="AA162" s="11" t="s">
        <v>498</v>
      </c>
      <c r="AB162" s="11" t="s">
        <v>506</v>
      </c>
      <c r="AC162" s="11" t="s">
        <v>506</v>
      </c>
      <c r="AD162" s="11" t="s">
        <v>506</v>
      </c>
      <c r="AF162" s="11"/>
      <c r="AG162" s="11" t="s">
        <v>83</v>
      </c>
      <c r="AH162" s="11" t="s">
        <v>83</v>
      </c>
      <c r="AI162" s="11"/>
      <c r="AJ162" s="11"/>
      <c r="AK162" s="11"/>
      <c r="AL162" s="11"/>
      <c r="AM162" s="11"/>
      <c r="AO162" s="17"/>
    </row>
    <row r="163" spans="1:41" s="1" customFormat="1" ht="26">
      <c r="A163" s="11">
        <f>IF(A162="",MAX($A$10:A162)+10,A162)</f>
        <v>80</v>
      </c>
      <c r="B163" s="11"/>
      <c r="C163" s="11"/>
      <c r="D163" s="11" t="s">
        <v>334</v>
      </c>
      <c r="E163" s="30" t="s">
        <v>909</v>
      </c>
      <c r="F163" s="11" t="s">
        <v>232</v>
      </c>
      <c r="G163" s="11" t="s">
        <v>2</v>
      </c>
      <c r="H163" s="11"/>
      <c r="I163" s="11" t="s">
        <v>669</v>
      </c>
      <c r="J163" s="11"/>
      <c r="K163" s="11" t="s">
        <v>505</v>
      </c>
      <c r="L163" s="11"/>
      <c r="M163" s="11"/>
      <c r="N163" s="11"/>
      <c r="O163" s="11"/>
      <c r="P163" s="11"/>
      <c r="Q163" s="11" t="s">
        <v>174</v>
      </c>
      <c r="R163" s="11"/>
      <c r="S163" s="11" t="s">
        <v>174</v>
      </c>
      <c r="T163" s="11"/>
      <c r="U163" s="11" t="s">
        <v>174</v>
      </c>
      <c r="V163" s="11"/>
      <c r="W163" s="11"/>
      <c r="X163" s="11"/>
      <c r="Y163" s="11"/>
      <c r="AA163" s="11" t="s">
        <v>506</v>
      </c>
      <c r="AB163" s="11" t="s">
        <v>506</v>
      </c>
      <c r="AC163" s="11" t="s">
        <v>506</v>
      </c>
      <c r="AD163" s="11" t="s">
        <v>506</v>
      </c>
      <c r="AF163" s="11"/>
      <c r="AG163" s="11" t="s">
        <v>83</v>
      </c>
      <c r="AH163" s="11" t="s">
        <v>174</v>
      </c>
      <c r="AI163" s="11"/>
      <c r="AJ163" s="11"/>
      <c r="AK163" s="11"/>
      <c r="AL163" s="11"/>
      <c r="AM163" s="11"/>
      <c r="AO163" s="17"/>
    </row>
    <row r="164" spans="1:41" s="1" customFormat="1">
      <c r="A164" s="11">
        <f>IF(A163="",MAX($A$10:A163)+10,A163)</f>
        <v>80</v>
      </c>
      <c r="B164" s="11"/>
      <c r="C164" s="11"/>
      <c r="D164" s="11" t="s">
        <v>443</v>
      </c>
      <c r="E164" s="30" t="s">
        <v>910</v>
      </c>
      <c r="F164" s="11" t="s">
        <v>388</v>
      </c>
      <c r="G164" s="11" t="s">
        <v>2</v>
      </c>
      <c r="H164" s="11"/>
      <c r="I164" s="11" t="s">
        <v>525</v>
      </c>
      <c r="J164" s="11"/>
      <c r="K164" s="11" t="s">
        <v>526</v>
      </c>
      <c r="L164" s="11"/>
      <c r="M164" s="11"/>
      <c r="N164" s="11"/>
      <c r="O164" s="11"/>
      <c r="P164" s="11"/>
      <c r="Q164" s="11" t="s">
        <v>174</v>
      </c>
      <c r="R164" s="11"/>
      <c r="S164" s="11" t="s">
        <v>174</v>
      </c>
      <c r="T164" s="11"/>
      <c r="U164" s="11" t="s">
        <v>174</v>
      </c>
      <c r="V164" s="11"/>
      <c r="W164" s="11"/>
      <c r="X164" s="11" t="s">
        <v>665</v>
      </c>
      <c r="Y164" s="11" t="s">
        <v>543</v>
      </c>
      <c r="AA164" s="11" t="s">
        <v>498</v>
      </c>
      <c r="AB164" s="11" t="s">
        <v>506</v>
      </c>
      <c r="AC164" s="11" t="s">
        <v>506</v>
      </c>
      <c r="AD164" s="11" t="s">
        <v>506</v>
      </c>
      <c r="AF164" s="11"/>
      <c r="AG164" s="11" t="s">
        <v>83</v>
      </c>
      <c r="AH164" s="11" t="s">
        <v>83</v>
      </c>
      <c r="AI164" s="11"/>
      <c r="AJ164" s="11"/>
      <c r="AK164" s="11"/>
      <c r="AL164" s="11"/>
      <c r="AM164" s="11"/>
      <c r="AO164" s="17"/>
    </row>
    <row r="165" spans="1:41" s="1" customFormat="1" ht="26">
      <c r="A165" s="11">
        <f>IF(A164="",MAX($A$10:A164)+10,A164)</f>
        <v>80</v>
      </c>
      <c r="B165" s="11"/>
      <c r="C165" s="11"/>
      <c r="D165" s="11" t="s">
        <v>444</v>
      </c>
      <c r="E165" s="30" t="s">
        <v>911</v>
      </c>
      <c r="F165" s="11" t="s">
        <v>233</v>
      </c>
      <c r="G165" s="11" t="s">
        <v>265</v>
      </c>
      <c r="H165" s="11"/>
      <c r="I165" s="11" t="s">
        <v>666</v>
      </c>
      <c r="J165" s="11"/>
      <c r="K165" s="11" t="s">
        <v>510</v>
      </c>
      <c r="L165" s="11"/>
      <c r="M165" s="11"/>
      <c r="N165" s="11"/>
      <c r="O165" s="11"/>
      <c r="P165" s="11"/>
      <c r="Q165" s="11" t="s">
        <v>667</v>
      </c>
      <c r="R165" s="11"/>
      <c r="S165" s="11" t="s">
        <v>670</v>
      </c>
      <c r="T165" s="11"/>
      <c r="U165" s="11" t="s">
        <v>668</v>
      </c>
      <c r="V165" s="11"/>
      <c r="W165" s="11"/>
      <c r="X165" s="11" t="s">
        <v>665</v>
      </c>
      <c r="Y165" s="11" t="s">
        <v>543</v>
      </c>
      <c r="AA165" s="11" t="s">
        <v>498</v>
      </c>
      <c r="AB165" s="11" t="s">
        <v>506</v>
      </c>
      <c r="AC165" s="11" t="s">
        <v>506</v>
      </c>
      <c r="AD165" s="11" t="s">
        <v>506</v>
      </c>
      <c r="AF165" s="11"/>
      <c r="AG165" s="11" t="s">
        <v>83</v>
      </c>
      <c r="AH165" s="11" t="s">
        <v>83</v>
      </c>
      <c r="AI165" s="11"/>
      <c r="AJ165" s="11"/>
      <c r="AK165" s="11"/>
      <c r="AL165" s="11"/>
      <c r="AM165" s="11"/>
      <c r="AO165" s="17"/>
    </row>
    <row r="166" spans="1:41" s="1" customFormat="1">
      <c r="A166" s="11">
        <f>IF(A165="",MAX($A$10:A165)+10,A165)</f>
        <v>80</v>
      </c>
      <c r="B166" s="11"/>
      <c r="C166" s="11"/>
      <c r="D166" s="11" t="s">
        <v>168</v>
      </c>
      <c r="E166" s="30" t="s">
        <v>912</v>
      </c>
      <c r="F166" s="11" t="s">
        <v>234</v>
      </c>
      <c r="G166" s="11" t="s">
        <v>2</v>
      </c>
      <c r="H166" s="11"/>
      <c r="I166" s="11" t="s">
        <v>669</v>
      </c>
      <c r="J166" s="11"/>
      <c r="K166" s="11" t="s">
        <v>505</v>
      </c>
      <c r="L166" s="11"/>
      <c r="M166" s="11"/>
      <c r="N166" s="11"/>
      <c r="O166" s="11"/>
      <c r="P166" s="11"/>
      <c r="Q166" s="11" t="s">
        <v>174</v>
      </c>
      <c r="R166" s="11"/>
      <c r="S166" s="11" t="s">
        <v>174</v>
      </c>
      <c r="T166" s="11"/>
      <c r="U166" s="11" t="s">
        <v>174</v>
      </c>
      <c r="V166" s="11"/>
      <c r="W166" s="11"/>
      <c r="X166" s="11" t="s">
        <v>665</v>
      </c>
      <c r="Y166" s="11"/>
      <c r="AA166" s="11" t="s">
        <v>506</v>
      </c>
      <c r="AB166" s="11" t="s">
        <v>506</v>
      </c>
      <c r="AC166" s="11" t="s">
        <v>506</v>
      </c>
      <c r="AD166" s="11" t="s">
        <v>506</v>
      </c>
      <c r="AF166" s="11"/>
      <c r="AG166" s="11" t="s">
        <v>83</v>
      </c>
      <c r="AH166" s="11" t="s">
        <v>174</v>
      </c>
      <c r="AI166" s="11"/>
      <c r="AJ166" s="11"/>
      <c r="AK166" s="11"/>
      <c r="AL166" s="11"/>
      <c r="AM166" s="11"/>
      <c r="AO166" s="17"/>
    </row>
    <row r="167" spans="1:41" s="1" customFormat="1">
      <c r="A167" s="11">
        <f>IF(A166="",MAX($A$10:A166)+10,A166)</f>
        <v>80</v>
      </c>
      <c r="B167" s="11"/>
      <c r="C167" s="11"/>
      <c r="D167" s="11" t="s">
        <v>328</v>
      </c>
      <c r="E167" s="30" t="s">
        <v>913</v>
      </c>
      <c r="F167" s="11" t="s">
        <v>389</v>
      </c>
      <c r="G167" s="11" t="s">
        <v>2</v>
      </c>
      <c r="H167" s="11"/>
      <c r="I167" s="11" t="s">
        <v>525</v>
      </c>
      <c r="J167" s="11"/>
      <c r="K167" s="11" t="s">
        <v>526</v>
      </c>
      <c r="L167" s="11"/>
      <c r="M167" s="11"/>
      <c r="N167" s="11"/>
      <c r="O167" s="11"/>
      <c r="P167" s="11"/>
      <c r="Q167" s="11" t="s">
        <v>174</v>
      </c>
      <c r="R167" s="11"/>
      <c r="S167" s="11" t="s">
        <v>174</v>
      </c>
      <c r="T167" s="11"/>
      <c r="U167" s="11" t="s">
        <v>174</v>
      </c>
      <c r="V167" s="11"/>
      <c r="W167" s="11"/>
      <c r="X167" s="11" t="s">
        <v>665</v>
      </c>
      <c r="Y167" s="11" t="s">
        <v>543</v>
      </c>
      <c r="AA167" s="11" t="s">
        <v>498</v>
      </c>
      <c r="AB167" s="11" t="s">
        <v>506</v>
      </c>
      <c r="AC167" s="11" t="s">
        <v>506</v>
      </c>
      <c r="AD167" s="11" t="s">
        <v>506</v>
      </c>
      <c r="AF167" s="11"/>
      <c r="AG167" s="11" t="s">
        <v>83</v>
      </c>
      <c r="AH167" s="11" t="s">
        <v>83</v>
      </c>
      <c r="AI167" s="11"/>
      <c r="AJ167" s="11"/>
      <c r="AK167" s="11"/>
      <c r="AL167" s="11"/>
      <c r="AM167" s="11"/>
      <c r="AO167" s="17"/>
    </row>
    <row r="168" spans="1:41" s="1" customFormat="1" ht="26">
      <c r="A168" s="11">
        <f>IF(A167="",MAX($A$10:A167)+10,A167)</f>
        <v>80</v>
      </c>
      <c r="B168" s="11"/>
      <c r="C168" s="11"/>
      <c r="D168" s="11" t="s">
        <v>329</v>
      </c>
      <c r="E168" s="30" t="s">
        <v>914</v>
      </c>
      <c r="F168" s="11" t="s">
        <v>235</v>
      </c>
      <c r="G168" s="11" t="s">
        <v>266</v>
      </c>
      <c r="H168" s="11"/>
      <c r="I168" s="11" t="s">
        <v>666</v>
      </c>
      <c r="J168" s="11"/>
      <c r="K168" s="11" t="s">
        <v>510</v>
      </c>
      <c r="L168" s="11"/>
      <c r="M168" s="11"/>
      <c r="N168" s="11"/>
      <c r="O168" s="11"/>
      <c r="P168" s="11"/>
      <c r="Q168" s="11" t="s">
        <v>667</v>
      </c>
      <c r="R168" s="11"/>
      <c r="S168" s="11" t="s">
        <v>330</v>
      </c>
      <c r="T168" s="11"/>
      <c r="U168" s="11" t="s">
        <v>668</v>
      </c>
      <c r="V168" s="11"/>
      <c r="W168" s="11"/>
      <c r="X168" s="11" t="s">
        <v>665</v>
      </c>
      <c r="Y168" s="11" t="s">
        <v>543</v>
      </c>
      <c r="AA168" s="11" t="s">
        <v>498</v>
      </c>
      <c r="AB168" s="11" t="s">
        <v>506</v>
      </c>
      <c r="AC168" s="11" t="s">
        <v>506</v>
      </c>
      <c r="AD168" s="11" t="s">
        <v>506</v>
      </c>
      <c r="AF168" s="11"/>
      <c r="AG168" s="11" t="s">
        <v>83</v>
      </c>
      <c r="AH168" s="11" t="s">
        <v>83</v>
      </c>
      <c r="AI168" s="11"/>
      <c r="AJ168" s="11"/>
      <c r="AK168" s="11"/>
      <c r="AL168" s="11"/>
      <c r="AM168" s="11"/>
      <c r="AO168" s="17"/>
    </row>
    <row r="169" spans="1:41" s="1" customFormat="1">
      <c r="A169" s="11">
        <f>IF(A168="",MAX($A$10:A168)+10,A168)</f>
        <v>80</v>
      </c>
      <c r="B169" s="11"/>
      <c r="C169" s="11"/>
      <c r="D169" s="11" t="s">
        <v>330</v>
      </c>
      <c r="E169" s="30" t="s">
        <v>915</v>
      </c>
      <c r="F169" s="11" t="s">
        <v>236</v>
      </c>
      <c r="G169" s="11" t="s">
        <v>2</v>
      </c>
      <c r="H169" s="11"/>
      <c r="I169" s="11" t="s">
        <v>669</v>
      </c>
      <c r="J169" s="11"/>
      <c r="K169" s="11" t="s">
        <v>505</v>
      </c>
      <c r="L169" s="11"/>
      <c r="M169" s="11"/>
      <c r="N169" s="11"/>
      <c r="O169" s="11"/>
      <c r="P169" s="11"/>
      <c r="Q169" s="11" t="s">
        <v>174</v>
      </c>
      <c r="R169" s="11"/>
      <c r="S169" s="11" t="s">
        <v>174</v>
      </c>
      <c r="T169" s="11"/>
      <c r="U169" s="11" t="s">
        <v>174</v>
      </c>
      <c r="V169" s="11"/>
      <c r="W169" s="11"/>
      <c r="X169" s="11" t="s">
        <v>665</v>
      </c>
      <c r="Y169" s="11"/>
      <c r="AA169" s="11" t="s">
        <v>506</v>
      </c>
      <c r="AB169" s="11" t="s">
        <v>506</v>
      </c>
      <c r="AC169" s="11" t="s">
        <v>506</v>
      </c>
      <c r="AD169" s="11" t="s">
        <v>506</v>
      </c>
      <c r="AF169" s="11"/>
      <c r="AG169" s="11" t="s">
        <v>83</v>
      </c>
      <c r="AH169" s="11" t="s">
        <v>174</v>
      </c>
      <c r="AI169" s="11"/>
      <c r="AJ169" s="11"/>
      <c r="AK169" s="11"/>
      <c r="AL169" s="11"/>
      <c r="AM169" s="11"/>
      <c r="AO169" s="17"/>
    </row>
    <row r="170" spans="1:41" s="1" customFormat="1" ht="26">
      <c r="A170" s="11">
        <f>IF(A169="",MAX($A$10:A169)+10,A169)</f>
        <v>80</v>
      </c>
      <c r="B170" s="11"/>
      <c r="C170" s="11"/>
      <c r="D170" s="11" t="s">
        <v>445</v>
      </c>
      <c r="E170" s="30" t="s">
        <v>916</v>
      </c>
      <c r="F170" s="11" t="s">
        <v>237</v>
      </c>
      <c r="G170" s="11" t="s">
        <v>2</v>
      </c>
      <c r="H170" s="11"/>
      <c r="I170" s="11" t="s">
        <v>671</v>
      </c>
      <c r="J170" s="11"/>
      <c r="K170" s="11" t="s">
        <v>510</v>
      </c>
      <c r="L170" s="11"/>
      <c r="M170" s="11"/>
      <c r="N170" s="11"/>
      <c r="O170" s="11"/>
      <c r="P170" s="11"/>
      <c r="Q170" s="11" t="s">
        <v>672</v>
      </c>
      <c r="R170" s="11"/>
      <c r="S170" s="11" t="s">
        <v>363</v>
      </c>
      <c r="T170" s="11"/>
      <c r="U170" s="11" t="s">
        <v>673</v>
      </c>
      <c r="V170" s="11"/>
      <c r="W170" s="11"/>
      <c r="X170" s="11" t="s">
        <v>646</v>
      </c>
      <c r="Y170" s="11"/>
      <c r="AA170" s="11" t="s">
        <v>83</v>
      </c>
      <c r="AB170" s="11" t="s">
        <v>506</v>
      </c>
      <c r="AC170" s="11" t="s">
        <v>506</v>
      </c>
      <c r="AD170" s="11" t="s">
        <v>506</v>
      </c>
      <c r="AF170" s="11"/>
      <c r="AG170" s="11" t="s">
        <v>83</v>
      </c>
      <c r="AH170" s="11" t="s">
        <v>83</v>
      </c>
      <c r="AI170" s="11"/>
      <c r="AJ170" s="11"/>
      <c r="AK170" s="11"/>
      <c r="AL170" s="11"/>
      <c r="AM170" s="11"/>
      <c r="AO170" s="17"/>
    </row>
    <row r="171" spans="1:41" s="1" customFormat="1">
      <c r="A171" s="11">
        <f>IF(A170="",MAX($A$10:A170)+10,A170)</f>
        <v>80</v>
      </c>
      <c r="B171" s="11"/>
      <c r="C171" s="11"/>
      <c r="D171" s="11" t="s">
        <v>363</v>
      </c>
      <c r="E171" s="30" t="s">
        <v>917</v>
      </c>
      <c r="F171" s="11" t="s">
        <v>238</v>
      </c>
      <c r="G171" s="11" t="s">
        <v>2</v>
      </c>
      <c r="H171" s="11"/>
      <c r="I171" s="11" t="s">
        <v>674</v>
      </c>
      <c r="J171" s="11"/>
      <c r="K171" s="11" t="s">
        <v>505</v>
      </c>
      <c r="L171" s="11"/>
      <c r="M171" s="11"/>
      <c r="N171" s="11"/>
      <c r="O171" s="11"/>
      <c r="P171" s="11"/>
      <c r="Q171" s="11" t="s">
        <v>174</v>
      </c>
      <c r="R171" s="11"/>
      <c r="S171" s="11" t="s">
        <v>174</v>
      </c>
      <c r="T171" s="11"/>
      <c r="U171" s="11" t="s">
        <v>174</v>
      </c>
      <c r="V171" s="11"/>
      <c r="W171" s="11"/>
      <c r="X171" s="11" t="s">
        <v>646</v>
      </c>
      <c r="Y171" s="11"/>
      <c r="AA171" s="11" t="s">
        <v>506</v>
      </c>
      <c r="AB171" s="11" t="s">
        <v>506</v>
      </c>
      <c r="AC171" s="11" t="s">
        <v>506</v>
      </c>
      <c r="AD171" s="11" t="s">
        <v>506</v>
      </c>
      <c r="AF171" s="11"/>
      <c r="AG171" s="11" t="s">
        <v>83</v>
      </c>
      <c r="AH171" s="11" t="s">
        <v>174</v>
      </c>
      <c r="AI171" s="11"/>
      <c r="AJ171" s="11"/>
      <c r="AK171" s="11"/>
      <c r="AL171" s="11"/>
      <c r="AM171" s="11"/>
      <c r="AO171" s="17"/>
    </row>
    <row r="172" spans="1:41" s="1" customFormat="1" ht="26">
      <c r="A172" s="11">
        <f>IF(A171="",MAX($A$10:A171)+10,A171)</f>
        <v>80</v>
      </c>
      <c r="B172" s="11"/>
      <c r="C172" s="11"/>
      <c r="D172" s="11" t="s">
        <v>446</v>
      </c>
      <c r="E172" s="30" t="s">
        <v>918</v>
      </c>
      <c r="F172" s="11" t="s">
        <v>239</v>
      </c>
      <c r="G172" s="11" t="s">
        <v>2</v>
      </c>
      <c r="H172" s="11"/>
      <c r="I172" s="11" t="s">
        <v>671</v>
      </c>
      <c r="J172" s="11"/>
      <c r="K172" s="11" t="s">
        <v>510</v>
      </c>
      <c r="L172" s="11"/>
      <c r="M172" s="11"/>
      <c r="N172" s="11"/>
      <c r="O172" s="11"/>
      <c r="P172" s="11"/>
      <c r="Q172" s="11" t="s">
        <v>672</v>
      </c>
      <c r="R172" s="11"/>
      <c r="S172" s="11" t="s">
        <v>364</v>
      </c>
      <c r="T172" s="11"/>
      <c r="U172" s="11" t="s">
        <v>673</v>
      </c>
      <c r="V172" s="11"/>
      <c r="W172" s="11"/>
      <c r="X172" s="11" t="s">
        <v>655</v>
      </c>
      <c r="Y172" s="11"/>
      <c r="AA172" s="11" t="s">
        <v>83</v>
      </c>
      <c r="AB172" s="11" t="s">
        <v>506</v>
      </c>
      <c r="AC172" s="11" t="s">
        <v>506</v>
      </c>
      <c r="AD172" s="11" t="s">
        <v>506</v>
      </c>
      <c r="AF172" s="11"/>
      <c r="AG172" s="11" t="s">
        <v>83</v>
      </c>
      <c r="AH172" s="11" t="s">
        <v>83</v>
      </c>
      <c r="AI172" s="11"/>
      <c r="AJ172" s="11"/>
      <c r="AK172" s="11"/>
      <c r="AL172" s="11"/>
      <c r="AM172" s="11"/>
      <c r="AO172" s="17"/>
    </row>
    <row r="173" spans="1:41" s="1" customFormat="1">
      <c r="A173" s="11">
        <f>IF(A172="",MAX($A$10:A172)+10,A172)</f>
        <v>80</v>
      </c>
      <c r="B173" s="11"/>
      <c r="C173" s="11"/>
      <c r="D173" s="11" t="s">
        <v>364</v>
      </c>
      <c r="E173" s="30" t="s">
        <v>919</v>
      </c>
      <c r="F173" s="11" t="s">
        <v>240</v>
      </c>
      <c r="G173" s="11" t="s">
        <v>2</v>
      </c>
      <c r="H173" s="11"/>
      <c r="I173" s="11" t="s">
        <v>674</v>
      </c>
      <c r="J173" s="11"/>
      <c r="K173" s="11" t="s">
        <v>505</v>
      </c>
      <c r="L173" s="11"/>
      <c r="M173" s="11"/>
      <c r="N173" s="11"/>
      <c r="O173" s="11"/>
      <c r="P173" s="11"/>
      <c r="Q173" s="11" t="s">
        <v>174</v>
      </c>
      <c r="R173" s="11"/>
      <c r="S173" s="11" t="s">
        <v>174</v>
      </c>
      <c r="T173" s="11"/>
      <c r="U173" s="11" t="s">
        <v>174</v>
      </c>
      <c r="V173" s="11"/>
      <c r="W173" s="11"/>
      <c r="X173" s="11" t="s">
        <v>655</v>
      </c>
      <c r="Y173" s="11"/>
      <c r="AA173" s="11" t="s">
        <v>506</v>
      </c>
      <c r="AB173" s="11" t="s">
        <v>506</v>
      </c>
      <c r="AC173" s="11" t="s">
        <v>506</v>
      </c>
      <c r="AD173" s="11" t="s">
        <v>506</v>
      </c>
      <c r="AF173" s="11"/>
      <c r="AG173" s="11" t="s">
        <v>83</v>
      </c>
      <c r="AH173" s="11" t="s">
        <v>174</v>
      </c>
      <c r="AI173" s="11"/>
      <c r="AJ173" s="11"/>
      <c r="AK173" s="11"/>
      <c r="AL173" s="11"/>
      <c r="AM173" s="11"/>
      <c r="AO173" s="17"/>
    </row>
    <row r="174" spans="1:41" s="1" customFormat="1" ht="26">
      <c r="A174" s="11">
        <f>IF(A173="",MAX($A$10:A173)+10,A173)</f>
        <v>80</v>
      </c>
      <c r="B174" s="11"/>
      <c r="C174" s="11"/>
      <c r="D174" s="11" t="s">
        <v>447</v>
      </c>
      <c r="E174" s="30" t="s">
        <v>920</v>
      </c>
      <c r="F174" s="11" t="s">
        <v>241</v>
      </c>
      <c r="G174" s="11" t="s">
        <v>2</v>
      </c>
      <c r="H174" s="11"/>
      <c r="I174" s="11" t="s">
        <v>671</v>
      </c>
      <c r="J174" s="11"/>
      <c r="K174" s="11" t="s">
        <v>510</v>
      </c>
      <c r="L174" s="11"/>
      <c r="M174" s="11"/>
      <c r="N174" s="11"/>
      <c r="O174" s="11"/>
      <c r="P174" s="11"/>
      <c r="Q174" s="11" t="s">
        <v>672</v>
      </c>
      <c r="R174" s="11"/>
      <c r="S174" s="11" t="s">
        <v>365</v>
      </c>
      <c r="T174" s="11"/>
      <c r="U174" s="11" t="s">
        <v>673</v>
      </c>
      <c r="V174" s="11"/>
      <c r="W174" s="11"/>
      <c r="X174" s="11" t="s">
        <v>658</v>
      </c>
      <c r="Y174" s="11"/>
      <c r="AA174" s="11" t="s">
        <v>83</v>
      </c>
      <c r="AB174" s="11" t="s">
        <v>506</v>
      </c>
      <c r="AC174" s="11" t="s">
        <v>506</v>
      </c>
      <c r="AD174" s="11" t="s">
        <v>506</v>
      </c>
      <c r="AF174" s="11"/>
      <c r="AG174" s="11" t="s">
        <v>83</v>
      </c>
      <c r="AH174" s="11" t="s">
        <v>83</v>
      </c>
      <c r="AI174" s="11"/>
      <c r="AJ174" s="11"/>
      <c r="AK174" s="11"/>
      <c r="AL174" s="11"/>
      <c r="AM174" s="11"/>
      <c r="AO174" s="17"/>
    </row>
    <row r="175" spans="1:41" s="1" customFormat="1">
      <c r="A175" s="11">
        <f>IF(A174="",MAX($A$10:A174)+10,A174)</f>
        <v>80</v>
      </c>
      <c r="B175" s="11"/>
      <c r="C175" s="11"/>
      <c r="D175" s="11" t="s">
        <v>365</v>
      </c>
      <c r="E175" s="30" t="s">
        <v>921</v>
      </c>
      <c r="F175" s="11" t="s">
        <v>242</v>
      </c>
      <c r="G175" s="11" t="s">
        <v>2</v>
      </c>
      <c r="H175" s="11"/>
      <c r="I175" s="11" t="s">
        <v>674</v>
      </c>
      <c r="J175" s="11"/>
      <c r="K175" s="11" t="s">
        <v>505</v>
      </c>
      <c r="L175" s="11"/>
      <c r="M175" s="11"/>
      <c r="N175" s="11"/>
      <c r="O175" s="11"/>
      <c r="P175" s="11"/>
      <c r="Q175" s="11" t="s">
        <v>174</v>
      </c>
      <c r="R175" s="11"/>
      <c r="S175" s="11" t="s">
        <v>174</v>
      </c>
      <c r="T175" s="11"/>
      <c r="U175" s="11" t="s">
        <v>174</v>
      </c>
      <c r="V175" s="11"/>
      <c r="W175" s="11"/>
      <c r="X175" s="11" t="s">
        <v>658</v>
      </c>
      <c r="Y175" s="11"/>
      <c r="AA175" s="11" t="s">
        <v>506</v>
      </c>
      <c r="AB175" s="11" t="s">
        <v>506</v>
      </c>
      <c r="AC175" s="11" t="s">
        <v>506</v>
      </c>
      <c r="AD175" s="11" t="s">
        <v>506</v>
      </c>
      <c r="AF175" s="11"/>
      <c r="AG175" s="11" t="s">
        <v>83</v>
      </c>
      <c r="AH175" s="11" t="s">
        <v>174</v>
      </c>
      <c r="AI175" s="11"/>
      <c r="AJ175" s="11"/>
      <c r="AK175" s="11"/>
      <c r="AL175" s="11"/>
      <c r="AM175" s="11"/>
      <c r="AO175" s="17"/>
    </row>
    <row r="176" spans="1:41" s="1" customFormat="1" ht="26">
      <c r="A176" s="11">
        <f>IF(A175="",MAX($A$10:A175)+10,A175)</f>
        <v>80</v>
      </c>
      <c r="B176" s="11"/>
      <c r="C176" s="11"/>
      <c r="D176" s="11" t="s">
        <v>448</v>
      </c>
      <c r="E176" s="30" t="s">
        <v>922</v>
      </c>
      <c r="F176" s="11" t="s">
        <v>243</v>
      </c>
      <c r="G176" s="11" t="s">
        <v>2</v>
      </c>
      <c r="H176" s="11"/>
      <c r="I176" s="11" t="s">
        <v>671</v>
      </c>
      <c r="J176" s="11"/>
      <c r="K176" s="11" t="s">
        <v>510</v>
      </c>
      <c r="L176" s="11"/>
      <c r="M176" s="11"/>
      <c r="N176" s="11"/>
      <c r="O176" s="11"/>
      <c r="P176" s="11"/>
      <c r="Q176" s="11" t="s">
        <v>672</v>
      </c>
      <c r="R176" s="11"/>
      <c r="S176" s="11" t="s">
        <v>366</v>
      </c>
      <c r="T176" s="11"/>
      <c r="U176" s="11" t="s">
        <v>673</v>
      </c>
      <c r="V176" s="11"/>
      <c r="W176" s="11"/>
      <c r="X176" s="11" t="s">
        <v>662</v>
      </c>
      <c r="Y176" s="11"/>
      <c r="AA176" s="11" t="s">
        <v>83</v>
      </c>
      <c r="AB176" s="11" t="s">
        <v>506</v>
      </c>
      <c r="AC176" s="11" t="s">
        <v>506</v>
      </c>
      <c r="AD176" s="11" t="s">
        <v>506</v>
      </c>
      <c r="AF176" s="11"/>
      <c r="AG176" s="11" t="s">
        <v>83</v>
      </c>
      <c r="AH176" s="11" t="s">
        <v>83</v>
      </c>
      <c r="AI176" s="11"/>
      <c r="AJ176" s="11"/>
      <c r="AK176" s="11"/>
      <c r="AL176" s="11"/>
      <c r="AM176" s="11"/>
      <c r="AO176" s="17"/>
    </row>
    <row r="177" spans="1:41" s="1" customFormat="1">
      <c r="A177" s="11">
        <f>IF(A176="",MAX($A$10:A176)+10,A176)</f>
        <v>80</v>
      </c>
      <c r="B177" s="11"/>
      <c r="C177" s="11"/>
      <c r="D177" s="11" t="s">
        <v>366</v>
      </c>
      <c r="E177" s="30" t="s">
        <v>923</v>
      </c>
      <c r="F177" s="11" t="s">
        <v>244</v>
      </c>
      <c r="G177" s="11" t="s">
        <v>2</v>
      </c>
      <c r="H177" s="11"/>
      <c r="I177" s="11" t="s">
        <v>674</v>
      </c>
      <c r="J177" s="11"/>
      <c r="K177" s="11" t="s">
        <v>505</v>
      </c>
      <c r="L177" s="11"/>
      <c r="M177" s="11"/>
      <c r="N177" s="11"/>
      <c r="O177" s="11"/>
      <c r="P177" s="11"/>
      <c r="Q177" s="11" t="s">
        <v>174</v>
      </c>
      <c r="R177" s="11"/>
      <c r="S177" s="11" t="s">
        <v>174</v>
      </c>
      <c r="T177" s="11"/>
      <c r="U177" s="11" t="s">
        <v>174</v>
      </c>
      <c r="V177" s="11"/>
      <c r="W177" s="11"/>
      <c r="X177" s="11" t="s">
        <v>662</v>
      </c>
      <c r="Y177" s="11"/>
      <c r="AA177" s="11" t="s">
        <v>506</v>
      </c>
      <c r="AB177" s="11" t="s">
        <v>506</v>
      </c>
      <c r="AC177" s="11" t="s">
        <v>506</v>
      </c>
      <c r="AD177" s="11" t="s">
        <v>506</v>
      </c>
      <c r="AF177" s="11"/>
      <c r="AG177" s="11" t="s">
        <v>83</v>
      </c>
      <c r="AH177" s="11" t="s">
        <v>174</v>
      </c>
      <c r="AI177" s="11"/>
      <c r="AJ177" s="11"/>
      <c r="AK177" s="11"/>
      <c r="AL177" s="11"/>
      <c r="AM177" s="11"/>
      <c r="AO177" s="17"/>
    </row>
    <row r="178" spans="1:41" s="1" customFormat="1">
      <c r="A178" s="11">
        <f>IF(A177="",MAX($A$10:A177)+10,A177)</f>
        <v>80</v>
      </c>
      <c r="B178" s="11"/>
      <c r="C178" s="11"/>
      <c r="D178" s="11" t="s">
        <v>455</v>
      </c>
      <c r="E178" s="30" t="s">
        <v>924</v>
      </c>
      <c r="F178" s="11" t="s">
        <v>276</v>
      </c>
      <c r="G178" s="11" t="s">
        <v>2</v>
      </c>
      <c r="H178" s="11"/>
      <c r="I178" s="11" t="s">
        <v>525</v>
      </c>
      <c r="J178" s="11"/>
      <c r="K178" s="11" t="s">
        <v>526</v>
      </c>
      <c r="L178" s="11"/>
      <c r="M178" s="11"/>
      <c r="N178" s="11"/>
      <c r="O178" s="11"/>
      <c r="P178" s="11"/>
      <c r="Q178" s="11" t="s">
        <v>174</v>
      </c>
      <c r="R178" s="11"/>
      <c r="S178" s="11"/>
      <c r="T178" s="11"/>
      <c r="U178" s="11"/>
      <c r="V178" s="11"/>
      <c r="W178" s="11"/>
      <c r="X178" s="11"/>
      <c r="Y178" s="11" t="s">
        <v>543</v>
      </c>
      <c r="AA178" s="11" t="s">
        <v>498</v>
      </c>
      <c r="AB178" s="11" t="s">
        <v>506</v>
      </c>
      <c r="AC178" s="11" t="s">
        <v>506</v>
      </c>
      <c r="AD178" s="11" t="s">
        <v>506</v>
      </c>
      <c r="AF178" s="11"/>
      <c r="AG178" s="11" t="s">
        <v>83</v>
      </c>
      <c r="AH178" s="11" t="s">
        <v>83</v>
      </c>
      <c r="AI178" s="11"/>
      <c r="AJ178" s="11"/>
      <c r="AK178" s="11"/>
      <c r="AL178" s="11"/>
      <c r="AM178" s="11"/>
      <c r="AO178" s="17"/>
    </row>
    <row r="179" spans="1:41" s="1" customFormat="1">
      <c r="A179" s="11">
        <f>IF(A178="",MAX($A$10:A178)+10,A178)</f>
        <v>80</v>
      </c>
      <c r="B179" s="11"/>
      <c r="C179" s="11"/>
      <c r="D179" s="11" t="s">
        <v>449</v>
      </c>
      <c r="E179" s="30" t="s">
        <v>925</v>
      </c>
      <c r="F179" s="11" t="s">
        <v>390</v>
      </c>
      <c r="G179" s="11" t="s">
        <v>2</v>
      </c>
      <c r="H179" s="11"/>
      <c r="I179" s="11" t="s">
        <v>525</v>
      </c>
      <c r="J179" s="11"/>
      <c r="K179" s="11" t="s">
        <v>526</v>
      </c>
      <c r="L179" s="11"/>
      <c r="M179" s="11"/>
      <c r="N179" s="11"/>
      <c r="O179" s="11"/>
      <c r="P179" s="11"/>
      <c r="Q179" s="11" t="s">
        <v>174</v>
      </c>
      <c r="R179" s="11"/>
      <c r="S179" s="11" t="s">
        <v>174</v>
      </c>
      <c r="T179" s="11"/>
      <c r="U179" s="11" t="s">
        <v>174</v>
      </c>
      <c r="V179" s="11"/>
      <c r="W179" s="11"/>
      <c r="X179" s="11"/>
      <c r="Y179" s="11" t="s">
        <v>543</v>
      </c>
      <c r="AA179" s="11" t="s">
        <v>498</v>
      </c>
      <c r="AB179" s="11" t="s">
        <v>506</v>
      </c>
      <c r="AC179" s="11" t="s">
        <v>506</v>
      </c>
      <c r="AD179" s="11" t="s">
        <v>506</v>
      </c>
      <c r="AF179" s="11"/>
      <c r="AG179" s="11" t="s">
        <v>83</v>
      </c>
      <c r="AH179" s="11" t="s">
        <v>83</v>
      </c>
      <c r="AI179" s="11"/>
      <c r="AJ179" s="11"/>
      <c r="AK179" s="11"/>
      <c r="AL179" s="11"/>
      <c r="AM179" s="11"/>
      <c r="AO179" s="17"/>
    </row>
    <row r="180" spans="1:41" s="1" customFormat="1">
      <c r="A180" s="11">
        <f>IF(A179="",MAX($A$10:A179)+10,A179)</f>
        <v>80</v>
      </c>
      <c r="B180" s="11"/>
      <c r="C180" s="11"/>
      <c r="D180" s="11" t="s">
        <v>324</v>
      </c>
      <c r="E180" s="30" t="s">
        <v>926</v>
      </c>
      <c r="F180" s="11" t="s">
        <v>438</v>
      </c>
      <c r="G180" s="11" t="s">
        <v>2</v>
      </c>
      <c r="H180" s="11"/>
      <c r="I180" s="11" t="s">
        <v>525</v>
      </c>
      <c r="J180" s="11"/>
      <c r="K180" s="11" t="s">
        <v>526</v>
      </c>
      <c r="L180" s="11"/>
      <c r="M180" s="11"/>
      <c r="N180" s="11"/>
      <c r="O180" s="11"/>
      <c r="P180" s="11"/>
      <c r="Q180" s="11" t="s">
        <v>174</v>
      </c>
      <c r="R180" s="11"/>
      <c r="S180" s="11" t="s">
        <v>174</v>
      </c>
      <c r="T180" s="11"/>
      <c r="U180" s="11" t="s">
        <v>174</v>
      </c>
      <c r="V180" s="11"/>
      <c r="W180" s="11"/>
      <c r="X180" s="11"/>
      <c r="Y180" s="11" t="s">
        <v>543</v>
      </c>
      <c r="AA180" s="11" t="s">
        <v>498</v>
      </c>
      <c r="AB180" s="11" t="s">
        <v>506</v>
      </c>
      <c r="AC180" s="11" t="s">
        <v>506</v>
      </c>
      <c r="AD180" s="11" t="s">
        <v>506</v>
      </c>
      <c r="AF180" s="11"/>
      <c r="AG180" s="11" t="s">
        <v>83</v>
      </c>
      <c r="AH180" s="11" t="s">
        <v>83</v>
      </c>
      <c r="AI180" s="11"/>
      <c r="AJ180" s="11"/>
      <c r="AK180" s="11"/>
      <c r="AL180" s="11"/>
      <c r="AM180" s="11"/>
      <c r="AO180" s="17"/>
    </row>
    <row r="181" spans="1:41" s="1" customFormat="1">
      <c r="A181" s="11">
        <f>IF(A180="",MAX($A$10:A180)+10,A180)</f>
        <v>80</v>
      </c>
      <c r="B181" s="11"/>
      <c r="C181" s="11"/>
      <c r="D181" s="11" t="s">
        <v>450</v>
      </c>
      <c r="E181" s="30" t="s">
        <v>927</v>
      </c>
      <c r="F181" s="11" t="s">
        <v>275</v>
      </c>
      <c r="G181" s="11" t="s">
        <v>2</v>
      </c>
      <c r="H181" s="11"/>
      <c r="I181" s="11" t="s">
        <v>525</v>
      </c>
      <c r="J181" s="11"/>
      <c r="K181" s="11" t="s">
        <v>526</v>
      </c>
      <c r="L181" s="11"/>
      <c r="M181" s="11"/>
      <c r="N181" s="11"/>
      <c r="O181" s="11"/>
      <c r="P181" s="11"/>
      <c r="Q181" s="11" t="s">
        <v>174</v>
      </c>
      <c r="R181" s="11"/>
      <c r="S181" s="11" t="s">
        <v>174</v>
      </c>
      <c r="T181" s="11"/>
      <c r="U181" s="11" t="s">
        <v>174</v>
      </c>
      <c r="V181" s="11"/>
      <c r="W181" s="11"/>
      <c r="X181" s="11"/>
      <c r="Y181" s="11" t="s">
        <v>543</v>
      </c>
      <c r="AA181" s="11" t="s">
        <v>498</v>
      </c>
      <c r="AB181" s="11" t="s">
        <v>506</v>
      </c>
      <c r="AC181" s="11" t="s">
        <v>506</v>
      </c>
      <c r="AD181" s="11" t="s">
        <v>506</v>
      </c>
      <c r="AF181" s="11"/>
      <c r="AG181" s="11" t="s">
        <v>83</v>
      </c>
      <c r="AH181" s="11" t="s">
        <v>83</v>
      </c>
      <c r="AI181" s="11"/>
      <c r="AJ181" s="11"/>
      <c r="AK181" s="11"/>
      <c r="AL181" s="11"/>
      <c r="AM181" s="11"/>
      <c r="AO181" s="17"/>
    </row>
    <row r="182" spans="1:41" s="1" customFormat="1" ht="26">
      <c r="A182" s="11">
        <f>IF(A181="",MAX($A$10:A181)+10,A181)</f>
        <v>80</v>
      </c>
      <c r="B182" s="11"/>
      <c r="C182" s="11"/>
      <c r="D182" s="11" t="s">
        <v>451</v>
      </c>
      <c r="E182" s="30" t="s">
        <v>928</v>
      </c>
      <c r="F182" s="11" t="s">
        <v>245</v>
      </c>
      <c r="G182" s="11" t="s">
        <v>2</v>
      </c>
      <c r="H182" s="11"/>
      <c r="I182" s="11" t="s">
        <v>675</v>
      </c>
      <c r="J182" s="11"/>
      <c r="K182" s="11" t="s">
        <v>510</v>
      </c>
      <c r="L182" s="11"/>
      <c r="M182" s="11"/>
      <c r="N182" s="11"/>
      <c r="O182" s="11"/>
      <c r="P182" s="11"/>
      <c r="Q182" s="11" t="s">
        <v>676</v>
      </c>
      <c r="R182" s="11"/>
      <c r="S182" s="11" t="s">
        <v>677</v>
      </c>
      <c r="T182" s="11"/>
      <c r="U182" s="11" t="s">
        <v>678</v>
      </c>
      <c r="V182" s="11"/>
      <c r="W182" s="11"/>
      <c r="X182" s="11"/>
      <c r="Y182" s="11" t="s">
        <v>543</v>
      </c>
      <c r="AA182" s="11" t="s">
        <v>83</v>
      </c>
      <c r="AB182" s="11" t="s">
        <v>506</v>
      </c>
      <c r="AC182" s="11" t="s">
        <v>506</v>
      </c>
      <c r="AD182" s="11" t="s">
        <v>506</v>
      </c>
      <c r="AF182" s="11"/>
      <c r="AG182" s="11" t="s">
        <v>83</v>
      </c>
      <c r="AH182" s="11" t="s">
        <v>83</v>
      </c>
      <c r="AI182" s="11"/>
      <c r="AJ182" s="11"/>
      <c r="AK182" s="11"/>
      <c r="AL182" s="11"/>
      <c r="AM182" s="11"/>
      <c r="AO182" s="17"/>
    </row>
    <row r="183" spans="1:41" s="1" customFormat="1" ht="26">
      <c r="A183" s="11">
        <f>IF(A182="",MAX($A$10:A182)+10,A182)</f>
        <v>80</v>
      </c>
      <c r="B183" s="11"/>
      <c r="C183" s="11"/>
      <c r="D183" s="11" t="s">
        <v>169</v>
      </c>
      <c r="E183" s="30" t="s">
        <v>929</v>
      </c>
      <c r="F183" s="11" t="s">
        <v>246</v>
      </c>
      <c r="G183" s="11" t="s">
        <v>2</v>
      </c>
      <c r="H183" s="11"/>
      <c r="I183" s="11" t="s">
        <v>679</v>
      </c>
      <c r="J183" s="11"/>
      <c r="K183" s="11" t="s">
        <v>505</v>
      </c>
      <c r="L183" s="11"/>
      <c r="M183" s="11"/>
      <c r="N183" s="11"/>
      <c r="O183" s="11"/>
      <c r="P183" s="11"/>
      <c r="Q183" s="11" t="s">
        <v>174</v>
      </c>
      <c r="R183" s="11"/>
      <c r="S183" s="11" t="s">
        <v>174</v>
      </c>
      <c r="T183" s="11"/>
      <c r="U183" s="11" t="s">
        <v>174</v>
      </c>
      <c r="V183" s="11"/>
      <c r="W183" s="11"/>
      <c r="X183" s="11"/>
      <c r="Y183" s="11"/>
      <c r="AA183" s="11" t="s">
        <v>506</v>
      </c>
      <c r="AB183" s="11" t="s">
        <v>506</v>
      </c>
      <c r="AC183" s="11" t="s">
        <v>506</v>
      </c>
      <c r="AD183" s="11" t="s">
        <v>506</v>
      </c>
      <c r="AF183" s="11"/>
      <c r="AG183" s="11" t="s">
        <v>83</v>
      </c>
      <c r="AH183" s="11" t="s">
        <v>174</v>
      </c>
      <c r="AI183" s="11"/>
      <c r="AJ183" s="11"/>
      <c r="AK183" s="11"/>
      <c r="AL183" s="11"/>
      <c r="AM183" s="11"/>
      <c r="AO183" s="17"/>
    </row>
    <row r="184" spans="1:41" s="1" customFormat="1" ht="26">
      <c r="A184" s="11">
        <f>IF(A183="",MAX($A$10:A183)+10,A183)</f>
        <v>80</v>
      </c>
      <c r="B184" s="11"/>
      <c r="C184" s="11"/>
      <c r="D184" s="11" t="s">
        <v>452</v>
      </c>
      <c r="E184" s="30" t="s">
        <v>930</v>
      </c>
      <c r="F184" s="11" t="s">
        <v>247</v>
      </c>
      <c r="G184" s="11" t="s">
        <v>2</v>
      </c>
      <c r="H184" s="11"/>
      <c r="I184" s="11" t="s">
        <v>680</v>
      </c>
      <c r="J184" s="11"/>
      <c r="K184" s="11" t="s">
        <v>510</v>
      </c>
      <c r="L184" s="11"/>
      <c r="M184" s="11"/>
      <c r="N184" s="11"/>
      <c r="O184" s="11"/>
      <c r="P184" s="11"/>
      <c r="Q184" s="11" t="s">
        <v>681</v>
      </c>
      <c r="R184" s="11"/>
      <c r="S184" s="11" t="s">
        <v>682</v>
      </c>
      <c r="T184" s="11"/>
      <c r="U184" s="11" t="s">
        <v>683</v>
      </c>
      <c r="V184" s="11"/>
      <c r="W184" s="11"/>
      <c r="X184" s="11"/>
      <c r="Y184" s="11" t="s">
        <v>543</v>
      </c>
      <c r="AA184" s="11" t="s">
        <v>83</v>
      </c>
      <c r="AB184" s="11" t="s">
        <v>506</v>
      </c>
      <c r="AC184" s="11" t="s">
        <v>506</v>
      </c>
      <c r="AD184" s="11" t="s">
        <v>506</v>
      </c>
      <c r="AF184" s="11"/>
      <c r="AG184" s="11" t="s">
        <v>83</v>
      </c>
      <c r="AH184" s="11" t="s">
        <v>83</v>
      </c>
      <c r="AI184" s="11"/>
      <c r="AJ184" s="11"/>
      <c r="AK184" s="11"/>
      <c r="AL184" s="11"/>
      <c r="AM184" s="11"/>
      <c r="AO184" s="17"/>
    </row>
    <row r="185" spans="1:41" s="1" customFormat="1" ht="26">
      <c r="A185" s="11">
        <f>IF(A184="",MAX($A$10:A184)+10,A184)</f>
        <v>80</v>
      </c>
      <c r="B185" s="11"/>
      <c r="C185" s="11"/>
      <c r="D185" s="11" t="s">
        <v>170</v>
      </c>
      <c r="E185" s="30" t="s">
        <v>931</v>
      </c>
      <c r="F185" s="11" t="s">
        <v>248</v>
      </c>
      <c r="G185" s="11" t="s">
        <v>2</v>
      </c>
      <c r="H185" s="11"/>
      <c r="I185" s="11" t="s">
        <v>684</v>
      </c>
      <c r="J185" s="11"/>
      <c r="K185" s="11" t="s">
        <v>505</v>
      </c>
      <c r="L185" s="11"/>
      <c r="M185" s="11"/>
      <c r="N185" s="11"/>
      <c r="O185" s="11"/>
      <c r="P185" s="11"/>
      <c r="Q185" s="11" t="s">
        <v>174</v>
      </c>
      <c r="R185" s="11"/>
      <c r="S185" s="11" t="s">
        <v>174</v>
      </c>
      <c r="T185" s="11"/>
      <c r="U185" s="11" t="s">
        <v>174</v>
      </c>
      <c r="V185" s="11"/>
      <c r="W185" s="11"/>
      <c r="X185" s="11"/>
      <c r="Y185" s="11"/>
      <c r="AA185" s="11" t="s">
        <v>506</v>
      </c>
      <c r="AB185" s="11" t="s">
        <v>506</v>
      </c>
      <c r="AC185" s="11" t="s">
        <v>506</v>
      </c>
      <c r="AD185" s="11" t="s">
        <v>506</v>
      </c>
      <c r="AF185" s="11"/>
      <c r="AG185" s="11" t="s">
        <v>83</v>
      </c>
      <c r="AH185" s="11" t="s">
        <v>174</v>
      </c>
      <c r="AI185" s="11"/>
      <c r="AJ185" s="11"/>
      <c r="AK185" s="11"/>
      <c r="AL185" s="11"/>
      <c r="AM185" s="11"/>
      <c r="AO185" s="17"/>
    </row>
    <row r="186" spans="1:41" s="1" customFormat="1" ht="26">
      <c r="A186" s="11">
        <f>IF(A185="",MAX($A$10:A185)+10,A185)</f>
        <v>80</v>
      </c>
      <c r="B186" s="11"/>
      <c r="C186" s="11"/>
      <c r="D186" s="11" t="s">
        <v>453</v>
      </c>
      <c r="E186" s="30" t="s">
        <v>932</v>
      </c>
      <c r="F186" s="11" t="s">
        <v>249</v>
      </c>
      <c r="G186" s="11" t="s">
        <v>2</v>
      </c>
      <c r="H186" s="11"/>
      <c r="I186" s="11" t="s">
        <v>685</v>
      </c>
      <c r="J186" s="11"/>
      <c r="K186" s="11" t="s">
        <v>510</v>
      </c>
      <c r="L186" s="11"/>
      <c r="M186" s="11"/>
      <c r="N186" s="11"/>
      <c r="O186" s="11"/>
      <c r="P186" s="11"/>
      <c r="Q186" s="11" t="s">
        <v>686</v>
      </c>
      <c r="R186" s="11"/>
      <c r="S186" s="11" t="s">
        <v>687</v>
      </c>
      <c r="T186" s="11"/>
      <c r="U186" s="11" t="s">
        <v>688</v>
      </c>
      <c r="V186" s="11"/>
      <c r="W186" s="11"/>
      <c r="X186" s="11"/>
      <c r="Y186" s="11" t="s">
        <v>543</v>
      </c>
      <c r="AA186" s="11" t="s">
        <v>83</v>
      </c>
      <c r="AB186" s="11" t="s">
        <v>506</v>
      </c>
      <c r="AC186" s="11" t="s">
        <v>506</v>
      </c>
      <c r="AD186" s="11" t="s">
        <v>506</v>
      </c>
      <c r="AF186" s="11"/>
      <c r="AG186" s="11" t="s">
        <v>83</v>
      </c>
      <c r="AH186" s="11" t="s">
        <v>83</v>
      </c>
      <c r="AI186" s="11"/>
      <c r="AJ186" s="11"/>
      <c r="AK186" s="11"/>
      <c r="AL186" s="11"/>
      <c r="AM186" s="11"/>
      <c r="AO186" s="17"/>
    </row>
    <row r="187" spans="1:41" s="1" customFormat="1">
      <c r="A187" s="11">
        <f>IF(A186="",MAX($A$10:A186)+10,A186)</f>
        <v>80</v>
      </c>
      <c r="B187" s="11"/>
      <c r="C187" s="11"/>
      <c r="D187" s="11" t="s">
        <v>171</v>
      </c>
      <c r="E187" s="30" t="s">
        <v>933</v>
      </c>
      <c r="F187" s="11" t="s">
        <v>250</v>
      </c>
      <c r="G187" s="11" t="s">
        <v>2</v>
      </c>
      <c r="H187" s="11"/>
      <c r="I187" s="11" t="s">
        <v>689</v>
      </c>
      <c r="J187" s="11"/>
      <c r="K187" s="11" t="s">
        <v>505</v>
      </c>
      <c r="L187" s="11"/>
      <c r="M187" s="11"/>
      <c r="N187" s="11"/>
      <c r="O187" s="11"/>
      <c r="P187" s="11"/>
      <c r="Q187" s="11" t="s">
        <v>174</v>
      </c>
      <c r="R187" s="11"/>
      <c r="S187" s="11"/>
      <c r="T187" s="11"/>
      <c r="U187" s="11"/>
      <c r="V187" s="11"/>
      <c r="W187" s="11"/>
      <c r="X187" s="11"/>
      <c r="Y187" s="11"/>
      <c r="AA187" s="11" t="s">
        <v>506</v>
      </c>
      <c r="AB187" s="11" t="s">
        <v>506</v>
      </c>
      <c r="AC187" s="11" t="s">
        <v>506</v>
      </c>
      <c r="AD187" s="11" t="s">
        <v>506</v>
      </c>
      <c r="AF187" s="11"/>
      <c r="AG187" s="11" t="s">
        <v>83</v>
      </c>
      <c r="AH187" s="11" t="s">
        <v>174</v>
      </c>
      <c r="AI187" s="11"/>
      <c r="AJ187" s="11"/>
      <c r="AK187" s="11"/>
      <c r="AL187" s="11"/>
      <c r="AM187" s="11"/>
      <c r="AO187" s="17"/>
    </row>
    <row r="188" spans="1:41" s="1" customFormat="1">
      <c r="A188" s="11">
        <f>IF(A187="",MAX($A$10:A187)+10,A187)</f>
        <v>80</v>
      </c>
      <c r="B188" s="11"/>
      <c r="C188" s="11"/>
      <c r="D188" s="11" t="s">
        <v>454</v>
      </c>
      <c r="E188" s="30" t="s">
        <v>934</v>
      </c>
      <c r="F188" s="11" t="s">
        <v>425</v>
      </c>
      <c r="G188" s="11" t="s">
        <v>2</v>
      </c>
      <c r="H188" s="11"/>
      <c r="I188" s="11" t="s">
        <v>525</v>
      </c>
      <c r="J188" s="11"/>
      <c r="K188" s="11" t="s">
        <v>526</v>
      </c>
      <c r="L188" s="11"/>
      <c r="M188" s="11"/>
      <c r="N188" s="11"/>
      <c r="O188" s="11"/>
      <c r="P188" s="11"/>
      <c r="Q188" s="11" t="s">
        <v>174</v>
      </c>
      <c r="R188" s="11"/>
      <c r="S188" s="11"/>
      <c r="T188" s="11"/>
      <c r="U188" s="11"/>
      <c r="V188" s="11"/>
      <c r="W188" s="11"/>
      <c r="X188" s="11"/>
      <c r="Y188" s="11" t="s">
        <v>543</v>
      </c>
      <c r="AA188" s="11" t="s">
        <v>498</v>
      </c>
      <c r="AB188" s="11" t="s">
        <v>506</v>
      </c>
      <c r="AC188" s="11" t="s">
        <v>506</v>
      </c>
      <c r="AD188" s="11" t="s">
        <v>506</v>
      </c>
      <c r="AF188" s="11"/>
      <c r="AG188" s="11" t="s">
        <v>83</v>
      </c>
      <c r="AH188" s="11" t="s">
        <v>83</v>
      </c>
      <c r="AI188" s="11"/>
      <c r="AJ188" s="11"/>
      <c r="AK188" s="11"/>
      <c r="AL188" s="11"/>
      <c r="AM188" s="11"/>
      <c r="AO188" s="17"/>
    </row>
    <row r="189" spans="1:41" s="1" customFormat="1">
      <c r="A189" s="11">
        <f>IF(A188="",MAX($A$10:A188)+10,A188)</f>
        <v>80</v>
      </c>
      <c r="B189" s="11"/>
      <c r="C189" s="11"/>
      <c r="D189" s="11" t="s">
        <v>456</v>
      </c>
      <c r="E189" s="30" t="s">
        <v>935</v>
      </c>
      <c r="F189" s="11" t="s">
        <v>277</v>
      </c>
      <c r="G189" s="11" t="s">
        <v>2</v>
      </c>
      <c r="H189" s="11"/>
      <c r="I189" s="11" t="s">
        <v>525</v>
      </c>
      <c r="J189" s="11"/>
      <c r="K189" s="11" t="s">
        <v>526</v>
      </c>
      <c r="L189" s="11"/>
      <c r="M189" s="11"/>
      <c r="N189" s="11"/>
      <c r="O189" s="11"/>
      <c r="P189" s="11"/>
      <c r="Q189" s="11" t="s">
        <v>174</v>
      </c>
      <c r="R189" s="11"/>
      <c r="S189" s="11"/>
      <c r="T189" s="11"/>
      <c r="U189" s="11"/>
      <c r="V189" s="11"/>
      <c r="W189" s="11"/>
      <c r="X189" s="11"/>
      <c r="Y189" s="11"/>
      <c r="AA189" s="11" t="s">
        <v>498</v>
      </c>
      <c r="AB189" s="11" t="s">
        <v>506</v>
      </c>
      <c r="AC189" s="11" t="s">
        <v>506</v>
      </c>
      <c r="AD189" s="11" t="s">
        <v>506</v>
      </c>
      <c r="AF189" s="11"/>
      <c r="AG189" s="11" t="s">
        <v>83</v>
      </c>
      <c r="AH189" s="11" t="s">
        <v>83</v>
      </c>
      <c r="AI189" s="11"/>
      <c r="AJ189" s="11"/>
      <c r="AK189" s="11"/>
      <c r="AL189" s="11"/>
      <c r="AM189" s="11"/>
      <c r="AO189" s="17"/>
    </row>
    <row r="190" spans="1:41" s="1" customFormat="1" ht="26">
      <c r="A190" s="11">
        <f>IF(A189="",MAX($A$10:A189)+10,A189)</f>
        <v>80</v>
      </c>
      <c r="B190" s="11"/>
      <c r="C190" s="11"/>
      <c r="D190" s="11" t="s">
        <v>172</v>
      </c>
      <c r="E190" s="30" t="s">
        <v>936</v>
      </c>
      <c r="F190" s="11" t="s">
        <v>251</v>
      </c>
      <c r="G190" s="11" t="s">
        <v>267</v>
      </c>
      <c r="H190" s="11"/>
      <c r="I190" s="11" t="s">
        <v>690</v>
      </c>
      <c r="J190" s="11"/>
      <c r="K190" s="11" t="s">
        <v>510</v>
      </c>
      <c r="L190" s="11"/>
      <c r="M190" s="11"/>
      <c r="N190" s="11"/>
      <c r="O190" s="11"/>
      <c r="P190" s="11"/>
      <c r="Q190" s="11" t="s">
        <v>691</v>
      </c>
      <c r="R190" s="11"/>
      <c r="S190" s="11" t="s">
        <v>692</v>
      </c>
      <c r="T190" s="11"/>
      <c r="U190" s="11" t="s">
        <v>693</v>
      </c>
      <c r="V190" s="11"/>
      <c r="W190" s="11"/>
      <c r="X190" s="11"/>
      <c r="Y190" s="11" t="s">
        <v>543</v>
      </c>
      <c r="AA190" s="11" t="s">
        <v>83</v>
      </c>
      <c r="AB190" s="11" t="s">
        <v>506</v>
      </c>
      <c r="AC190" s="11" t="s">
        <v>506</v>
      </c>
      <c r="AD190" s="11" t="s">
        <v>506</v>
      </c>
      <c r="AF190" s="11"/>
      <c r="AG190" s="11" t="s">
        <v>83</v>
      </c>
      <c r="AH190" s="11" t="s">
        <v>83</v>
      </c>
      <c r="AI190" s="11"/>
      <c r="AJ190" s="11"/>
      <c r="AK190" s="11"/>
      <c r="AL190" s="11"/>
      <c r="AM190" s="11"/>
      <c r="AO190" s="17"/>
    </row>
    <row r="191" spans="1:41" s="1" customFormat="1">
      <c r="A191" s="11">
        <f>IF(A190="",MAX($A$10:A190)+10,A190)</f>
        <v>80</v>
      </c>
      <c r="B191" s="11"/>
      <c r="C191" s="11"/>
      <c r="D191" s="11" t="s">
        <v>173</v>
      </c>
      <c r="E191" s="30" t="s">
        <v>937</v>
      </c>
      <c r="F191" s="11" t="s">
        <v>252</v>
      </c>
      <c r="G191" s="11" t="s">
        <v>2</v>
      </c>
      <c r="H191" s="11"/>
      <c r="I191" s="11" t="s">
        <v>694</v>
      </c>
      <c r="J191" s="11"/>
      <c r="K191" s="11" t="s">
        <v>505</v>
      </c>
      <c r="L191" s="11"/>
      <c r="M191" s="11"/>
      <c r="N191" s="11"/>
      <c r="O191" s="11"/>
      <c r="P191" s="11"/>
      <c r="Q191" s="11" t="s">
        <v>174</v>
      </c>
      <c r="R191" s="11"/>
      <c r="S191" s="11"/>
      <c r="T191" s="11"/>
      <c r="U191" s="11"/>
      <c r="V191" s="11"/>
      <c r="W191" s="11"/>
      <c r="X191" s="11"/>
      <c r="Y191" s="11"/>
      <c r="AA191" s="11" t="s">
        <v>506</v>
      </c>
      <c r="AB191" s="11" t="s">
        <v>506</v>
      </c>
      <c r="AC191" s="11" t="s">
        <v>506</v>
      </c>
      <c r="AD191" s="11" t="s">
        <v>506</v>
      </c>
      <c r="AF191" s="11"/>
      <c r="AG191" s="11" t="s">
        <v>83</v>
      </c>
      <c r="AH191" s="11"/>
      <c r="AI191" s="11"/>
      <c r="AJ191" s="11"/>
      <c r="AK191" s="11"/>
      <c r="AL191" s="11"/>
      <c r="AM191" s="11"/>
      <c r="AO191" s="17"/>
    </row>
    <row r="192" spans="1:41" s="1" customFormat="1">
      <c r="A192" s="11">
        <f>IF(A191="",MAX($A$10:A191)+10,A191)</f>
        <v>80</v>
      </c>
      <c r="B192" s="11"/>
      <c r="C192" s="11"/>
      <c r="D192" s="11" t="s">
        <v>29</v>
      </c>
      <c r="E192" s="30" t="s">
        <v>787</v>
      </c>
      <c r="F192" s="11" t="s">
        <v>22</v>
      </c>
      <c r="G192" s="11" t="s">
        <v>10</v>
      </c>
      <c r="H192" s="11"/>
      <c r="I192" s="11" t="s">
        <v>520</v>
      </c>
      <c r="J192" s="11"/>
      <c r="K192" s="11" t="s">
        <v>505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AA192" s="11" t="s">
        <v>83</v>
      </c>
      <c r="AB192" s="11" t="s">
        <v>506</v>
      </c>
      <c r="AC192" s="11" t="s">
        <v>506</v>
      </c>
      <c r="AD192" s="11" t="s">
        <v>506</v>
      </c>
      <c r="AF192" s="11"/>
      <c r="AG192" s="11" t="s">
        <v>83</v>
      </c>
      <c r="AH192" s="11" t="s">
        <v>83</v>
      </c>
      <c r="AI192" s="11"/>
      <c r="AJ192" s="11"/>
      <c r="AK192" s="11"/>
      <c r="AL192" s="11"/>
      <c r="AM192" s="11"/>
      <c r="AO192" s="17"/>
    </row>
    <row r="193" spans="1:41" s="1" customFormat="1">
      <c r="A193" s="11">
        <f>IF(A192="",MAX($A$10:A192)+10,A192)</f>
        <v>80</v>
      </c>
      <c r="B193" s="11"/>
      <c r="C193" s="11"/>
      <c r="D193" s="11" t="s">
        <v>23</v>
      </c>
      <c r="E193" s="30" t="s">
        <v>788</v>
      </c>
      <c r="F193" s="11" t="s">
        <v>25</v>
      </c>
      <c r="G193" s="11" t="s">
        <v>10</v>
      </c>
      <c r="H193" s="11"/>
      <c r="I193" s="11" t="s">
        <v>522</v>
      </c>
      <c r="J193" s="11"/>
      <c r="K193" s="11" t="s">
        <v>505</v>
      </c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AA193" s="11" t="s">
        <v>83</v>
      </c>
      <c r="AB193" s="11" t="s">
        <v>506</v>
      </c>
      <c r="AC193" s="11" t="s">
        <v>506</v>
      </c>
      <c r="AD193" s="11" t="s">
        <v>506</v>
      </c>
      <c r="AF193" s="11"/>
      <c r="AG193" s="11" t="s">
        <v>83</v>
      </c>
      <c r="AH193" s="11" t="s">
        <v>83</v>
      </c>
      <c r="AI193" s="11"/>
      <c r="AJ193" s="11"/>
      <c r="AK193" s="11"/>
      <c r="AL193" s="11"/>
      <c r="AM193" s="11"/>
      <c r="AO193" s="17"/>
    </row>
    <row r="194" spans="1:41" s="1" customFormat="1">
      <c r="A194" s="11">
        <f>IF(A193="",MAX($A$10:A193)+10,A193)</f>
        <v>80</v>
      </c>
      <c r="B194" s="11"/>
      <c r="C194" s="11"/>
      <c r="D194" s="11" t="s">
        <v>24</v>
      </c>
      <c r="E194" s="30" t="s">
        <v>789</v>
      </c>
      <c r="F194" s="11" t="s">
        <v>26</v>
      </c>
      <c r="G194" s="11" t="s">
        <v>10</v>
      </c>
      <c r="H194" s="11"/>
      <c r="I194" s="11" t="s">
        <v>523</v>
      </c>
      <c r="J194" s="11"/>
      <c r="K194" s="11" t="s">
        <v>505</v>
      </c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AA194" s="11" t="s">
        <v>83</v>
      </c>
      <c r="AB194" s="11" t="s">
        <v>506</v>
      </c>
      <c r="AC194" s="11" t="s">
        <v>506</v>
      </c>
      <c r="AD194" s="11" t="s">
        <v>506</v>
      </c>
      <c r="AF194" s="11"/>
      <c r="AG194" s="11" t="s">
        <v>83</v>
      </c>
      <c r="AH194" s="11" t="s">
        <v>83</v>
      </c>
      <c r="AI194" s="11"/>
      <c r="AJ194" s="11"/>
      <c r="AK194" s="11"/>
      <c r="AL194" s="11"/>
      <c r="AM194" s="11"/>
      <c r="AO194" s="17"/>
    </row>
    <row r="195" spans="1:41" s="1" customFormat="1">
      <c r="A195" s="11">
        <f>IF(A194="",MAX($A$10:A194)+10,A194)</f>
        <v>80</v>
      </c>
      <c r="B195" s="11"/>
      <c r="C195" s="11"/>
      <c r="D195" s="11" t="s">
        <v>51</v>
      </c>
      <c r="E195" s="30" t="s">
        <v>938</v>
      </c>
      <c r="F195" s="11" t="s">
        <v>46</v>
      </c>
      <c r="G195" s="11" t="s">
        <v>10</v>
      </c>
      <c r="H195" s="11"/>
      <c r="I195" s="11" t="s">
        <v>695</v>
      </c>
      <c r="J195" s="11"/>
      <c r="K195" s="11" t="s">
        <v>505</v>
      </c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AA195" s="11" t="s">
        <v>506</v>
      </c>
      <c r="AB195" s="11" t="s">
        <v>506</v>
      </c>
      <c r="AC195" s="11" t="s">
        <v>506</v>
      </c>
      <c r="AD195" s="11" t="s">
        <v>506</v>
      </c>
      <c r="AF195" s="11"/>
      <c r="AG195" s="11" t="s">
        <v>83</v>
      </c>
      <c r="AH195" s="11"/>
      <c r="AI195" s="11"/>
      <c r="AJ195" s="11"/>
      <c r="AK195" s="11"/>
      <c r="AL195" s="11"/>
      <c r="AM195" s="11"/>
      <c r="AO195" s="17"/>
    </row>
    <row r="196" spans="1:41" s="1" customFormat="1">
      <c r="A196" s="11">
        <f>IF(A195="",MAX($A$10:A195)+10,A195)</f>
        <v>80</v>
      </c>
      <c r="B196" s="11"/>
      <c r="C196" s="11"/>
      <c r="D196" s="11" t="s">
        <v>52</v>
      </c>
      <c r="E196" s="30" t="s">
        <v>939</v>
      </c>
      <c r="F196" s="11" t="s">
        <v>30</v>
      </c>
      <c r="G196" s="11" t="s">
        <v>10</v>
      </c>
      <c r="H196" s="11"/>
      <c r="I196" s="11" t="s">
        <v>696</v>
      </c>
      <c r="J196" s="11"/>
      <c r="K196" s="11" t="s">
        <v>505</v>
      </c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AA196" s="11" t="s">
        <v>506</v>
      </c>
      <c r="AB196" s="11" t="s">
        <v>506</v>
      </c>
      <c r="AC196" s="11" t="s">
        <v>506</v>
      </c>
      <c r="AD196" s="11" t="s">
        <v>506</v>
      </c>
      <c r="AF196" s="11"/>
      <c r="AG196" s="11" t="s">
        <v>83</v>
      </c>
      <c r="AH196" s="11"/>
      <c r="AI196" s="11"/>
      <c r="AJ196" s="11"/>
      <c r="AK196" s="11"/>
      <c r="AL196" s="11"/>
      <c r="AM196" s="11"/>
      <c r="AO196" s="17"/>
    </row>
    <row r="197" spans="1:41" s="1" customFormat="1">
      <c r="A197" s="11">
        <f>IF(A196="",MAX($A$10:A196)+10,A196)</f>
        <v>80</v>
      </c>
      <c r="B197" s="11"/>
      <c r="C197" s="11"/>
      <c r="D197" s="11" t="s">
        <v>63</v>
      </c>
      <c r="E197" s="30" t="s">
        <v>940</v>
      </c>
      <c r="F197" s="11" t="s">
        <v>11</v>
      </c>
      <c r="G197" s="11" t="s">
        <v>10</v>
      </c>
      <c r="H197" s="11"/>
      <c r="I197" s="11" t="s">
        <v>697</v>
      </c>
      <c r="J197" s="11"/>
      <c r="K197" s="11" t="s">
        <v>505</v>
      </c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AA197" s="11" t="s">
        <v>506</v>
      </c>
      <c r="AB197" s="11" t="s">
        <v>506</v>
      </c>
      <c r="AC197" s="11" t="s">
        <v>506</v>
      </c>
      <c r="AD197" s="11" t="s">
        <v>506</v>
      </c>
      <c r="AF197" s="11"/>
      <c r="AG197" s="11" t="s">
        <v>83</v>
      </c>
      <c r="AH197" s="11"/>
      <c r="AI197" s="11"/>
      <c r="AJ197" s="11"/>
      <c r="AK197" s="11"/>
      <c r="AL197" s="11"/>
      <c r="AM197" s="11"/>
      <c r="AO197" s="17"/>
    </row>
    <row r="198" spans="1:41" s="1" customFormat="1">
      <c r="A198" s="11">
        <f>IF(A197="",MAX($A$10:A197)+10,A197)</f>
        <v>80</v>
      </c>
      <c r="B198" s="11"/>
      <c r="C198" s="11"/>
      <c r="D198" s="11" t="s">
        <v>53</v>
      </c>
      <c r="E198" s="30" t="s">
        <v>941</v>
      </c>
      <c r="F198" s="11" t="s">
        <v>32</v>
      </c>
      <c r="G198" s="11" t="s">
        <v>10</v>
      </c>
      <c r="H198" s="11"/>
      <c r="I198" s="11" t="s">
        <v>698</v>
      </c>
      <c r="J198" s="11"/>
      <c r="K198" s="11" t="s">
        <v>505</v>
      </c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AA198" s="11" t="s">
        <v>506</v>
      </c>
      <c r="AB198" s="11" t="s">
        <v>506</v>
      </c>
      <c r="AC198" s="11" t="s">
        <v>506</v>
      </c>
      <c r="AD198" s="11" t="s">
        <v>506</v>
      </c>
      <c r="AF198" s="11"/>
      <c r="AG198" s="11" t="s">
        <v>83</v>
      </c>
      <c r="AH198" s="11"/>
      <c r="AI198" s="11"/>
      <c r="AJ198" s="11"/>
      <c r="AK198" s="11"/>
      <c r="AL198" s="11"/>
      <c r="AM198" s="11"/>
      <c r="AO198" s="17"/>
    </row>
    <row r="199" spans="1:41" s="1" customFormat="1">
      <c r="A199" s="11">
        <f>IF(A198="",MAX($A$10:A198)+10,A198)</f>
        <v>80</v>
      </c>
      <c r="B199" s="11"/>
      <c r="C199" s="11"/>
      <c r="D199" s="11" t="s">
        <v>58</v>
      </c>
      <c r="E199" s="30" t="s">
        <v>942</v>
      </c>
      <c r="F199" s="11" t="s">
        <v>59</v>
      </c>
      <c r="G199" s="11" t="s">
        <v>10</v>
      </c>
      <c r="H199" s="11"/>
      <c r="I199" s="11" t="s">
        <v>699</v>
      </c>
      <c r="J199" s="11"/>
      <c r="K199" s="11" t="s">
        <v>505</v>
      </c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AA199" s="11" t="s">
        <v>506</v>
      </c>
      <c r="AB199" s="11" t="s">
        <v>506</v>
      </c>
      <c r="AC199" s="11" t="s">
        <v>506</v>
      </c>
      <c r="AD199" s="11" t="s">
        <v>506</v>
      </c>
      <c r="AF199" s="11"/>
      <c r="AG199" s="11" t="s">
        <v>83</v>
      </c>
      <c r="AH199" s="11"/>
      <c r="AI199" s="11"/>
      <c r="AJ199" s="11"/>
      <c r="AK199" s="11"/>
      <c r="AL199" s="11"/>
      <c r="AM199" s="11"/>
      <c r="AO199" s="17"/>
    </row>
    <row r="200" spans="1:41" s="1" customFormat="1">
      <c r="A200" s="11">
        <f>IF(A199="",MAX($A$10:A199)+10,A199)</f>
        <v>80</v>
      </c>
      <c r="B200" s="11"/>
      <c r="C200" s="11"/>
      <c r="D200" s="11" t="s">
        <v>81</v>
      </c>
      <c r="E200" s="30" t="s">
        <v>943</v>
      </c>
      <c r="F200" s="11" t="s">
        <v>82</v>
      </c>
      <c r="G200" s="11"/>
      <c r="H200" s="11"/>
      <c r="I200" s="11" t="s">
        <v>700</v>
      </c>
      <c r="J200" s="11"/>
      <c r="K200" s="11" t="s">
        <v>505</v>
      </c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AA200" s="11" t="s">
        <v>537</v>
      </c>
      <c r="AB200" s="11" t="s">
        <v>537</v>
      </c>
      <c r="AC200" s="11" t="s">
        <v>537</v>
      </c>
      <c r="AD200" s="11" t="s">
        <v>537</v>
      </c>
      <c r="AF200" s="11"/>
      <c r="AG200" s="11" t="s">
        <v>83</v>
      </c>
      <c r="AH200" s="11" t="s">
        <v>83</v>
      </c>
      <c r="AI200" s="11"/>
      <c r="AJ200" s="11" t="s">
        <v>83</v>
      </c>
      <c r="AK200" s="11"/>
      <c r="AL200" s="11"/>
      <c r="AM200" s="11"/>
      <c r="AO200" s="17"/>
    </row>
    <row r="201" spans="1:41" s="1" customFormat="1">
      <c r="A201" s="11">
        <f>IF(A200="",MAX($A$10:A200)+10,A200)</f>
        <v>80</v>
      </c>
      <c r="B201" s="11"/>
      <c r="C201" s="11"/>
      <c r="D201" s="11" t="s">
        <v>54</v>
      </c>
      <c r="E201" s="30" t="s">
        <v>944</v>
      </c>
      <c r="F201" s="11" t="s">
        <v>68</v>
      </c>
      <c r="G201" s="11" t="s">
        <v>2</v>
      </c>
      <c r="H201" s="11"/>
      <c r="I201" s="11" t="s">
        <v>695</v>
      </c>
      <c r="J201" s="11"/>
      <c r="K201" s="11" t="s">
        <v>505</v>
      </c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AA201" s="11" t="s">
        <v>506</v>
      </c>
      <c r="AB201" s="11" t="s">
        <v>506</v>
      </c>
      <c r="AC201" s="11" t="s">
        <v>506</v>
      </c>
      <c r="AD201" s="11" t="s">
        <v>506</v>
      </c>
      <c r="AF201" s="11"/>
      <c r="AG201" s="11" t="s">
        <v>83</v>
      </c>
      <c r="AH201" s="11"/>
      <c r="AI201" s="11"/>
      <c r="AJ201" s="11"/>
      <c r="AK201" s="11"/>
      <c r="AL201" s="11"/>
      <c r="AM201" s="11"/>
      <c r="AO201" s="17"/>
    </row>
    <row r="202" spans="1:41" s="1" customFormat="1">
      <c r="A202" s="11">
        <f>IF(A201="",MAX($A$10:A201)+10,A201)</f>
        <v>80</v>
      </c>
      <c r="B202" s="11"/>
      <c r="C202" s="11"/>
      <c r="D202" s="11" t="s">
        <v>55</v>
      </c>
      <c r="E202" s="30" t="s">
        <v>945</v>
      </c>
      <c r="F202" s="11" t="s">
        <v>31</v>
      </c>
      <c r="G202" s="11" t="s">
        <v>10</v>
      </c>
      <c r="H202" s="11"/>
      <c r="I202" s="11" t="s">
        <v>696</v>
      </c>
      <c r="J202" s="11"/>
      <c r="K202" s="11" t="s">
        <v>505</v>
      </c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AA202" s="11" t="s">
        <v>506</v>
      </c>
      <c r="AB202" s="11" t="s">
        <v>506</v>
      </c>
      <c r="AC202" s="11" t="s">
        <v>506</v>
      </c>
      <c r="AD202" s="11" t="s">
        <v>506</v>
      </c>
      <c r="AF202" s="11"/>
      <c r="AG202" s="11" t="s">
        <v>83</v>
      </c>
      <c r="AH202" s="11"/>
      <c r="AI202" s="11"/>
      <c r="AJ202" s="11"/>
      <c r="AK202" s="11"/>
      <c r="AL202" s="11"/>
      <c r="AM202" s="11"/>
      <c r="AO202" s="17"/>
    </row>
    <row r="203" spans="1:41" s="1" customFormat="1">
      <c r="A203" s="11">
        <f>IF(A202="",MAX($A$10:A202)+10,A202)</f>
        <v>80</v>
      </c>
      <c r="B203" s="11"/>
      <c r="C203" s="11"/>
      <c r="D203" s="11" t="s">
        <v>56</v>
      </c>
      <c r="E203" s="30" t="s">
        <v>946</v>
      </c>
      <c r="F203" s="11" t="s">
        <v>33</v>
      </c>
      <c r="G203" s="11" t="s">
        <v>10</v>
      </c>
      <c r="H203" s="11"/>
      <c r="I203" s="11" t="s">
        <v>697</v>
      </c>
      <c r="J203" s="11"/>
      <c r="K203" s="11" t="s">
        <v>505</v>
      </c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AA203" s="11" t="s">
        <v>506</v>
      </c>
      <c r="AB203" s="11" t="s">
        <v>506</v>
      </c>
      <c r="AC203" s="11" t="s">
        <v>506</v>
      </c>
      <c r="AD203" s="11" t="s">
        <v>506</v>
      </c>
      <c r="AF203" s="11"/>
      <c r="AG203" s="11" t="s">
        <v>83</v>
      </c>
      <c r="AH203" s="11"/>
      <c r="AI203" s="11"/>
      <c r="AJ203" s="11"/>
      <c r="AK203" s="11"/>
      <c r="AL203" s="11"/>
      <c r="AM203" s="11"/>
      <c r="AO203" s="17"/>
    </row>
    <row r="204" spans="1:41" s="1" customFormat="1">
      <c r="A204" s="11">
        <f>IF(A203="",MAX($A$10:A203)+10,A203)</f>
        <v>80</v>
      </c>
      <c r="B204" s="11"/>
      <c r="C204" s="11"/>
      <c r="D204" s="11" t="s">
        <v>57</v>
      </c>
      <c r="E204" s="30" t="s">
        <v>947</v>
      </c>
      <c r="F204" s="11" t="s">
        <v>34</v>
      </c>
      <c r="G204" s="11" t="s">
        <v>10</v>
      </c>
      <c r="H204" s="11"/>
      <c r="I204" s="11" t="s">
        <v>698</v>
      </c>
      <c r="J204" s="11"/>
      <c r="K204" s="11" t="s">
        <v>505</v>
      </c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AA204" s="11" t="s">
        <v>506</v>
      </c>
      <c r="AB204" s="11" t="s">
        <v>506</v>
      </c>
      <c r="AC204" s="11" t="s">
        <v>506</v>
      </c>
      <c r="AD204" s="11" t="s">
        <v>506</v>
      </c>
      <c r="AF204" s="11"/>
      <c r="AG204" s="11" t="s">
        <v>83</v>
      </c>
      <c r="AH204" s="11"/>
      <c r="AI204" s="11"/>
      <c r="AJ204" s="11"/>
      <c r="AK204" s="11"/>
      <c r="AL204" s="11"/>
      <c r="AM204" s="11"/>
      <c r="AO204" s="17"/>
    </row>
    <row r="205" spans="1:41" s="1" customFormat="1">
      <c r="A205" s="11">
        <f>IF(A204="",MAX($A$10:A204)+10,A204)</f>
        <v>80</v>
      </c>
      <c r="B205" s="11"/>
      <c r="C205" s="11"/>
      <c r="D205" s="11" t="s">
        <v>60</v>
      </c>
      <c r="E205" s="30" t="s">
        <v>948</v>
      </c>
      <c r="F205" s="11" t="s">
        <v>61</v>
      </c>
      <c r="G205" s="11" t="s">
        <v>10</v>
      </c>
      <c r="H205" s="11"/>
      <c r="I205" s="11" t="s">
        <v>699</v>
      </c>
      <c r="J205" s="11"/>
      <c r="K205" s="11" t="s">
        <v>505</v>
      </c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AA205" s="11" t="s">
        <v>506</v>
      </c>
      <c r="AB205" s="11" t="s">
        <v>506</v>
      </c>
      <c r="AC205" s="11" t="s">
        <v>506</v>
      </c>
      <c r="AD205" s="11" t="s">
        <v>506</v>
      </c>
      <c r="AF205" s="11"/>
      <c r="AG205" s="11" t="s">
        <v>83</v>
      </c>
      <c r="AH205" s="11"/>
      <c r="AI205" s="11"/>
      <c r="AJ205" s="11"/>
      <c r="AK205" s="11"/>
      <c r="AL205" s="11"/>
      <c r="AM205" s="11"/>
      <c r="AO205" s="17"/>
    </row>
    <row r="206" spans="1:41" s="1" customFormat="1">
      <c r="A206" s="11">
        <f>IF(A205="",MAX($A$10:A205)+10,A205)</f>
        <v>80</v>
      </c>
      <c r="B206" s="11"/>
      <c r="C206" s="11"/>
      <c r="D206" s="11" t="s">
        <v>62</v>
      </c>
      <c r="E206" s="30" t="s">
        <v>949</v>
      </c>
      <c r="F206" s="11" t="s">
        <v>35</v>
      </c>
      <c r="G206" s="11" t="s">
        <v>10</v>
      </c>
      <c r="H206" s="11"/>
      <c r="I206" s="11" t="s">
        <v>701</v>
      </c>
      <c r="J206" s="11"/>
      <c r="K206" s="11" t="s">
        <v>505</v>
      </c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AA206" s="11" t="s">
        <v>506</v>
      </c>
      <c r="AB206" s="11" t="s">
        <v>506</v>
      </c>
      <c r="AC206" s="11" t="s">
        <v>506</v>
      </c>
      <c r="AD206" s="11" t="s">
        <v>506</v>
      </c>
      <c r="AF206" s="11"/>
      <c r="AG206" s="11" t="s">
        <v>83</v>
      </c>
      <c r="AH206" s="11"/>
      <c r="AI206" s="11"/>
      <c r="AJ206" s="11"/>
      <c r="AK206" s="11"/>
      <c r="AL206" s="11"/>
      <c r="AM206" s="11"/>
      <c r="AO206" s="17"/>
    </row>
    <row r="207" spans="1:41" s="1" customFormat="1">
      <c r="A207" s="11">
        <f>IF(A206="",MAX($A$10:A206)+10,A206)</f>
        <v>80</v>
      </c>
      <c r="B207" s="11"/>
      <c r="C207" s="11"/>
      <c r="D207" s="11" t="s">
        <v>75</v>
      </c>
      <c r="E207" s="30" t="s">
        <v>950</v>
      </c>
      <c r="F207" s="11" t="s">
        <v>36</v>
      </c>
      <c r="G207" s="11" t="s">
        <v>10</v>
      </c>
      <c r="H207" s="11"/>
      <c r="I207" s="11" t="s">
        <v>695</v>
      </c>
      <c r="J207" s="11"/>
      <c r="K207" s="11" t="s">
        <v>505</v>
      </c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AA207" s="11" t="s">
        <v>506</v>
      </c>
      <c r="AB207" s="11" t="s">
        <v>506</v>
      </c>
      <c r="AC207" s="11" t="s">
        <v>506</v>
      </c>
      <c r="AD207" s="11" t="s">
        <v>506</v>
      </c>
      <c r="AF207" s="11"/>
      <c r="AG207" s="11" t="s">
        <v>83</v>
      </c>
      <c r="AH207" s="11"/>
      <c r="AI207" s="11"/>
      <c r="AJ207" s="11"/>
      <c r="AK207" s="11"/>
      <c r="AL207" s="11"/>
      <c r="AM207" s="11"/>
      <c r="AO207" s="17"/>
    </row>
    <row r="208" spans="1:41" s="1" customFormat="1">
      <c r="A208" s="11">
        <f>IF(A207="",MAX($A$10:A207)+10,A207)</f>
        <v>80</v>
      </c>
      <c r="B208" s="11"/>
      <c r="C208" s="11"/>
      <c r="D208" s="11" t="s">
        <v>76</v>
      </c>
      <c r="E208" s="30" t="s">
        <v>951</v>
      </c>
      <c r="F208" s="11" t="s">
        <v>37</v>
      </c>
      <c r="G208" s="11" t="s">
        <v>10</v>
      </c>
      <c r="H208" s="11"/>
      <c r="I208" s="11" t="s">
        <v>696</v>
      </c>
      <c r="J208" s="11"/>
      <c r="K208" s="11" t="s">
        <v>505</v>
      </c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AA208" s="11" t="s">
        <v>506</v>
      </c>
      <c r="AB208" s="11" t="s">
        <v>506</v>
      </c>
      <c r="AC208" s="11" t="s">
        <v>506</v>
      </c>
      <c r="AD208" s="11" t="s">
        <v>506</v>
      </c>
      <c r="AF208" s="11"/>
      <c r="AG208" s="11" t="s">
        <v>83</v>
      </c>
      <c r="AH208" s="11"/>
      <c r="AI208" s="11"/>
      <c r="AJ208" s="11"/>
      <c r="AK208" s="11"/>
      <c r="AL208" s="11"/>
      <c r="AM208" s="11"/>
      <c r="AO208" s="17"/>
    </row>
    <row r="209" spans="1:41" s="1" customFormat="1">
      <c r="A209" s="11">
        <f>IF(A208="",MAX($A$10:A208)+10,A208)</f>
        <v>80</v>
      </c>
      <c r="B209" s="11"/>
      <c r="C209" s="11"/>
      <c r="D209" s="11" t="s">
        <v>77</v>
      </c>
      <c r="E209" s="30" t="s">
        <v>952</v>
      </c>
      <c r="F209" s="11" t="s">
        <v>38</v>
      </c>
      <c r="G209" s="11" t="s">
        <v>10</v>
      </c>
      <c r="H209" s="11"/>
      <c r="I209" s="11" t="s">
        <v>697</v>
      </c>
      <c r="J209" s="11"/>
      <c r="K209" s="11" t="s">
        <v>505</v>
      </c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AA209" s="11" t="s">
        <v>506</v>
      </c>
      <c r="AB209" s="11" t="s">
        <v>506</v>
      </c>
      <c r="AC209" s="11" t="s">
        <v>506</v>
      </c>
      <c r="AD209" s="11" t="s">
        <v>506</v>
      </c>
      <c r="AF209" s="11"/>
      <c r="AG209" s="11" t="s">
        <v>83</v>
      </c>
      <c r="AH209" s="11"/>
      <c r="AI209" s="11"/>
      <c r="AJ209" s="11"/>
      <c r="AK209" s="11"/>
      <c r="AL209" s="11"/>
      <c r="AM209" s="11"/>
      <c r="AO209" s="17"/>
    </row>
    <row r="210" spans="1:41" s="1" customFormat="1" ht="52">
      <c r="A210" s="40"/>
      <c r="AF210" s="35" t="s">
        <v>963</v>
      </c>
      <c r="AG210" s="35" t="s">
        <v>964</v>
      </c>
      <c r="AH210" s="35" t="s">
        <v>963</v>
      </c>
      <c r="AI210" s="35" t="s">
        <v>964</v>
      </c>
      <c r="AJ210" s="35" t="s">
        <v>963</v>
      </c>
      <c r="AK210" s="35" t="s">
        <v>964</v>
      </c>
      <c r="AL210" s="35" t="s">
        <v>963</v>
      </c>
      <c r="AM210" s="35" t="s">
        <v>964</v>
      </c>
      <c r="AO210" s="10"/>
    </row>
    <row r="211" spans="1:41" s="1" customFormat="1">
      <c r="A211" s="11">
        <f>IF(A210="",MAX($A$10:A210)+10,A210)</f>
        <v>90</v>
      </c>
      <c r="B211" s="12" t="s">
        <v>12</v>
      </c>
      <c r="C211" s="12"/>
      <c r="D211" s="12" t="s">
        <v>64</v>
      </c>
      <c r="E211" s="13"/>
      <c r="F211" s="12"/>
      <c r="G211" s="12"/>
      <c r="H211" s="12"/>
      <c r="I211" s="12" t="s">
        <v>498</v>
      </c>
      <c r="J211" s="12"/>
      <c r="K211" s="12" t="s">
        <v>499</v>
      </c>
      <c r="L211" s="12"/>
      <c r="M211" s="12" t="s">
        <v>500</v>
      </c>
      <c r="N211" s="12"/>
      <c r="O211" s="12"/>
      <c r="P211" s="12"/>
      <c r="Q211" s="16"/>
      <c r="R211" s="16"/>
      <c r="S211" s="16"/>
      <c r="T211" s="16"/>
      <c r="U211" s="16"/>
      <c r="V211" s="16"/>
      <c r="W211" s="16"/>
      <c r="X211" s="16"/>
      <c r="Y211" s="16"/>
      <c r="Z211" s="14"/>
      <c r="AA211" s="16"/>
      <c r="AB211" s="16"/>
      <c r="AC211" s="16"/>
      <c r="AD211" s="16"/>
      <c r="AE211" s="14"/>
      <c r="AF211" s="11"/>
      <c r="AG211" s="11"/>
      <c r="AH211" s="11"/>
      <c r="AI211" s="11"/>
      <c r="AJ211" s="11"/>
      <c r="AK211" s="11"/>
      <c r="AL211" s="11"/>
      <c r="AM211" s="11"/>
      <c r="AN211" s="14"/>
      <c r="AO211" s="17"/>
    </row>
    <row r="212" spans="1:41" s="1" customFormat="1">
      <c r="A212" s="11">
        <f>IF(A211="",MAX($A$10:A211)+10,A211)</f>
        <v>90</v>
      </c>
      <c r="B212" s="11"/>
      <c r="C212" s="11"/>
      <c r="D212" s="11" t="s">
        <v>39</v>
      </c>
      <c r="E212" s="30" t="s">
        <v>953</v>
      </c>
      <c r="F212" s="11" t="s">
        <v>41</v>
      </c>
      <c r="G212" s="11" t="s">
        <v>43</v>
      </c>
      <c r="H212" s="11"/>
      <c r="I212" s="11" t="s">
        <v>702</v>
      </c>
      <c r="J212" s="11"/>
      <c r="K212" s="11" t="s">
        <v>703</v>
      </c>
      <c r="L212" s="11"/>
      <c r="M212" s="11"/>
      <c r="N212" s="11"/>
      <c r="O212" s="11"/>
      <c r="P212" s="11"/>
      <c r="Q212" s="11"/>
      <c r="R212" s="11"/>
      <c r="S212" s="11"/>
      <c r="T212" s="11" t="s">
        <v>704</v>
      </c>
      <c r="U212" s="11"/>
      <c r="V212" s="11"/>
      <c r="W212" s="11"/>
      <c r="X212" s="11"/>
      <c r="Y212" s="11"/>
      <c r="AA212" s="11" t="s">
        <v>83</v>
      </c>
      <c r="AB212" s="11" t="s">
        <v>17</v>
      </c>
      <c r="AC212" s="11" t="s">
        <v>83</v>
      </c>
      <c r="AD212" s="11" t="s">
        <v>17</v>
      </c>
      <c r="AF212" s="11"/>
      <c r="AG212" s="11"/>
      <c r="AH212" s="11"/>
      <c r="AI212" s="11"/>
      <c r="AJ212" s="11"/>
      <c r="AK212" s="11"/>
      <c r="AL212" s="11"/>
      <c r="AM212" s="11"/>
      <c r="AO212" s="17"/>
    </row>
    <row r="213" spans="1:41" s="1" customFormat="1">
      <c r="A213" s="11">
        <f>IF(A212="",MAX($A$10:A212)+10,A212)</f>
        <v>90</v>
      </c>
      <c r="B213" s="11"/>
      <c r="C213" s="11"/>
      <c r="D213" s="11" t="s">
        <v>40</v>
      </c>
      <c r="E213" s="30" t="s">
        <v>954</v>
      </c>
      <c r="F213" s="11" t="s">
        <v>42</v>
      </c>
      <c r="G213" s="11" t="s">
        <v>44</v>
      </c>
      <c r="H213" s="11"/>
      <c r="I213" s="11" t="s">
        <v>702</v>
      </c>
      <c r="J213" s="11"/>
      <c r="K213" s="11" t="s">
        <v>703</v>
      </c>
      <c r="L213" s="11"/>
      <c r="M213" s="11"/>
      <c r="N213" s="11"/>
      <c r="O213" s="11"/>
      <c r="P213" s="11"/>
      <c r="Q213" s="11"/>
      <c r="R213" s="11"/>
      <c r="S213" s="11"/>
      <c r="T213" s="11" t="s">
        <v>705</v>
      </c>
      <c r="U213" s="11"/>
      <c r="V213" s="11"/>
      <c r="W213" s="11"/>
      <c r="X213" s="11"/>
      <c r="Y213" s="11"/>
      <c r="AA213" s="11" t="s">
        <v>83</v>
      </c>
      <c r="AB213" s="11" t="s">
        <v>17</v>
      </c>
      <c r="AC213" s="11" t="s">
        <v>83</v>
      </c>
      <c r="AD213" s="11" t="s">
        <v>17</v>
      </c>
      <c r="AF213" s="11"/>
      <c r="AG213" s="11"/>
      <c r="AH213" s="11"/>
      <c r="AI213" s="11"/>
      <c r="AJ213" s="11"/>
      <c r="AK213" s="11"/>
      <c r="AL213" s="11"/>
      <c r="AM213" s="11"/>
      <c r="AO213" s="17"/>
    </row>
    <row r="214" spans="1:41" s="1" customFormat="1">
      <c r="A214" s="11">
        <f>IF(A213="",MAX($A$10:A213)+10,A213)</f>
        <v>90</v>
      </c>
      <c r="B214" s="11"/>
      <c r="C214" s="11"/>
      <c r="D214" s="11" t="s">
        <v>750</v>
      </c>
      <c r="E214" s="30" t="s">
        <v>955</v>
      </c>
      <c r="F214" s="11" t="s">
        <v>15</v>
      </c>
      <c r="G214" s="11" t="s">
        <v>16</v>
      </c>
      <c r="H214" s="11"/>
      <c r="I214" s="11" t="s">
        <v>702</v>
      </c>
      <c r="J214" s="11"/>
      <c r="K214" s="11" t="s">
        <v>703</v>
      </c>
      <c r="L214" s="11"/>
      <c r="M214" s="11"/>
      <c r="N214" s="11"/>
      <c r="O214" s="11"/>
      <c r="P214" s="11"/>
      <c r="Q214" s="11" t="s">
        <v>706</v>
      </c>
      <c r="R214" s="11" t="s">
        <v>65</v>
      </c>
      <c r="S214" s="11"/>
      <c r="T214" s="11" t="s">
        <v>707</v>
      </c>
      <c r="U214" s="11"/>
      <c r="V214" s="11"/>
      <c r="W214" s="11"/>
      <c r="X214" s="11"/>
      <c r="Y214" s="11"/>
      <c r="AA214" s="11" t="s">
        <v>83</v>
      </c>
      <c r="AB214" s="11" t="s">
        <v>17</v>
      </c>
      <c r="AC214" s="11" t="s">
        <v>17</v>
      </c>
      <c r="AD214" s="11" t="s">
        <v>17</v>
      </c>
      <c r="AF214" s="11"/>
      <c r="AG214" s="11"/>
      <c r="AH214" s="11"/>
      <c r="AI214" s="11"/>
      <c r="AJ214" s="11"/>
      <c r="AK214" s="11"/>
      <c r="AL214" s="11"/>
      <c r="AM214" s="11"/>
      <c r="AO214" s="17"/>
    </row>
    <row r="215" spans="1:41" s="1" customFormat="1">
      <c r="A215" s="11">
        <f>IF(A214="",MAX($A$10:A214)+10,A214)</f>
        <v>90</v>
      </c>
      <c r="B215" s="11"/>
      <c r="C215" s="11"/>
      <c r="D215" s="11" t="s">
        <v>751</v>
      </c>
      <c r="E215" s="30" t="s">
        <v>956</v>
      </c>
      <c r="F215" s="11" t="s">
        <v>18</v>
      </c>
      <c r="G215" s="11" t="s">
        <v>19</v>
      </c>
      <c r="H215" s="11"/>
      <c r="I215" s="11" t="s">
        <v>702</v>
      </c>
      <c r="J215" s="11"/>
      <c r="K215" s="11" t="s">
        <v>703</v>
      </c>
      <c r="L215" s="11"/>
      <c r="M215" s="11"/>
      <c r="N215" s="11"/>
      <c r="O215" s="11"/>
      <c r="P215" s="11"/>
      <c r="Q215" s="11" t="s">
        <v>708</v>
      </c>
      <c r="R215" s="11" t="s">
        <v>65</v>
      </c>
      <c r="S215" s="11"/>
      <c r="T215" s="11" t="s">
        <v>709</v>
      </c>
      <c r="U215" s="11"/>
      <c r="V215" s="11"/>
      <c r="W215" s="11"/>
      <c r="X215" s="11"/>
      <c r="Y215" s="11"/>
      <c r="AA215" s="11" t="s">
        <v>83</v>
      </c>
      <c r="AB215" s="11" t="s">
        <v>17</v>
      </c>
      <c r="AC215" s="11" t="s">
        <v>17</v>
      </c>
      <c r="AD215" s="11" t="s">
        <v>17</v>
      </c>
      <c r="AF215" s="11"/>
      <c r="AG215" s="11"/>
      <c r="AH215" s="11"/>
      <c r="AI215" s="11"/>
      <c r="AJ215" s="11"/>
      <c r="AK215" s="11"/>
      <c r="AL215" s="11"/>
      <c r="AM215" s="11"/>
      <c r="AO215" s="17"/>
    </row>
    <row r="216" spans="1:41" s="1" customFormat="1">
      <c r="A216" s="11">
        <f>IF(A215="",MAX($A$10:A215)+10,A215)</f>
        <v>90</v>
      </c>
      <c r="B216" s="11"/>
      <c r="C216" s="11"/>
      <c r="D216" s="11" t="s">
        <v>752</v>
      </c>
      <c r="E216" s="30" t="s">
        <v>957</v>
      </c>
      <c r="F216" s="11" t="s">
        <v>20</v>
      </c>
      <c r="G216" s="11" t="s">
        <v>21</v>
      </c>
      <c r="H216" s="11"/>
      <c r="I216" s="11" t="s">
        <v>702</v>
      </c>
      <c r="J216" s="11"/>
      <c r="K216" s="11" t="s">
        <v>703</v>
      </c>
      <c r="L216" s="11"/>
      <c r="M216" s="11"/>
      <c r="N216" s="11"/>
      <c r="O216" s="11"/>
      <c r="P216" s="11"/>
      <c r="Q216" s="11" t="s">
        <v>710</v>
      </c>
      <c r="R216" s="11" t="s">
        <v>65</v>
      </c>
      <c r="S216" s="11"/>
      <c r="T216" s="11" t="s">
        <v>711</v>
      </c>
      <c r="U216" s="11"/>
      <c r="V216" s="11"/>
      <c r="W216" s="11"/>
      <c r="X216" s="11"/>
      <c r="Y216" s="11"/>
      <c r="AA216" s="11" t="s">
        <v>83</v>
      </c>
      <c r="AB216" s="11" t="s">
        <v>17</v>
      </c>
      <c r="AC216" s="11" t="s">
        <v>17</v>
      </c>
      <c r="AD216" s="11" t="s">
        <v>17</v>
      </c>
      <c r="AF216" s="11"/>
      <c r="AG216" s="11"/>
      <c r="AH216" s="11"/>
      <c r="AI216" s="11"/>
      <c r="AJ216" s="11"/>
      <c r="AK216" s="11"/>
      <c r="AL216" s="11"/>
      <c r="AM216" s="11"/>
      <c r="AO216" s="17"/>
    </row>
    <row r="217" spans="1:41" s="1" customFormat="1">
      <c r="A217" s="40"/>
      <c r="AF217" s="35"/>
      <c r="AG217" s="35"/>
      <c r="AH217" s="35"/>
      <c r="AI217" s="35"/>
      <c r="AJ217" s="35"/>
      <c r="AK217" s="35"/>
      <c r="AL217" s="35"/>
      <c r="AM217" s="35"/>
      <c r="AO217" s="10"/>
    </row>
    <row r="218" spans="1:41" s="1" customFormat="1">
      <c r="A218" s="11">
        <f>IF(A217="",MAX($A$10:A217)+10,A217)</f>
        <v>100</v>
      </c>
      <c r="B218" s="12" t="s">
        <v>0</v>
      </c>
      <c r="C218" s="12"/>
      <c r="D218" s="12" t="s">
        <v>279</v>
      </c>
      <c r="E218" s="13"/>
      <c r="F218" s="12"/>
      <c r="G218" s="12"/>
      <c r="H218" s="12"/>
      <c r="I218" s="12" t="s">
        <v>498</v>
      </c>
      <c r="J218" s="12"/>
      <c r="K218" s="12" t="s">
        <v>499</v>
      </c>
      <c r="L218" s="12"/>
      <c r="M218" s="12" t="s">
        <v>712</v>
      </c>
      <c r="N218" s="12"/>
      <c r="O218" s="12"/>
      <c r="P218" s="12"/>
      <c r="Q218" s="16"/>
      <c r="R218" s="16"/>
      <c r="S218" s="16"/>
      <c r="T218" s="16"/>
      <c r="U218" s="16"/>
      <c r="V218" s="16"/>
      <c r="W218" s="16"/>
      <c r="X218" s="16"/>
      <c r="Y218" s="16"/>
      <c r="Z218" s="14"/>
      <c r="AA218" s="16"/>
      <c r="AB218" s="16"/>
      <c r="AC218" s="16"/>
      <c r="AD218" s="16"/>
      <c r="AE218" s="14"/>
      <c r="AF218" s="11"/>
      <c r="AG218" s="11"/>
      <c r="AH218" s="11"/>
      <c r="AI218" s="11"/>
      <c r="AJ218" s="11"/>
      <c r="AK218" s="11"/>
      <c r="AL218" s="11"/>
      <c r="AM218" s="11"/>
      <c r="AN218" s="14"/>
      <c r="AO218" s="17"/>
    </row>
    <row r="219" spans="1:41" s="1" customFormat="1">
      <c r="A219" s="11">
        <f>IF(A218="",MAX($A$10:A218)+10,A218)</f>
        <v>100</v>
      </c>
      <c r="B219" s="11"/>
      <c r="C219" s="11"/>
      <c r="D219" s="11" t="s">
        <v>1</v>
      </c>
      <c r="E219" s="30"/>
      <c r="F219" s="11"/>
      <c r="G219" s="11"/>
      <c r="H219" s="11"/>
      <c r="I219" s="11"/>
      <c r="J219" s="11"/>
      <c r="K219" s="11" t="s">
        <v>509</v>
      </c>
      <c r="L219" s="11"/>
      <c r="M219" s="11"/>
      <c r="N219" s="11"/>
      <c r="O219" s="11" t="s">
        <v>713</v>
      </c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AA219" s="11"/>
      <c r="AB219" s="11"/>
      <c r="AC219" s="11"/>
      <c r="AD219" s="11"/>
      <c r="AF219" s="11"/>
      <c r="AG219" s="11"/>
      <c r="AH219" s="11"/>
      <c r="AI219" s="11"/>
      <c r="AJ219" s="11"/>
      <c r="AK219" s="11"/>
      <c r="AL219" s="11"/>
      <c r="AM219" s="11"/>
      <c r="AO219" s="17"/>
    </row>
    <row r="220" spans="1:41" s="1" customFormat="1">
      <c r="A220" s="11">
        <f>IF(A219="",MAX($A$10:A219)+10,A219)</f>
        <v>100</v>
      </c>
      <c r="B220" s="11"/>
      <c r="C220" s="11"/>
      <c r="D220" s="11" t="s">
        <v>282</v>
      </c>
      <c r="E220" s="30"/>
      <c r="F220" s="11"/>
      <c r="G220" s="11"/>
      <c r="H220" s="11"/>
      <c r="I220" s="11"/>
      <c r="J220" s="11"/>
      <c r="K220" s="11" t="s">
        <v>509</v>
      </c>
      <c r="L220" s="11"/>
      <c r="M220" s="11"/>
      <c r="N220" s="11"/>
      <c r="O220" s="11" t="s">
        <v>714</v>
      </c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AA220" s="11"/>
      <c r="AB220" s="11"/>
      <c r="AC220" s="11"/>
      <c r="AD220" s="11"/>
      <c r="AF220" s="11"/>
      <c r="AG220" s="11"/>
      <c r="AH220" s="11"/>
      <c r="AI220" s="11"/>
      <c r="AJ220" s="11"/>
      <c r="AK220" s="11"/>
      <c r="AL220" s="11"/>
      <c r="AM220" s="11"/>
      <c r="AO220" s="17"/>
    </row>
    <row r="221" spans="1:41" s="1" customFormat="1" ht="52">
      <c r="A221" s="40"/>
      <c r="AF221" s="35" t="s">
        <v>963</v>
      </c>
      <c r="AG221" s="35" t="s">
        <v>964</v>
      </c>
      <c r="AH221" s="35" t="s">
        <v>963</v>
      </c>
      <c r="AI221" s="35" t="s">
        <v>964</v>
      </c>
      <c r="AJ221" s="35" t="s">
        <v>963</v>
      </c>
      <c r="AK221" s="35" t="s">
        <v>964</v>
      </c>
      <c r="AL221" s="35" t="s">
        <v>963</v>
      </c>
      <c r="AM221" s="35" t="s">
        <v>964</v>
      </c>
      <c r="AO221" s="10"/>
    </row>
    <row r="222" spans="1:41" s="1" customFormat="1">
      <c r="A222" s="11">
        <f>IF(A221="",MAX($A$10:A221)+10,A221)</f>
        <v>110</v>
      </c>
      <c r="B222" s="12" t="s">
        <v>0</v>
      </c>
      <c r="C222" s="12"/>
      <c r="D222" s="12" t="s">
        <v>281</v>
      </c>
      <c r="E222" s="13"/>
      <c r="F222" s="12"/>
      <c r="G222" s="12"/>
      <c r="H222" s="12"/>
      <c r="I222" s="12" t="s">
        <v>531</v>
      </c>
      <c r="J222" s="12"/>
      <c r="K222" s="12" t="s">
        <v>532</v>
      </c>
      <c r="L222" s="12"/>
      <c r="M222" s="12" t="s">
        <v>510</v>
      </c>
      <c r="N222" s="12"/>
      <c r="O222" s="12"/>
      <c r="P222" s="12"/>
      <c r="Q222" s="16"/>
      <c r="R222" s="16"/>
      <c r="S222" s="16"/>
      <c r="T222" s="16"/>
      <c r="U222" s="16"/>
      <c r="V222" s="16"/>
      <c r="W222" s="16"/>
      <c r="X222" s="16"/>
      <c r="Y222" s="16"/>
      <c r="Z222" s="14"/>
      <c r="AA222" s="16"/>
      <c r="AB222" s="16"/>
      <c r="AC222" s="16"/>
      <c r="AD222" s="16"/>
      <c r="AE222" s="14"/>
      <c r="AF222" s="11"/>
      <c r="AG222" s="11"/>
      <c r="AH222" s="11"/>
      <c r="AI222" s="11"/>
      <c r="AJ222" s="11"/>
      <c r="AK222" s="11"/>
      <c r="AL222" s="11"/>
      <c r="AM222" s="11"/>
      <c r="AN222" s="14"/>
      <c r="AO222" s="17"/>
    </row>
    <row r="223" spans="1:41" s="1" customFormat="1">
      <c r="A223" s="11">
        <f>IF(A222="",MAX($A$10:A222)+10,A222)</f>
        <v>110</v>
      </c>
      <c r="B223" s="11"/>
      <c r="C223" s="11"/>
      <c r="D223" s="11" t="s">
        <v>27</v>
      </c>
      <c r="E223" s="30" t="s">
        <v>793</v>
      </c>
      <c r="F223" s="11" t="s">
        <v>284</v>
      </c>
      <c r="G223" s="11" t="s">
        <v>2</v>
      </c>
      <c r="H223" s="11"/>
      <c r="I223" s="11" t="s">
        <v>525</v>
      </c>
      <c r="J223" s="11"/>
      <c r="K223" s="11" t="s">
        <v>526</v>
      </c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AA223" s="11" t="s">
        <v>498</v>
      </c>
      <c r="AB223" s="11" t="s">
        <v>506</v>
      </c>
      <c r="AC223" s="11" t="s">
        <v>506</v>
      </c>
      <c r="AD223" s="11" t="s">
        <v>537</v>
      </c>
      <c r="AF223" s="11"/>
      <c r="AG223" s="11"/>
      <c r="AH223" s="11"/>
      <c r="AI223" s="11"/>
      <c r="AJ223" s="11"/>
      <c r="AK223" s="11"/>
      <c r="AL223" s="11"/>
      <c r="AM223" s="11"/>
      <c r="AO223" s="17"/>
    </row>
    <row r="224" spans="1:41" s="1" customFormat="1" ht="26">
      <c r="A224" s="11">
        <f>IF(A223="",MAX($A$10:A223)+10,A223)</f>
        <v>110</v>
      </c>
      <c r="B224" s="11"/>
      <c r="C224" s="11"/>
      <c r="D224" s="11" t="s">
        <v>88</v>
      </c>
      <c r="E224" s="30" t="s">
        <v>794</v>
      </c>
      <c r="F224" s="11" t="s">
        <v>175</v>
      </c>
      <c r="G224" s="11" t="s">
        <v>2</v>
      </c>
      <c r="H224" s="11"/>
      <c r="I224" s="11" t="s">
        <v>538</v>
      </c>
      <c r="J224" s="11"/>
      <c r="K224" s="11" t="s">
        <v>510</v>
      </c>
      <c r="L224" s="11"/>
      <c r="M224" s="11"/>
      <c r="N224" s="11"/>
      <c r="O224" s="11" t="s">
        <v>473</v>
      </c>
      <c r="P224" s="11"/>
      <c r="Q224" s="11" t="s">
        <v>539</v>
      </c>
      <c r="R224" s="11"/>
      <c r="S224" s="11" t="s">
        <v>468</v>
      </c>
      <c r="T224" s="11"/>
      <c r="U224" s="11"/>
      <c r="V224" s="11"/>
      <c r="W224" s="11"/>
      <c r="X224" s="11"/>
      <c r="Y224" s="11"/>
      <c r="AA224" s="11" t="s">
        <v>537</v>
      </c>
      <c r="AB224" s="11" t="s">
        <v>537</v>
      </c>
      <c r="AC224" s="11" t="s">
        <v>537</v>
      </c>
      <c r="AD224" s="11" t="s">
        <v>537</v>
      </c>
      <c r="AF224" s="11"/>
      <c r="AG224" s="11"/>
      <c r="AH224" s="11"/>
      <c r="AI224" s="11"/>
      <c r="AJ224" s="11"/>
      <c r="AK224" s="11"/>
      <c r="AL224" s="11"/>
      <c r="AM224" s="11"/>
      <c r="AO224" s="17"/>
    </row>
    <row r="225" spans="1:41" s="1" customFormat="1">
      <c r="A225" s="11">
        <f>IF(A224="",MAX($A$10:A224)+10,A224)</f>
        <v>110</v>
      </c>
      <c r="B225" s="11"/>
      <c r="C225" s="11"/>
      <c r="D225" s="11" t="s">
        <v>93</v>
      </c>
      <c r="E225" s="30" t="s">
        <v>795</v>
      </c>
      <c r="F225" s="11" t="s">
        <v>91</v>
      </c>
      <c r="G225" s="11" t="s">
        <v>2</v>
      </c>
      <c r="H225" s="11"/>
      <c r="I225" s="11" t="s">
        <v>540</v>
      </c>
      <c r="J225" s="11"/>
      <c r="K225" s="11" t="s">
        <v>505</v>
      </c>
      <c r="L225" s="11"/>
      <c r="M225" s="11"/>
      <c r="N225" s="11"/>
      <c r="O225" s="11"/>
      <c r="P225" s="11"/>
      <c r="Q225" s="11" t="s">
        <v>174</v>
      </c>
      <c r="R225" s="11"/>
      <c r="S225" s="11" t="s">
        <v>174</v>
      </c>
      <c r="T225" s="11"/>
      <c r="U225" s="11"/>
      <c r="V225" s="11"/>
      <c r="W225" s="11"/>
      <c r="X225" s="11"/>
      <c r="Y225" s="11"/>
      <c r="AA225" s="11" t="s">
        <v>537</v>
      </c>
      <c r="AB225" s="11" t="s">
        <v>537</v>
      </c>
      <c r="AC225" s="11" t="s">
        <v>537</v>
      </c>
      <c r="AD225" s="11" t="s">
        <v>537</v>
      </c>
      <c r="AF225" s="11"/>
      <c r="AG225" s="11"/>
      <c r="AH225" s="11"/>
      <c r="AI225" s="11"/>
      <c r="AJ225" s="11"/>
      <c r="AK225" s="11"/>
      <c r="AL225" s="11"/>
      <c r="AM225" s="11"/>
      <c r="AO225" s="17"/>
    </row>
    <row r="226" spans="1:41" s="1" customFormat="1">
      <c r="A226" s="11">
        <f>IF(A225="",MAX($A$10:A225)+10,A225)</f>
        <v>110</v>
      </c>
      <c r="B226" s="11"/>
      <c r="C226" s="11"/>
      <c r="D226" s="11" t="s">
        <v>89</v>
      </c>
      <c r="E226" s="30" t="s">
        <v>796</v>
      </c>
      <c r="F226" s="11" t="s">
        <v>176</v>
      </c>
      <c r="G226" s="11" t="s">
        <v>253</v>
      </c>
      <c r="H226" s="11"/>
      <c r="I226" s="11" t="s">
        <v>541</v>
      </c>
      <c r="J226" s="11"/>
      <c r="K226" s="11" t="s">
        <v>510</v>
      </c>
      <c r="L226" s="11"/>
      <c r="M226" s="11"/>
      <c r="N226" s="11"/>
      <c r="O226" s="11" t="s">
        <v>473</v>
      </c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AA226" s="11" t="s">
        <v>537</v>
      </c>
      <c r="AB226" s="11" t="s">
        <v>537</v>
      </c>
      <c r="AC226" s="11" t="s">
        <v>537</v>
      </c>
      <c r="AD226" s="11" t="s">
        <v>537</v>
      </c>
      <c r="AF226" s="11"/>
      <c r="AG226" s="11"/>
      <c r="AH226" s="11"/>
      <c r="AI226" s="11"/>
      <c r="AJ226" s="11"/>
      <c r="AK226" s="11"/>
      <c r="AL226" s="11"/>
      <c r="AM226" s="11"/>
      <c r="AO226" s="17"/>
    </row>
    <row r="227" spans="1:41" s="1" customFormat="1" ht="26">
      <c r="A227" s="11">
        <f>IF(A226="",MAX($A$10:A226)+10,A226)</f>
        <v>110</v>
      </c>
      <c r="B227" s="11"/>
      <c r="C227" s="11"/>
      <c r="D227" s="11" t="s">
        <v>285</v>
      </c>
      <c r="E227" s="30" t="s">
        <v>958</v>
      </c>
      <c r="F227" s="11" t="s">
        <v>286</v>
      </c>
      <c r="G227" s="11" t="s">
        <v>280</v>
      </c>
      <c r="H227" s="11"/>
      <c r="I227" s="11" t="s">
        <v>715</v>
      </c>
      <c r="J227" s="11"/>
      <c r="K227" s="11" t="s">
        <v>510</v>
      </c>
      <c r="L227" s="11"/>
      <c r="M227" s="11"/>
      <c r="N227" s="11"/>
      <c r="O227" s="11" t="s">
        <v>473</v>
      </c>
      <c r="P227" s="11"/>
      <c r="Q227" s="11" t="s">
        <v>716</v>
      </c>
      <c r="R227" s="11"/>
      <c r="S227" s="11" t="s">
        <v>717</v>
      </c>
      <c r="T227" s="11"/>
      <c r="U227" s="11"/>
      <c r="V227" s="11"/>
      <c r="W227" s="11"/>
      <c r="X227" s="11"/>
      <c r="Y227" s="11"/>
      <c r="AA227" s="11" t="s">
        <v>498</v>
      </c>
      <c r="AB227" s="11" t="s">
        <v>506</v>
      </c>
      <c r="AC227" s="11" t="s">
        <v>506</v>
      </c>
      <c r="AD227" s="11" t="s">
        <v>506</v>
      </c>
      <c r="AF227" s="11"/>
      <c r="AG227" s="11"/>
      <c r="AH227" s="11"/>
      <c r="AI227" s="11"/>
      <c r="AJ227" s="11"/>
      <c r="AK227" s="11"/>
      <c r="AL227" s="11"/>
      <c r="AM227" s="11"/>
      <c r="AO227" s="17"/>
    </row>
    <row r="228" spans="1:41" s="1" customFormat="1">
      <c r="A228" s="11">
        <f>IF(A227="",MAX($A$10:A227)+10,A227)</f>
        <v>110</v>
      </c>
      <c r="B228" s="11"/>
      <c r="C228" s="11"/>
      <c r="D228" s="11" t="s">
        <v>70</v>
      </c>
      <c r="E228" s="30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AA228" s="11"/>
      <c r="AB228" s="11"/>
      <c r="AC228" s="11"/>
      <c r="AD228" s="11"/>
      <c r="AF228" s="11"/>
      <c r="AG228" s="11"/>
      <c r="AH228" s="11"/>
      <c r="AI228" s="11"/>
      <c r="AJ228" s="11"/>
      <c r="AK228" s="11"/>
      <c r="AL228" s="11"/>
      <c r="AM228" s="11"/>
      <c r="AO228" s="17"/>
    </row>
    <row r="229" spans="1:41" s="1" customFormat="1">
      <c r="A229" s="11">
        <f>IF(A228="",MAX($A$10:A228)+10,A228)</f>
        <v>110</v>
      </c>
      <c r="B229" s="11"/>
      <c r="C229" s="11"/>
      <c r="D229" s="11" t="s">
        <v>287</v>
      </c>
      <c r="E229" s="30" t="s">
        <v>959</v>
      </c>
      <c r="F229" s="11" t="s">
        <v>288</v>
      </c>
      <c r="G229" s="11" t="s">
        <v>2</v>
      </c>
      <c r="H229" s="11"/>
      <c r="I229" s="11" t="s">
        <v>718</v>
      </c>
      <c r="J229" s="11"/>
      <c r="K229" s="11" t="s">
        <v>505</v>
      </c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AA229" s="11" t="s">
        <v>506</v>
      </c>
      <c r="AB229" s="11" t="s">
        <v>506</v>
      </c>
      <c r="AC229" s="11" t="s">
        <v>506</v>
      </c>
      <c r="AD229" s="11" t="s">
        <v>506</v>
      </c>
      <c r="AF229" s="11"/>
      <c r="AG229" s="11"/>
      <c r="AH229" s="11"/>
      <c r="AI229" s="11"/>
      <c r="AJ229" s="11"/>
      <c r="AK229" s="11"/>
      <c r="AL229" s="11"/>
      <c r="AM229" s="11"/>
      <c r="AO229" s="17"/>
    </row>
    <row r="230" spans="1:41" s="1" customFormat="1">
      <c r="A230" s="11">
        <f>IF(A229="",MAX($A$10:A229)+10,A229)</f>
        <v>110</v>
      </c>
      <c r="B230" s="11"/>
      <c r="C230" s="11"/>
      <c r="D230" s="11" t="s">
        <v>90</v>
      </c>
      <c r="E230" s="30" t="s">
        <v>797</v>
      </c>
      <c r="F230" s="11" t="s">
        <v>92</v>
      </c>
      <c r="G230" s="11" t="s">
        <v>2</v>
      </c>
      <c r="H230" s="11"/>
      <c r="I230" s="11" t="s">
        <v>542</v>
      </c>
      <c r="J230" s="11"/>
      <c r="K230" s="11" t="s">
        <v>505</v>
      </c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AA230" s="11" t="s">
        <v>498</v>
      </c>
      <c r="AB230" s="11" t="s">
        <v>506</v>
      </c>
      <c r="AC230" s="11" t="s">
        <v>506</v>
      </c>
      <c r="AD230" s="11" t="s">
        <v>506</v>
      </c>
      <c r="AF230" s="11"/>
      <c r="AG230" s="11"/>
      <c r="AH230" s="11"/>
      <c r="AI230" s="11"/>
      <c r="AJ230" s="11"/>
      <c r="AK230" s="11"/>
      <c r="AL230" s="11"/>
      <c r="AM230" s="11"/>
      <c r="AO230" s="17"/>
    </row>
    <row r="231" spans="1:41" s="1" customFormat="1">
      <c r="A231" s="11">
        <f>IF(A230="",MAX($A$10:A230)+10,A230)</f>
        <v>110</v>
      </c>
      <c r="B231" s="11"/>
      <c r="C231" s="11"/>
      <c r="D231" s="11" t="s">
        <v>289</v>
      </c>
      <c r="E231" s="30" t="s">
        <v>787</v>
      </c>
      <c r="F231" s="11" t="s">
        <v>290</v>
      </c>
      <c r="G231" s="11" t="s">
        <v>2</v>
      </c>
      <c r="H231" s="11"/>
      <c r="I231" s="11" t="s">
        <v>520</v>
      </c>
      <c r="J231" s="11"/>
      <c r="K231" s="11" t="s">
        <v>505</v>
      </c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AA231" s="11" t="s">
        <v>83</v>
      </c>
      <c r="AB231" s="11" t="s">
        <v>506</v>
      </c>
      <c r="AC231" s="11" t="s">
        <v>506</v>
      </c>
      <c r="AD231" s="11" t="s">
        <v>506</v>
      </c>
      <c r="AF231" s="11"/>
      <c r="AG231" s="11"/>
      <c r="AH231" s="11"/>
      <c r="AI231" s="11"/>
      <c r="AJ231" s="11"/>
      <c r="AK231" s="11"/>
      <c r="AL231" s="11"/>
      <c r="AM231" s="11"/>
      <c r="AO231" s="17"/>
    </row>
    <row r="232" spans="1:41" s="1" customFormat="1">
      <c r="A232" s="11">
        <f>IF(A231="",MAX($A$10:A231)+10,A231)</f>
        <v>110</v>
      </c>
      <c r="B232" s="11"/>
      <c r="C232" s="11"/>
      <c r="D232" s="11" t="s">
        <v>291</v>
      </c>
      <c r="E232" s="30" t="s">
        <v>788</v>
      </c>
      <c r="F232" s="11" t="s">
        <v>292</v>
      </c>
      <c r="G232" s="11" t="s">
        <v>2</v>
      </c>
      <c r="H232" s="11"/>
      <c r="I232" s="11" t="s">
        <v>522</v>
      </c>
      <c r="J232" s="11"/>
      <c r="K232" s="11" t="s">
        <v>505</v>
      </c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AA232" s="11" t="s">
        <v>83</v>
      </c>
      <c r="AB232" s="11" t="s">
        <v>506</v>
      </c>
      <c r="AC232" s="11" t="s">
        <v>506</v>
      </c>
      <c r="AD232" s="11" t="s">
        <v>506</v>
      </c>
      <c r="AF232" s="11"/>
      <c r="AG232" s="11"/>
      <c r="AH232" s="11"/>
      <c r="AI232" s="11"/>
      <c r="AJ232" s="11"/>
      <c r="AK232" s="11"/>
      <c r="AL232" s="11"/>
      <c r="AM232" s="11"/>
      <c r="AO232" s="17"/>
    </row>
    <row r="233" spans="1:41" s="1" customFormat="1">
      <c r="A233" s="11">
        <f>IF(A232="",MAX($A$10:A232)+10,A232)</f>
        <v>110</v>
      </c>
      <c r="B233" s="11"/>
      <c r="C233" s="11"/>
      <c r="D233" s="11" t="s">
        <v>293</v>
      </c>
      <c r="E233" s="30" t="s">
        <v>789</v>
      </c>
      <c r="F233" s="11" t="s">
        <v>294</v>
      </c>
      <c r="G233" s="11" t="s">
        <v>2</v>
      </c>
      <c r="H233" s="11"/>
      <c r="I233" s="11" t="s">
        <v>523</v>
      </c>
      <c r="J233" s="11"/>
      <c r="K233" s="11" t="s">
        <v>505</v>
      </c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AA233" s="11" t="s">
        <v>83</v>
      </c>
      <c r="AB233" s="11" t="s">
        <v>506</v>
      </c>
      <c r="AC233" s="11" t="s">
        <v>506</v>
      </c>
      <c r="AD233" s="11" t="s">
        <v>506</v>
      </c>
      <c r="AF233" s="11"/>
      <c r="AG233" s="11"/>
      <c r="AH233" s="11"/>
      <c r="AI233" s="11"/>
      <c r="AJ233" s="11"/>
      <c r="AK233" s="11"/>
      <c r="AL233" s="11"/>
      <c r="AM233" s="11"/>
      <c r="AO233" s="17"/>
    </row>
    <row r="234" spans="1:41" s="1" customFormat="1">
      <c r="A234" s="11">
        <f>IF(A233="",MAX($A$10:A233)+10,A233)</f>
        <v>110</v>
      </c>
      <c r="B234" s="11"/>
      <c r="C234" s="11"/>
      <c r="D234" s="11" t="s">
        <v>51</v>
      </c>
      <c r="E234" s="30" t="s">
        <v>938</v>
      </c>
      <c r="F234" s="11" t="s">
        <v>295</v>
      </c>
      <c r="G234" s="11" t="s">
        <v>2</v>
      </c>
      <c r="H234" s="11"/>
      <c r="I234" s="11" t="s">
        <v>695</v>
      </c>
      <c r="J234" s="11"/>
      <c r="K234" s="11" t="s">
        <v>505</v>
      </c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AA234" s="11" t="s">
        <v>506</v>
      </c>
      <c r="AB234" s="11" t="s">
        <v>506</v>
      </c>
      <c r="AC234" s="11" t="s">
        <v>506</v>
      </c>
      <c r="AD234" s="11" t="s">
        <v>506</v>
      </c>
      <c r="AF234" s="11"/>
      <c r="AG234" s="11"/>
      <c r="AH234" s="11"/>
      <c r="AI234" s="11"/>
      <c r="AJ234" s="11"/>
      <c r="AK234" s="11"/>
      <c r="AL234" s="11"/>
      <c r="AM234" s="11"/>
      <c r="AO234" s="17"/>
    </row>
    <row r="235" spans="1:41" s="1" customFormat="1">
      <c r="A235" s="11">
        <f>IF(A234="",MAX($A$10:A234)+10,A234)</f>
        <v>110</v>
      </c>
      <c r="B235" s="11"/>
      <c r="C235" s="11"/>
      <c r="D235" s="11" t="s">
        <v>52</v>
      </c>
      <c r="E235" s="30" t="s">
        <v>939</v>
      </c>
      <c r="F235" s="11" t="s">
        <v>296</v>
      </c>
      <c r="G235" s="11" t="s">
        <v>2</v>
      </c>
      <c r="H235" s="11"/>
      <c r="I235" s="11" t="s">
        <v>696</v>
      </c>
      <c r="J235" s="11"/>
      <c r="K235" s="11" t="s">
        <v>505</v>
      </c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AA235" s="11" t="s">
        <v>506</v>
      </c>
      <c r="AB235" s="11" t="s">
        <v>506</v>
      </c>
      <c r="AC235" s="11" t="s">
        <v>506</v>
      </c>
      <c r="AD235" s="11" t="s">
        <v>506</v>
      </c>
      <c r="AF235" s="11"/>
      <c r="AG235" s="11"/>
      <c r="AH235" s="11"/>
      <c r="AI235" s="11"/>
      <c r="AJ235" s="11"/>
      <c r="AK235" s="11"/>
      <c r="AL235" s="11"/>
      <c r="AM235" s="11"/>
      <c r="AO235" s="17"/>
    </row>
    <row r="236" spans="1:41" s="1" customFormat="1">
      <c r="A236" s="11">
        <f>IF(A235="",MAX($A$10:A235)+10,A235)</f>
        <v>110</v>
      </c>
      <c r="B236" s="11"/>
      <c r="C236" s="11"/>
      <c r="D236" s="11" t="s">
        <v>297</v>
      </c>
      <c r="E236" s="30" t="s">
        <v>940</v>
      </c>
      <c r="F236" s="11" t="s">
        <v>298</v>
      </c>
      <c r="G236" s="11" t="s">
        <v>2</v>
      </c>
      <c r="H236" s="11"/>
      <c r="I236" s="11" t="s">
        <v>697</v>
      </c>
      <c r="J236" s="11"/>
      <c r="K236" s="11" t="s">
        <v>505</v>
      </c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AA236" s="11" t="s">
        <v>506</v>
      </c>
      <c r="AB236" s="11" t="s">
        <v>506</v>
      </c>
      <c r="AC236" s="11" t="s">
        <v>506</v>
      </c>
      <c r="AD236" s="11" t="s">
        <v>506</v>
      </c>
      <c r="AF236" s="11"/>
      <c r="AG236" s="11"/>
      <c r="AH236" s="11"/>
      <c r="AI236" s="11"/>
      <c r="AJ236" s="11"/>
      <c r="AK236" s="11"/>
      <c r="AL236" s="11"/>
      <c r="AM236" s="11"/>
      <c r="AO236" s="17"/>
    </row>
    <row r="237" spans="1:41" s="1" customFormat="1">
      <c r="A237" s="11">
        <f>IF(A236="",MAX($A$10:A236)+10,A236)</f>
        <v>110</v>
      </c>
      <c r="B237" s="11"/>
      <c r="C237" s="11"/>
      <c r="D237" s="11" t="s">
        <v>53</v>
      </c>
      <c r="E237" s="30" t="s">
        <v>941</v>
      </c>
      <c r="F237" s="11" t="s">
        <v>299</v>
      </c>
      <c r="G237" s="11" t="s">
        <v>2</v>
      </c>
      <c r="H237" s="11"/>
      <c r="I237" s="11" t="s">
        <v>698</v>
      </c>
      <c r="J237" s="11"/>
      <c r="K237" s="11" t="s">
        <v>505</v>
      </c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AA237" s="11" t="s">
        <v>506</v>
      </c>
      <c r="AB237" s="11" t="s">
        <v>506</v>
      </c>
      <c r="AC237" s="11" t="s">
        <v>506</v>
      </c>
      <c r="AD237" s="11" t="s">
        <v>506</v>
      </c>
      <c r="AF237" s="11"/>
      <c r="AG237" s="11"/>
      <c r="AH237" s="11"/>
      <c r="AI237" s="11"/>
      <c r="AJ237" s="11"/>
      <c r="AK237" s="11"/>
      <c r="AL237" s="11"/>
      <c r="AM237" s="11"/>
      <c r="AO237" s="17"/>
    </row>
    <row r="238" spans="1:41" s="1" customFormat="1">
      <c r="A238" s="11">
        <f>IF(A237="",MAX($A$10:A237)+10,A237)</f>
        <v>110</v>
      </c>
      <c r="B238" s="11"/>
      <c r="C238" s="11"/>
      <c r="D238" s="11" t="s">
        <v>300</v>
      </c>
      <c r="E238" s="30" t="s">
        <v>942</v>
      </c>
      <c r="F238" s="11" t="s">
        <v>301</v>
      </c>
      <c r="G238" s="11" t="s">
        <v>2</v>
      </c>
      <c r="H238" s="11"/>
      <c r="I238" s="11" t="s">
        <v>699</v>
      </c>
      <c r="J238" s="11"/>
      <c r="K238" s="11" t="s">
        <v>505</v>
      </c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AA238" s="11" t="s">
        <v>506</v>
      </c>
      <c r="AB238" s="11" t="s">
        <v>506</v>
      </c>
      <c r="AC238" s="11" t="s">
        <v>506</v>
      </c>
      <c r="AD238" s="11" t="s">
        <v>506</v>
      </c>
      <c r="AF238" s="11"/>
      <c r="AG238" s="11"/>
      <c r="AH238" s="11"/>
      <c r="AI238" s="11"/>
      <c r="AJ238" s="11"/>
      <c r="AK238" s="11"/>
      <c r="AL238" s="11"/>
      <c r="AM238" s="11"/>
      <c r="AO238" s="17"/>
    </row>
    <row r="239" spans="1:41" s="1" customFormat="1">
      <c r="A239" s="11">
        <f>IF(A238="",MAX($A$10:A238)+10,A238)</f>
        <v>110</v>
      </c>
      <c r="B239" s="11"/>
      <c r="C239" s="11"/>
      <c r="D239" s="11" t="s">
        <v>302</v>
      </c>
      <c r="E239" s="30" t="s">
        <v>943</v>
      </c>
      <c r="F239" s="11" t="s">
        <v>303</v>
      </c>
      <c r="G239" s="11"/>
      <c r="H239" s="11"/>
      <c r="I239" s="11" t="s">
        <v>700</v>
      </c>
      <c r="J239" s="11"/>
      <c r="K239" s="11" t="s">
        <v>505</v>
      </c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AA239" s="11" t="s">
        <v>537</v>
      </c>
      <c r="AB239" s="11" t="s">
        <v>537</v>
      </c>
      <c r="AC239" s="11" t="s">
        <v>537</v>
      </c>
      <c r="AD239" s="11" t="s">
        <v>537</v>
      </c>
      <c r="AF239" s="11"/>
      <c r="AG239" s="11"/>
      <c r="AH239" s="11"/>
      <c r="AI239" s="11"/>
      <c r="AJ239" s="11"/>
      <c r="AK239" s="11"/>
      <c r="AL239" s="11"/>
      <c r="AM239" s="11"/>
      <c r="AO239" s="17"/>
    </row>
    <row r="240" spans="1:41" s="1" customFormat="1">
      <c r="A240" s="11">
        <f>IF(A239="",MAX($A$10:A239)+10,A239)</f>
        <v>110</v>
      </c>
      <c r="B240" s="11"/>
      <c r="C240" s="11"/>
      <c r="D240" s="11" t="s">
        <v>54</v>
      </c>
      <c r="E240" s="30" t="s">
        <v>944</v>
      </c>
      <c r="F240" s="11" t="s">
        <v>68</v>
      </c>
      <c r="G240" s="11" t="s">
        <v>2</v>
      </c>
      <c r="H240" s="11"/>
      <c r="I240" s="11" t="s">
        <v>695</v>
      </c>
      <c r="J240" s="11"/>
      <c r="K240" s="11" t="s">
        <v>505</v>
      </c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AA240" s="11" t="s">
        <v>506</v>
      </c>
      <c r="AB240" s="11" t="s">
        <v>506</v>
      </c>
      <c r="AC240" s="11" t="s">
        <v>506</v>
      </c>
      <c r="AD240" s="11" t="s">
        <v>506</v>
      </c>
      <c r="AF240" s="11"/>
      <c r="AG240" s="11"/>
      <c r="AH240" s="11"/>
      <c r="AI240" s="11"/>
      <c r="AJ240" s="11"/>
      <c r="AK240" s="11"/>
      <c r="AL240" s="11"/>
      <c r="AM240" s="11"/>
      <c r="AO240" s="17"/>
    </row>
    <row r="241" spans="1:41" s="1" customFormat="1">
      <c r="A241" s="11">
        <f>IF(A240="",MAX($A$10:A240)+10,A240)</f>
        <v>110</v>
      </c>
      <c r="B241" s="11"/>
      <c r="C241" s="11"/>
      <c r="D241" s="11" t="s">
        <v>55</v>
      </c>
      <c r="E241" s="30" t="s">
        <v>945</v>
      </c>
      <c r="F241" s="11" t="s">
        <v>304</v>
      </c>
      <c r="G241" s="11" t="s">
        <v>2</v>
      </c>
      <c r="H241" s="11"/>
      <c r="I241" s="11" t="s">
        <v>696</v>
      </c>
      <c r="J241" s="11"/>
      <c r="K241" s="11" t="s">
        <v>505</v>
      </c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AA241" s="11" t="s">
        <v>506</v>
      </c>
      <c r="AB241" s="11" t="s">
        <v>506</v>
      </c>
      <c r="AC241" s="11" t="s">
        <v>506</v>
      </c>
      <c r="AD241" s="11" t="s">
        <v>506</v>
      </c>
      <c r="AF241" s="11"/>
      <c r="AG241" s="11"/>
      <c r="AH241" s="11"/>
      <c r="AI241" s="11"/>
      <c r="AJ241" s="11"/>
      <c r="AK241" s="11"/>
      <c r="AL241" s="11"/>
      <c r="AM241" s="11"/>
      <c r="AO241" s="17"/>
    </row>
    <row r="242" spans="1:41" s="1" customFormat="1">
      <c r="A242" s="11">
        <f>IF(A241="",MAX($A$10:A241)+10,A241)</f>
        <v>110</v>
      </c>
      <c r="B242" s="11"/>
      <c r="C242" s="11"/>
      <c r="D242" s="11" t="s">
        <v>56</v>
      </c>
      <c r="E242" s="30" t="s">
        <v>946</v>
      </c>
      <c r="F242" s="11" t="s">
        <v>305</v>
      </c>
      <c r="G242" s="11" t="s">
        <v>2</v>
      </c>
      <c r="H242" s="11"/>
      <c r="I242" s="11" t="s">
        <v>697</v>
      </c>
      <c r="J242" s="11"/>
      <c r="K242" s="11" t="s">
        <v>505</v>
      </c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AA242" s="11" t="s">
        <v>506</v>
      </c>
      <c r="AB242" s="11" t="s">
        <v>506</v>
      </c>
      <c r="AC242" s="11" t="s">
        <v>506</v>
      </c>
      <c r="AD242" s="11" t="s">
        <v>506</v>
      </c>
      <c r="AF242" s="11"/>
      <c r="AG242" s="11"/>
      <c r="AH242" s="11"/>
      <c r="AI242" s="11"/>
      <c r="AJ242" s="11"/>
      <c r="AK242" s="11"/>
      <c r="AL242" s="11"/>
      <c r="AM242" s="11"/>
      <c r="AO242" s="17"/>
    </row>
    <row r="243" spans="1:41" s="1" customFormat="1">
      <c r="A243" s="11">
        <f>IF(A242="",MAX($A$10:A242)+10,A242)</f>
        <v>110</v>
      </c>
      <c r="B243" s="11"/>
      <c r="C243" s="11"/>
      <c r="D243" s="11" t="s">
        <v>57</v>
      </c>
      <c r="E243" s="30" t="s">
        <v>947</v>
      </c>
      <c r="F243" s="11" t="s">
        <v>306</v>
      </c>
      <c r="G243" s="11" t="s">
        <v>2</v>
      </c>
      <c r="H243" s="11"/>
      <c r="I243" s="11" t="s">
        <v>698</v>
      </c>
      <c r="J243" s="11"/>
      <c r="K243" s="11" t="s">
        <v>505</v>
      </c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AA243" s="11" t="s">
        <v>506</v>
      </c>
      <c r="AB243" s="11" t="s">
        <v>506</v>
      </c>
      <c r="AC243" s="11" t="s">
        <v>506</v>
      </c>
      <c r="AD243" s="11" t="s">
        <v>506</v>
      </c>
      <c r="AF243" s="11"/>
      <c r="AG243" s="11"/>
      <c r="AH243" s="11"/>
      <c r="AI243" s="11"/>
      <c r="AJ243" s="11"/>
      <c r="AK243" s="11"/>
      <c r="AL243" s="11"/>
      <c r="AM243" s="11"/>
      <c r="AO243" s="17"/>
    </row>
    <row r="244" spans="1:41" s="1" customFormat="1">
      <c r="A244" s="11">
        <f>IF(A243="",MAX($A$10:A243)+10,A243)</f>
        <v>110</v>
      </c>
      <c r="B244" s="11"/>
      <c r="C244" s="11"/>
      <c r="D244" s="11" t="s">
        <v>307</v>
      </c>
      <c r="E244" s="30" t="s">
        <v>948</v>
      </c>
      <c r="F244" s="11" t="s">
        <v>308</v>
      </c>
      <c r="G244" s="11" t="s">
        <v>2</v>
      </c>
      <c r="H244" s="11"/>
      <c r="I244" s="11" t="s">
        <v>699</v>
      </c>
      <c r="J244" s="11"/>
      <c r="K244" s="11" t="s">
        <v>505</v>
      </c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AA244" s="11" t="s">
        <v>506</v>
      </c>
      <c r="AB244" s="11" t="s">
        <v>506</v>
      </c>
      <c r="AC244" s="11" t="s">
        <v>506</v>
      </c>
      <c r="AD244" s="11" t="s">
        <v>506</v>
      </c>
      <c r="AF244" s="11"/>
      <c r="AG244" s="11"/>
      <c r="AH244" s="11"/>
      <c r="AI244" s="11"/>
      <c r="AJ244" s="11"/>
      <c r="AK244" s="11"/>
      <c r="AL244" s="11"/>
      <c r="AM244" s="11"/>
      <c r="AO244" s="17"/>
    </row>
    <row r="245" spans="1:41" s="1" customFormat="1">
      <c r="A245" s="11">
        <f>IF(A244="",MAX($A$10:A244)+10,A244)</f>
        <v>110</v>
      </c>
      <c r="B245" s="11"/>
      <c r="C245" s="11"/>
      <c r="D245" s="11" t="s">
        <v>309</v>
      </c>
      <c r="E245" s="30" t="s">
        <v>949</v>
      </c>
      <c r="F245" s="11" t="s">
        <v>310</v>
      </c>
      <c r="G245" s="11" t="s">
        <v>2</v>
      </c>
      <c r="H245" s="11"/>
      <c r="I245" s="11" t="s">
        <v>701</v>
      </c>
      <c r="J245" s="11"/>
      <c r="K245" s="11" t="s">
        <v>505</v>
      </c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AA245" s="11" t="s">
        <v>506</v>
      </c>
      <c r="AB245" s="11" t="s">
        <v>506</v>
      </c>
      <c r="AC245" s="11" t="s">
        <v>506</v>
      </c>
      <c r="AD245" s="11" t="s">
        <v>506</v>
      </c>
      <c r="AF245" s="11"/>
      <c r="AG245" s="11"/>
      <c r="AH245" s="11"/>
      <c r="AI245" s="11"/>
      <c r="AJ245" s="11"/>
      <c r="AK245" s="11"/>
      <c r="AL245" s="11"/>
      <c r="AM245" s="11"/>
      <c r="AO245" s="17"/>
    </row>
    <row r="246" spans="1:41" s="1" customFormat="1" ht="52">
      <c r="A246" s="40"/>
      <c r="AF246" s="35" t="s">
        <v>963</v>
      </c>
      <c r="AG246" s="35" t="s">
        <v>964</v>
      </c>
      <c r="AH246" s="35" t="s">
        <v>963</v>
      </c>
      <c r="AI246" s="35" t="s">
        <v>964</v>
      </c>
      <c r="AJ246" s="35" t="s">
        <v>963</v>
      </c>
      <c r="AK246" s="35" t="s">
        <v>964</v>
      </c>
      <c r="AL246" s="35" t="s">
        <v>963</v>
      </c>
      <c r="AM246" s="35" t="s">
        <v>964</v>
      </c>
      <c r="AO246" s="10"/>
    </row>
    <row r="247" spans="1:41" s="1" customFormat="1">
      <c r="A247" s="11">
        <f>IF(A246="",MAX($A$10:A246)+10,A246)</f>
        <v>120</v>
      </c>
      <c r="B247" s="12" t="s">
        <v>0</v>
      </c>
      <c r="C247" s="12"/>
      <c r="D247" s="12" t="s">
        <v>311</v>
      </c>
      <c r="E247" s="13" t="s">
        <v>312</v>
      </c>
      <c r="F247" s="12" t="s">
        <v>281</v>
      </c>
      <c r="G247" s="12"/>
      <c r="H247" s="12"/>
      <c r="I247" s="12" t="s">
        <v>531</v>
      </c>
      <c r="J247" s="12"/>
      <c r="K247" s="12" t="s">
        <v>719</v>
      </c>
      <c r="L247" s="12"/>
      <c r="M247" s="12" t="s">
        <v>510</v>
      </c>
      <c r="N247" s="12"/>
      <c r="O247" s="12"/>
      <c r="P247" s="12"/>
      <c r="Q247" s="16"/>
      <c r="R247" s="16"/>
      <c r="S247" s="16"/>
      <c r="T247" s="16"/>
      <c r="U247" s="16"/>
      <c r="V247" s="16"/>
      <c r="W247" s="16"/>
      <c r="X247" s="16"/>
      <c r="Y247" s="16"/>
      <c r="Z247" s="14"/>
      <c r="AA247" s="16"/>
      <c r="AB247" s="16"/>
      <c r="AC247" s="16"/>
      <c r="AD247" s="16"/>
      <c r="AE247" s="14"/>
      <c r="AF247" s="11"/>
      <c r="AG247" s="11" t="s">
        <v>720</v>
      </c>
      <c r="AH247" s="11" t="s">
        <v>721</v>
      </c>
      <c r="AI247" s="11"/>
      <c r="AJ247" s="11"/>
      <c r="AK247" s="11"/>
      <c r="AL247" s="11"/>
      <c r="AM247" s="11"/>
      <c r="AN247" s="14"/>
      <c r="AO247" s="17"/>
    </row>
    <row r="248" spans="1:41" s="1" customFormat="1">
      <c r="A248" s="11">
        <f>IF(A247="",MAX($A$10:A247)+10,A247)</f>
        <v>120</v>
      </c>
      <c r="B248" s="11"/>
      <c r="C248" s="11"/>
      <c r="D248" s="11" t="s">
        <v>27</v>
      </c>
      <c r="E248" s="30" t="s">
        <v>793</v>
      </c>
      <c r="F248" s="11" t="s">
        <v>284</v>
      </c>
      <c r="G248" s="11" t="s">
        <v>2</v>
      </c>
      <c r="H248" s="11"/>
      <c r="I248" s="11" t="s">
        <v>525</v>
      </c>
      <c r="J248" s="11"/>
      <c r="K248" s="11" t="s">
        <v>526</v>
      </c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AA248" s="11"/>
      <c r="AB248" s="11"/>
      <c r="AC248" s="11"/>
      <c r="AD248" s="11"/>
      <c r="AF248" s="11"/>
      <c r="AG248" s="11"/>
      <c r="AH248" s="11"/>
      <c r="AI248" s="11"/>
      <c r="AJ248" s="11"/>
      <c r="AK248" s="11"/>
      <c r="AL248" s="11"/>
      <c r="AM248" s="11"/>
      <c r="AO248" s="17"/>
    </row>
    <row r="249" spans="1:41" s="1" customFormat="1">
      <c r="A249" s="11">
        <f>IF(A248="",MAX($A$10:A248)+10,A248)</f>
        <v>120</v>
      </c>
      <c r="B249" s="11"/>
      <c r="C249" s="11"/>
      <c r="D249" s="11" t="s">
        <v>88</v>
      </c>
      <c r="E249" s="30" t="s">
        <v>794</v>
      </c>
      <c r="F249" s="11" t="s">
        <v>175</v>
      </c>
      <c r="G249" s="11" t="s">
        <v>2</v>
      </c>
      <c r="H249" s="11"/>
      <c r="I249" s="11" t="s">
        <v>538</v>
      </c>
      <c r="J249" s="11"/>
      <c r="K249" s="11" t="s">
        <v>719</v>
      </c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AA249" s="11"/>
      <c r="AB249" s="11"/>
      <c r="AC249" s="11"/>
      <c r="AD249" s="11"/>
      <c r="AF249" s="11"/>
      <c r="AG249" s="11" t="s">
        <v>83</v>
      </c>
      <c r="AH249" s="11" t="s">
        <v>83</v>
      </c>
      <c r="AI249" s="11"/>
      <c r="AJ249" s="11"/>
      <c r="AK249" s="11"/>
      <c r="AL249" s="11"/>
      <c r="AM249" s="11"/>
      <c r="AO249" s="17"/>
    </row>
    <row r="250" spans="1:41" s="1" customFormat="1">
      <c r="A250" s="11">
        <f>IF(A249="",MAX($A$10:A249)+10,A249)</f>
        <v>120</v>
      </c>
      <c r="B250" s="11"/>
      <c r="C250" s="11"/>
      <c r="D250" s="11" t="s">
        <v>93</v>
      </c>
      <c r="E250" s="30" t="s">
        <v>795</v>
      </c>
      <c r="F250" s="11" t="s">
        <v>91</v>
      </c>
      <c r="G250" s="11" t="s">
        <v>2</v>
      </c>
      <c r="H250" s="11"/>
      <c r="I250" s="11" t="s">
        <v>540</v>
      </c>
      <c r="J250" s="11"/>
      <c r="K250" s="11" t="s">
        <v>719</v>
      </c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AA250" s="11"/>
      <c r="AB250" s="11"/>
      <c r="AC250" s="11"/>
      <c r="AD250" s="11"/>
      <c r="AF250" s="11"/>
      <c r="AG250" s="11" t="s">
        <v>83</v>
      </c>
      <c r="AH250" s="11"/>
      <c r="AI250" s="11"/>
      <c r="AJ250" s="11"/>
      <c r="AK250" s="11"/>
      <c r="AL250" s="11"/>
      <c r="AM250" s="11"/>
      <c r="AO250" s="17"/>
    </row>
    <row r="251" spans="1:41" s="1" customFormat="1">
      <c r="A251" s="11">
        <f>IF(A250="",MAX($A$10:A250)+10,A250)</f>
        <v>120</v>
      </c>
      <c r="B251" s="11"/>
      <c r="C251" s="11"/>
      <c r="D251" s="11" t="s">
        <v>89</v>
      </c>
      <c r="E251" s="30" t="s">
        <v>796</v>
      </c>
      <c r="F251" s="11" t="s">
        <v>176</v>
      </c>
      <c r="G251" s="11" t="s">
        <v>2</v>
      </c>
      <c r="H251" s="11"/>
      <c r="I251" s="11" t="s">
        <v>541</v>
      </c>
      <c r="J251" s="11"/>
      <c r="K251" s="11" t="s">
        <v>719</v>
      </c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AA251" s="11"/>
      <c r="AB251" s="11"/>
      <c r="AC251" s="11"/>
      <c r="AD251" s="11"/>
      <c r="AF251" s="11"/>
      <c r="AG251" s="11" t="s">
        <v>83</v>
      </c>
      <c r="AH251" s="11" t="s">
        <v>83</v>
      </c>
      <c r="AI251" s="11"/>
      <c r="AJ251" s="11"/>
      <c r="AK251" s="11"/>
      <c r="AL251" s="11"/>
      <c r="AM251" s="11"/>
      <c r="AO251" s="17"/>
    </row>
    <row r="252" spans="1:41" s="1" customFormat="1" ht="26">
      <c r="A252" s="11">
        <f>IF(A251="",MAX($A$10:A251)+10,A251)</f>
        <v>120</v>
      </c>
      <c r="B252" s="11"/>
      <c r="C252" s="11"/>
      <c r="D252" s="11" t="s">
        <v>285</v>
      </c>
      <c r="E252" s="30" t="s">
        <v>960</v>
      </c>
      <c r="F252" s="11" t="s">
        <v>280</v>
      </c>
      <c r="G252" s="11" t="s">
        <v>2</v>
      </c>
      <c r="H252" s="11"/>
      <c r="I252" s="11" t="s">
        <v>715</v>
      </c>
      <c r="J252" s="11"/>
      <c r="K252" s="11" t="s">
        <v>719</v>
      </c>
      <c r="L252" s="11"/>
      <c r="M252" s="11"/>
      <c r="N252" s="11"/>
      <c r="O252" s="11"/>
      <c r="P252" s="11"/>
      <c r="Q252" s="11" t="s">
        <v>716</v>
      </c>
      <c r="R252" s="11"/>
      <c r="S252" s="11" t="s">
        <v>717</v>
      </c>
      <c r="T252" s="11"/>
      <c r="U252" s="11"/>
      <c r="V252" s="11"/>
      <c r="W252" s="11"/>
      <c r="X252" s="11"/>
      <c r="Y252" s="11"/>
      <c r="AA252" s="11"/>
      <c r="AB252" s="11"/>
      <c r="AC252" s="11"/>
      <c r="AD252" s="11"/>
      <c r="AF252" s="11"/>
      <c r="AG252" s="11" t="s">
        <v>83</v>
      </c>
      <c r="AH252" s="11" t="s">
        <v>83</v>
      </c>
      <c r="AI252" s="11"/>
      <c r="AJ252" s="11"/>
      <c r="AK252" s="11"/>
      <c r="AL252" s="11"/>
      <c r="AM252" s="11"/>
      <c r="AO252" s="17"/>
    </row>
    <row r="253" spans="1:41" s="1" customFormat="1">
      <c r="A253" s="11">
        <f>IF(A252="",MAX($A$10:A252)+10,A252)</f>
        <v>120</v>
      </c>
      <c r="B253" s="11"/>
      <c r="C253" s="11"/>
      <c r="D253" s="11" t="s">
        <v>287</v>
      </c>
      <c r="E253" s="30" t="s">
        <v>959</v>
      </c>
      <c r="F253" s="11" t="s">
        <v>288</v>
      </c>
      <c r="G253" s="11" t="s">
        <v>2</v>
      </c>
      <c r="H253" s="11"/>
      <c r="I253" s="11" t="s">
        <v>718</v>
      </c>
      <c r="J253" s="11"/>
      <c r="K253" s="11" t="s">
        <v>719</v>
      </c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AA253" s="11"/>
      <c r="AB253" s="11"/>
      <c r="AC253" s="11"/>
      <c r="AD253" s="11"/>
      <c r="AF253" s="11"/>
      <c r="AG253" s="11" t="s">
        <v>83</v>
      </c>
      <c r="AH253" s="11"/>
      <c r="AI253" s="11"/>
      <c r="AJ253" s="11"/>
      <c r="AK253" s="11"/>
      <c r="AL253" s="11"/>
      <c r="AM253" s="11"/>
      <c r="AO253" s="17"/>
    </row>
    <row r="254" spans="1:41" s="1" customFormat="1">
      <c r="A254" s="11">
        <f>IF(A253="",MAX($A$10:A253)+10,A253)</f>
        <v>120</v>
      </c>
      <c r="B254" s="11"/>
      <c r="C254" s="11"/>
      <c r="D254" s="11" t="s">
        <v>90</v>
      </c>
      <c r="E254" s="30" t="s">
        <v>797</v>
      </c>
      <c r="F254" s="11" t="s">
        <v>92</v>
      </c>
      <c r="G254" s="11" t="s">
        <v>2</v>
      </c>
      <c r="H254" s="11"/>
      <c r="I254" s="11" t="s">
        <v>542</v>
      </c>
      <c r="J254" s="11"/>
      <c r="K254" s="11" t="s">
        <v>719</v>
      </c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AA254" s="11"/>
      <c r="AB254" s="11"/>
      <c r="AC254" s="11"/>
      <c r="AD254" s="11"/>
      <c r="AF254" s="11"/>
      <c r="AG254" s="11" t="s">
        <v>83</v>
      </c>
      <c r="AH254" s="11" t="s">
        <v>83</v>
      </c>
      <c r="AI254" s="11"/>
      <c r="AJ254" s="11"/>
      <c r="AK254" s="11"/>
      <c r="AL254" s="11"/>
      <c r="AM254" s="11"/>
      <c r="AO254" s="17"/>
    </row>
    <row r="255" spans="1:41" s="1" customFormat="1">
      <c r="A255" s="11">
        <f>IF(A254="",MAX($A$10:A254)+10,A254)</f>
        <v>120</v>
      </c>
      <c r="B255" s="11"/>
      <c r="C255" s="11"/>
      <c r="D255" s="11" t="s">
        <v>289</v>
      </c>
      <c r="E255" s="30" t="s">
        <v>787</v>
      </c>
      <c r="F255" s="11" t="s">
        <v>290</v>
      </c>
      <c r="G255" s="11" t="s">
        <v>2</v>
      </c>
      <c r="H255" s="11"/>
      <c r="I255" s="11" t="s">
        <v>520</v>
      </c>
      <c r="J255" s="11"/>
      <c r="K255" s="11" t="s">
        <v>719</v>
      </c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AA255" s="11"/>
      <c r="AB255" s="11"/>
      <c r="AC255" s="11"/>
      <c r="AD255" s="11"/>
      <c r="AF255" s="11"/>
      <c r="AG255" s="11" t="s">
        <v>83</v>
      </c>
      <c r="AH255" s="11" t="s">
        <v>83</v>
      </c>
      <c r="AI255" s="11"/>
      <c r="AJ255" s="11"/>
      <c r="AK255" s="11"/>
      <c r="AL255" s="11"/>
      <c r="AM255" s="11"/>
      <c r="AO255" s="17"/>
    </row>
    <row r="256" spans="1:41" s="1" customFormat="1">
      <c r="A256" s="11">
        <f>IF(A255="",MAX($A$10:A255)+10,A255)</f>
        <v>120</v>
      </c>
      <c r="B256" s="11"/>
      <c r="C256" s="11"/>
      <c r="D256" s="11" t="s">
        <v>291</v>
      </c>
      <c r="E256" s="30" t="s">
        <v>788</v>
      </c>
      <c r="F256" s="11" t="s">
        <v>292</v>
      </c>
      <c r="G256" s="11" t="s">
        <v>2</v>
      </c>
      <c r="H256" s="11"/>
      <c r="I256" s="11" t="s">
        <v>522</v>
      </c>
      <c r="J256" s="11"/>
      <c r="K256" s="11" t="s">
        <v>719</v>
      </c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AA256" s="11"/>
      <c r="AB256" s="11"/>
      <c r="AC256" s="11"/>
      <c r="AD256" s="11"/>
      <c r="AF256" s="11"/>
      <c r="AG256" s="11" t="s">
        <v>83</v>
      </c>
      <c r="AH256" s="11" t="s">
        <v>83</v>
      </c>
      <c r="AI256" s="11"/>
      <c r="AJ256" s="11"/>
      <c r="AK256" s="11"/>
      <c r="AL256" s="11"/>
      <c r="AM256" s="11"/>
      <c r="AO256" s="17"/>
    </row>
    <row r="257" spans="1:41" s="1" customFormat="1">
      <c r="A257" s="11">
        <f>IF(A256="",MAX($A$10:A256)+10,A256)</f>
        <v>120</v>
      </c>
      <c r="B257" s="11"/>
      <c r="C257" s="11"/>
      <c r="D257" s="11" t="s">
        <v>293</v>
      </c>
      <c r="E257" s="30" t="s">
        <v>789</v>
      </c>
      <c r="F257" s="11" t="s">
        <v>294</v>
      </c>
      <c r="G257" s="11" t="s">
        <v>2</v>
      </c>
      <c r="H257" s="11"/>
      <c r="I257" s="11" t="s">
        <v>523</v>
      </c>
      <c r="J257" s="11"/>
      <c r="K257" s="11" t="s">
        <v>719</v>
      </c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AA257" s="11"/>
      <c r="AB257" s="11"/>
      <c r="AC257" s="11"/>
      <c r="AD257" s="11"/>
      <c r="AF257" s="11"/>
      <c r="AG257" s="11" t="s">
        <v>83</v>
      </c>
      <c r="AH257" s="11" t="s">
        <v>83</v>
      </c>
      <c r="AI257" s="11"/>
      <c r="AJ257" s="11"/>
      <c r="AK257" s="11"/>
      <c r="AL257" s="11"/>
      <c r="AM257" s="11"/>
      <c r="AO257" s="17"/>
    </row>
    <row r="258" spans="1:41" s="1" customFormat="1">
      <c r="A258" s="11">
        <f>IF(A257="",MAX($A$10:A257)+10,A257)</f>
        <v>120</v>
      </c>
      <c r="B258" s="11"/>
      <c r="C258" s="11"/>
      <c r="D258" s="11" t="s">
        <v>51</v>
      </c>
      <c r="E258" s="30" t="s">
        <v>938</v>
      </c>
      <c r="F258" s="11" t="s">
        <v>295</v>
      </c>
      <c r="G258" s="11" t="s">
        <v>2</v>
      </c>
      <c r="H258" s="11"/>
      <c r="I258" s="11" t="s">
        <v>695</v>
      </c>
      <c r="J258" s="11"/>
      <c r="K258" s="11" t="s">
        <v>719</v>
      </c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AA258" s="11"/>
      <c r="AB258" s="11"/>
      <c r="AC258" s="11"/>
      <c r="AD258" s="11"/>
      <c r="AF258" s="11"/>
      <c r="AG258" s="11" t="s">
        <v>83</v>
      </c>
      <c r="AH258" s="11"/>
      <c r="AI258" s="11"/>
      <c r="AJ258" s="11"/>
      <c r="AK258" s="11"/>
      <c r="AL258" s="11"/>
      <c r="AM258" s="11"/>
      <c r="AO258" s="17"/>
    </row>
    <row r="259" spans="1:41" s="1" customFormat="1">
      <c r="A259" s="11">
        <f>IF(A258="",MAX($A$10:A258)+10,A258)</f>
        <v>120</v>
      </c>
      <c r="B259" s="11"/>
      <c r="C259" s="11"/>
      <c r="D259" s="11" t="s">
        <v>52</v>
      </c>
      <c r="E259" s="30" t="s">
        <v>939</v>
      </c>
      <c r="F259" s="11" t="s">
        <v>296</v>
      </c>
      <c r="G259" s="11" t="s">
        <v>2</v>
      </c>
      <c r="H259" s="11"/>
      <c r="I259" s="11" t="s">
        <v>696</v>
      </c>
      <c r="J259" s="11"/>
      <c r="K259" s="11" t="s">
        <v>719</v>
      </c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AA259" s="11"/>
      <c r="AB259" s="11"/>
      <c r="AC259" s="11"/>
      <c r="AD259" s="11"/>
      <c r="AF259" s="11"/>
      <c r="AG259" s="11" t="s">
        <v>83</v>
      </c>
      <c r="AH259" s="11"/>
      <c r="AI259" s="11"/>
      <c r="AJ259" s="11"/>
      <c r="AK259" s="11"/>
      <c r="AL259" s="11"/>
      <c r="AM259" s="11"/>
      <c r="AO259" s="17"/>
    </row>
    <row r="260" spans="1:41" s="1" customFormat="1">
      <c r="A260" s="11">
        <f>IF(A259="",MAX($A$10:A259)+10,A259)</f>
        <v>120</v>
      </c>
      <c r="B260" s="11"/>
      <c r="C260" s="11"/>
      <c r="D260" s="11" t="s">
        <v>297</v>
      </c>
      <c r="E260" s="30" t="s">
        <v>940</v>
      </c>
      <c r="F260" s="11" t="s">
        <v>298</v>
      </c>
      <c r="G260" s="11" t="s">
        <v>2</v>
      </c>
      <c r="H260" s="11"/>
      <c r="I260" s="11" t="s">
        <v>697</v>
      </c>
      <c r="J260" s="11"/>
      <c r="K260" s="11" t="s">
        <v>719</v>
      </c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AA260" s="11"/>
      <c r="AB260" s="11"/>
      <c r="AC260" s="11"/>
      <c r="AD260" s="11"/>
      <c r="AF260" s="11"/>
      <c r="AG260" s="11" t="s">
        <v>83</v>
      </c>
      <c r="AH260" s="11"/>
      <c r="AI260" s="11"/>
      <c r="AJ260" s="11"/>
      <c r="AK260" s="11"/>
      <c r="AL260" s="11"/>
      <c r="AM260" s="11"/>
      <c r="AO260" s="17"/>
    </row>
    <row r="261" spans="1:41" s="1" customFormat="1">
      <c r="A261" s="11">
        <f>IF(A260="",MAX($A$10:A260)+10,A260)</f>
        <v>120</v>
      </c>
      <c r="B261" s="11"/>
      <c r="C261" s="11"/>
      <c r="D261" s="11" t="s">
        <v>53</v>
      </c>
      <c r="E261" s="30" t="s">
        <v>941</v>
      </c>
      <c r="F261" s="11" t="s">
        <v>299</v>
      </c>
      <c r="G261" s="11" t="s">
        <v>2</v>
      </c>
      <c r="H261" s="11"/>
      <c r="I261" s="11" t="s">
        <v>698</v>
      </c>
      <c r="J261" s="11"/>
      <c r="K261" s="11" t="s">
        <v>719</v>
      </c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AA261" s="11"/>
      <c r="AB261" s="11"/>
      <c r="AC261" s="11"/>
      <c r="AD261" s="11"/>
      <c r="AF261" s="11"/>
      <c r="AG261" s="11" t="s">
        <v>83</v>
      </c>
      <c r="AH261" s="11"/>
      <c r="AI261" s="11"/>
      <c r="AJ261" s="11"/>
      <c r="AK261" s="11"/>
      <c r="AL261" s="11"/>
      <c r="AM261" s="11"/>
      <c r="AO261" s="17"/>
    </row>
    <row r="262" spans="1:41" s="1" customFormat="1">
      <c r="A262" s="11">
        <f>IF(A261="",MAX($A$10:A261)+10,A261)</f>
        <v>120</v>
      </c>
      <c r="B262" s="11"/>
      <c r="C262" s="11"/>
      <c r="D262" s="11" t="s">
        <v>300</v>
      </c>
      <c r="E262" s="30" t="s">
        <v>942</v>
      </c>
      <c r="F262" s="11" t="s">
        <v>301</v>
      </c>
      <c r="G262" s="11" t="s">
        <v>2</v>
      </c>
      <c r="H262" s="11"/>
      <c r="I262" s="11" t="s">
        <v>699</v>
      </c>
      <c r="J262" s="11"/>
      <c r="K262" s="11" t="s">
        <v>719</v>
      </c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AA262" s="11"/>
      <c r="AB262" s="11"/>
      <c r="AC262" s="11"/>
      <c r="AD262" s="11"/>
      <c r="AF262" s="11"/>
      <c r="AG262" s="11" t="s">
        <v>83</v>
      </c>
      <c r="AH262" s="11"/>
      <c r="AI262" s="11"/>
      <c r="AJ262" s="11"/>
      <c r="AK262" s="11"/>
      <c r="AL262" s="11"/>
      <c r="AM262" s="11"/>
      <c r="AO262" s="17"/>
    </row>
    <row r="263" spans="1:41" s="1" customFormat="1">
      <c r="A263" s="11">
        <f>IF(A262="",MAX($A$10:A262)+10,A262)</f>
        <v>120</v>
      </c>
      <c r="B263" s="11"/>
      <c r="C263" s="11"/>
      <c r="D263" s="11" t="s">
        <v>302</v>
      </c>
      <c r="E263" s="30" t="s">
        <v>943</v>
      </c>
      <c r="F263" s="11" t="s">
        <v>303</v>
      </c>
      <c r="G263" s="11" t="s">
        <v>2</v>
      </c>
      <c r="H263" s="11"/>
      <c r="I263" s="11" t="s">
        <v>700</v>
      </c>
      <c r="J263" s="11"/>
      <c r="K263" s="11" t="s">
        <v>719</v>
      </c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AA263" s="11"/>
      <c r="AB263" s="11"/>
      <c r="AC263" s="11"/>
      <c r="AD263" s="11"/>
      <c r="AF263" s="11"/>
      <c r="AG263" s="11" t="s">
        <v>83</v>
      </c>
      <c r="AH263" s="11" t="s">
        <v>83</v>
      </c>
      <c r="AI263" s="11"/>
      <c r="AJ263" s="11"/>
      <c r="AK263" s="11"/>
      <c r="AL263" s="11"/>
      <c r="AM263" s="11"/>
      <c r="AO263" s="17"/>
    </row>
    <row r="264" spans="1:41" s="1" customFormat="1">
      <c r="A264" s="11">
        <f>IF(A263="",MAX($A$10:A263)+10,A263)</f>
        <v>120</v>
      </c>
      <c r="B264" s="11"/>
      <c r="C264" s="11"/>
      <c r="D264" s="11" t="s">
        <v>54</v>
      </c>
      <c r="E264" s="30" t="s">
        <v>944</v>
      </c>
      <c r="F264" s="11" t="s">
        <v>68</v>
      </c>
      <c r="G264" s="11" t="s">
        <v>2</v>
      </c>
      <c r="H264" s="11"/>
      <c r="I264" s="11" t="s">
        <v>695</v>
      </c>
      <c r="J264" s="11"/>
      <c r="K264" s="11" t="s">
        <v>719</v>
      </c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AA264" s="11"/>
      <c r="AB264" s="11"/>
      <c r="AC264" s="11"/>
      <c r="AD264" s="11"/>
      <c r="AF264" s="11"/>
      <c r="AG264" s="11" t="s">
        <v>83</v>
      </c>
      <c r="AH264" s="11"/>
      <c r="AI264" s="11"/>
      <c r="AJ264" s="11"/>
      <c r="AK264" s="11"/>
      <c r="AL264" s="11"/>
      <c r="AM264" s="11"/>
      <c r="AO264" s="17"/>
    </row>
    <row r="265" spans="1:41" s="1" customFormat="1">
      <c r="A265" s="11">
        <f>IF(A264="",MAX($A$10:A264)+10,A264)</f>
        <v>120</v>
      </c>
      <c r="B265" s="11"/>
      <c r="C265" s="11"/>
      <c r="D265" s="11" t="s">
        <v>55</v>
      </c>
      <c r="E265" s="30" t="s">
        <v>945</v>
      </c>
      <c r="F265" s="11" t="s">
        <v>304</v>
      </c>
      <c r="G265" s="11" t="s">
        <v>2</v>
      </c>
      <c r="H265" s="11"/>
      <c r="I265" s="11" t="s">
        <v>696</v>
      </c>
      <c r="J265" s="11"/>
      <c r="K265" s="11" t="s">
        <v>719</v>
      </c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AA265" s="11"/>
      <c r="AB265" s="11"/>
      <c r="AC265" s="11"/>
      <c r="AD265" s="11"/>
      <c r="AF265" s="11"/>
      <c r="AG265" s="11" t="s">
        <v>83</v>
      </c>
      <c r="AH265" s="11"/>
      <c r="AI265" s="11"/>
      <c r="AJ265" s="11"/>
      <c r="AK265" s="11"/>
      <c r="AL265" s="11"/>
      <c r="AM265" s="11"/>
      <c r="AO265" s="17"/>
    </row>
    <row r="266" spans="1:41" s="1" customFormat="1">
      <c r="A266" s="11">
        <f>IF(A265="",MAX($A$10:A265)+10,A265)</f>
        <v>120</v>
      </c>
      <c r="B266" s="11"/>
      <c r="C266" s="11"/>
      <c r="D266" s="11" t="s">
        <v>56</v>
      </c>
      <c r="E266" s="30" t="s">
        <v>946</v>
      </c>
      <c r="F266" s="11" t="s">
        <v>305</v>
      </c>
      <c r="G266" s="11" t="s">
        <v>2</v>
      </c>
      <c r="H266" s="11"/>
      <c r="I266" s="11" t="s">
        <v>697</v>
      </c>
      <c r="J266" s="11"/>
      <c r="K266" s="11" t="s">
        <v>719</v>
      </c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AA266" s="11"/>
      <c r="AB266" s="11"/>
      <c r="AC266" s="11"/>
      <c r="AD266" s="11"/>
      <c r="AF266" s="11"/>
      <c r="AG266" s="11" t="s">
        <v>83</v>
      </c>
      <c r="AH266" s="11"/>
      <c r="AI266" s="11"/>
      <c r="AJ266" s="11"/>
      <c r="AK266" s="11"/>
      <c r="AL266" s="11"/>
      <c r="AM266" s="11"/>
      <c r="AO266" s="17"/>
    </row>
    <row r="267" spans="1:41" s="1" customFormat="1">
      <c r="A267" s="11">
        <f>IF(A266="",MAX($A$10:A266)+10,A266)</f>
        <v>120</v>
      </c>
      <c r="B267" s="11"/>
      <c r="C267" s="11"/>
      <c r="D267" s="11" t="s">
        <v>57</v>
      </c>
      <c r="E267" s="30" t="s">
        <v>947</v>
      </c>
      <c r="F267" s="11" t="s">
        <v>306</v>
      </c>
      <c r="G267" s="11" t="s">
        <v>2</v>
      </c>
      <c r="H267" s="11"/>
      <c r="I267" s="11" t="s">
        <v>698</v>
      </c>
      <c r="J267" s="11"/>
      <c r="K267" s="11" t="s">
        <v>719</v>
      </c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AA267" s="11"/>
      <c r="AB267" s="11"/>
      <c r="AC267" s="11"/>
      <c r="AD267" s="11"/>
      <c r="AF267" s="11"/>
      <c r="AG267" s="11" t="s">
        <v>83</v>
      </c>
      <c r="AH267" s="11"/>
      <c r="AI267" s="11"/>
      <c r="AJ267" s="11"/>
      <c r="AK267" s="11"/>
      <c r="AL267" s="11"/>
      <c r="AM267" s="11"/>
      <c r="AO267" s="17"/>
    </row>
    <row r="268" spans="1:41" s="1" customFormat="1">
      <c r="A268" s="11">
        <f>IF(A267="",MAX($A$10:A267)+10,A267)</f>
        <v>120</v>
      </c>
      <c r="B268" s="11"/>
      <c r="C268" s="11"/>
      <c r="D268" s="11" t="s">
        <v>307</v>
      </c>
      <c r="E268" s="30" t="s">
        <v>948</v>
      </c>
      <c r="F268" s="11" t="s">
        <v>308</v>
      </c>
      <c r="G268" s="11" t="s">
        <v>2</v>
      </c>
      <c r="H268" s="11"/>
      <c r="I268" s="11" t="s">
        <v>699</v>
      </c>
      <c r="J268" s="11"/>
      <c r="K268" s="11" t="s">
        <v>719</v>
      </c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AA268" s="11"/>
      <c r="AB268" s="11"/>
      <c r="AC268" s="11"/>
      <c r="AD268" s="11"/>
      <c r="AF268" s="11"/>
      <c r="AG268" s="11" t="s">
        <v>83</v>
      </c>
      <c r="AH268" s="11"/>
      <c r="AI268" s="11"/>
      <c r="AJ268" s="11"/>
      <c r="AK268" s="11"/>
      <c r="AL268" s="11"/>
      <c r="AM268" s="11"/>
      <c r="AO268" s="17"/>
    </row>
    <row r="269" spans="1:41" s="1" customFormat="1">
      <c r="A269" s="11">
        <f>IF(A268="",MAX($A$10:A268)+10,A268)</f>
        <v>120</v>
      </c>
      <c r="B269" s="11"/>
      <c r="C269" s="11"/>
      <c r="D269" s="11" t="s">
        <v>309</v>
      </c>
      <c r="E269" s="30" t="s">
        <v>949</v>
      </c>
      <c r="F269" s="11" t="s">
        <v>310</v>
      </c>
      <c r="G269" s="11" t="s">
        <v>2</v>
      </c>
      <c r="H269" s="11"/>
      <c r="I269" s="11" t="s">
        <v>701</v>
      </c>
      <c r="J269" s="11"/>
      <c r="K269" s="11" t="s">
        <v>719</v>
      </c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AA269" s="11"/>
      <c r="AB269" s="11"/>
      <c r="AC269" s="11"/>
      <c r="AD269" s="11"/>
      <c r="AF269" s="11"/>
      <c r="AG269" s="11" t="s">
        <v>83</v>
      </c>
      <c r="AH269" s="11"/>
      <c r="AI269" s="11"/>
      <c r="AJ269" s="11"/>
      <c r="AK269" s="11"/>
      <c r="AL269" s="11"/>
      <c r="AM269" s="11"/>
      <c r="AO269" s="17"/>
    </row>
    <row r="270" spans="1:41" s="1" customFormat="1" ht="52">
      <c r="A270" s="40"/>
      <c r="AF270" s="35" t="s">
        <v>963</v>
      </c>
      <c r="AG270" s="35" t="s">
        <v>964</v>
      </c>
      <c r="AH270" s="35" t="s">
        <v>963</v>
      </c>
      <c r="AI270" s="35" t="s">
        <v>964</v>
      </c>
      <c r="AJ270" s="35" t="s">
        <v>963</v>
      </c>
      <c r="AK270" s="35" t="s">
        <v>964</v>
      </c>
      <c r="AL270" s="35" t="s">
        <v>963</v>
      </c>
      <c r="AM270" s="35" t="s">
        <v>964</v>
      </c>
      <c r="AO270" s="10"/>
    </row>
    <row r="271" spans="1:41" s="1" customFormat="1">
      <c r="A271" s="11">
        <f>IF(A270="",MAX($A$10:A270)+10,A270)</f>
        <v>130</v>
      </c>
      <c r="B271" s="12" t="s">
        <v>0</v>
      </c>
      <c r="C271" s="12"/>
      <c r="D271" s="12" t="s">
        <v>283</v>
      </c>
      <c r="E271" s="13"/>
      <c r="F271" s="12"/>
      <c r="G271" s="12"/>
      <c r="H271" s="12"/>
      <c r="I271" s="12" t="s">
        <v>498</v>
      </c>
      <c r="J271" s="12"/>
      <c r="K271" s="12" t="s">
        <v>499</v>
      </c>
      <c r="L271" s="12"/>
      <c r="M271" s="12" t="s">
        <v>500</v>
      </c>
      <c r="N271" s="12"/>
      <c r="O271" s="12"/>
      <c r="P271" s="12"/>
      <c r="Q271" s="16"/>
      <c r="R271" s="16"/>
      <c r="S271" s="16"/>
      <c r="T271" s="16"/>
      <c r="U271" s="16"/>
      <c r="V271" s="16"/>
      <c r="W271" s="16"/>
      <c r="X271" s="16"/>
      <c r="Y271" s="16"/>
      <c r="Z271" s="14"/>
      <c r="AA271" s="16"/>
      <c r="AB271" s="16"/>
      <c r="AC271" s="16"/>
      <c r="AD271" s="16"/>
      <c r="AE271" s="14"/>
      <c r="AF271" s="11"/>
      <c r="AG271" s="11"/>
      <c r="AH271" s="11"/>
      <c r="AI271" s="11"/>
      <c r="AJ271" s="11"/>
      <c r="AK271" s="11"/>
      <c r="AL271" s="11"/>
      <c r="AM271" s="11"/>
      <c r="AN271" s="14"/>
      <c r="AO271" s="17"/>
    </row>
    <row r="272" spans="1:41" s="1" customFormat="1">
      <c r="A272" s="11">
        <f>IF(A271="",MAX($A$10:A271)+10,A271)</f>
        <v>130</v>
      </c>
      <c r="B272" s="11"/>
      <c r="C272" s="11"/>
      <c r="D272" s="11" t="s">
        <v>39</v>
      </c>
      <c r="E272" s="30" t="s">
        <v>953</v>
      </c>
      <c r="F272" s="11" t="s">
        <v>41</v>
      </c>
      <c r="G272" s="11" t="s">
        <v>43</v>
      </c>
      <c r="H272" s="11"/>
      <c r="I272" s="11" t="s">
        <v>702</v>
      </c>
      <c r="J272" s="11"/>
      <c r="K272" s="11" t="s">
        <v>703</v>
      </c>
      <c r="L272" s="11"/>
      <c r="M272" s="11"/>
      <c r="N272" s="11"/>
      <c r="O272" s="11"/>
      <c r="P272" s="11"/>
      <c r="Q272" s="11"/>
      <c r="R272" s="11"/>
      <c r="S272" s="11"/>
      <c r="T272" s="11" t="s">
        <v>722</v>
      </c>
      <c r="U272" s="11"/>
      <c r="V272" s="11"/>
      <c r="W272" s="11"/>
      <c r="X272" s="11"/>
      <c r="Y272" s="11"/>
      <c r="AA272" s="11" t="s">
        <v>83</v>
      </c>
      <c r="AB272" s="11" t="s">
        <v>17</v>
      </c>
      <c r="AC272" s="11" t="s">
        <v>17</v>
      </c>
      <c r="AD272" s="11" t="s">
        <v>17</v>
      </c>
      <c r="AF272" s="11"/>
      <c r="AG272" s="11"/>
      <c r="AH272" s="11"/>
      <c r="AI272" s="11"/>
      <c r="AJ272" s="11"/>
      <c r="AK272" s="11"/>
      <c r="AL272" s="11"/>
      <c r="AM272" s="11"/>
      <c r="AO272" s="17"/>
    </row>
    <row r="273" spans="1:41" s="1" customFormat="1">
      <c r="A273" s="11">
        <f>IF(A272="",MAX($A$10:A272)+10,A272)</f>
        <v>130</v>
      </c>
      <c r="B273" s="11"/>
      <c r="C273" s="11"/>
      <c r="D273" s="11" t="s">
        <v>40</v>
      </c>
      <c r="E273" s="30" t="s">
        <v>954</v>
      </c>
      <c r="F273" s="11" t="s">
        <v>42</v>
      </c>
      <c r="G273" s="11" t="s">
        <v>44</v>
      </c>
      <c r="H273" s="11"/>
      <c r="I273" s="11" t="s">
        <v>702</v>
      </c>
      <c r="J273" s="11"/>
      <c r="K273" s="11" t="s">
        <v>703</v>
      </c>
      <c r="L273" s="11"/>
      <c r="M273" s="11"/>
      <c r="N273" s="11"/>
      <c r="O273" s="11"/>
      <c r="P273" s="11"/>
      <c r="Q273" s="11"/>
      <c r="R273" s="11"/>
      <c r="S273" s="11"/>
      <c r="T273" s="11" t="s">
        <v>723</v>
      </c>
      <c r="U273" s="11"/>
      <c r="V273" s="11"/>
      <c r="W273" s="11"/>
      <c r="X273" s="11"/>
      <c r="Y273" s="11"/>
      <c r="AA273" s="11" t="s">
        <v>83</v>
      </c>
      <c r="AB273" s="11" t="s">
        <v>17</v>
      </c>
      <c r="AC273" s="11" t="s">
        <v>17</v>
      </c>
      <c r="AD273" s="11" t="s">
        <v>17</v>
      </c>
      <c r="AF273" s="11"/>
      <c r="AG273" s="11"/>
      <c r="AH273" s="11"/>
      <c r="AI273" s="11"/>
      <c r="AJ273" s="11"/>
      <c r="AK273" s="11"/>
      <c r="AL273" s="11"/>
      <c r="AM273" s="11"/>
      <c r="AO273" s="17"/>
    </row>
    <row r="274" spans="1:41" s="1" customFormat="1">
      <c r="A274" s="11">
        <f>IF(A273="",MAX($A$10:A273)+10,A273)</f>
        <v>130</v>
      </c>
      <c r="B274" s="11"/>
      <c r="C274" s="11"/>
      <c r="D274" s="11" t="s">
        <v>753</v>
      </c>
      <c r="E274" s="30" t="s">
        <v>955</v>
      </c>
      <c r="F274" s="11" t="s">
        <v>313</v>
      </c>
      <c r="G274" s="11" t="s">
        <v>314</v>
      </c>
      <c r="H274" s="11"/>
      <c r="I274" s="11" t="s">
        <v>702</v>
      </c>
      <c r="J274" s="11"/>
      <c r="K274" s="11" t="s">
        <v>703</v>
      </c>
      <c r="L274" s="11"/>
      <c r="M274" s="11"/>
      <c r="N274" s="11"/>
      <c r="O274" s="11"/>
      <c r="P274" s="11"/>
      <c r="Q274" s="11" t="s">
        <v>706</v>
      </c>
      <c r="R274" s="11" t="s">
        <v>713</v>
      </c>
      <c r="S274" s="11"/>
      <c r="T274" s="11" t="s">
        <v>724</v>
      </c>
      <c r="U274" s="11"/>
      <c r="V274" s="11"/>
      <c r="W274" s="11"/>
      <c r="X274" s="11"/>
      <c r="Y274" s="11"/>
      <c r="AA274" s="11" t="s">
        <v>83</v>
      </c>
      <c r="AB274" s="11" t="s">
        <v>17</v>
      </c>
      <c r="AC274" s="11" t="s">
        <v>17</v>
      </c>
      <c r="AD274" s="11" t="s">
        <v>17</v>
      </c>
      <c r="AF274" s="11"/>
      <c r="AG274" s="11"/>
      <c r="AH274" s="11"/>
      <c r="AI274" s="11"/>
      <c r="AJ274" s="11"/>
      <c r="AK274" s="11"/>
      <c r="AL274" s="11"/>
      <c r="AM274" s="11"/>
      <c r="AO274" s="17"/>
    </row>
    <row r="275" spans="1:41" s="1" customFormat="1">
      <c r="A275" s="11">
        <f>IF(A274="",MAX($A$10:A274)+10,A274)</f>
        <v>130</v>
      </c>
      <c r="B275" s="11"/>
      <c r="C275" s="11"/>
      <c r="D275" s="11" t="s">
        <v>754</v>
      </c>
      <c r="E275" s="30" t="s">
        <v>956</v>
      </c>
      <c r="F275" s="11" t="s">
        <v>315</v>
      </c>
      <c r="G275" s="11" t="s">
        <v>316</v>
      </c>
      <c r="H275" s="11"/>
      <c r="I275" s="11" t="s">
        <v>702</v>
      </c>
      <c r="J275" s="11"/>
      <c r="K275" s="11" t="s">
        <v>703</v>
      </c>
      <c r="L275" s="11"/>
      <c r="M275" s="11"/>
      <c r="N275" s="11"/>
      <c r="O275" s="11"/>
      <c r="P275" s="11"/>
      <c r="Q275" s="11" t="s">
        <v>708</v>
      </c>
      <c r="R275" s="11" t="s">
        <v>713</v>
      </c>
      <c r="S275" s="11"/>
      <c r="T275" s="11" t="s">
        <v>725</v>
      </c>
      <c r="U275" s="11"/>
      <c r="V275" s="11"/>
      <c r="W275" s="11"/>
      <c r="X275" s="11"/>
      <c r="Y275" s="11"/>
      <c r="AA275" s="11" t="s">
        <v>83</v>
      </c>
      <c r="AB275" s="11" t="s">
        <v>17</v>
      </c>
      <c r="AC275" s="11" t="s">
        <v>17</v>
      </c>
      <c r="AD275" s="11" t="s">
        <v>17</v>
      </c>
      <c r="AF275" s="11"/>
      <c r="AG275" s="11"/>
      <c r="AH275" s="11"/>
      <c r="AI275" s="11"/>
      <c r="AJ275" s="11"/>
      <c r="AK275" s="11"/>
      <c r="AL275" s="11"/>
      <c r="AM275" s="11"/>
      <c r="AO275" s="17"/>
    </row>
    <row r="276" spans="1:41" s="1" customFormat="1">
      <c r="A276" s="11">
        <f>IF(A275="",MAX($A$10:A275)+10,A275)</f>
        <v>130</v>
      </c>
      <c r="B276" s="11"/>
      <c r="C276" s="11"/>
      <c r="D276" s="11" t="s">
        <v>755</v>
      </c>
      <c r="E276" s="30" t="s">
        <v>957</v>
      </c>
      <c r="F276" s="11" t="s">
        <v>317</v>
      </c>
      <c r="G276" s="11" t="s">
        <v>318</v>
      </c>
      <c r="H276" s="11"/>
      <c r="I276" s="11" t="s">
        <v>702</v>
      </c>
      <c r="J276" s="11"/>
      <c r="K276" s="11" t="s">
        <v>703</v>
      </c>
      <c r="L276" s="11"/>
      <c r="M276" s="11"/>
      <c r="N276" s="11"/>
      <c r="O276" s="11"/>
      <c r="P276" s="11"/>
      <c r="Q276" s="11" t="s">
        <v>710</v>
      </c>
      <c r="R276" s="11" t="s">
        <v>713</v>
      </c>
      <c r="S276" s="11"/>
      <c r="T276" s="11" t="s">
        <v>726</v>
      </c>
      <c r="U276" s="11"/>
      <c r="V276" s="11"/>
      <c r="W276" s="11"/>
      <c r="X276" s="11"/>
      <c r="Y276" s="11"/>
      <c r="AA276" s="11" t="s">
        <v>83</v>
      </c>
      <c r="AB276" s="11" t="s">
        <v>17</v>
      </c>
      <c r="AC276" s="11" t="s">
        <v>17</v>
      </c>
      <c r="AD276" s="11" t="s">
        <v>17</v>
      </c>
      <c r="AF276" s="11"/>
      <c r="AG276" s="11"/>
      <c r="AH276" s="11"/>
      <c r="AI276" s="11"/>
      <c r="AJ276" s="11"/>
      <c r="AK276" s="11"/>
      <c r="AL276" s="11"/>
      <c r="AM276" s="11"/>
      <c r="AO276" s="17"/>
    </row>
    <row r="277" spans="1:41" s="1" customFormat="1" ht="52">
      <c r="A277" s="40"/>
      <c r="AF277" s="35" t="s">
        <v>963</v>
      </c>
      <c r="AG277" s="35" t="s">
        <v>964</v>
      </c>
      <c r="AH277" s="35" t="s">
        <v>963</v>
      </c>
      <c r="AI277" s="35" t="s">
        <v>964</v>
      </c>
      <c r="AJ277" s="35" t="s">
        <v>963</v>
      </c>
      <c r="AK277" s="35" t="s">
        <v>964</v>
      </c>
      <c r="AL277" s="35" t="s">
        <v>963</v>
      </c>
      <c r="AM277" s="35" t="s">
        <v>964</v>
      </c>
      <c r="AO277" s="10"/>
    </row>
    <row r="278" spans="1:41" s="1" customFormat="1">
      <c r="A278" s="11">
        <f>IF(A277="",MAX($A$10:A277)+10,A277)</f>
        <v>140</v>
      </c>
      <c r="B278" s="12" t="s">
        <v>12</v>
      </c>
      <c r="C278" s="12"/>
      <c r="D278" s="12" t="s">
        <v>67</v>
      </c>
      <c r="E278" s="13"/>
      <c r="F278" s="12"/>
      <c r="G278" s="12"/>
      <c r="H278" s="12"/>
      <c r="I278" s="12" t="s">
        <v>498</v>
      </c>
      <c r="J278" s="12"/>
      <c r="K278" s="12" t="s">
        <v>499</v>
      </c>
      <c r="L278" s="12"/>
      <c r="M278" s="12" t="s">
        <v>727</v>
      </c>
      <c r="N278" s="12" t="s">
        <v>502</v>
      </c>
      <c r="O278" s="12"/>
      <c r="P278" s="12"/>
      <c r="Q278" s="16"/>
      <c r="R278" s="16"/>
      <c r="S278" s="16"/>
      <c r="T278" s="16"/>
      <c r="U278" s="16"/>
      <c r="V278" s="16"/>
      <c r="W278" s="16"/>
      <c r="X278" s="16"/>
      <c r="Y278" s="16"/>
      <c r="Z278" s="14"/>
      <c r="AA278" s="16"/>
      <c r="AB278" s="16"/>
      <c r="AC278" s="16"/>
      <c r="AD278" s="16"/>
      <c r="AE278" s="14"/>
      <c r="AF278" s="11"/>
      <c r="AG278" s="11"/>
      <c r="AH278" s="11"/>
      <c r="AI278" s="11"/>
      <c r="AJ278" s="11"/>
      <c r="AK278" s="11"/>
      <c r="AL278" s="11"/>
      <c r="AM278" s="11"/>
      <c r="AN278" s="14"/>
      <c r="AO278" s="17"/>
    </row>
    <row r="279" spans="1:41" s="1" customFormat="1" ht="26">
      <c r="A279" s="11">
        <f>IF(A278="",MAX($A$10:A278)+10,A278)</f>
        <v>140</v>
      </c>
      <c r="B279" s="11"/>
      <c r="C279" s="11"/>
      <c r="D279" s="11" t="s">
        <v>756</v>
      </c>
      <c r="E279" s="30" t="s">
        <v>961</v>
      </c>
      <c r="F279" s="11" t="s">
        <v>341</v>
      </c>
      <c r="G279" s="11" t="s">
        <v>342</v>
      </c>
      <c r="H279" s="11"/>
      <c r="I279" s="11" t="s">
        <v>728</v>
      </c>
      <c r="J279" s="11"/>
      <c r="K279" s="11" t="s">
        <v>729</v>
      </c>
      <c r="L279" s="11"/>
      <c r="M279" s="11" t="s">
        <v>502</v>
      </c>
      <c r="N279" s="11"/>
      <c r="O279" s="11"/>
      <c r="P279" s="11"/>
      <c r="Q279" s="11" t="s">
        <v>758</v>
      </c>
      <c r="R279" s="11"/>
      <c r="S279" s="11"/>
      <c r="T279" s="11" t="s">
        <v>730</v>
      </c>
      <c r="U279" s="11"/>
      <c r="V279" s="11"/>
      <c r="W279" s="11"/>
      <c r="X279" s="11"/>
      <c r="Y279" s="11"/>
      <c r="AA279" s="11" t="s">
        <v>83</v>
      </c>
      <c r="AB279" s="11" t="s">
        <v>17</v>
      </c>
      <c r="AC279" s="11" t="s">
        <v>17</v>
      </c>
      <c r="AD279" s="11" t="s">
        <v>17</v>
      </c>
      <c r="AF279" s="11"/>
      <c r="AG279" s="11"/>
      <c r="AH279" s="11"/>
      <c r="AI279" s="11"/>
      <c r="AJ279" s="11"/>
      <c r="AK279" s="11"/>
      <c r="AL279" s="11"/>
      <c r="AM279" s="11"/>
      <c r="AO279" s="17"/>
    </row>
    <row r="280" spans="1:41" s="1" customFormat="1" ht="26">
      <c r="A280" s="11">
        <f>IF(A279="",MAX($A$10:A279)+10,A279)</f>
        <v>140</v>
      </c>
      <c r="B280" s="11"/>
      <c r="C280" s="11"/>
      <c r="D280" s="11" t="s">
        <v>48</v>
      </c>
      <c r="E280" s="30" t="s">
        <v>962</v>
      </c>
      <c r="F280" s="11" t="s">
        <v>343</v>
      </c>
      <c r="G280" s="11" t="s">
        <v>344</v>
      </c>
      <c r="H280" s="11"/>
      <c r="I280" s="11" t="s">
        <v>731</v>
      </c>
      <c r="J280" s="11"/>
      <c r="K280" s="11" t="s">
        <v>729</v>
      </c>
      <c r="L280" s="11"/>
      <c r="M280" s="11" t="s">
        <v>502</v>
      </c>
      <c r="N280" s="11"/>
      <c r="O280" s="11"/>
      <c r="P280" s="11"/>
      <c r="Q280" s="11" t="s">
        <v>759</v>
      </c>
      <c r="R280" s="11"/>
      <c r="S280" s="11"/>
      <c r="T280" s="11" t="s">
        <v>732</v>
      </c>
      <c r="U280" s="11"/>
      <c r="V280" s="11"/>
      <c r="W280" s="11"/>
      <c r="X280" s="11"/>
      <c r="Y280" s="11"/>
      <c r="AA280" s="11" t="s">
        <v>17</v>
      </c>
      <c r="AB280" s="11" t="s">
        <v>17</v>
      </c>
      <c r="AC280" s="11" t="s">
        <v>83</v>
      </c>
      <c r="AD280" s="11" t="s">
        <v>17</v>
      </c>
      <c r="AF280" s="11"/>
      <c r="AG280" s="11"/>
      <c r="AH280" s="11"/>
      <c r="AI280" s="11"/>
      <c r="AJ280" s="11"/>
      <c r="AK280" s="11"/>
      <c r="AL280" s="11"/>
      <c r="AM280" s="11"/>
      <c r="AO280" s="17"/>
    </row>
    <row r="281" spans="1:41" s="1" customFormat="1" ht="52">
      <c r="A281" s="40"/>
      <c r="AF281" s="35" t="s">
        <v>963</v>
      </c>
      <c r="AG281" s="35" t="s">
        <v>964</v>
      </c>
      <c r="AH281" s="35" t="s">
        <v>963</v>
      </c>
      <c r="AI281" s="35" t="s">
        <v>964</v>
      </c>
      <c r="AJ281" s="35" t="s">
        <v>963</v>
      </c>
      <c r="AK281" s="35" t="s">
        <v>964</v>
      </c>
      <c r="AL281" s="35" t="s">
        <v>963</v>
      </c>
      <c r="AM281" s="35" t="s">
        <v>964</v>
      </c>
      <c r="AO281" s="10"/>
    </row>
    <row r="282" spans="1:41" s="1" customFormat="1">
      <c r="A282" s="50">
        <f>IF(A281="",MAX($A$10:A281)+10,A281)</f>
        <v>150</v>
      </c>
      <c r="B282" s="25" t="s">
        <v>49</v>
      </c>
      <c r="C282" s="25"/>
      <c r="D282" s="25" t="s">
        <v>50</v>
      </c>
      <c r="E282" s="26"/>
      <c r="F282" s="25"/>
      <c r="G282" s="25"/>
      <c r="H282" s="25"/>
      <c r="I282" s="25" t="s">
        <v>498</v>
      </c>
      <c r="J282" s="25"/>
      <c r="K282" s="25" t="s">
        <v>499</v>
      </c>
      <c r="L282" s="25"/>
      <c r="M282" s="25" t="s">
        <v>733</v>
      </c>
      <c r="N282" s="25" t="s">
        <v>502</v>
      </c>
      <c r="O282" s="25"/>
      <c r="P282" s="25"/>
      <c r="Q282" s="29"/>
      <c r="R282" s="29"/>
      <c r="S282" s="29"/>
      <c r="T282" s="29"/>
      <c r="U282" s="29"/>
      <c r="V282" s="29"/>
      <c r="W282" s="29"/>
      <c r="X282" s="29"/>
      <c r="Y282" s="29"/>
      <c r="Z282" s="53"/>
      <c r="AA282" s="29"/>
      <c r="AB282" s="29"/>
      <c r="AC282" s="29"/>
      <c r="AD282" s="29"/>
      <c r="AE282" s="53"/>
      <c r="AF282" s="50"/>
      <c r="AG282" s="50"/>
      <c r="AH282" s="50"/>
      <c r="AI282" s="50"/>
      <c r="AJ282" s="50"/>
      <c r="AK282" s="50"/>
      <c r="AL282" s="50"/>
      <c r="AM282" s="50"/>
      <c r="AN282" s="53"/>
      <c r="AO282" s="28"/>
    </row>
    <row r="283" spans="1:41" s="1" customFormat="1">
      <c r="A283" s="2"/>
      <c r="B283" s="3"/>
      <c r="C283" s="3"/>
      <c r="D283" s="4" t="s">
        <v>757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18"/>
    </row>
    <row r="284" spans="1:41" s="1" customFormat="1">
      <c r="A284" s="40"/>
      <c r="AO284" s="10"/>
    </row>
    <row r="285" spans="1:41" s="1" customFormat="1">
      <c r="A285" s="40"/>
      <c r="AO285" s="10"/>
    </row>
    <row r="286" spans="1:41" s="1" customFormat="1">
      <c r="A286" s="40"/>
      <c r="AO286" s="10"/>
    </row>
    <row r="287" spans="1:41" s="1" customFormat="1">
      <c r="A287" s="40"/>
      <c r="AO287" s="10"/>
    </row>
    <row r="288" spans="1:41" s="1" customFormat="1">
      <c r="A288" s="40"/>
      <c r="AO288" s="10"/>
    </row>
    <row r="289" spans="1:41" s="1" customFormat="1">
      <c r="A289" s="40"/>
      <c r="AO289" s="10"/>
    </row>
    <row r="290" spans="1:41" s="1" customFormat="1">
      <c r="A290" s="40"/>
      <c r="AO290" s="10"/>
    </row>
    <row r="291" spans="1:41" s="1" customFormat="1">
      <c r="A291" s="40"/>
      <c r="AO291" s="10"/>
    </row>
    <row r="292" spans="1:41" s="1" customFormat="1">
      <c r="A292" s="40"/>
      <c r="AO292" s="10"/>
    </row>
    <row r="293" spans="1:41" s="1" customFormat="1">
      <c r="A293" s="40"/>
      <c r="AO293" s="10"/>
    </row>
    <row r="294" spans="1:41" s="1" customFormat="1">
      <c r="A294" s="40"/>
      <c r="AO294" s="10"/>
    </row>
    <row r="295" spans="1:41" s="1" customFormat="1">
      <c r="A295" s="40"/>
      <c r="AO295" s="10"/>
    </row>
    <row r="296" spans="1:41" s="1" customFormat="1">
      <c r="A296" s="40"/>
      <c r="AO296" s="10"/>
    </row>
    <row r="297" spans="1:41" s="1" customFormat="1">
      <c r="A297" s="40"/>
      <c r="AO297" s="10"/>
    </row>
    <row r="298" spans="1:41" s="1" customFormat="1">
      <c r="A298" s="40"/>
      <c r="AO298" s="10"/>
    </row>
    <row r="299" spans="1:41" s="1" customFormat="1">
      <c r="A299" s="40"/>
      <c r="AO299" s="10"/>
    </row>
    <row r="300" spans="1:41" s="1" customFormat="1">
      <c r="A300" s="40"/>
      <c r="AO300" s="10"/>
    </row>
    <row r="301" spans="1:41" s="1" customFormat="1">
      <c r="A301" s="40"/>
      <c r="AO301" s="10"/>
    </row>
    <row r="302" spans="1:41" s="1" customFormat="1">
      <c r="A302" s="40"/>
      <c r="AO302" s="10"/>
    </row>
    <row r="303" spans="1:41" s="1" customFormat="1">
      <c r="A303" s="40"/>
      <c r="AO303" s="10"/>
    </row>
    <row r="304" spans="1:41" s="1" customFormat="1">
      <c r="A304" s="40"/>
      <c r="AO304" s="10"/>
    </row>
    <row r="305" spans="1:41" s="1" customFormat="1">
      <c r="A305" s="40"/>
      <c r="AO305" s="10"/>
    </row>
    <row r="306" spans="1:41" s="1" customFormat="1">
      <c r="A306" s="40"/>
      <c r="AO306" s="10"/>
    </row>
    <row r="307" spans="1:41" s="1" customFormat="1">
      <c r="A307" s="40"/>
      <c r="AO307" s="10"/>
    </row>
    <row r="308" spans="1:41" s="1" customFormat="1">
      <c r="A308" s="40"/>
      <c r="AO308" s="10"/>
    </row>
    <row r="309" spans="1:41" s="1" customFormat="1">
      <c r="A309" s="40"/>
      <c r="AO309" s="10"/>
    </row>
    <row r="310" spans="1:41" s="1" customFormat="1">
      <c r="A310" s="40"/>
      <c r="AO310" s="10"/>
    </row>
    <row r="311" spans="1:41" s="1" customFormat="1">
      <c r="A311" s="40"/>
      <c r="AO311" s="10"/>
    </row>
    <row r="312" spans="1:41" s="1" customFormat="1">
      <c r="A312" s="40"/>
      <c r="AO312" s="10"/>
    </row>
    <row r="313" spans="1:41" s="1" customFormat="1">
      <c r="A313" s="40"/>
      <c r="AO313" s="10"/>
    </row>
    <row r="314" spans="1:41" s="1" customFormat="1">
      <c r="A314" s="40"/>
      <c r="AO314" s="10"/>
    </row>
    <row r="315" spans="1:41" s="1" customFormat="1">
      <c r="A315" s="40"/>
      <c r="AO315" s="10"/>
    </row>
    <row r="316" spans="1:41" s="1" customFormat="1">
      <c r="A316" s="40"/>
      <c r="AO316" s="10"/>
    </row>
    <row r="317" spans="1:41" s="1" customFormat="1">
      <c r="A317" s="40"/>
      <c r="AO317" s="10"/>
    </row>
    <row r="318" spans="1:41" s="1" customFormat="1">
      <c r="A318" s="40"/>
      <c r="AO318" s="10"/>
    </row>
    <row r="319" spans="1:41" s="1" customFormat="1">
      <c r="A319" s="40"/>
      <c r="AO319" s="10"/>
    </row>
    <row r="320" spans="1:41" s="1" customFormat="1">
      <c r="A320" s="40"/>
      <c r="AO320" s="10"/>
    </row>
    <row r="321" spans="1:41" s="1" customFormat="1">
      <c r="A321" s="40"/>
      <c r="AO321" s="10"/>
    </row>
    <row r="322" spans="1:41" s="1" customFormat="1">
      <c r="A322" s="40"/>
      <c r="AO322" s="10"/>
    </row>
    <row r="323" spans="1:41" s="1" customFormat="1">
      <c r="A323" s="43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9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56" t="s">
        <v>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8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90" t="s">
        <v>5</v>
      </c>
      <c r="B3" s="60"/>
      <c r="C3" s="60"/>
      <c r="D3" s="60"/>
      <c r="E3" s="60"/>
      <c r="F3" s="60"/>
      <c r="G3" s="61"/>
      <c r="H3" s="59" t="s">
        <v>6</v>
      </c>
      <c r="I3" s="60"/>
      <c r="J3" s="60"/>
      <c r="K3" s="60"/>
      <c r="L3" s="60"/>
      <c r="M3" s="60"/>
      <c r="N3" s="61"/>
      <c r="O3" s="59" t="s">
        <v>7</v>
      </c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3"/>
      <c r="AQ3" s="64" t="s">
        <v>8</v>
      </c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6"/>
    </row>
    <row r="4" spans="1:57" ht="15" customHeight="1">
      <c r="A4" s="91">
        <v>1</v>
      </c>
      <c r="B4" s="92"/>
      <c r="C4" s="92"/>
      <c r="D4" s="92"/>
      <c r="E4" s="92"/>
      <c r="F4" s="92"/>
      <c r="G4" s="93"/>
      <c r="H4" s="87"/>
      <c r="I4" s="88"/>
      <c r="J4" s="88"/>
      <c r="K4" s="88"/>
      <c r="L4" s="88"/>
      <c r="M4" s="88"/>
      <c r="N4" s="89"/>
      <c r="O4" s="87" t="s">
        <v>9</v>
      </c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1"/>
      <c r="AQ4" s="102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3"/>
    </row>
    <row r="5" spans="1:57" ht="15" customHeight="1">
      <c r="A5" s="67">
        <v>1.1000000000000001</v>
      </c>
      <c r="B5" s="68"/>
      <c r="C5" s="68"/>
      <c r="D5" s="68"/>
      <c r="E5" s="68"/>
      <c r="F5" s="68"/>
      <c r="G5" s="69"/>
      <c r="H5" s="70"/>
      <c r="I5" s="71"/>
      <c r="J5" s="71"/>
      <c r="K5" s="71"/>
      <c r="L5" s="71"/>
      <c r="M5" s="71"/>
      <c r="N5" s="72"/>
      <c r="O5" s="94" t="s">
        <v>965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7" t="s">
        <v>966</v>
      </c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9"/>
    </row>
    <row r="6" spans="1:57" ht="15" customHeight="1">
      <c r="A6" s="67"/>
      <c r="B6" s="68"/>
      <c r="C6" s="68"/>
      <c r="D6" s="68"/>
      <c r="E6" s="68"/>
      <c r="F6" s="68"/>
      <c r="G6" s="69"/>
      <c r="H6" s="70"/>
      <c r="I6" s="71"/>
      <c r="J6" s="71"/>
      <c r="K6" s="71"/>
      <c r="L6" s="71"/>
      <c r="M6" s="71"/>
      <c r="N6" s="72"/>
      <c r="O6" s="70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4"/>
      <c r="AQ6" s="75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6"/>
    </row>
    <row r="7" spans="1:57" ht="15" customHeight="1">
      <c r="A7" s="67"/>
      <c r="B7" s="68"/>
      <c r="C7" s="68"/>
      <c r="D7" s="68"/>
      <c r="E7" s="68"/>
      <c r="F7" s="68"/>
      <c r="G7" s="69"/>
      <c r="H7" s="70"/>
      <c r="I7" s="71"/>
      <c r="J7" s="71"/>
      <c r="K7" s="71"/>
      <c r="L7" s="71"/>
      <c r="M7" s="71"/>
      <c r="N7" s="72"/>
      <c r="O7" s="70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4"/>
      <c r="AQ7" s="75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6"/>
    </row>
    <row r="8" spans="1:57" ht="15" customHeight="1">
      <c r="A8" s="67"/>
      <c r="B8" s="68"/>
      <c r="C8" s="68"/>
      <c r="D8" s="68"/>
      <c r="E8" s="68"/>
      <c r="F8" s="68"/>
      <c r="G8" s="69"/>
      <c r="H8" s="70"/>
      <c r="I8" s="71"/>
      <c r="J8" s="71"/>
      <c r="K8" s="71"/>
      <c r="L8" s="71"/>
      <c r="M8" s="71"/>
      <c r="N8" s="72"/>
      <c r="O8" s="70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4"/>
      <c r="AQ8" s="75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6"/>
    </row>
    <row r="9" spans="1:57" ht="15" customHeight="1">
      <c r="A9" s="67"/>
      <c r="B9" s="68"/>
      <c r="C9" s="68"/>
      <c r="D9" s="68"/>
      <c r="E9" s="68"/>
      <c r="F9" s="68"/>
      <c r="G9" s="69"/>
      <c r="H9" s="70"/>
      <c r="I9" s="71"/>
      <c r="J9" s="71"/>
      <c r="K9" s="71"/>
      <c r="L9" s="71"/>
      <c r="M9" s="71"/>
      <c r="N9" s="72"/>
      <c r="O9" s="70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4"/>
      <c r="AQ9" s="75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6"/>
    </row>
    <row r="10" spans="1:57" ht="15" customHeight="1">
      <c r="A10" s="67"/>
      <c r="B10" s="68"/>
      <c r="C10" s="68"/>
      <c r="D10" s="68"/>
      <c r="E10" s="68"/>
      <c r="F10" s="68"/>
      <c r="G10" s="69"/>
      <c r="H10" s="70"/>
      <c r="I10" s="71"/>
      <c r="J10" s="71"/>
      <c r="K10" s="71"/>
      <c r="L10" s="71"/>
      <c r="M10" s="71"/>
      <c r="N10" s="72"/>
      <c r="O10" s="70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4"/>
      <c r="AQ10" s="75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6"/>
    </row>
    <row r="11" spans="1:57" ht="15" customHeight="1">
      <c r="A11" s="67"/>
      <c r="B11" s="68"/>
      <c r="C11" s="68"/>
      <c r="D11" s="68"/>
      <c r="E11" s="68"/>
      <c r="F11" s="68"/>
      <c r="G11" s="69"/>
      <c r="H11" s="70"/>
      <c r="I11" s="71"/>
      <c r="J11" s="71"/>
      <c r="K11" s="71"/>
      <c r="L11" s="71"/>
      <c r="M11" s="71"/>
      <c r="N11" s="72"/>
      <c r="O11" s="70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4"/>
      <c r="AQ11" s="75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6"/>
    </row>
    <row r="12" spans="1:57" ht="15" customHeight="1">
      <c r="A12" s="67"/>
      <c r="B12" s="68"/>
      <c r="C12" s="68"/>
      <c r="D12" s="68"/>
      <c r="E12" s="68"/>
      <c r="F12" s="68"/>
      <c r="G12" s="69"/>
      <c r="H12" s="70"/>
      <c r="I12" s="71"/>
      <c r="J12" s="71"/>
      <c r="K12" s="71"/>
      <c r="L12" s="71"/>
      <c r="M12" s="71"/>
      <c r="N12" s="72"/>
      <c r="O12" s="70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4"/>
      <c r="AQ12" s="75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6"/>
    </row>
    <row r="13" spans="1:57" ht="15" customHeight="1">
      <c r="A13" s="67"/>
      <c r="B13" s="68"/>
      <c r="C13" s="68"/>
      <c r="D13" s="68"/>
      <c r="E13" s="68"/>
      <c r="F13" s="68"/>
      <c r="G13" s="69"/>
      <c r="H13" s="70"/>
      <c r="I13" s="71"/>
      <c r="J13" s="71"/>
      <c r="K13" s="71"/>
      <c r="L13" s="71"/>
      <c r="M13" s="71"/>
      <c r="N13" s="72"/>
      <c r="O13" s="70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4"/>
      <c r="AQ13" s="75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6"/>
    </row>
    <row r="14" spans="1:57" ht="15" customHeight="1">
      <c r="A14" s="67"/>
      <c r="B14" s="68"/>
      <c r="C14" s="68"/>
      <c r="D14" s="68"/>
      <c r="E14" s="68"/>
      <c r="F14" s="68"/>
      <c r="G14" s="69"/>
      <c r="H14" s="70"/>
      <c r="I14" s="71"/>
      <c r="J14" s="71"/>
      <c r="K14" s="71"/>
      <c r="L14" s="71"/>
      <c r="M14" s="71"/>
      <c r="N14" s="72"/>
      <c r="O14" s="70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4"/>
      <c r="AQ14" s="75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6"/>
    </row>
    <row r="15" spans="1:57" ht="15" customHeight="1">
      <c r="A15" s="67"/>
      <c r="B15" s="68"/>
      <c r="C15" s="68"/>
      <c r="D15" s="68"/>
      <c r="E15" s="68"/>
      <c r="F15" s="68"/>
      <c r="G15" s="69"/>
      <c r="H15" s="70"/>
      <c r="I15" s="71"/>
      <c r="J15" s="71"/>
      <c r="K15" s="71"/>
      <c r="L15" s="71"/>
      <c r="M15" s="71"/>
      <c r="N15" s="72"/>
      <c r="O15" s="70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4"/>
      <c r="AQ15" s="75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6"/>
    </row>
    <row r="16" spans="1:57" ht="15" customHeight="1">
      <c r="A16" s="67"/>
      <c r="B16" s="68"/>
      <c r="C16" s="68"/>
      <c r="D16" s="68"/>
      <c r="E16" s="68"/>
      <c r="F16" s="68"/>
      <c r="G16" s="69"/>
      <c r="H16" s="70"/>
      <c r="I16" s="71"/>
      <c r="J16" s="71"/>
      <c r="K16" s="71"/>
      <c r="L16" s="71"/>
      <c r="M16" s="71"/>
      <c r="N16" s="72"/>
      <c r="O16" s="70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4"/>
      <c r="AQ16" s="75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6"/>
    </row>
    <row r="17" spans="1:57" ht="15" customHeight="1">
      <c r="A17" s="67"/>
      <c r="B17" s="68"/>
      <c r="C17" s="68"/>
      <c r="D17" s="68"/>
      <c r="E17" s="68"/>
      <c r="F17" s="68"/>
      <c r="G17" s="69"/>
      <c r="H17" s="70"/>
      <c r="I17" s="71"/>
      <c r="J17" s="71"/>
      <c r="K17" s="71"/>
      <c r="L17" s="71"/>
      <c r="M17" s="71"/>
      <c r="N17" s="72"/>
      <c r="O17" s="70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4"/>
      <c r="AQ17" s="75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6"/>
    </row>
    <row r="18" spans="1:57" ht="15" customHeight="1">
      <c r="A18" s="67"/>
      <c r="B18" s="68"/>
      <c r="C18" s="68"/>
      <c r="D18" s="68"/>
      <c r="E18" s="68"/>
      <c r="F18" s="68"/>
      <c r="G18" s="69"/>
      <c r="H18" s="70"/>
      <c r="I18" s="71"/>
      <c r="J18" s="71"/>
      <c r="K18" s="71"/>
      <c r="L18" s="71"/>
      <c r="M18" s="71"/>
      <c r="N18" s="72"/>
      <c r="O18" s="70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4"/>
      <c r="AQ18" s="75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6"/>
    </row>
    <row r="19" spans="1:57" ht="15" customHeight="1">
      <c r="A19" s="67"/>
      <c r="B19" s="68"/>
      <c r="C19" s="68"/>
      <c r="D19" s="68"/>
      <c r="E19" s="68"/>
      <c r="F19" s="68"/>
      <c r="G19" s="69"/>
      <c r="H19" s="70"/>
      <c r="I19" s="71"/>
      <c r="J19" s="71"/>
      <c r="K19" s="71"/>
      <c r="L19" s="71"/>
      <c r="M19" s="71"/>
      <c r="N19" s="72"/>
      <c r="O19" s="70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4"/>
      <c r="AQ19" s="75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6"/>
    </row>
    <row r="20" spans="1:57" ht="15" customHeight="1">
      <c r="A20" s="67"/>
      <c r="B20" s="68"/>
      <c r="C20" s="68"/>
      <c r="D20" s="68"/>
      <c r="E20" s="68"/>
      <c r="F20" s="68"/>
      <c r="G20" s="69"/>
      <c r="H20" s="70"/>
      <c r="I20" s="71"/>
      <c r="J20" s="71"/>
      <c r="K20" s="71"/>
      <c r="L20" s="71"/>
      <c r="M20" s="71"/>
      <c r="N20" s="72"/>
      <c r="O20" s="70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4"/>
      <c r="AQ20" s="75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6"/>
    </row>
    <row r="21" spans="1:57" ht="15" customHeight="1">
      <c r="A21" s="67"/>
      <c r="B21" s="68"/>
      <c r="C21" s="68"/>
      <c r="D21" s="68"/>
      <c r="E21" s="68"/>
      <c r="F21" s="68"/>
      <c r="G21" s="69"/>
      <c r="H21" s="70"/>
      <c r="I21" s="71"/>
      <c r="J21" s="71"/>
      <c r="K21" s="71"/>
      <c r="L21" s="71"/>
      <c r="M21" s="71"/>
      <c r="N21" s="72"/>
      <c r="O21" s="70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4"/>
      <c r="AQ21" s="75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6"/>
    </row>
    <row r="22" spans="1:57" ht="15" customHeight="1">
      <c r="A22" s="67"/>
      <c r="B22" s="68"/>
      <c r="C22" s="68"/>
      <c r="D22" s="68"/>
      <c r="E22" s="68"/>
      <c r="F22" s="68"/>
      <c r="G22" s="69"/>
      <c r="H22" s="70"/>
      <c r="I22" s="71"/>
      <c r="J22" s="71"/>
      <c r="K22" s="71"/>
      <c r="L22" s="71"/>
      <c r="M22" s="71"/>
      <c r="N22" s="72"/>
      <c r="O22" s="70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4"/>
      <c r="AQ22" s="75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6"/>
    </row>
    <row r="23" spans="1:57" ht="15" customHeight="1">
      <c r="A23" s="67"/>
      <c r="B23" s="68"/>
      <c r="C23" s="68"/>
      <c r="D23" s="68"/>
      <c r="E23" s="68"/>
      <c r="F23" s="68"/>
      <c r="G23" s="69"/>
      <c r="H23" s="70"/>
      <c r="I23" s="71"/>
      <c r="J23" s="71"/>
      <c r="K23" s="71"/>
      <c r="L23" s="71"/>
      <c r="M23" s="71"/>
      <c r="N23" s="72"/>
      <c r="O23" s="70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4"/>
      <c r="AQ23" s="75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6"/>
    </row>
    <row r="24" spans="1:57" ht="15" customHeight="1">
      <c r="A24" s="67"/>
      <c r="B24" s="68"/>
      <c r="C24" s="68"/>
      <c r="D24" s="68"/>
      <c r="E24" s="68"/>
      <c r="F24" s="68"/>
      <c r="G24" s="69"/>
      <c r="H24" s="70"/>
      <c r="I24" s="71"/>
      <c r="J24" s="71"/>
      <c r="K24" s="71"/>
      <c r="L24" s="71"/>
      <c r="M24" s="71"/>
      <c r="N24" s="72"/>
      <c r="O24" s="70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4"/>
      <c r="AQ24" s="75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6"/>
    </row>
    <row r="25" spans="1:57" ht="15" customHeight="1">
      <c r="A25" s="67"/>
      <c r="B25" s="68"/>
      <c r="C25" s="68"/>
      <c r="D25" s="68"/>
      <c r="E25" s="68"/>
      <c r="F25" s="68"/>
      <c r="G25" s="69"/>
      <c r="H25" s="70"/>
      <c r="I25" s="71"/>
      <c r="J25" s="71"/>
      <c r="K25" s="71"/>
      <c r="L25" s="71"/>
      <c r="M25" s="71"/>
      <c r="N25" s="72"/>
      <c r="O25" s="70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4"/>
      <c r="AQ25" s="75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6"/>
    </row>
    <row r="26" spans="1:57" ht="15" customHeight="1">
      <c r="A26" s="67"/>
      <c r="B26" s="68"/>
      <c r="C26" s="68"/>
      <c r="D26" s="68"/>
      <c r="E26" s="68"/>
      <c r="F26" s="68"/>
      <c r="G26" s="69"/>
      <c r="H26" s="70"/>
      <c r="I26" s="71"/>
      <c r="J26" s="71"/>
      <c r="K26" s="71"/>
      <c r="L26" s="71"/>
      <c r="M26" s="71"/>
      <c r="N26" s="72"/>
      <c r="O26" s="70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4"/>
      <c r="AQ26" s="75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6"/>
    </row>
    <row r="27" spans="1:57" ht="15" customHeight="1">
      <c r="A27" s="67"/>
      <c r="B27" s="68"/>
      <c r="C27" s="68"/>
      <c r="D27" s="68"/>
      <c r="E27" s="68"/>
      <c r="F27" s="68"/>
      <c r="G27" s="69"/>
      <c r="H27" s="70"/>
      <c r="I27" s="71"/>
      <c r="J27" s="71"/>
      <c r="K27" s="71"/>
      <c r="L27" s="71"/>
      <c r="M27" s="71"/>
      <c r="N27" s="72"/>
      <c r="O27" s="70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4"/>
      <c r="AQ27" s="75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6"/>
    </row>
    <row r="28" spans="1:57" ht="15" customHeight="1">
      <c r="A28" s="67"/>
      <c r="B28" s="68"/>
      <c r="C28" s="68"/>
      <c r="D28" s="68"/>
      <c r="E28" s="68"/>
      <c r="F28" s="68"/>
      <c r="G28" s="69"/>
      <c r="H28" s="70"/>
      <c r="I28" s="71"/>
      <c r="J28" s="71"/>
      <c r="K28" s="71"/>
      <c r="L28" s="71"/>
      <c r="M28" s="71"/>
      <c r="N28" s="72"/>
      <c r="O28" s="70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4"/>
      <c r="AQ28" s="75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6"/>
    </row>
    <row r="29" spans="1:57" ht="15" customHeight="1">
      <c r="A29" s="67"/>
      <c r="B29" s="68"/>
      <c r="C29" s="68"/>
      <c r="D29" s="68"/>
      <c r="E29" s="68"/>
      <c r="F29" s="68"/>
      <c r="G29" s="69"/>
      <c r="H29" s="70"/>
      <c r="I29" s="71"/>
      <c r="J29" s="71"/>
      <c r="K29" s="71"/>
      <c r="L29" s="71"/>
      <c r="M29" s="71"/>
      <c r="N29" s="72"/>
      <c r="O29" s="70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4"/>
      <c r="AQ29" s="75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6"/>
    </row>
    <row r="30" spans="1:57" ht="15" customHeight="1">
      <c r="A30" s="67"/>
      <c r="B30" s="68"/>
      <c r="C30" s="68"/>
      <c r="D30" s="68"/>
      <c r="E30" s="68"/>
      <c r="F30" s="68"/>
      <c r="G30" s="69"/>
      <c r="H30" s="70"/>
      <c r="I30" s="71"/>
      <c r="J30" s="71"/>
      <c r="K30" s="71"/>
      <c r="L30" s="71"/>
      <c r="M30" s="71"/>
      <c r="N30" s="72"/>
      <c r="O30" s="70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4"/>
      <c r="AQ30" s="75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6"/>
    </row>
    <row r="31" spans="1:57" ht="15" customHeight="1">
      <c r="A31" s="67"/>
      <c r="B31" s="68"/>
      <c r="C31" s="68"/>
      <c r="D31" s="68"/>
      <c r="E31" s="68"/>
      <c r="F31" s="68"/>
      <c r="G31" s="69"/>
      <c r="H31" s="70"/>
      <c r="I31" s="71"/>
      <c r="J31" s="71"/>
      <c r="K31" s="71"/>
      <c r="L31" s="71"/>
      <c r="M31" s="71"/>
      <c r="N31" s="72"/>
      <c r="O31" s="70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4"/>
      <c r="AQ31" s="75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6"/>
    </row>
    <row r="32" spans="1:57" ht="15" customHeight="1">
      <c r="A32" s="67"/>
      <c r="B32" s="68"/>
      <c r="C32" s="68"/>
      <c r="D32" s="68"/>
      <c r="E32" s="68"/>
      <c r="F32" s="68"/>
      <c r="G32" s="69"/>
      <c r="H32" s="70"/>
      <c r="I32" s="71"/>
      <c r="J32" s="71"/>
      <c r="K32" s="71"/>
      <c r="L32" s="71"/>
      <c r="M32" s="71"/>
      <c r="N32" s="72"/>
      <c r="O32" s="70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4"/>
      <c r="AQ32" s="75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6"/>
    </row>
    <row r="33" spans="1:57" ht="15" customHeight="1">
      <c r="A33" s="67"/>
      <c r="B33" s="68"/>
      <c r="C33" s="68"/>
      <c r="D33" s="68"/>
      <c r="E33" s="68"/>
      <c r="F33" s="68"/>
      <c r="G33" s="69"/>
      <c r="H33" s="70"/>
      <c r="I33" s="71"/>
      <c r="J33" s="71"/>
      <c r="K33" s="71"/>
      <c r="L33" s="71"/>
      <c r="M33" s="71"/>
      <c r="N33" s="72"/>
      <c r="O33" s="70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4"/>
      <c r="AQ33" s="75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6"/>
    </row>
    <row r="34" spans="1:57" ht="15" customHeight="1">
      <c r="A34" s="67"/>
      <c r="B34" s="68"/>
      <c r="C34" s="68"/>
      <c r="D34" s="68"/>
      <c r="E34" s="68"/>
      <c r="F34" s="68"/>
      <c r="G34" s="69"/>
      <c r="H34" s="70"/>
      <c r="I34" s="71"/>
      <c r="J34" s="71"/>
      <c r="K34" s="71"/>
      <c r="L34" s="71"/>
      <c r="M34" s="71"/>
      <c r="N34" s="72"/>
      <c r="O34" s="70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4"/>
      <c r="AQ34" s="75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6"/>
    </row>
    <row r="35" spans="1:57" ht="15" customHeight="1" thickBot="1">
      <c r="A35" s="77"/>
      <c r="B35" s="78"/>
      <c r="C35" s="78"/>
      <c r="D35" s="78"/>
      <c r="E35" s="78"/>
      <c r="F35" s="78"/>
      <c r="G35" s="79"/>
      <c r="H35" s="80"/>
      <c r="I35" s="81"/>
      <c r="J35" s="81"/>
      <c r="K35" s="81"/>
      <c r="L35" s="81"/>
      <c r="M35" s="81"/>
      <c r="N35" s="82"/>
      <c r="O35" s="80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4"/>
      <c r="AQ35" s="85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6"/>
    </row>
  </sheetData>
  <mergeCells count="133"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</mergeCells>
  <phoneticPr fontId="9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MABCP0350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2026-03-27T05:43:27Z</dcterms:modified>
  <cp:category/>
</cp:coreProperties>
</file>