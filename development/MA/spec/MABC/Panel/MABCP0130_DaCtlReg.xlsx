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AB44DA5-4E64-4BFD-970E-480BD3127C1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1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H8" i="1" l="1"/>
  <c r="AJ8" i="1"/>
  <c r="AF8" i="1"/>
  <c r="AL8" i="1"/>
</calcChain>
</file>

<file path=xl/sharedStrings.xml><?xml version="1.0" encoding="utf-8"?>
<sst xmlns="http://schemas.openxmlformats.org/spreadsheetml/2006/main" count="1041" uniqueCount="400">
  <si>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</si>
  <si>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</si>
  <si>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</si>
  <si>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</si>
  <si>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</si>
  <si>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</si>
  <si>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</si>
  <si>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</si>
  <si>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</si>
  <si>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</si>
  <si>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</si>
  <si>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</si>
  <si>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</si>
  <si>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</si>
  <si>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</si>
  <si>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</si>
  <si>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</si>
  <si>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</si>
  <si>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</si>
  <si>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</si>
  <si>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</si>
  <si>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</si>
  <si>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</si>
  <si>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</si>
  <si>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</si>
  <si>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</si>
  <si>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</si>
  <si>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</si>
  <si>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</si>
  <si>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</si>
  <si>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</si>
  <si>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</si>
  <si>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</si>
  <si>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</si>
  <si>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</si>
  <si>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</si>
  <si>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</si>
  <si>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</si>
  <si>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</si>
  <si>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</si>
  <si>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</si>
  <si>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</si>
  <si>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</si>
  <si>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</si>
  <si>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</si>
  <si>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</si>
  <si>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</si>
  <si>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</si>
  <si>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</si>
  <si>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</si>
  <si>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</si>
  <si>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</si>
  <si>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</si>
  <si>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</si>
  <si>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</si>
  <si>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</si>
  <si>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</si>
  <si>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</si>
  <si>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</si>
  <si>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</si>
  <si>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</si>
  <si>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</si>
  <si>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</si>
  <si>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</si>
  <si>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</si>
  <si>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</si>
  <si>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</si>
  <si>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</si>
  <si>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</si>
  <si>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</si>
  <si>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</si>
  <si>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</si>
  <si>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</si>
  <si>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</si>
  <si>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</si>
  <si>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</si>
  <si>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</si>
  <si>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</si>
  <si>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dt_p</t>
  </si>
  <si>
    <t>dt_p.st_dt_fr#</t>
  </si>
  <si>
    <t>dt_p.st_dt_to#</t>
  </si>
  <si>
    <t>dt_p.end_dt_fr#</t>
  </si>
  <si>
    <t>dt_p.end_dt_to#</t>
  </si>
  <si>
    <t>データアクセス名</t>
    <rPh sb="7" eb="8">
      <t>メイ</t>
    </rPh>
    <phoneticPr fontId="3"/>
  </si>
  <si>
    <t>データアクセスＣＤ</t>
    <phoneticPr fontId="1"/>
  </si>
  <si>
    <t>@</t>
    <phoneticPr fontId="1"/>
  </si>
  <si>
    <t>データアクセス</t>
    <phoneticPr fontId="1"/>
  </si>
  <si>
    <t>da_cd</t>
  </si>
  <si>
    <t>da_nm</t>
  </si>
  <si>
    <t>dt_p.st_dt#</t>
  </si>
  <si>
    <t>dt_p.end_dt#</t>
  </si>
  <si>
    <t>適用日反映</t>
    <rPh sb="0" eb="2">
      <t>テキヨウ</t>
    </rPh>
    <rPh sb="2" eb="3">
      <t>ビ</t>
    </rPh>
    <rPh sb="3" eb="5">
      <t>ハンエイ</t>
    </rPh>
    <phoneticPr fontId="1"/>
  </si>
  <si>
    <t>適用開始日</t>
    <rPh sb="0" eb="2">
      <t>テキヨウ</t>
    </rPh>
    <rPh sb="2" eb="5">
      <t>カイシビ</t>
    </rPh>
    <phoneticPr fontId="1"/>
  </si>
  <si>
    <t>重複期間補正</t>
    <rPh sb="0" eb="2">
      <t>チョウフク</t>
    </rPh>
    <rPh sb="2" eb="4">
      <t>キカン</t>
    </rPh>
    <rPh sb="4" eb="6">
      <t>ホセイ</t>
    </rPh>
    <phoneticPr fontId="1"/>
  </si>
  <si>
    <t>memo1</t>
  </si>
  <si>
    <t>memo2</t>
  </si>
  <si>
    <t>memo3</t>
  </si>
  <si>
    <t>適用終了日</t>
    <rPh sb="0" eb="2">
      <t>テキヨウ</t>
    </rPh>
    <rPh sb="2" eb="4">
      <t>シュウリョウ</t>
    </rPh>
    <rPh sb="4" eb="5">
      <t>ビ</t>
    </rPh>
    <phoneticPr fontId="1"/>
  </si>
  <si>
    <t>st_dt</t>
    <phoneticPr fontId="1"/>
  </si>
  <si>
    <t>end_dt</t>
    <phoneticPr fontId="1"/>
  </si>
  <si>
    <t>LIST_OUT_BASE</t>
    <phoneticPr fontId="1"/>
  </si>
  <si>
    <t>$image.DELETE$削除する</t>
    <phoneticPr fontId="1"/>
  </si>
  <si>
    <t>削除する</t>
    <rPh sb="0" eb="2">
      <t>サクジョ</t>
    </rPh>
    <phoneticPr fontId="1"/>
  </si>
  <si>
    <t>MABCP0130</t>
    <phoneticPr fontId="1"/>
  </si>
  <si>
    <t>MABCP_DaCtlReg</t>
    <phoneticPr fontId="1"/>
  </si>
  <si>
    <t>データアクセス制御マスタの検索、更新、削除を行います。</t>
    <rPh sb="7" eb="9">
      <t>セイギョ</t>
    </rPh>
    <rPh sb="19" eb="21">
      <t>サクジョ</t>
    </rPh>
    <phoneticPr fontId="1"/>
  </si>
  <si>
    <t>del_flg_lab</t>
  </si>
  <si>
    <t>論理削除</t>
  </si>
  <si>
    <t>論理削除.オフ</t>
  </si>
  <si>
    <t>オフ</t>
  </si>
  <si>
    <t>論理削除.オン</t>
  </si>
  <si>
    <t>オン</t>
  </si>
  <si>
    <t>部門名</t>
  </si>
  <si>
    <t>場所名</t>
  </si>
  <si>
    <t>ＷＧ</t>
    <phoneticPr fontId="1"/>
  </si>
  <si>
    <t>部門</t>
    <phoneticPr fontId="1"/>
  </si>
  <si>
    <t>場所ＣＤ</t>
    <phoneticPr fontId="1"/>
  </si>
  <si>
    <t>場所</t>
    <phoneticPr fontId="1"/>
  </si>
  <si>
    <t>物流Ｇ</t>
    <phoneticPr fontId="1"/>
  </si>
  <si>
    <t>物流グループ名</t>
    <phoneticPr fontId="1"/>
  </si>
  <si>
    <t>物流Ｇ名</t>
    <phoneticPr fontId="1"/>
  </si>
  <si>
    <t>rd_flg</t>
  </si>
  <si>
    <t>wr_flg</t>
  </si>
  <si>
    <t>検索可能</t>
    <phoneticPr fontId="1"/>
  </si>
  <si>
    <t>更新可能</t>
    <phoneticPr fontId="3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</si>
  <si>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</si>
  <si>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</si>
  <si>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wg_nm</t>
    <phoneticPr fontId="1"/>
  </si>
  <si>
    <t>da_cd</t>
    <phoneticPr fontId="1"/>
  </si>
  <si>
    <t>dpt_nm</t>
    <phoneticPr fontId="1"/>
  </si>
  <si>
    <t>lg_grp_nm</t>
    <phoneticPr fontId="1"/>
  </si>
  <si>
    <t>loc_nm</t>
    <phoneticPr fontId="1"/>
  </si>
  <si>
    <t>lg_grp_cd</t>
    <phoneticPr fontId="1"/>
  </si>
  <si>
    <t>set_dt</t>
    <phoneticPr fontId="1"/>
  </si>
  <si>
    <t>mcframe.clientMAUD.MAUDP1010.MAUDP_RLStEndDupChecker</t>
    <phoneticPr fontId="1"/>
  </si>
  <si>
    <t>correct_dup_dt</t>
    <phoneticPr fontId="1"/>
  </si>
  <si>
    <t>wg_cd</t>
    <phoneticPr fontId="1"/>
  </si>
  <si>
    <t>dpt_cd</t>
    <phoneticPr fontId="1"/>
  </si>
  <si>
    <t>部門ＣＤ</t>
    <phoneticPr fontId="1"/>
  </si>
  <si>
    <t>loc_cd</t>
    <phoneticPr fontId="1"/>
  </si>
  <si>
    <t>物流グループＣＤ</t>
    <phoneticPr fontId="1"/>
  </si>
  <si>
    <t>データアクセス制御マスタ登録</t>
    <rPh sb="7" eb="9">
      <t>セイギョ</t>
    </rPh>
    <rPh sb="12" eb="14">
      <t>トウロク</t>
    </rPh>
    <phoneticPr fontId="1"/>
  </si>
  <si>
    <t>検索可能</t>
  </si>
  <si>
    <t>更新可能</t>
  </si>
  <si>
    <t>ワーキンググループＣＤ</t>
    <phoneticPr fontId="1"/>
  </si>
  <si>
    <t>ワーキンググループ名</t>
    <phoneticPr fontId="1"/>
  </si>
  <si>
    <t>ＷＧ名</t>
    <phoneticPr fontId="1"/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</si>
  <si>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</si>
  <si>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</si>
  <si>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</si>
  <si>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</si>
  <si>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</si>
  <si>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</si>
  <si>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BulkSet</t>
    <phoneticPr fontId="4"/>
  </si>
  <si>
    <t>LIST_IN</t>
  </si>
  <si>
    <t>LIST_IN_BASE</t>
  </si>
  <si>
    <t>alloc_grp_cd</t>
    <phoneticPr fontId="1"/>
  </si>
  <si>
    <t>alloc_grp_nm</t>
    <phoneticPr fontId="1"/>
  </si>
  <si>
    <t>総量引当場所グループＣＤ</t>
    <phoneticPr fontId="1"/>
  </si>
  <si>
    <t>総量引当場所グループ名</t>
    <phoneticPr fontId="1"/>
  </si>
  <si>
    <t>総量引当場所Ｇ</t>
    <phoneticPr fontId="1"/>
  </si>
  <si>
    <t>総量引当場所Ｇ名</t>
    <phoneticPr fontId="1"/>
  </si>
  <si>
    <t>Mst</t>
    <phoneticPr fontId="1"/>
  </si>
  <si>
    <t>管理</t>
    <rPh sb="0" eb="2">
      <t>カンリ</t>
    </rPh>
    <phoneticPr fontId="1"/>
  </si>
  <si>
    <t>@</t>
    <phoneticPr fontId="1"/>
  </si>
  <si>
    <t>UPD,登録・訂正する,0;DEL,削除する（管理者）,1;REF,参照する,3</t>
    <phoneticPr fontId="1"/>
  </si>
  <si>
    <t>inf_lbl</t>
    <phoneticPr fontId="1"/>
  </si>
  <si>
    <t>インフォメーション</t>
    <phoneticPr fontId="1"/>
  </si>
  <si>
    <t>データアクセス可能な情報は次回のログイン後に有効になります。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</si>
  <si>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</si>
  <si>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</si>
  <si>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</si>
  <si>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</si>
  <si>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</si>
  <si>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</si>
  <si>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</si>
  <si>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</si>
  <si>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</si>
  <si>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</si>
  <si>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</si>
  <si>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</si>
  <si>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</si>
  <si>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</si>
  <si>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</si>
  <si>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</si>
  <si>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</si>
  <si>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</si>
  <si>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</si>
  <si>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</si>
  <si>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</si>
  <si>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</si>
  <si>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</si>
  <si>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</si>
  <si>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</si>
  <si>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</si>
  <si>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</si>
  <si>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</si>
  <si>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</si>
  <si>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</si>
  <si>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</si>
  <si>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</si>
  <si>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</si>
  <si>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</si>
  <si>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</si>
  <si>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4"/>
  </si>
  <si>
    <t>LP</t>
    <phoneticPr fontId="1"/>
  </si>
  <si>
    <t>C</t>
    <phoneticPr fontId="1"/>
  </si>
  <si>
    <t>Cnd</t>
    <phoneticPr fontId="1"/>
  </si>
  <si>
    <t>Srch01_Cnd</t>
    <phoneticPr fontId="1"/>
  </si>
  <si>
    <t>SC</t>
    <phoneticPr fontId="1"/>
  </si>
  <si>
    <t>MA.MAUBP0020.StEndDt</t>
    <phoneticPr fontId="1"/>
  </si>
  <si>
    <t>ENABLE</t>
    <phoneticPr fontId="1"/>
  </si>
  <si>
    <t>RI</t>
    <phoneticPr fontId="1"/>
  </si>
  <si>
    <t>CI</t>
    <phoneticPr fontId="1"/>
  </si>
  <si>
    <t>st_dt_fr</t>
    <phoneticPr fontId="1"/>
  </si>
  <si>
    <t>st_dt_to</t>
    <phoneticPr fontId="1"/>
  </si>
  <si>
    <t>end_dt_fr</t>
    <phoneticPr fontId="1"/>
  </si>
  <si>
    <t>end_dt_to</t>
    <phoneticPr fontId="1"/>
  </si>
  <si>
    <t>#MA.DA_CD</t>
    <phoneticPr fontId="1"/>
  </si>
  <si>
    <t>C2A</t>
    <phoneticPr fontId="1"/>
  </si>
  <si>
    <t>MA.MAUAP0010.Da</t>
    <phoneticPr fontId="1"/>
  </si>
  <si>
    <t>da_nm</t>
    <phoneticPr fontId="1"/>
  </si>
  <si>
    <t>E</t>
    <phoneticPr fontId="1"/>
  </si>
  <si>
    <t>#MA.DA_NM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</si>
  <si>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</si>
  <si>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</si>
  <si>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</si>
  <si>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</si>
  <si>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</si>
  <si>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</si>
  <si>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</si>
  <si>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</si>
  <si>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</t>
    <phoneticPr fontId="4"/>
  </si>
  <si>
    <t>FX.FXBAP0130</t>
    <phoneticPr fontId="4"/>
  </si>
  <si>
    <t>CBN</t>
    <phoneticPr fontId="1"/>
  </si>
  <si>
    <t>#MA.DT</t>
    <phoneticPr fontId="1"/>
  </si>
  <si>
    <t>B</t>
    <phoneticPr fontId="1"/>
  </si>
  <si>
    <t>F7</t>
    <phoneticPr fontId="1"/>
  </si>
  <si>
    <t>D</t>
    <phoneticPr fontId="1"/>
  </si>
  <si>
    <t>L</t>
    <phoneticPr fontId="1"/>
  </si>
  <si>
    <t>TBL</t>
    <phoneticPr fontId="1"/>
  </si>
  <si>
    <t>CBC</t>
    <phoneticPr fontId="1"/>
  </si>
  <si>
    <t>,180</t>
    <phoneticPr fontId="1"/>
  </si>
  <si>
    <t>Srch01_Rslt</t>
    <phoneticPr fontId="1"/>
  </si>
  <si>
    <t>Sprt01_Dtl</t>
    <phoneticPr fontId="1"/>
  </si>
  <si>
    <t>Upd01_Dtl</t>
    <phoneticPr fontId="1"/>
  </si>
  <si>
    <t>Del01_Dtl</t>
    <phoneticPr fontId="1"/>
  </si>
  <si>
    <t>I</t>
    <phoneticPr fontId="1"/>
  </si>
  <si>
    <t>#MA.WG_CD</t>
    <phoneticPr fontId="1"/>
  </si>
  <si>
    <t>MA.MAUAP0010.Wg</t>
    <phoneticPr fontId="1"/>
  </si>
  <si>
    <t>#MA.WG_NM</t>
    <phoneticPr fontId="1"/>
  </si>
  <si>
    <t>#MA.DPT_CD</t>
    <phoneticPr fontId="1"/>
  </si>
  <si>
    <t>MA.MAUAP0010.DptBase</t>
    <phoneticPr fontId="1"/>
  </si>
  <si>
    <t>def_dpt_nm</t>
    <phoneticPr fontId="1"/>
  </si>
  <si>
    <t>#MA.DPT_NM</t>
    <phoneticPr fontId="1"/>
  </si>
  <si>
    <t>#MA.LOC_CD</t>
    <phoneticPr fontId="1"/>
  </si>
  <si>
    <t>SF</t>
    <phoneticPr fontId="1"/>
  </si>
  <si>
    <t>MA.MAUAP0010.Loc</t>
    <phoneticPr fontId="1"/>
  </si>
  <si>
    <t>#MA.LOC_NM</t>
    <phoneticPr fontId="1"/>
  </si>
  <si>
    <t>#MA.LG_GRP_CD</t>
    <phoneticPr fontId="1"/>
  </si>
  <si>
    <t>MA.MAUAP0010.LgGrpForLoc</t>
    <phoneticPr fontId="1"/>
  </si>
  <si>
    <t>#MA.LG_GRP_NM</t>
    <phoneticPr fontId="1"/>
  </si>
  <si>
    <t>#MA.ALLOC_GRP_CD</t>
    <phoneticPr fontId="1"/>
  </si>
  <si>
    <t>MA.MAUAP0010.AllocGrp</t>
    <phoneticPr fontId="1"/>
  </si>
  <si>
    <t>#MA.ALLOC_GRP_NM</t>
    <phoneticPr fontId="1"/>
  </si>
  <si>
    <t>CM</t>
    <phoneticPr fontId="1"/>
  </si>
  <si>
    <t>MA.MAUBP5010.Dt</t>
    <phoneticPr fontId="1"/>
  </si>
  <si>
    <t>REQUIRED</t>
    <phoneticPr fontId="1"/>
  </si>
  <si>
    <t>READ_ONLY</t>
    <phoneticPr fontId="1"/>
  </si>
  <si>
    <t>st_dt_key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</si>
  <si>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</si>
  <si>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</si>
  <si>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</si>
  <si>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</si>
  <si>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</si>
  <si>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</si>
  <si>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</si>
  <si>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</si>
  <si>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F8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</si>
  <si>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</si>
  <si>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</si>
  <si>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</si>
  <si>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</si>
  <si>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</si>
  <si>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</si>
  <si>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</si>
  <si>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</si>
  <si>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</si>
  <si>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</si>
  <si>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</si>
  <si>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</si>
  <si>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</si>
  <si>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</si>
  <si>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</si>
  <si>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</si>
  <si>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</si>
  <si>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</si>
  <si>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</si>
  <si>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</si>
  <si>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</si>
  <si>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</si>
  <si>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</si>
  <si>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</si>
  <si>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</si>
  <si>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</si>
  <si>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</si>
  <si>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</si>
  <si>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</si>
  <si>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mst_set_typ_nm</t>
    <phoneticPr fontId="1"/>
  </si>
  <si>
    <t>Cnd</t>
    <phoneticPr fontId="1"/>
  </si>
  <si>
    <t>Dtl</t>
    <phoneticPr fontId="1"/>
  </si>
  <si>
    <t>dt_p.st_dt_key#</t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</si>
  <si>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</si>
  <si>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</si>
  <si>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</si>
  <si>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</si>
  <si>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</si>
  <si>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</si>
  <si>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MA.MABCL0130.Sprt01</t>
    <phoneticPr fontId="1"/>
  </si>
  <si>
    <t>MA.MABCL0130.Upd01</t>
    <phoneticPr fontId="1"/>
  </si>
  <si>
    <t>MA.MABCL0130.Del01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</si>
  <si>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</si>
  <si>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</si>
  <si>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</si>
  <si>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</si>
  <si>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</si>
  <si>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</si>
  <si>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</si>
  <si>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</si>
  <si>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</si>
  <si>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</si>
  <si>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</si>
  <si>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</si>
  <si>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</si>
  <si>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</si>
  <si>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</si>
  <si>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</si>
  <si>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</si>
  <si>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</si>
  <si>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</si>
  <si>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</si>
  <si>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</si>
  <si>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</si>
  <si>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</si>
  <si>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</si>
  <si>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</si>
  <si>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</si>
  <si>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</si>
  <si>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Data access cd.</t>
  </si>
  <si>
    <t>Data access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</si>
  <si>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</si>
  <si>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</si>
  <si>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</si>
  <si>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</si>
  <si>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</si>
  <si>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</si>
  <si>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</si>
  <si>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</si>
  <si>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</si>
  <si>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</si>
  <si>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WG cd.</t>
  </si>
  <si>
    <t>WG name</t>
  </si>
  <si>
    <t>Dept. cd.</t>
  </si>
  <si>
    <t>Dept. name</t>
  </si>
  <si>
    <t>Location cd.</t>
  </si>
  <si>
    <t>Location name</t>
  </si>
  <si>
    <t>Distribution group cd.</t>
  </si>
  <si>
    <t>Distribution group name</t>
  </si>
  <si>
    <t>Gross allocation location group cd.</t>
  </si>
  <si>
    <t>Gross allocation location group name</t>
  </si>
  <si>
    <t>Searchable</t>
  </si>
  <si>
    <t>Updatable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</si>
  <si>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</si>
  <si>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</si>
  <si>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</si>
  <si>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</si>
  <si>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</si>
  <si>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</si>
  <si>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</si>
  <si>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</si>
  <si>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</si>
  <si>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</si>
  <si>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</si>
  <si>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</si>
  <si>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</si>
  <si>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</si>
  <si>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</si>
  <si>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</si>
  <si>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</si>
  <si>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</si>
  <si>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</si>
  <si>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</si>
  <si>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</si>
  <si>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</si>
  <si>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Info.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</si>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</sst>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0" borderId="35" xfId="0" applyFont="1" applyBorder="1">
      <alignment vertical="top" wrapText="1"/>
    </xf>
    <xf numFmtId="0" fontId="6" fillId="3" borderId="33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3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7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04"/>
  <sheetViews>
    <sheetView topLeftCell="O43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15.6328125" style="4" customWidth="1"/>
    <col min="23" max="23" width="14.179687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30" t="s">
        <v>11</v>
      </c>
      <c r="B1" s="30" t="s">
        <v>11</v>
      </c>
      <c r="C1" s="30"/>
      <c r="D1" s="16" t="s">
        <v>171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1" t="s">
        <v>11</v>
      </c>
      <c r="B2" s="32"/>
      <c r="C2" s="32"/>
      <c r="D2" s="33" t="s">
        <v>321</v>
      </c>
      <c r="E2" s="34" t="s">
        <v>172</v>
      </c>
      <c r="F2" s="10" t="str">
        <f>LEFT(I2,2)</f>
        <v>MA</v>
      </c>
      <c r="G2" s="101" t="s">
        <v>173</v>
      </c>
      <c r="H2" s="106"/>
      <c r="I2" s="107" t="s">
        <v>103</v>
      </c>
      <c r="J2" s="108"/>
      <c r="K2" s="104" t="s">
        <v>174</v>
      </c>
      <c r="L2" s="104"/>
      <c r="M2" s="104"/>
      <c r="N2" s="104"/>
      <c r="O2" s="101"/>
      <c r="P2" s="36"/>
      <c r="Q2" s="10" t="s">
        <v>295</v>
      </c>
      <c r="R2" s="34" t="s">
        <v>175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3"/>
    </row>
    <row r="3" spans="1:42" s="1" customFormat="1" ht="13.5" customHeight="1" x14ac:dyDescent="0.2">
      <c r="A3" s="40" t="s">
        <v>11</v>
      </c>
      <c r="B3" s="41"/>
      <c r="C3" s="41"/>
      <c r="E3" s="34" t="s">
        <v>176</v>
      </c>
      <c r="F3" s="10" t="str">
        <f>LEFT(I2,4)</f>
        <v>MABC</v>
      </c>
      <c r="G3" s="101" t="s">
        <v>177</v>
      </c>
      <c r="H3" s="106"/>
      <c r="I3" s="107" t="s">
        <v>104</v>
      </c>
      <c r="J3" s="108"/>
      <c r="K3" s="104" t="s">
        <v>178</v>
      </c>
      <c r="L3" s="104"/>
      <c r="M3" s="104"/>
      <c r="N3" s="104"/>
      <c r="O3" s="101"/>
      <c r="P3" s="36"/>
      <c r="Q3" s="10"/>
      <c r="R3" s="34" t="s">
        <v>179</v>
      </c>
      <c r="S3" s="10" t="s">
        <v>296</v>
      </c>
      <c r="T3" s="10"/>
      <c r="AP3" s="15"/>
    </row>
    <row r="4" spans="1:42" s="1" customFormat="1" ht="13.5" customHeight="1" x14ac:dyDescent="0.2">
      <c r="A4" s="40" t="s">
        <v>11</v>
      </c>
      <c r="B4" s="41"/>
      <c r="C4" s="41"/>
      <c r="D4" s="15"/>
      <c r="E4" s="34" t="s">
        <v>180</v>
      </c>
      <c r="F4" s="10" t="s">
        <v>12</v>
      </c>
      <c r="G4" s="101" t="s">
        <v>181</v>
      </c>
      <c r="H4" s="106"/>
      <c r="I4" s="107" t="s">
        <v>141</v>
      </c>
      <c r="J4" s="108"/>
      <c r="K4" s="104" t="s">
        <v>182</v>
      </c>
      <c r="L4" s="104"/>
      <c r="M4" s="104"/>
      <c r="N4" s="104"/>
      <c r="O4" s="101"/>
      <c r="P4" s="36"/>
      <c r="Q4" s="10" t="s">
        <v>183</v>
      </c>
      <c r="R4" s="34"/>
      <c r="S4" s="34"/>
      <c r="T4" s="42"/>
      <c r="AP4" s="15"/>
    </row>
    <row r="5" spans="1:42" s="1" customFormat="1" x14ac:dyDescent="0.2">
      <c r="A5" s="43" t="s">
        <v>11</v>
      </c>
      <c r="B5" s="30"/>
      <c r="C5" s="30"/>
      <c r="D5" s="44"/>
      <c r="E5" s="34" t="s">
        <v>184</v>
      </c>
      <c r="F5" s="10" t="s">
        <v>1</v>
      </c>
      <c r="G5" s="101" t="s">
        <v>185</v>
      </c>
      <c r="H5" s="106"/>
      <c r="I5" s="109"/>
      <c r="J5" s="109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4"/>
    </row>
    <row r="6" spans="1:42" s="1" customFormat="1" ht="13.5" customHeight="1" x14ac:dyDescent="0.2">
      <c r="A6" s="40" t="s">
        <v>11</v>
      </c>
      <c r="B6" s="41"/>
      <c r="C6" s="41"/>
      <c r="D6" s="1" t="s">
        <v>186</v>
      </c>
      <c r="E6" s="105" t="s">
        <v>105</v>
      </c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15"/>
      <c r="AP6" s="46"/>
    </row>
    <row r="7" spans="1:42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187</v>
      </c>
      <c r="V7" s="10" t="s">
        <v>187</v>
      </c>
      <c r="W7" s="10" t="s">
        <v>187</v>
      </c>
      <c r="X7" s="10" t="s">
        <v>187</v>
      </c>
      <c r="Y7" s="5"/>
      <c r="Z7" s="10" t="s">
        <v>188</v>
      </c>
      <c r="AA7" s="10" t="s">
        <v>188</v>
      </c>
      <c r="AB7" s="10" t="s">
        <v>188</v>
      </c>
      <c r="AC7" s="10" t="s">
        <v>188</v>
      </c>
      <c r="AD7" s="5"/>
      <c r="AE7" s="34" t="s">
        <v>192</v>
      </c>
      <c r="AF7" s="10" t="s">
        <v>75</v>
      </c>
      <c r="AG7" s="34" t="s">
        <v>192</v>
      </c>
      <c r="AH7" s="10" t="s">
        <v>134</v>
      </c>
      <c r="AI7" s="34" t="s">
        <v>192</v>
      </c>
      <c r="AJ7" s="10" t="s">
        <v>76</v>
      </c>
      <c r="AK7" s="34" t="s">
        <v>192</v>
      </c>
      <c r="AL7" s="10" t="s">
        <v>77</v>
      </c>
      <c r="AM7" s="34" t="s">
        <v>192</v>
      </c>
      <c r="AN7" s="10"/>
      <c r="AO7" s="4"/>
      <c r="AP7" s="23"/>
    </row>
    <row r="8" spans="1:42" s="1" customFormat="1" ht="60" customHeight="1" x14ac:dyDescent="0.2">
      <c r="A8" s="10" t="s">
        <v>13</v>
      </c>
      <c r="B8" s="10"/>
      <c r="C8" s="10"/>
      <c r="D8" s="34" t="s">
        <v>322</v>
      </c>
      <c r="E8" s="34" t="s">
        <v>297</v>
      </c>
      <c r="F8" s="34" t="s">
        <v>323</v>
      </c>
      <c r="G8" s="13" t="s">
        <v>324</v>
      </c>
      <c r="H8" s="34"/>
      <c r="I8" s="34" t="s">
        <v>325</v>
      </c>
      <c r="J8" s="34" t="s">
        <v>326</v>
      </c>
      <c r="K8" s="34" t="s">
        <v>327</v>
      </c>
      <c r="L8" s="34" t="s">
        <v>328</v>
      </c>
      <c r="M8" s="34" t="s">
        <v>298</v>
      </c>
      <c r="N8" s="34" t="s">
        <v>299</v>
      </c>
      <c r="O8" s="34" t="s">
        <v>300</v>
      </c>
      <c r="P8" s="34" t="s">
        <v>301</v>
      </c>
      <c r="Q8" s="101" t="s">
        <v>329</v>
      </c>
      <c r="R8" s="102"/>
      <c r="S8" s="103"/>
      <c r="T8" s="38" t="s">
        <v>330</v>
      </c>
      <c r="U8" s="10" t="s">
        <v>100</v>
      </c>
      <c r="V8" s="10" t="s">
        <v>154</v>
      </c>
      <c r="W8" s="10" t="s">
        <v>155</v>
      </c>
      <c r="X8" s="10" t="s">
        <v>317</v>
      </c>
      <c r="Y8" s="5"/>
      <c r="Z8" s="10" t="s">
        <v>302</v>
      </c>
      <c r="AA8" s="10" t="s">
        <v>189</v>
      </c>
      <c r="AB8" s="10" t="s">
        <v>190</v>
      </c>
      <c r="AC8" s="10" t="s">
        <v>191</v>
      </c>
      <c r="AD8" s="5"/>
      <c r="AE8" s="34" t="s">
        <v>303</v>
      </c>
      <c r="AF8" s="10" t="str">
        <f>F2&amp;"."&amp;F3&amp;"L"&amp;RIGHT(I2,4)&amp;".Srch01"</f>
        <v>MA.MABCL0130.Srch01</v>
      </c>
      <c r="AG8" s="34" t="s">
        <v>303</v>
      </c>
      <c r="AH8" s="10" t="str">
        <f>F2&amp;"."&amp;F3&amp;"L"&amp;RIGHT(I2,4)&amp;".Sprt01"</f>
        <v>MA.MABCL0130.Sprt01</v>
      </c>
      <c r="AI8" s="34" t="s">
        <v>303</v>
      </c>
      <c r="AJ8" s="10" t="str">
        <f>F2&amp;"."&amp;F3&amp;"L"&amp;RIGHT(I2,4)&amp;".Upd01"</f>
        <v>MA.MABCL0130.Upd01</v>
      </c>
      <c r="AK8" s="34" t="s">
        <v>303</v>
      </c>
      <c r="AL8" s="10" t="str">
        <f>F2&amp;"."&amp;F3&amp;"L"&amp;RIGHT(I2,4)&amp;".Del01"</f>
        <v>MA.MABCL0130.Del01</v>
      </c>
      <c r="AM8" s="34" t="s">
        <v>303</v>
      </c>
      <c r="AN8" s="10"/>
      <c r="AO8" s="6"/>
      <c r="AP8" s="53" t="s">
        <v>342</v>
      </c>
    </row>
    <row r="9" spans="1:42" s="1" customFormat="1" ht="60" customHeight="1" x14ac:dyDescent="0.2">
      <c r="A9" s="10" t="s">
        <v>13</v>
      </c>
      <c r="B9" s="10"/>
      <c r="C9" s="10"/>
      <c r="D9" s="34" t="s">
        <v>331</v>
      </c>
      <c r="E9" s="13" t="s">
        <v>332</v>
      </c>
      <c r="F9" s="35" t="s">
        <v>333</v>
      </c>
      <c r="G9" s="35" t="s">
        <v>334</v>
      </c>
      <c r="H9" s="35" t="s">
        <v>335</v>
      </c>
      <c r="I9" s="34" t="s">
        <v>336</v>
      </c>
      <c r="J9" s="35" t="s">
        <v>304</v>
      </c>
      <c r="K9" s="35" t="s">
        <v>337</v>
      </c>
      <c r="L9" s="34" t="s">
        <v>338</v>
      </c>
      <c r="M9" s="34" t="s">
        <v>339</v>
      </c>
      <c r="N9" s="34" t="s">
        <v>340</v>
      </c>
      <c r="O9" s="34" t="s">
        <v>169</v>
      </c>
      <c r="P9" s="34" t="s">
        <v>301</v>
      </c>
      <c r="Q9" s="34" t="s">
        <v>305</v>
      </c>
      <c r="R9" s="34" t="s">
        <v>170</v>
      </c>
      <c r="S9" s="34" t="s">
        <v>306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34" t="s">
        <v>307</v>
      </c>
      <c r="AF9" s="10" t="s">
        <v>193</v>
      </c>
      <c r="AG9" s="34" t="s">
        <v>307</v>
      </c>
      <c r="AH9" s="10" t="s">
        <v>193</v>
      </c>
      <c r="AI9" s="34" t="s">
        <v>307</v>
      </c>
      <c r="AJ9" s="10" t="s">
        <v>193</v>
      </c>
      <c r="AK9" s="34" t="s">
        <v>307</v>
      </c>
      <c r="AL9" s="10" t="s">
        <v>193</v>
      </c>
      <c r="AM9" s="34" t="s">
        <v>307</v>
      </c>
      <c r="AN9" s="10"/>
      <c r="AO9" s="52" t="s">
        <v>341</v>
      </c>
      <c r="AP9" s="53" t="s">
        <v>343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4" t="s">
        <v>396</v>
      </c>
      <c r="AF10" s="34" t="s">
        <v>397</v>
      </c>
      <c r="AG10" s="34" t="s">
        <v>396</v>
      </c>
      <c r="AH10" s="34" t="s">
        <v>397</v>
      </c>
      <c r="AI10" s="34" t="s">
        <v>396</v>
      </c>
      <c r="AJ10" s="34" t="s">
        <v>397</v>
      </c>
      <c r="AK10" s="34" t="s">
        <v>396</v>
      </c>
      <c r="AL10" s="34" t="s">
        <v>397</v>
      </c>
      <c r="AM10" s="34" t="s">
        <v>396</v>
      </c>
      <c r="AN10" s="34" t="s">
        <v>397</v>
      </c>
      <c r="AO10" s="9"/>
      <c r="AP10" s="8"/>
    </row>
    <row r="11" spans="1:42" s="1" customFormat="1" ht="26" x14ac:dyDescent="0.2">
      <c r="A11" s="48">
        <v>10</v>
      </c>
      <c r="B11" s="24" t="s">
        <v>0</v>
      </c>
      <c r="C11" s="24"/>
      <c r="D11" s="24" t="s">
        <v>70</v>
      </c>
      <c r="E11" s="25"/>
      <c r="F11" s="24"/>
      <c r="G11" s="24" t="s">
        <v>71</v>
      </c>
      <c r="H11" s="24"/>
      <c r="I11" s="24" t="s">
        <v>194</v>
      </c>
      <c r="J11" s="48" t="s">
        <v>344</v>
      </c>
      <c r="K11" s="24" t="s">
        <v>195</v>
      </c>
      <c r="L11" s="24" t="s">
        <v>196</v>
      </c>
      <c r="M11" s="24" t="s">
        <v>197</v>
      </c>
      <c r="N11" s="24" t="s">
        <v>198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49"/>
      <c r="Z11" s="26"/>
      <c r="AA11" s="26"/>
      <c r="AB11" s="26"/>
      <c r="AC11" s="26"/>
      <c r="AD11" s="49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9"/>
      <c r="AP11" s="27"/>
    </row>
    <row r="12" spans="1:42" s="1" customFormat="1" x14ac:dyDescent="0.2">
      <c r="A12" s="40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P12" s="15"/>
    </row>
    <row r="13" spans="1:42" s="1" customFormat="1" x14ac:dyDescent="0.2">
      <c r="A13" s="10">
        <v>20</v>
      </c>
      <c r="B13" s="11" t="s">
        <v>0</v>
      </c>
      <c r="C13" s="11"/>
      <c r="D13" s="11" t="s">
        <v>162</v>
      </c>
      <c r="E13" s="12"/>
      <c r="F13" s="11"/>
      <c r="G13" s="11"/>
      <c r="H13" s="11"/>
      <c r="I13" s="11" t="s">
        <v>194</v>
      </c>
      <c r="J13" s="11"/>
      <c r="K13" s="11" t="s">
        <v>195</v>
      </c>
      <c r="L13" s="11"/>
      <c r="M13" s="11" t="s">
        <v>199</v>
      </c>
      <c r="N13" s="11" t="s">
        <v>198</v>
      </c>
      <c r="O13" s="11"/>
      <c r="P13" s="11"/>
      <c r="Q13" s="18"/>
      <c r="R13" s="18"/>
      <c r="S13" s="18"/>
      <c r="T13" s="18"/>
      <c r="U13" s="18"/>
      <c r="V13" s="18"/>
      <c r="W13" s="18"/>
      <c r="X13" s="18"/>
      <c r="Y13" s="16"/>
      <c r="Z13" s="18"/>
      <c r="AA13" s="18"/>
      <c r="AB13" s="18"/>
      <c r="AC13" s="18"/>
      <c r="AD13" s="16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6"/>
      <c r="AP13" s="17"/>
    </row>
    <row r="14" spans="1:42" s="1" customFormat="1" ht="26" x14ac:dyDescent="0.2">
      <c r="A14" s="10">
        <v>20</v>
      </c>
      <c r="B14" s="10"/>
      <c r="C14" s="10"/>
      <c r="D14" s="10" t="s">
        <v>308</v>
      </c>
      <c r="E14" s="29" t="s">
        <v>345</v>
      </c>
      <c r="F14" s="10" t="s">
        <v>163</v>
      </c>
      <c r="G14" s="10" t="s">
        <v>164</v>
      </c>
      <c r="H14" s="10"/>
      <c r="I14" s="10" t="s">
        <v>200</v>
      </c>
      <c r="J14" s="10"/>
      <c r="K14" s="10" t="s">
        <v>201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202</v>
      </c>
      <c r="AA14" s="10" t="s">
        <v>202</v>
      </c>
      <c r="AB14" s="10" t="s">
        <v>202</v>
      </c>
      <c r="AC14" s="10" t="s">
        <v>202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P14" s="14"/>
    </row>
    <row r="15" spans="1:42" s="1" customFormat="1" ht="39" x14ac:dyDescent="0.2">
      <c r="A15" s="40"/>
      <c r="AE15" s="34" t="s">
        <v>396</v>
      </c>
      <c r="AF15" s="34" t="s">
        <v>397</v>
      </c>
      <c r="AG15" s="34" t="s">
        <v>396</v>
      </c>
      <c r="AH15" s="34" t="s">
        <v>397</v>
      </c>
      <c r="AI15" s="34" t="s">
        <v>396</v>
      </c>
      <c r="AJ15" s="34" t="s">
        <v>397</v>
      </c>
      <c r="AK15" s="34"/>
      <c r="AL15" s="34"/>
      <c r="AM15" s="34"/>
      <c r="AN15" s="34"/>
      <c r="AP15" s="15"/>
    </row>
    <row r="16" spans="1:42" s="1" customFormat="1" ht="26" x14ac:dyDescent="0.2">
      <c r="A16" s="10">
        <v>30</v>
      </c>
      <c r="B16" s="11" t="s">
        <v>0</v>
      </c>
      <c r="C16" s="11"/>
      <c r="D16" s="11" t="s">
        <v>147</v>
      </c>
      <c r="E16" s="12"/>
      <c r="F16" s="11"/>
      <c r="G16" s="11"/>
      <c r="H16" s="11"/>
      <c r="I16" s="11" t="s">
        <v>194</v>
      </c>
      <c r="J16" s="11"/>
      <c r="K16" s="11" t="s">
        <v>195</v>
      </c>
      <c r="L16" s="11"/>
      <c r="M16" s="11" t="s">
        <v>203</v>
      </c>
      <c r="N16" s="11"/>
      <c r="O16" s="10" t="s">
        <v>204</v>
      </c>
      <c r="P16" s="11"/>
      <c r="Q16" s="18"/>
      <c r="R16" s="18"/>
      <c r="S16" s="18"/>
      <c r="T16" s="18"/>
      <c r="U16" s="18"/>
      <c r="V16" s="18"/>
      <c r="W16" s="18"/>
      <c r="X16" s="18"/>
      <c r="Y16" s="16"/>
      <c r="Z16" s="18"/>
      <c r="AA16" s="18"/>
      <c r="AB16" s="18"/>
      <c r="AC16" s="18"/>
      <c r="AD16" s="16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6"/>
      <c r="AP16" s="14"/>
    </row>
    <row r="17" spans="1:42" s="1" customFormat="1" x14ac:dyDescent="0.2">
      <c r="A17" s="10">
        <v>30</v>
      </c>
      <c r="B17" s="10"/>
      <c r="C17" s="10"/>
      <c r="D17" s="10" t="s">
        <v>148</v>
      </c>
      <c r="E17" s="29"/>
      <c r="F17" s="10"/>
      <c r="G17" s="10"/>
      <c r="H17" s="10"/>
      <c r="I17" s="10"/>
      <c r="J17" s="10"/>
      <c r="K17" s="10" t="s">
        <v>205</v>
      </c>
      <c r="L17" s="10"/>
      <c r="M17" s="10"/>
      <c r="N17" s="10"/>
      <c r="O17" s="10" t="s">
        <v>149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x14ac:dyDescent="0.2">
      <c r="A18" s="10">
        <v>30</v>
      </c>
      <c r="B18" s="10"/>
      <c r="C18" s="10"/>
      <c r="D18" s="10" t="s">
        <v>150</v>
      </c>
      <c r="E18" s="29"/>
      <c r="F18" s="10"/>
      <c r="G18" s="10"/>
      <c r="H18" s="10"/>
      <c r="I18" s="10"/>
      <c r="J18" s="10"/>
      <c r="K18" s="10" t="s">
        <v>205</v>
      </c>
      <c r="L18" s="10"/>
      <c r="M18" s="10"/>
      <c r="N18" s="10"/>
      <c r="O18" s="10" t="s">
        <v>151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P18" s="14"/>
    </row>
    <row r="19" spans="1:42" s="1" customFormat="1" ht="39" x14ac:dyDescent="0.2">
      <c r="A19" s="40"/>
      <c r="AE19" s="34" t="s">
        <v>396</v>
      </c>
      <c r="AF19" s="34" t="s">
        <v>397</v>
      </c>
      <c r="AG19" s="34" t="s">
        <v>396</v>
      </c>
      <c r="AH19" s="34" t="s">
        <v>397</v>
      </c>
      <c r="AI19" s="34" t="s">
        <v>396</v>
      </c>
      <c r="AJ19" s="34" t="s">
        <v>397</v>
      </c>
      <c r="AK19" s="34" t="s">
        <v>396</v>
      </c>
      <c r="AL19" s="34" t="s">
        <v>397</v>
      </c>
      <c r="AM19" s="34"/>
      <c r="AN19" s="34"/>
      <c r="AP19" s="15"/>
    </row>
    <row r="20" spans="1:42" s="1" customFormat="1" x14ac:dyDescent="0.2">
      <c r="A20" s="10">
        <v>40</v>
      </c>
      <c r="B20" s="11" t="s">
        <v>0</v>
      </c>
      <c r="C20" s="11"/>
      <c r="D20" s="11" t="s">
        <v>149</v>
      </c>
      <c r="E20" s="12"/>
      <c r="F20" s="11"/>
      <c r="G20" s="11"/>
      <c r="H20" s="11"/>
      <c r="I20" s="11" t="s">
        <v>194</v>
      </c>
      <c r="J20" s="11"/>
      <c r="K20" s="11" t="s">
        <v>195</v>
      </c>
      <c r="L20" s="11"/>
      <c r="M20" s="11" t="s">
        <v>206</v>
      </c>
      <c r="N20" s="11"/>
      <c r="O20" s="10"/>
      <c r="P20" s="11"/>
      <c r="Q20" s="18"/>
      <c r="R20" s="18"/>
      <c r="S20" s="18"/>
      <c r="T20" s="18"/>
      <c r="U20" s="18"/>
      <c r="V20" s="18"/>
      <c r="W20" s="18"/>
      <c r="X20" s="18"/>
      <c r="Y20" s="16"/>
      <c r="Z20" s="18"/>
      <c r="AA20" s="18"/>
      <c r="AB20" s="18"/>
      <c r="AC20" s="18"/>
      <c r="AD20" s="16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6"/>
      <c r="AP20" s="14"/>
    </row>
    <row r="21" spans="1:42" s="1" customFormat="1" x14ac:dyDescent="0.2">
      <c r="A21" s="10">
        <v>40</v>
      </c>
      <c r="B21" s="10"/>
      <c r="C21" s="10"/>
      <c r="D21" s="10" t="s">
        <v>152</v>
      </c>
      <c r="E21" s="29"/>
      <c r="F21" s="10"/>
      <c r="G21" s="10"/>
      <c r="H21" s="10"/>
      <c r="I21" s="10"/>
      <c r="J21" s="10"/>
      <c r="K21" s="10" t="s">
        <v>205</v>
      </c>
      <c r="L21" s="10"/>
      <c r="M21" s="10"/>
      <c r="N21" s="10"/>
      <c r="O21" s="10" t="s">
        <v>207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P21" s="14"/>
    </row>
    <row r="22" spans="1:42" s="1" customFormat="1" ht="52" x14ac:dyDescent="0.2">
      <c r="A22" s="40"/>
      <c r="AE22" s="34" t="s">
        <v>396</v>
      </c>
      <c r="AF22" s="34" t="s">
        <v>397</v>
      </c>
      <c r="AG22" s="34" t="s">
        <v>396</v>
      </c>
      <c r="AH22" s="34" t="s">
        <v>397</v>
      </c>
      <c r="AI22" s="34" t="s">
        <v>396</v>
      </c>
      <c r="AJ22" s="34" t="s">
        <v>397</v>
      </c>
      <c r="AK22" s="34" t="s">
        <v>396</v>
      </c>
      <c r="AL22" s="34" t="s">
        <v>397</v>
      </c>
      <c r="AM22" s="34" t="s">
        <v>396</v>
      </c>
      <c r="AN22" s="34" t="s">
        <v>397</v>
      </c>
      <c r="AP22" s="15"/>
    </row>
    <row r="23" spans="1:42" s="1" customFormat="1" x14ac:dyDescent="0.2">
      <c r="A23" s="10">
        <v>50</v>
      </c>
      <c r="B23" s="11" t="s">
        <v>0</v>
      </c>
      <c r="C23" s="11"/>
      <c r="D23" s="11" t="s">
        <v>309</v>
      </c>
      <c r="E23" s="12"/>
      <c r="F23" s="11"/>
      <c r="G23" s="11" t="s">
        <v>2</v>
      </c>
      <c r="H23" s="11"/>
      <c r="I23" s="11" t="s">
        <v>194</v>
      </c>
      <c r="J23" s="10" t="s">
        <v>346</v>
      </c>
      <c r="K23" s="11" t="s">
        <v>195</v>
      </c>
      <c r="L23" s="11" t="s">
        <v>196</v>
      </c>
      <c r="M23" s="11" t="s">
        <v>195</v>
      </c>
      <c r="N23" s="11"/>
      <c r="O23" s="11"/>
      <c r="P23" s="11"/>
      <c r="Q23" s="18"/>
      <c r="R23" s="18"/>
      <c r="S23" s="18"/>
      <c r="T23" s="18"/>
      <c r="U23" s="18"/>
      <c r="V23" s="18"/>
      <c r="W23" s="18"/>
      <c r="X23" s="18"/>
      <c r="Y23" s="16"/>
      <c r="Z23" s="18"/>
      <c r="AA23" s="18"/>
      <c r="AB23" s="18"/>
      <c r="AC23" s="18"/>
      <c r="AD23" s="16"/>
      <c r="AE23" s="10" t="s">
        <v>208</v>
      </c>
      <c r="AF23" s="10"/>
      <c r="AG23" s="10"/>
      <c r="AH23" s="10"/>
      <c r="AI23" s="10"/>
      <c r="AJ23" s="10"/>
      <c r="AK23" s="10"/>
      <c r="AL23" s="10"/>
      <c r="AM23" s="10"/>
      <c r="AN23" s="10"/>
      <c r="AO23" s="16"/>
      <c r="AP23" s="14"/>
    </row>
    <row r="24" spans="1:42" s="1" customFormat="1" ht="39" x14ac:dyDescent="0.2">
      <c r="A24" s="10">
        <v>50</v>
      </c>
      <c r="B24" s="10"/>
      <c r="C24" s="10"/>
      <c r="D24" s="10" t="s">
        <v>72</v>
      </c>
      <c r="E24" s="29" t="s">
        <v>347</v>
      </c>
      <c r="F24" s="10" t="s">
        <v>165</v>
      </c>
      <c r="G24" s="10" t="s">
        <v>9</v>
      </c>
      <c r="H24" s="10"/>
      <c r="I24" s="10" t="s">
        <v>206</v>
      </c>
      <c r="J24" s="10"/>
      <c r="K24" s="10" t="s">
        <v>194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194</v>
      </c>
      <c r="AA24" s="10" t="s">
        <v>194</v>
      </c>
      <c r="AB24" s="10" t="s">
        <v>194</v>
      </c>
      <c r="AC24" s="10" t="s">
        <v>194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P24" s="14"/>
    </row>
    <row r="25" spans="1:42" s="1" customFormat="1" ht="26" x14ac:dyDescent="0.2">
      <c r="A25" s="50">
        <v>50</v>
      </c>
      <c r="B25" s="50"/>
      <c r="C25" s="50"/>
      <c r="D25" s="50" t="s">
        <v>78</v>
      </c>
      <c r="E25" s="50"/>
      <c r="F25" s="50"/>
      <c r="G25" s="50"/>
      <c r="H25" s="50"/>
      <c r="I25" s="50" t="s">
        <v>194</v>
      </c>
      <c r="J25" s="50"/>
      <c r="K25" s="50" t="s">
        <v>209</v>
      </c>
      <c r="L25" s="50" t="s">
        <v>210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 t="s">
        <v>211</v>
      </c>
      <c r="AA25" s="50" t="s">
        <v>211</v>
      </c>
      <c r="AB25" s="50" t="s">
        <v>211</v>
      </c>
      <c r="AC25" s="50" t="s">
        <v>211</v>
      </c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</row>
    <row r="26" spans="1:42" s="1" customFormat="1" x14ac:dyDescent="0.2">
      <c r="A26" s="50">
        <v>50</v>
      </c>
      <c r="B26" s="10"/>
      <c r="C26" s="10"/>
      <c r="D26" s="10" t="s">
        <v>79</v>
      </c>
      <c r="E26" s="29"/>
      <c r="F26" s="10"/>
      <c r="G26" s="10"/>
      <c r="H26" s="10"/>
      <c r="I26" s="10" t="s">
        <v>212</v>
      </c>
      <c r="J26" s="10"/>
      <c r="K26" s="10" t="s">
        <v>213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/>
      <c r="AA26" s="10"/>
      <c r="AB26" s="10"/>
      <c r="AC26" s="10"/>
      <c r="AE26" s="10" t="s">
        <v>214</v>
      </c>
      <c r="AF26" s="10"/>
      <c r="AG26" s="10"/>
      <c r="AH26" s="10"/>
      <c r="AI26" s="10"/>
      <c r="AJ26" s="10"/>
      <c r="AK26" s="10"/>
      <c r="AL26" s="10"/>
      <c r="AM26" s="10"/>
      <c r="AN26" s="10"/>
      <c r="AP26" s="14"/>
    </row>
    <row r="27" spans="1:42" s="1" customFormat="1" x14ac:dyDescent="0.2">
      <c r="A27" s="50">
        <v>50</v>
      </c>
      <c r="B27" s="10"/>
      <c r="C27" s="10"/>
      <c r="D27" s="10" t="s">
        <v>80</v>
      </c>
      <c r="E27" s="29"/>
      <c r="F27" s="10"/>
      <c r="G27" s="10"/>
      <c r="H27" s="10"/>
      <c r="I27" s="10" t="s">
        <v>212</v>
      </c>
      <c r="J27" s="10"/>
      <c r="K27" s="10" t="s">
        <v>213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/>
      <c r="AA27" s="10"/>
      <c r="AB27" s="10"/>
      <c r="AC27" s="10"/>
      <c r="AE27" s="10" t="s">
        <v>215</v>
      </c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50">
        <v>50</v>
      </c>
      <c r="B28" s="10"/>
      <c r="C28" s="10"/>
      <c r="D28" s="10" t="s">
        <v>81</v>
      </c>
      <c r="E28" s="29"/>
      <c r="F28" s="10"/>
      <c r="G28" s="10"/>
      <c r="H28" s="10"/>
      <c r="I28" s="10" t="s">
        <v>212</v>
      </c>
      <c r="J28" s="10"/>
      <c r="K28" s="10" t="s">
        <v>213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/>
      <c r="AA28" s="10"/>
      <c r="AB28" s="10"/>
      <c r="AC28" s="10"/>
      <c r="AE28" s="10" t="s">
        <v>216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x14ac:dyDescent="0.2">
      <c r="A29" s="50">
        <v>50</v>
      </c>
      <c r="B29" s="10"/>
      <c r="C29" s="10"/>
      <c r="D29" s="10" t="s">
        <v>82</v>
      </c>
      <c r="E29" s="29"/>
      <c r="F29" s="10"/>
      <c r="G29" s="10"/>
      <c r="H29" s="10"/>
      <c r="I29" s="10" t="s">
        <v>212</v>
      </c>
      <c r="J29" s="10"/>
      <c r="K29" s="10" t="s">
        <v>213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/>
      <c r="AA29" s="10"/>
      <c r="AB29" s="10"/>
      <c r="AC29" s="10"/>
      <c r="AE29" s="10" t="s">
        <v>217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x14ac:dyDescent="0.2">
      <c r="A30" s="10">
        <v>50</v>
      </c>
      <c r="B30" s="10"/>
      <c r="C30" s="10"/>
      <c r="D30" s="10" t="s">
        <v>87</v>
      </c>
      <c r="E30" s="29" t="s">
        <v>348</v>
      </c>
      <c r="F30" s="10" t="s">
        <v>84</v>
      </c>
      <c r="G30" s="10" t="s">
        <v>86</v>
      </c>
      <c r="H30" s="10"/>
      <c r="I30" s="10" t="s">
        <v>218</v>
      </c>
      <c r="J30" s="10"/>
      <c r="K30" s="10" t="s">
        <v>219</v>
      </c>
      <c r="L30" s="10"/>
      <c r="M30" s="10"/>
      <c r="N30" s="10"/>
      <c r="O30" s="10"/>
      <c r="P30" s="10"/>
      <c r="Q30" s="10" t="s">
        <v>220</v>
      </c>
      <c r="R30" s="10"/>
      <c r="S30" s="10" t="s">
        <v>221</v>
      </c>
      <c r="T30" s="10"/>
      <c r="U30" s="10"/>
      <c r="V30" s="10"/>
      <c r="W30" s="10"/>
      <c r="X30" s="10"/>
      <c r="Z30" s="10" t="s">
        <v>222</v>
      </c>
      <c r="AA30" s="10" t="s">
        <v>222</v>
      </c>
      <c r="AB30" s="10" t="s">
        <v>222</v>
      </c>
      <c r="AC30" s="10" t="s">
        <v>222</v>
      </c>
      <c r="AE30" s="10" t="s">
        <v>222</v>
      </c>
      <c r="AF30" s="10"/>
      <c r="AG30" s="10"/>
      <c r="AH30" s="10"/>
      <c r="AI30" s="10"/>
      <c r="AJ30" s="10"/>
      <c r="AK30" s="10"/>
      <c r="AL30" s="10"/>
      <c r="AM30" s="10"/>
      <c r="AN30" s="10"/>
      <c r="AP30" s="14"/>
    </row>
    <row r="31" spans="1:42" s="1" customFormat="1" x14ac:dyDescent="0.2">
      <c r="A31" s="10">
        <v>50</v>
      </c>
      <c r="B31" s="10"/>
      <c r="C31" s="10"/>
      <c r="D31" s="10" t="s">
        <v>88</v>
      </c>
      <c r="E31" s="29" t="s">
        <v>349</v>
      </c>
      <c r="F31" s="10" t="s">
        <v>83</v>
      </c>
      <c r="G31" s="10"/>
      <c r="H31" s="10"/>
      <c r="I31" s="10" t="s">
        <v>223</v>
      </c>
      <c r="J31" s="10"/>
      <c r="K31" s="10" t="s">
        <v>224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 t="s">
        <v>222</v>
      </c>
      <c r="AA31" s="10" t="s">
        <v>222</v>
      </c>
      <c r="AB31" s="10" t="s">
        <v>222</v>
      </c>
      <c r="AC31" s="10" t="s">
        <v>222</v>
      </c>
      <c r="AE31" s="10" t="s">
        <v>222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10">
        <v>50</v>
      </c>
      <c r="B32" s="10"/>
      <c r="C32" s="10"/>
      <c r="D32" s="10" t="s">
        <v>94</v>
      </c>
      <c r="E32" s="29" t="s">
        <v>350</v>
      </c>
      <c r="F32" s="10" t="s">
        <v>20</v>
      </c>
      <c r="G32" s="10" t="s">
        <v>9</v>
      </c>
      <c r="H32" s="10"/>
      <c r="I32" s="10" t="s">
        <v>225</v>
      </c>
      <c r="J32" s="10"/>
      <c r="K32" s="10" t="s">
        <v>224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222</v>
      </c>
      <c r="AA32" s="10" t="s">
        <v>222</v>
      </c>
      <c r="AB32" s="10" t="s">
        <v>222</v>
      </c>
      <c r="AC32" s="10" t="s">
        <v>222</v>
      </c>
      <c r="AE32" s="10" t="s">
        <v>222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x14ac:dyDescent="0.2">
      <c r="A33" s="10">
        <v>50</v>
      </c>
      <c r="B33" s="10"/>
      <c r="C33" s="10"/>
      <c r="D33" s="10" t="s">
        <v>95</v>
      </c>
      <c r="E33" s="29" t="s">
        <v>351</v>
      </c>
      <c r="F33" s="10" t="s">
        <v>23</v>
      </c>
      <c r="G33" s="10" t="s">
        <v>9</v>
      </c>
      <c r="H33" s="10"/>
      <c r="I33" s="10" t="s">
        <v>226</v>
      </c>
      <c r="J33" s="10"/>
      <c r="K33" s="10" t="s">
        <v>224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222</v>
      </c>
      <c r="AA33" s="10" t="s">
        <v>222</v>
      </c>
      <c r="AB33" s="10" t="s">
        <v>222</v>
      </c>
      <c r="AC33" s="10" t="s">
        <v>222</v>
      </c>
      <c r="AE33" s="10" t="s">
        <v>222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x14ac:dyDescent="0.2">
      <c r="A34" s="10">
        <v>50</v>
      </c>
      <c r="B34" s="10"/>
      <c r="C34" s="10"/>
      <c r="D34" s="10" t="s">
        <v>96</v>
      </c>
      <c r="E34" s="29" t="s">
        <v>352</v>
      </c>
      <c r="F34" s="10" t="s">
        <v>24</v>
      </c>
      <c r="G34" s="10" t="s">
        <v>9</v>
      </c>
      <c r="H34" s="10"/>
      <c r="I34" s="10" t="s">
        <v>227</v>
      </c>
      <c r="J34" s="10"/>
      <c r="K34" s="10" t="s">
        <v>224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222</v>
      </c>
      <c r="AA34" s="10" t="s">
        <v>222</v>
      </c>
      <c r="AB34" s="10" t="s">
        <v>222</v>
      </c>
      <c r="AC34" s="10" t="s">
        <v>222</v>
      </c>
      <c r="AE34" s="10" t="s">
        <v>222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x14ac:dyDescent="0.2">
      <c r="A35" s="10">
        <v>50</v>
      </c>
      <c r="B35" s="10"/>
      <c r="C35" s="10"/>
      <c r="D35" s="10" t="s">
        <v>106</v>
      </c>
      <c r="E35" s="29" t="s">
        <v>353</v>
      </c>
      <c r="F35" s="10" t="s">
        <v>107</v>
      </c>
      <c r="G35" s="10" t="s">
        <v>1</v>
      </c>
      <c r="H35" s="10"/>
      <c r="I35" s="10"/>
      <c r="J35" s="10"/>
      <c r="K35" s="10" t="s">
        <v>228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50</v>
      </c>
      <c r="B36" s="10"/>
      <c r="C36" s="10"/>
      <c r="D36" s="10" t="s">
        <v>64</v>
      </c>
      <c r="E36" s="29" t="s">
        <v>354</v>
      </c>
      <c r="F36" s="10" t="s">
        <v>108</v>
      </c>
      <c r="G36" s="10" t="s">
        <v>109</v>
      </c>
      <c r="H36" s="10"/>
      <c r="I36" s="10" t="s">
        <v>229</v>
      </c>
      <c r="J36" s="10"/>
      <c r="K36" s="10" t="s">
        <v>230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Z36" s="10" t="s">
        <v>222</v>
      </c>
      <c r="AA36" s="10" t="s">
        <v>222</v>
      </c>
      <c r="AB36" s="10" t="s">
        <v>222</v>
      </c>
      <c r="AC36" s="10" t="s">
        <v>222</v>
      </c>
      <c r="AE36" s="10" t="s">
        <v>222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x14ac:dyDescent="0.2">
      <c r="A37" s="10">
        <v>50</v>
      </c>
      <c r="B37" s="10"/>
      <c r="C37" s="10"/>
      <c r="D37" s="10" t="s">
        <v>65</v>
      </c>
      <c r="E37" s="29" t="s">
        <v>355</v>
      </c>
      <c r="F37" s="10" t="s">
        <v>110</v>
      </c>
      <c r="G37" s="10" t="s">
        <v>111</v>
      </c>
      <c r="H37" s="10"/>
      <c r="I37" s="10" t="s">
        <v>229</v>
      </c>
      <c r="J37" s="10"/>
      <c r="K37" s="10" t="s">
        <v>230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222</v>
      </c>
      <c r="AA37" s="10" t="s">
        <v>222</v>
      </c>
      <c r="AB37" s="10" t="s">
        <v>222</v>
      </c>
      <c r="AC37" s="10" t="s">
        <v>222</v>
      </c>
      <c r="AE37" s="10" t="s">
        <v>222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ht="52" x14ac:dyDescent="0.2">
      <c r="A38" s="40"/>
      <c r="AE38" s="34" t="s">
        <v>396</v>
      </c>
      <c r="AF38" s="34" t="s">
        <v>397</v>
      </c>
      <c r="AG38" s="34" t="s">
        <v>396</v>
      </c>
      <c r="AH38" s="34" t="s">
        <v>397</v>
      </c>
      <c r="AI38" s="34" t="s">
        <v>396</v>
      </c>
      <c r="AJ38" s="34" t="s">
        <v>397</v>
      </c>
      <c r="AK38" s="34" t="s">
        <v>396</v>
      </c>
      <c r="AL38" s="34" t="s">
        <v>397</v>
      </c>
      <c r="AM38" s="34" t="s">
        <v>396</v>
      </c>
      <c r="AN38" s="34" t="s">
        <v>397</v>
      </c>
      <c r="AP38" s="15"/>
    </row>
    <row r="39" spans="1:42" s="1" customFormat="1" ht="26" x14ac:dyDescent="0.2">
      <c r="A39" s="10">
        <v>60</v>
      </c>
      <c r="B39" s="11" t="s">
        <v>0</v>
      </c>
      <c r="C39" s="11"/>
      <c r="D39" s="11" t="s">
        <v>151</v>
      </c>
      <c r="E39" s="12"/>
      <c r="F39" s="11"/>
      <c r="G39" s="11"/>
      <c r="H39" s="11"/>
      <c r="I39" s="11" t="s">
        <v>194</v>
      </c>
      <c r="J39" s="11"/>
      <c r="K39" s="10" t="s">
        <v>195</v>
      </c>
      <c r="L39" s="10" t="s">
        <v>231</v>
      </c>
      <c r="M39" s="10" t="s">
        <v>232</v>
      </c>
      <c r="N39" s="10" t="s">
        <v>198</v>
      </c>
      <c r="O39" s="10"/>
      <c r="P39" s="11"/>
      <c r="Q39" s="18"/>
      <c r="R39" s="18"/>
      <c r="S39" s="18"/>
      <c r="T39" s="18"/>
      <c r="U39" s="18"/>
      <c r="V39" s="18"/>
      <c r="W39" s="18"/>
      <c r="X39" s="18"/>
      <c r="Y39" s="16"/>
      <c r="Z39" s="18"/>
      <c r="AA39" s="18"/>
      <c r="AB39" s="18"/>
      <c r="AC39" s="18"/>
      <c r="AD39" s="16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6"/>
      <c r="AP39" s="14"/>
    </row>
    <row r="40" spans="1:42" s="1" customFormat="1" x14ac:dyDescent="0.2">
      <c r="A40" s="10">
        <v>60</v>
      </c>
      <c r="B40" s="10"/>
      <c r="C40" s="10"/>
      <c r="D40" s="10" t="s">
        <v>150</v>
      </c>
      <c r="E40" s="29"/>
      <c r="F40" s="10"/>
      <c r="G40" s="10"/>
      <c r="H40" s="10"/>
      <c r="I40" s="10"/>
      <c r="J40" s="10"/>
      <c r="K40" s="10" t="s">
        <v>209</v>
      </c>
      <c r="L40" s="10" t="s">
        <v>233</v>
      </c>
      <c r="M40" s="10" t="s">
        <v>198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ht="52" x14ac:dyDescent="0.2">
      <c r="A41" s="40"/>
      <c r="AE41" s="34" t="s">
        <v>396</v>
      </c>
      <c r="AF41" s="34" t="s">
        <v>397</v>
      </c>
      <c r="AG41" s="34" t="s">
        <v>396</v>
      </c>
      <c r="AH41" s="34" t="s">
        <v>397</v>
      </c>
      <c r="AI41" s="34" t="s">
        <v>396</v>
      </c>
      <c r="AJ41" s="34" t="s">
        <v>397</v>
      </c>
      <c r="AK41" s="34" t="s">
        <v>396</v>
      </c>
      <c r="AL41" s="34" t="s">
        <v>397</v>
      </c>
      <c r="AM41" s="34" t="s">
        <v>396</v>
      </c>
      <c r="AN41" s="34" t="s">
        <v>397</v>
      </c>
      <c r="AP41" s="15"/>
    </row>
    <row r="42" spans="1:42" s="1" customFormat="1" x14ac:dyDescent="0.2">
      <c r="A42" s="10">
        <v>70</v>
      </c>
      <c r="B42" s="11" t="s">
        <v>11</v>
      </c>
      <c r="C42" s="11"/>
      <c r="D42" s="11" t="s">
        <v>153</v>
      </c>
      <c r="E42" s="12"/>
      <c r="F42" s="11"/>
      <c r="G42" s="11"/>
      <c r="H42" s="11"/>
      <c r="I42" s="11" t="s">
        <v>194</v>
      </c>
      <c r="J42" s="11"/>
      <c r="K42" s="11" t="s">
        <v>195</v>
      </c>
      <c r="L42" s="11"/>
      <c r="M42" s="11" t="s">
        <v>234</v>
      </c>
      <c r="N42" s="11">
        <v>700</v>
      </c>
      <c r="O42" s="11"/>
      <c r="P42" s="11"/>
      <c r="Q42" s="18"/>
      <c r="R42" s="18"/>
      <c r="S42" s="18"/>
      <c r="T42" s="18"/>
      <c r="U42" s="18"/>
      <c r="V42" s="18"/>
      <c r="W42" s="18"/>
      <c r="X42" s="18"/>
      <c r="Y42" s="16"/>
      <c r="Z42" s="18"/>
      <c r="AA42" s="18"/>
      <c r="AB42" s="18"/>
      <c r="AC42" s="18"/>
      <c r="AD42" s="16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6"/>
      <c r="AP42" s="14"/>
    </row>
    <row r="43" spans="1:42" s="1" customFormat="1" x14ac:dyDescent="0.2">
      <c r="A43" s="10">
        <v>70</v>
      </c>
      <c r="B43" s="10"/>
      <c r="C43" s="10"/>
      <c r="D43" s="10" t="s">
        <v>98</v>
      </c>
      <c r="E43" s="29" t="s">
        <v>356</v>
      </c>
      <c r="F43" s="10" t="s">
        <v>92</v>
      </c>
      <c r="G43" s="10" t="s">
        <v>85</v>
      </c>
      <c r="H43" s="10"/>
      <c r="I43" s="10" t="s">
        <v>235</v>
      </c>
      <c r="J43" s="10"/>
      <c r="K43" s="10" t="s">
        <v>201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222</v>
      </c>
      <c r="AA43" s="10" t="s">
        <v>202</v>
      </c>
      <c r="AB43" s="10" t="s">
        <v>202</v>
      </c>
      <c r="AC43" s="10" t="s">
        <v>202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x14ac:dyDescent="0.2">
      <c r="A44" s="10">
        <v>70</v>
      </c>
      <c r="B44" s="10"/>
      <c r="C44" s="10"/>
      <c r="D44" s="10" t="s">
        <v>99</v>
      </c>
      <c r="E44" s="29" t="s">
        <v>357</v>
      </c>
      <c r="F44" s="10" t="s">
        <v>97</v>
      </c>
      <c r="G44" s="10" t="s">
        <v>85</v>
      </c>
      <c r="H44" s="10"/>
      <c r="I44" s="10" t="s">
        <v>235</v>
      </c>
      <c r="J44" s="10"/>
      <c r="K44" s="10" t="s">
        <v>201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222</v>
      </c>
      <c r="AA44" s="10" t="s">
        <v>202</v>
      </c>
      <c r="AB44" s="10" t="s">
        <v>202</v>
      </c>
      <c r="AC44" s="10" t="s">
        <v>202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P44" s="14"/>
    </row>
    <row r="45" spans="1:42" s="1" customFormat="1" x14ac:dyDescent="0.2">
      <c r="A45" s="10">
        <v>70</v>
      </c>
      <c r="B45" s="10"/>
      <c r="C45" s="10"/>
      <c r="D45" s="10" t="s">
        <v>133</v>
      </c>
      <c r="E45" s="29" t="s">
        <v>358</v>
      </c>
      <c r="F45" s="10" t="s">
        <v>91</v>
      </c>
      <c r="G45" s="10" t="s">
        <v>85</v>
      </c>
      <c r="H45" s="10"/>
      <c r="I45" s="10"/>
      <c r="J45" s="10"/>
      <c r="K45" s="10" t="s">
        <v>236</v>
      </c>
      <c r="L45" s="10"/>
      <c r="M45" s="10"/>
      <c r="N45" s="10"/>
      <c r="O45" s="10"/>
      <c r="P45" s="10"/>
      <c r="Q45" s="10"/>
      <c r="R45" s="10"/>
      <c r="S45" s="10"/>
      <c r="T45" s="10" t="s">
        <v>237</v>
      </c>
      <c r="U45" s="10"/>
      <c r="V45" s="10"/>
      <c r="W45" s="10"/>
      <c r="X45" s="10"/>
      <c r="Z45" s="10" t="s">
        <v>238</v>
      </c>
      <c r="AA45" s="10" t="s">
        <v>238</v>
      </c>
      <c r="AB45" s="10" t="s">
        <v>238</v>
      </c>
      <c r="AC45" s="10" t="s">
        <v>238</v>
      </c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ht="52" x14ac:dyDescent="0.2">
      <c r="A46" s="40"/>
      <c r="AE46" s="34" t="s">
        <v>396</v>
      </c>
      <c r="AF46" s="34" t="s">
        <v>397</v>
      </c>
      <c r="AG46" s="34" t="s">
        <v>396</v>
      </c>
      <c r="AH46" s="34" t="s">
        <v>397</v>
      </c>
      <c r="AI46" s="34" t="s">
        <v>396</v>
      </c>
      <c r="AJ46" s="34" t="s">
        <v>397</v>
      </c>
      <c r="AK46" s="34" t="s">
        <v>396</v>
      </c>
      <c r="AL46" s="34" t="s">
        <v>397</v>
      </c>
      <c r="AM46" s="34" t="s">
        <v>396</v>
      </c>
      <c r="AN46" s="34" t="s">
        <v>397</v>
      </c>
      <c r="AP46" s="15"/>
    </row>
    <row r="47" spans="1:42" s="1" customFormat="1" x14ac:dyDescent="0.2">
      <c r="A47" s="10">
        <v>80</v>
      </c>
      <c r="B47" s="11" t="s">
        <v>0</v>
      </c>
      <c r="C47" s="11"/>
      <c r="D47" s="11" t="s">
        <v>310</v>
      </c>
      <c r="E47" s="12"/>
      <c r="F47" s="11"/>
      <c r="G47" s="11"/>
      <c r="H47" s="11"/>
      <c r="I47" s="11" t="s">
        <v>239</v>
      </c>
      <c r="J47" s="11"/>
      <c r="K47" s="11" t="s">
        <v>240</v>
      </c>
      <c r="L47" s="11"/>
      <c r="M47" s="11" t="s">
        <v>241</v>
      </c>
      <c r="N47" s="11" t="s">
        <v>242</v>
      </c>
      <c r="O47" s="11"/>
      <c r="P47" s="11"/>
      <c r="Q47" s="18"/>
      <c r="R47" s="18"/>
      <c r="S47" s="18"/>
      <c r="T47" s="18"/>
      <c r="U47" s="18"/>
      <c r="V47" s="18"/>
      <c r="W47" s="18"/>
      <c r="X47" s="18"/>
      <c r="Y47" s="16"/>
      <c r="Z47" s="18"/>
      <c r="AA47" s="18"/>
      <c r="AB47" s="18"/>
      <c r="AC47" s="18"/>
      <c r="AD47" s="16"/>
      <c r="AE47" s="10"/>
      <c r="AF47" s="10" t="s">
        <v>243</v>
      </c>
      <c r="AG47" s="10" t="s">
        <v>244</v>
      </c>
      <c r="AH47" s="10" t="s">
        <v>244</v>
      </c>
      <c r="AI47" s="10" t="s">
        <v>245</v>
      </c>
      <c r="AJ47" s="10"/>
      <c r="AK47" s="10" t="s">
        <v>246</v>
      </c>
      <c r="AL47" s="10"/>
      <c r="AM47" s="10"/>
      <c r="AN47" s="10"/>
      <c r="AO47" s="16"/>
      <c r="AP47" s="14"/>
    </row>
    <row r="48" spans="1:42" s="1" customFormat="1" x14ac:dyDescent="0.2">
      <c r="A48" s="10">
        <v>80</v>
      </c>
      <c r="B48" s="10"/>
      <c r="C48" s="10"/>
      <c r="D48" s="10" t="s">
        <v>25</v>
      </c>
      <c r="E48" s="29" t="s">
        <v>359</v>
      </c>
      <c r="F48" s="10" t="s">
        <v>26</v>
      </c>
      <c r="G48" s="10" t="s">
        <v>9</v>
      </c>
      <c r="H48" s="10"/>
      <c r="I48" s="10" t="s">
        <v>229</v>
      </c>
      <c r="J48" s="10"/>
      <c r="K48" s="10" t="s">
        <v>230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Z48" s="10" t="s">
        <v>194</v>
      </c>
      <c r="AA48" s="10" t="s">
        <v>202</v>
      </c>
      <c r="AB48" s="10" t="s">
        <v>194</v>
      </c>
      <c r="AC48" s="10" t="s">
        <v>247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10">
        <v>80</v>
      </c>
      <c r="B49" s="10"/>
      <c r="C49" s="10"/>
      <c r="D49" s="10" t="s">
        <v>66</v>
      </c>
      <c r="E49" s="29" t="s">
        <v>353</v>
      </c>
      <c r="F49" s="10" t="s">
        <v>44</v>
      </c>
      <c r="G49" s="10" t="s">
        <v>9</v>
      </c>
      <c r="H49" s="10"/>
      <c r="I49" s="10" t="s">
        <v>229</v>
      </c>
      <c r="J49" s="10"/>
      <c r="K49" s="10" t="s">
        <v>230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194</v>
      </c>
      <c r="AA49" s="10" t="s">
        <v>202</v>
      </c>
      <c r="AB49" s="10" t="s">
        <v>202</v>
      </c>
      <c r="AC49" s="10" t="s">
        <v>202</v>
      </c>
      <c r="AE49" s="10"/>
      <c r="AF49" s="10" t="s">
        <v>222</v>
      </c>
      <c r="AG49" s="10" t="s">
        <v>222</v>
      </c>
      <c r="AH49" s="10" t="s">
        <v>222</v>
      </c>
      <c r="AI49" s="10" t="s">
        <v>222</v>
      </c>
      <c r="AJ49" s="10"/>
      <c r="AK49" s="10"/>
      <c r="AL49" s="10"/>
      <c r="AM49" s="10"/>
      <c r="AN49" s="10"/>
      <c r="AP49" s="14"/>
    </row>
    <row r="50" spans="1:42" s="1" customFormat="1" x14ac:dyDescent="0.2">
      <c r="A50" s="10">
        <v>80</v>
      </c>
      <c r="B50" s="10"/>
      <c r="C50" s="10"/>
      <c r="D50" s="10" t="s">
        <v>63</v>
      </c>
      <c r="E50" s="2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Z50" s="10"/>
      <c r="AA50" s="10"/>
      <c r="AB50" s="10"/>
      <c r="AC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P50" s="14"/>
    </row>
    <row r="51" spans="1:42" s="1" customFormat="1" x14ac:dyDescent="0.2">
      <c r="A51" s="10">
        <v>80</v>
      </c>
      <c r="B51" s="10"/>
      <c r="C51" s="10"/>
      <c r="D51" s="10" t="s">
        <v>128</v>
      </c>
      <c r="E51" s="29" t="s">
        <v>348</v>
      </c>
      <c r="F51" s="10" t="s">
        <v>84</v>
      </c>
      <c r="G51" s="10" t="s">
        <v>86</v>
      </c>
      <c r="H51" s="10"/>
      <c r="I51" s="10" t="s">
        <v>218</v>
      </c>
      <c r="J51" s="10"/>
      <c r="K51" s="10" t="s">
        <v>206</v>
      </c>
      <c r="L51" s="10"/>
      <c r="M51" s="10"/>
      <c r="N51" s="10"/>
      <c r="O51" s="10" t="s">
        <v>169</v>
      </c>
      <c r="P51" s="10"/>
      <c r="Q51" s="10" t="s">
        <v>220</v>
      </c>
      <c r="R51" s="10"/>
      <c r="S51" s="10" t="s">
        <v>221</v>
      </c>
      <c r="T51" s="10"/>
      <c r="U51" s="10"/>
      <c r="V51" s="10"/>
      <c r="W51" s="10"/>
      <c r="X51" s="10"/>
      <c r="Z51" s="10" t="s">
        <v>194</v>
      </c>
      <c r="AA51" s="10" t="s">
        <v>202</v>
      </c>
      <c r="AB51" s="10" t="s">
        <v>202</v>
      </c>
      <c r="AC51" s="10" t="s">
        <v>202</v>
      </c>
      <c r="AE51" s="10"/>
      <c r="AF51" s="10" t="s">
        <v>222</v>
      </c>
      <c r="AG51" s="10" t="s">
        <v>222</v>
      </c>
      <c r="AH51" s="10" t="s">
        <v>222</v>
      </c>
      <c r="AI51" s="10" t="s">
        <v>222</v>
      </c>
      <c r="AJ51" s="10"/>
      <c r="AK51" s="10" t="s">
        <v>222</v>
      </c>
      <c r="AL51" s="10"/>
      <c r="AM51" s="10"/>
      <c r="AN51" s="10"/>
      <c r="AP51" s="14"/>
    </row>
    <row r="52" spans="1:42" s="1" customFormat="1" x14ac:dyDescent="0.2">
      <c r="A52" s="10">
        <v>80</v>
      </c>
      <c r="B52" s="10"/>
      <c r="C52" s="10"/>
      <c r="D52" s="10" t="s">
        <v>88</v>
      </c>
      <c r="E52" s="29" t="s">
        <v>349</v>
      </c>
      <c r="F52" s="10" t="s">
        <v>83</v>
      </c>
      <c r="G52" s="10" t="s">
        <v>9</v>
      </c>
      <c r="H52" s="10"/>
      <c r="I52" s="10" t="s">
        <v>223</v>
      </c>
      <c r="J52" s="10"/>
      <c r="K52" s="10" t="s">
        <v>201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202</v>
      </c>
      <c r="AA52" s="10" t="s">
        <v>202</v>
      </c>
      <c r="AB52" s="10" t="s">
        <v>202</v>
      </c>
      <c r="AC52" s="10" t="s">
        <v>202</v>
      </c>
      <c r="AE52" s="10"/>
      <c r="AF52" s="10" t="s">
        <v>222</v>
      </c>
      <c r="AG52" s="10" t="s">
        <v>222</v>
      </c>
      <c r="AH52" s="10" t="s">
        <v>222</v>
      </c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80</v>
      </c>
      <c r="B53" s="10"/>
      <c r="C53" s="10"/>
      <c r="D53" s="10" t="s">
        <v>136</v>
      </c>
      <c r="E53" s="29" t="s">
        <v>360</v>
      </c>
      <c r="F53" s="10" t="s">
        <v>144</v>
      </c>
      <c r="G53" s="10" t="s">
        <v>114</v>
      </c>
      <c r="H53" s="10"/>
      <c r="I53" s="10" t="s">
        <v>248</v>
      </c>
      <c r="J53" s="10"/>
      <c r="K53" s="10" t="s">
        <v>206</v>
      </c>
      <c r="L53" s="10"/>
      <c r="M53" s="10"/>
      <c r="N53" s="10"/>
      <c r="O53" s="10" t="s">
        <v>169</v>
      </c>
      <c r="P53" s="10"/>
      <c r="Q53" s="10" t="s">
        <v>249</v>
      </c>
      <c r="R53" s="10"/>
      <c r="S53" s="10" t="s">
        <v>127</v>
      </c>
      <c r="T53" s="10"/>
      <c r="U53" s="10"/>
      <c r="V53" s="10"/>
      <c r="W53" s="10"/>
      <c r="X53" s="10"/>
      <c r="Z53" s="10" t="s">
        <v>222</v>
      </c>
      <c r="AA53" s="10" t="s">
        <v>202</v>
      </c>
      <c r="AB53" s="10" t="s">
        <v>202</v>
      </c>
      <c r="AC53" s="10" t="s">
        <v>202</v>
      </c>
      <c r="AE53" s="10"/>
      <c r="AF53" s="10" t="s">
        <v>222</v>
      </c>
      <c r="AG53" s="10" t="s">
        <v>222</v>
      </c>
      <c r="AH53" s="10" t="s">
        <v>222</v>
      </c>
      <c r="AI53" s="10" t="s">
        <v>222</v>
      </c>
      <c r="AJ53" s="10"/>
      <c r="AK53" s="10" t="s">
        <v>222</v>
      </c>
      <c r="AL53" s="10"/>
      <c r="AM53" s="10"/>
      <c r="AN53" s="10"/>
      <c r="AP53" s="14"/>
    </row>
    <row r="54" spans="1:42" s="1" customFormat="1" x14ac:dyDescent="0.2">
      <c r="A54" s="10">
        <v>80</v>
      </c>
      <c r="B54" s="10"/>
      <c r="C54" s="10"/>
      <c r="D54" s="10" t="s">
        <v>127</v>
      </c>
      <c r="E54" s="29" t="s">
        <v>361</v>
      </c>
      <c r="F54" s="10" t="s">
        <v>145</v>
      </c>
      <c r="G54" s="10" t="s">
        <v>146</v>
      </c>
      <c r="H54" s="10"/>
      <c r="I54" s="10" t="s">
        <v>250</v>
      </c>
      <c r="J54" s="10"/>
      <c r="K54" s="10" t="s">
        <v>201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202</v>
      </c>
      <c r="AA54" s="10" t="s">
        <v>202</v>
      </c>
      <c r="AB54" s="10" t="s">
        <v>202</v>
      </c>
      <c r="AC54" s="10" t="s">
        <v>202</v>
      </c>
      <c r="AE54" s="10"/>
      <c r="AF54" s="10" t="s">
        <v>222</v>
      </c>
      <c r="AG54" s="10" t="s">
        <v>222</v>
      </c>
      <c r="AH54" s="10" t="s">
        <v>222</v>
      </c>
      <c r="AI54" s="10"/>
      <c r="AJ54" s="10"/>
      <c r="AK54" s="10"/>
      <c r="AL54" s="10"/>
      <c r="AM54" s="10"/>
      <c r="AN54" s="10"/>
      <c r="AP54" s="14"/>
    </row>
    <row r="55" spans="1:42" s="1" customFormat="1" ht="26" x14ac:dyDescent="0.2">
      <c r="A55" s="10">
        <v>80</v>
      </c>
      <c r="B55" s="10"/>
      <c r="C55" s="10"/>
      <c r="D55" s="10" t="s">
        <v>137</v>
      </c>
      <c r="E55" s="29" t="s">
        <v>362</v>
      </c>
      <c r="F55" s="10" t="s">
        <v>138</v>
      </c>
      <c r="G55" s="10" t="s">
        <v>115</v>
      </c>
      <c r="H55" s="10"/>
      <c r="I55" s="10" t="s">
        <v>251</v>
      </c>
      <c r="J55" s="10"/>
      <c r="K55" s="10" t="s">
        <v>206</v>
      </c>
      <c r="L55" s="10"/>
      <c r="M55" s="10"/>
      <c r="N55" s="10"/>
      <c r="O55" s="10" t="s">
        <v>169</v>
      </c>
      <c r="P55" s="10"/>
      <c r="Q55" s="10" t="s">
        <v>252</v>
      </c>
      <c r="R55" s="10"/>
      <c r="S55" s="10" t="s">
        <v>129</v>
      </c>
      <c r="T55" s="10"/>
      <c r="U55" s="10" t="s">
        <v>253</v>
      </c>
      <c r="V55" s="10"/>
      <c r="W55" s="10"/>
      <c r="X55" s="10"/>
      <c r="Z55" s="10" t="s">
        <v>222</v>
      </c>
      <c r="AA55" s="10" t="s">
        <v>202</v>
      </c>
      <c r="AB55" s="10" t="s">
        <v>202</v>
      </c>
      <c r="AC55" s="10" t="s">
        <v>202</v>
      </c>
      <c r="AE55" s="10"/>
      <c r="AF55" s="10" t="s">
        <v>222</v>
      </c>
      <c r="AG55" s="10" t="s">
        <v>222</v>
      </c>
      <c r="AH55" s="10" t="s">
        <v>222</v>
      </c>
      <c r="AI55" s="10" t="s">
        <v>222</v>
      </c>
      <c r="AJ55" s="10"/>
      <c r="AK55" s="10" t="s">
        <v>222</v>
      </c>
      <c r="AL55" s="10"/>
      <c r="AM55" s="10"/>
      <c r="AN55" s="10"/>
      <c r="AP55" s="14"/>
    </row>
    <row r="56" spans="1:42" s="1" customFormat="1" x14ac:dyDescent="0.2">
      <c r="A56" s="10">
        <v>80</v>
      </c>
      <c r="B56" s="10"/>
      <c r="C56" s="10"/>
      <c r="D56" s="10" t="s">
        <v>129</v>
      </c>
      <c r="E56" s="29" t="s">
        <v>363</v>
      </c>
      <c r="F56" s="10" t="s">
        <v>112</v>
      </c>
      <c r="G56" s="10" t="s">
        <v>9</v>
      </c>
      <c r="H56" s="10"/>
      <c r="I56" s="10" t="s">
        <v>254</v>
      </c>
      <c r="J56" s="10"/>
      <c r="K56" s="10" t="s">
        <v>201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202</v>
      </c>
      <c r="AA56" s="10" t="s">
        <v>202</v>
      </c>
      <c r="AB56" s="10" t="s">
        <v>202</v>
      </c>
      <c r="AC56" s="10" t="s">
        <v>202</v>
      </c>
      <c r="AE56" s="10"/>
      <c r="AF56" s="10" t="s">
        <v>222</v>
      </c>
      <c r="AG56" s="10" t="s">
        <v>222</v>
      </c>
      <c r="AH56" s="10" t="s">
        <v>222</v>
      </c>
      <c r="AI56" s="10"/>
      <c r="AJ56" s="10"/>
      <c r="AK56" s="10"/>
      <c r="AL56" s="10"/>
      <c r="AM56" s="10"/>
      <c r="AN56" s="10"/>
      <c r="AP56" s="14"/>
    </row>
    <row r="57" spans="1:42" s="1" customFormat="1" x14ac:dyDescent="0.2">
      <c r="A57" s="10">
        <v>80</v>
      </c>
      <c r="B57" s="10"/>
      <c r="C57" s="10"/>
      <c r="D57" s="10" t="s">
        <v>139</v>
      </c>
      <c r="E57" s="29" t="s">
        <v>364</v>
      </c>
      <c r="F57" s="10" t="s">
        <v>116</v>
      </c>
      <c r="G57" s="10" t="s">
        <v>117</v>
      </c>
      <c r="H57" s="10"/>
      <c r="I57" s="10" t="s">
        <v>255</v>
      </c>
      <c r="J57" s="10"/>
      <c r="K57" s="10" t="s">
        <v>256</v>
      </c>
      <c r="L57" s="10"/>
      <c r="M57" s="10"/>
      <c r="N57" s="10"/>
      <c r="O57" s="10" t="s">
        <v>169</v>
      </c>
      <c r="P57" s="10"/>
      <c r="Q57" s="10" t="s">
        <v>257</v>
      </c>
      <c r="R57" s="10"/>
      <c r="S57" s="10" t="s">
        <v>131</v>
      </c>
      <c r="T57" s="10"/>
      <c r="U57" s="10"/>
      <c r="V57" s="10"/>
      <c r="W57" s="10"/>
      <c r="X57" s="10"/>
      <c r="Z57" s="10" t="s">
        <v>222</v>
      </c>
      <c r="AA57" s="10" t="s">
        <v>202</v>
      </c>
      <c r="AB57" s="10" t="s">
        <v>202</v>
      </c>
      <c r="AC57" s="10" t="s">
        <v>202</v>
      </c>
      <c r="AE57" s="10"/>
      <c r="AF57" s="10" t="s">
        <v>222</v>
      </c>
      <c r="AG57" s="10" t="s">
        <v>222</v>
      </c>
      <c r="AH57" s="10" t="s">
        <v>222</v>
      </c>
      <c r="AI57" s="10" t="s">
        <v>222</v>
      </c>
      <c r="AJ57" s="10"/>
      <c r="AK57" s="10" t="s">
        <v>222</v>
      </c>
      <c r="AL57" s="10"/>
      <c r="AM57" s="10"/>
      <c r="AN57" s="10"/>
      <c r="AP57" s="14"/>
    </row>
    <row r="58" spans="1:42" s="1" customFormat="1" x14ac:dyDescent="0.2">
      <c r="A58" s="10">
        <v>80</v>
      </c>
      <c r="B58" s="10"/>
      <c r="C58" s="10"/>
      <c r="D58" s="10" t="s">
        <v>131</v>
      </c>
      <c r="E58" s="29" t="s">
        <v>365</v>
      </c>
      <c r="F58" s="10" t="s">
        <v>113</v>
      </c>
      <c r="G58" s="10" t="s">
        <v>9</v>
      </c>
      <c r="H58" s="10"/>
      <c r="I58" s="10" t="s">
        <v>258</v>
      </c>
      <c r="J58" s="10"/>
      <c r="K58" s="10" t="s">
        <v>201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Z58" s="10" t="s">
        <v>202</v>
      </c>
      <c r="AA58" s="10" t="s">
        <v>202</v>
      </c>
      <c r="AB58" s="10" t="s">
        <v>202</v>
      </c>
      <c r="AC58" s="10" t="s">
        <v>202</v>
      </c>
      <c r="AE58" s="10"/>
      <c r="AF58" s="10" t="s">
        <v>222</v>
      </c>
      <c r="AG58" s="10" t="s">
        <v>222</v>
      </c>
      <c r="AH58" s="10" t="s">
        <v>222</v>
      </c>
      <c r="AI58" s="10"/>
      <c r="AJ58" s="10"/>
      <c r="AK58" s="10"/>
      <c r="AL58" s="10"/>
      <c r="AM58" s="10"/>
      <c r="AN58" s="10"/>
      <c r="AP58" s="14"/>
    </row>
    <row r="59" spans="1:42" s="1" customFormat="1" ht="26" x14ac:dyDescent="0.2">
      <c r="A59" s="10">
        <v>80</v>
      </c>
      <c r="B59" s="10"/>
      <c r="C59" s="10"/>
      <c r="D59" s="10" t="s">
        <v>132</v>
      </c>
      <c r="E59" s="29" t="s">
        <v>366</v>
      </c>
      <c r="F59" s="10" t="s">
        <v>140</v>
      </c>
      <c r="G59" s="10" t="s">
        <v>118</v>
      </c>
      <c r="H59" s="10"/>
      <c r="I59" s="10" t="s">
        <v>259</v>
      </c>
      <c r="J59" s="10"/>
      <c r="K59" s="10" t="s">
        <v>206</v>
      </c>
      <c r="L59" s="10"/>
      <c r="M59" s="10"/>
      <c r="N59" s="10"/>
      <c r="O59" s="10" t="s">
        <v>169</v>
      </c>
      <c r="P59" s="10"/>
      <c r="Q59" s="10" t="s">
        <v>260</v>
      </c>
      <c r="R59" s="10"/>
      <c r="S59" s="10" t="s">
        <v>130</v>
      </c>
      <c r="T59" s="10"/>
      <c r="U59" s="10"/>
      <c r="V59" s="10"/>
      <c r="W59" s="10"/>
      <c r="X59" s="10"/>
      <c r="Z59" s="10" t="s">
        <v>222</v>
      </c>
      <c r="AA59" s="10" t="s">
        <v>202</v>
      </c>
      <c r="AB59" s="10" t="s">
        <v>202</v>
      </c>
      <c r="AC59" s="10" t="s">
        <v>202</v>
      </c>
      <c r="AE59" s="10"/>
      <c r="AF59" s="10" t="s">
        <v>222</v>
      </c>
      <c r="AG59" s="10" t="s">
        <v>222</v>
      </c>
      <c r="AH59" s="10" t="s">
        <v>222</v>
      </c>
      <c r="AI59" s="10" t="s">
        <v>222</v>
      </c>
      <c r="AJ59" s="10"/>
      <c r="AK59" s="10" t="s">
        <v>222</v>
      </c>
      <c r="AL59" s="10"/>
      <c r="AM59" s="10"/>
      <c r="AN59" s="10"/>
      <c r="AP59" s="14"/>
    </row>
    <row r="60" spans="1:42" s="1" customFormat="1" x14ac:dyDescent="0.2">
      <c r="A60" s="10">
        <v>80</v>
      </c>
      <c r="B60" s="10"/>
      <c r="C60" s="10"/>
      <c r="D60" s="10" t="s">
        <v>130</v>
      </c>
      <c r="E60" s="29" t="s">
        <v>367</v>
      </c>
      <c r="F60" s="10" t="s">
        <v>119</v>
      </c>
      <c r="G60" s="10" t="s">
        <v>120</v>
      </c>
      <c r="H60" s="10"/>
      <c r="I60" s="10" t="s">
        <v>261</v>
      </c>
      <c r="J60" s="10"/>
      <c r="K60" s="10" t="s">
        <v>201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Z60" s="10" t="s">
        <v>202</v>
      </c>
      <c r="AA60" s="10" t="s">
        <v>202</v>
      </c>
      <c r="AB60" s="10" t="s">
        <v>202</v>
      </c>
      <c r="AC60" s="10" t="s">
        <v>202</v>
      </c>
      <c r="AE60" s="10"/>
      <c r="AF60" s="10" t="s">
        <v>222</v>
      </c>
      <c r="AG60" s="10" t="s">
        <v>222</v>
      </c>
      <c r="AH60" s="10" t="s">
        <v>222</v>
      </c>
      <c r="AI60" s="10"/>
      <c r="AJ60" s="10"/>
      <c r="AK60" s="10"/>
      <c r="AL60" s="10"/>
      <c r="AM60" s="10"/>
      <c r="AN60" s="10"/>
      <c r="AP60" s="14"/>
    </row>
    <row r="61" spans="1:42" s="1" customFormat="1" ht="26" x14ac:dyDescent="0.2">
      <c r="A61" s="10">
        <v>80</v>
      </c>
      <c r="B61" s="10"/>
      <c r="C61" s="10"/>
      <c r="D61" s="10" t="s">
        <v>156</v>
      </c>
      <c r="E61" s="29" t="s">
        <v>368</v>
      </c>
      <c r="F61" s="10" t="s">
        <v>158</v>
      </c>
      <c r="G61" s="10" t="s">
        <v>160</v>
      </c>
      <c r="H61" s="10"/>
      <c r="I61" s="10" t="s">
        <v>262</v>
      </c>
      <c r="J61" s="10"/>
      <c r="K61" s="10" t="s">
        <v>206</v>
      </c>
      <c r="L61" s="10"/>
      <c r="M61" s="10"/>
      <c r="N61" s="10"/>
      <c r="O61" s="10" t="s">
        <v>169</v>
      </c>
      <c r="P61" s="10"/>
      <c r="Q61" s="10" t="s">
        <v>263</v>
      </c>
      <c r="R61" s="10"/>
      <c r="S61" s="10" t="s">
        <v>157</v>
      </c>
      <c r="T61" s="10"/>
      <c r="U61" s="10"/>
      <c r="V61" s="10"/>
      <c r="W61" s="10"/>
      <c r="X61" s="10"/>
      <c r="Z61" s="10" t="s">
        <v>222</v>
      </c>
      <c r="AA61" s="10" t="s">
        <v>202</v>
      </c>
      <c r="AB61" s="10" t="s">
        <v>202</v>
      </c>
      <c r="AC61" s="10" t="s">
        <v>202</v>
      </c>
      <c r="AE61" s="10"/>
      <c r="AF61" s="10" t="s">
        <v>222</v>
      </c>
      <c r="AG61" s="10" t="s">
        <v>222</v>
      </c>
      <c r="AH61" s="10" t="s">
        <v>222</v>
      </c>
      <c r="AI61" s="10" t="s">
        <v>222</v>
      </c>
      <c r="AJ61" s="10"/>
      <c r="AK61" s="10" t="s">
        <v>222</v>
      </c>
      <c r="AL61" s="10"/>
      <c r="AM61" s="10"/>
      <c r="AN61" s="10"/>
      <c r="AP61" s="14"/>
    </row>
    <row r="62" spans="1:42" s="1" customFormat="1" ht="26" x14ac:dyDescent="0.2">
      <c r="A62" s="10">
        <v>80</v>
      </c>
      <c r="B62" s="10"/>
      <c r="C62" s="10"/>
      <c r="D62" s="10" t="s">
        <v>157</v>
      </c>
      <c r="E62" s="29" t="s">
        <v>369</v>
      </c>
      <c r="F62" s="10" t="s">
        <v>159</v>
      </c>
      <c r="G62" s="10" t="s">
        <v>161</v>
      </c>
      <c r="H62" s="10"/>
      <c r="I62" s="10" t="s">
        <v>264</v>
      </c>
      <c r="J62" s="10"/>
      <c r="K62" s="10" t="s">
        <v>201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 t="s">
        <v>202</v>
      </c>
      <c r="AA62" s="10" t="s">
        <v>202</v>
      </c>
      <c r="AB62" s="10" t="s">
        <v>202</v>
      </c>
      <c r="AC62" s="10" t="s">
        <v>202</v>
      </c>
      <c r="AE62" s="10"/>
      <c r="AF62" s="10" t="s">
        <v>222</v>
      </c>
      <c r="AG62" s="10" t="s">
        <v>222</v>
      </c>
      <c r="AH62" s="10" t="s">
        <v>222</v>
      </c>
      <c r="AI62" s="10"/>
      <c r="AJ62" s="10"/>
      <c r="AK62" s="10"/>
      <c r="AL62" s="10"/>
      <c r="AM62" s="10"/>
      <c r="AN62" s="10"/>
      <c r="AP62" s="14"/>
    </row>
    <row r="63" spans="1:42" s="1" customFormat="1" ht="26" x14ac:dyDescent="0.2">
      <c r="A63" s="50">
        <v>80</v>
      </c>
      <c r="B63" s="50"/>
      <c r="C63" s="50"/>
      <c r="D63" s="50" t="s">
        <v>78</v>
      </c>
      <c r="E63" s="50"/>
      <c r="F63" s="50"/>
      <c r="G63" s="50"/>
      <c r="H63" s="50"/>
      <c r="I63" s="50" t="s">
        <v>194</v>
      </c>
      <c r="J63" s="50"/>
      <c r="K63" s="50" t="s">
        <v>265</v>
      </c>
      <c r="L63" s="50" t="s">
        <v>266</v>
      </c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 t="s">
        <v>267</v>
      </c>
      <c r="AA63" s="50" t="s">
        <v>268</v>
      </c>
      <c r="AB63" s="50" t="s">
        <v>268</v>
      </c>
      <c r="AC63" s="50" t="s">
        <v>268</v>
      </c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</row>
    <row r="64" spans="1:42" s="1" customFormat="1" x14ac:dyDescent="0.2">
      <c r="A64" s="50">
        <v>80</v>
      </c>
      <c r="B64" s="10"/>
      <c r="C64" s="10"/>
      <c r="D64" s="10" t="s">
        <v>311</v>
      </c>
      <c r="E64" s="29"/>
      <c r="F64" s="10"/>
      <c r="G64" s="10"/>
      <c r="H64" s="10"/>
      <c r="I64" s="10" t="s">
        <v>212</v>
      </c>
      <c r="J64" s="10"/>
      <c r="K64" s="10" t="s">
        <v>213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Z64" s="10"/>
      <c r="AA64" s="10"/>
      <c r="AB64" s="10"/>
      <c r="AC64" s="10"/>
      <c r="AE64" s="10"/>
      <c r="AF64" s="10"/>
      <c r="AG64" s="10" t="s">
        <v>269</v>
      </c>
      <c r="AH64" s="10" t="s">
        <v>269</v>
      </c>
      <c r="AI64" s="10" t="s">
        <v>269</v>
      </c>
      <c r="AJ64" s="10"/>
      <c r="AK64" s="10"/>
      <c r="AL64" s="10"/>
      <c r="AM64" s="10"/>
      <c r="AN64" s="10"/>
      <c r="AP64" s="14"/>
    </row>
    <row r="65" spans="1:42" s="1" customFormat="1" x14ac:dyDescent="0.2">
      <c r="A65" s="50">
        <v>80</v>
      </c>
      <c r="B65" s="10"/>
      <c r="C65" s="10"/>
      <c r="D65" s="10" t="s">
        <v>89</v>
      </c>
      <c r="E65" s="29"/>
      <c r="F65" s="10"/>
      <c r="G65" s="10"/>
      <c r="H65" s="10"/>
      <c r="I65" s="10" t="s">
        <v>212</v>
      </c>
      <c r="J65" s="10"/>
      <c r="K65" s="10" t="s">
        <v>213</v>
      </c>
      <c r="L65" s="10"/>
      <c r="M65" s="10"/>
      <c r="N65" s="10"/>
      <c r="O65" s="10" t="s">
        <v>169</v>
      </c>
      <c r="P65" s="10"/>
      <c r="Q65" s="10"/>
      <c r="R65" s="10"/>
      <c r="S65" s="10"/>
      <c r="T65" s="10"/>
      <c r="U65" s="10"/>
      <c r="V65" s="10"/>
      <c r="W65" s="10"/>
      <c r="X65" s="10"/>
      <c r="Z65" s="10"/>
      <c r="AA65" s="10"/>
      <c r="AB65" s="10"/>
      <c r="AC65" s="10"/>
      <c r="AE65" s="10"/>
      <c r="AF65" s="10" t="s">
        <v>98</v>
      </c>
      <c r="AG65" s="10" t="s">
        <v>98</v>
      </c>
      <c r="AH65" s="10" t="s">
        <v>98</v>
      </c>
      <c r="AI65" s="10" t="s">
        <v>98</v>
      </c>
      <c r="AJ65" s="10"/>
      <c r="AK65" s="10" t="s">
        <v>98</v>
      </c>
      <c r="AL65" s="10"/>
      <c r="AM65" s="10"/>
      <c r="AN65" s="10"/>
      <c r="AP65" s="14"/>
    </row>
    <row r="66" spans="1:42" s="1" customFormat="1" x14ac:dyDescent="0.2">
      <c r="A66" s="50">
        <v>80</v>
      </c>
      <c r="B66" s="10"/>
      <c r="C66" s="10"/>
      <c r="D66" s="10" t="s">
        <v>90</v>
      </c>
      <c r="E66" s="29"/>
      <c r="F66" s="10"/>
      <c r="G66" s="10"/>
      <c r="H66" s="10"/>
      <c r="I66" s="10" t="s">
        <v>212</v>
      </c>
      <c r="J66" s="10"/>
      <c r="K66" s="10" t="s">
        <v>213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/>
      <c r="AA66" s="10"/>
      <c r="AB66" s="10"/>
      <c r="AC66" s="10"/>
      <c r="AE66" s="10"/>
      <c r="AF66" s="10" t="s">
        <v>99</v>
      </c>
      <c r="AG66" s="10" t="s">
        <v>99</v>
      </c>
      <c r="AH66" s="10" t="s">
        <v>99</v>
      </c>
      <c r="AI66" s="10" t="s">
        <v>99</v>
      </c>
      <c r="AJ66" s="10"/>
      <c r="AK66" s="10"/>
      <c r="AL66" s="10"/>
      <c r="AM66" s="10"/>
      <c r="AN66" s="10"/>
      <c r="AP66" s="14"/>
    </row>
    <row r="67" spans="1:42" s="1" customFormat="1" x14ac:dyDescent="0.2">
      <c r="A67" s="10">
        <v>80</v>
      </c>
      <c r="B67" s="10"/>
      <c r="C67" s="10"/>
      <c r="D67" s="10" t="s">
        <v>121</v>
      </c>
      <c r="E67" s="29" t="s">
        <v>370</v>
      </c>
      <c r="F67" s="10" t="s">
        <v>142</v>
      </c>
      <c r="G67" s="10" t="s">
        <v>123</v>
      </c>
      <c r="H67" s="10"/>
      <c r="I67" s="10" t="s">
        <v>229</v>
      </c>
      <c r="J67" s="10"/>
      <c r="K67" s="10" t="s">
        <v>230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194</v>
      </c>
      <c r="AA67" s="10" t="s">
        <v>202</v>
      </c>
      <c r="AB67" s="10" t="s">
        <v>202</v>
      </c>
      <c r="AC67" s="10" t="s">
        <v>202</v>
      </c>
      <c r="AE67" s="10"/>
      <c r="AF67" s="10" t="s">
        <v>222</v>
      </c>
      <c r="AG67" s="10" t="s">
        <v>222</v>
      </c>
      <c r="AH67" s="10" t="s">
        <v>222</v>
      </c>
      <c r="AI67" s="10" t="s">
        <v>222</v>
      </c>
      <c r="AJ67" s="10"/>
      <c r="AK67" s="10"/>
      <c r="AL67" s="10"/>
      <c r="AM67" s="10"/>
      <c r="AN67" s="10"/>
      <c r="AP67" s="14"/>
    </row>
    <row r="68" spans="1:42" s="1" customFormat="1" x14ac:dyDescent="0.2">
      <c r="A68" s="10">
        <v>80</v>
      </c>
      <c r="B68" s="10"/>
      <c r="C68" s="10"/>
      <c r="D68" s="10" t="s">
        <v>122</v>
      </c>
      <c r="E68" s="29" t="s">
        <v>371</v>
      </c>
      <c r="F68" s="10" t="s">
        <v>143</v>
      </c>
      <c r="G68" s="10" t="s">
        <v>124</v>
      </c>
      <c r="H68" s="10"/>
      <c r="I68" s="10" t="s">
        <v>229</v>
      </c>
      <c r="J68" s="10"/>
      <c r="K68" s="10" t="s">
        <v>230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Z68" s="10" t="s">
        <v>194</v>
      </c>
      <c r="AA68" s="10" t="s">
        <v>202</v>
      </c>
      <c r="AB68" s="10" t="s">
        <v>202</v>
      </c>
      <c r="AC68" s="10" t="s">
        <v>202</v>
      </c>
      <c r="AE68" s="10"/>
      <c r="AF68" s="10" t="s">
        <v>222</v>
      </c>
      <c r="AG68" s="10" t="s">
        <v>222</v>
      </c>
      <c r="AH68" s="10" t="s">
        <v>222</v>
      </c>
      <c r="AI68" s="10" t="s">
        <v>222</v>
      </c>
      <c r="AJ68" s="10"/>
      <c r="AK68" s="10"/>
      <c r="AL68" s="10"/>
      <c r="AM68" s="10"/>
      <c r="AN68" s="10"/>
      <c r="AP68" s="14"/>
    </row>
    <row r="69" spans="1:42" s="1" customFormat="1" x14ac:dyDescent="0.2">
      <c r="A69" s="10">
        <v>80</v>
      </c>
      <c r="B69" s="10"/>
      <c r="C69" s="10"/>
      <c r="D69" s="10" t="s">
        <v>27</v>
      </c>
      <c r="E69" s="29" t="s">
        <v>350</v>
      </c>
      <c r="F69" s="10" t="s">
        <v>20</v>
      </c>
      <c r="G69" s="10" t="s">
        <v>9</v>
      </c>
      <c r="H69" s="10"/>
      <c r="I69" s="10" t="s">
        <v>225</v>
      </c>
      <c r="J69" s="10"/>
      <c r="K69" s="10" t="s">
        <v>201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222</v>
      </c>
      <c r="AA69" s="10" t="s">
        <v>202</v>
      </c>
      <c r="AB69" s="10" t="s">
        <v>202</v>
      </c>
      <c r="AC69" s="10" t="s">
        <v>202</v>
      </c>
      <c r="AE69" s="10"/>
      <c r="AF69" s="10" t="s">
        <v>222</v>
      </c>
      <c r="AG69" s="10" t="s">
        <v>222</v>
      </c>
      <c r="AH69" s="10" t="s">
        <v>222</v>
      </c>
      <c r="AI69" s="10" t="s">
        <v>222</v>
      </c>
      <c r="AJ69" s="10"/>
      <c r="AK69" s="10"/>
      <c r="AL69" s="10"/>
      <c r="AM69" s="10"/>
      <c r="AN69" s="10"/>
      <c r="AP69" s="14"/>
    </row>
    <row r="70" spans="1:42" s="1" customFormat="1" x14ac:dyDescent="0.2">
      <c r="A70" s="10">
        <v>80</v>
      </c>
      <c r="B70" s="10"/>
      <c r="C70" s="10"/>
      <c r="D70" s="10" t="s">
        <v>21</v>
      </c>
      <c r="E70" s="29" t="s">
        <v>351</v>
      </c>
      <c r="F70" s="10" t="s">
        <v>23</v>
      </c>
      <c r="G70" s="10" t="s">
        <v>9</v>
      </c>
      <c r="H70" s="10"/>
      <c r="I70" s="10" t="s">
        <v>226</v>
      </c>
      <c r="J70" s="10"/>
      <c r="K70" s="10" t="s">
        <v>201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Z70" s="10" t="s">
        <v>222</v>
      </c>
      <c r="AA70" s="10" t="s">
        <v>202</v>
      </c>
      <c r="AB70" s="10" t="s">
        <v>202</v>
      </c>
      <c r="AC70" s="10" t="s">
        <v>202</v>
      </c>
      <c r="AE70" s="10"/>
      <c r="AF70" s="10" t="s">
        <v>222</v>
      </c>
      <c r="AG70" s="10" t="s">
        <v>222</v>
      </c>
      <c r="AH70" s="10" t="s">
        <v>222</v>
      </c>
      <c r="AI70" s="10" t="s">
        <v>222</v>
      </c>
      <c r="AJ70" s="10"/>
      <c r="AK70" s="10"/>
      <c r="AL70" s="10"/>
      <c r="AM70" s="10"/>
      <c r="AN70" s="10"/>
      <c r="AP70" s="14"/>
    </row>
    <row r="71" spans="1:42" s="1" customFormat="1" x14ac:dyDescent="0.2">
      <c r="A71" s="10">
        <v>80</v>
      </c>
      <c r="B71" s="10"/>
      <c r="C71" s="10"/>
      <c r="D71" s="10" t="s">
        <v>22</v>
      </c>
      <c r="E71" s="29" t="s">
        <v>352</v>
      </c>
      <c r="F71" s="10" t="s">
        <v>24</v>
      </c>
      <c r="G71" s="10" t="s">
        <v>9</v>
      </c>
      <c r="H71" s="10"/>
      <c r="I71" s="10" t="s">
        <v>227</v>
      </c>
      <c r="J71" s="10"/>
      <c r="K71" s="10" t="s">
        <v>201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222</v>
      </c>
      <c r="AA71" s="10" t="s">
        <v>202</v>
      </c>
      <c r="AB71" s="10" t="s">
        <v>202</v>
      </c>
      <c r="AC71" s="10" t="s">
        <v>202</v>
      </c>
      <c r="AE71" s="10"/>
      <c r="AF71" s="10" t="s">
        <v>222</v>
      </c>
      <c r="AG71" s="10" t="s">
        <v>222</v>
      </c>
      <c r="AH71" s="10" t="s">
        <v>222</v>
      </c>
      <c r="AI71" s="10" t="s">
        <v>222</v>
      </c>
      <c r="AJ71" s="10"/>
      <c r="AK71" s="10"/>
      <c r="AL71" s="10"/>
      <c r="AM71" s="10"/>
      <c r="AN71" s="10"/>
      <c r="AP71" s="14"/>
    </row>
    <row r="72" spans="1:42" s="1" customFormat="1" x14ac:dyDescent="0.2">
      <c r="A72" s="10">
        <v>80</v>
      </c>
      <c r="B72" s="10"/>
      <c r="C72" s="10"/>
      <c r="D72" s="10" t="s">
        <v>48</v>
      </c>
      <c r="E72" s="29" t="s">
        <v>372</v>
      </c>
      <c r="F72" s="10" t="s">
        <v>43</v>
      </c>
      <c r="G72" s="10" t="s">
        <v>9</v>
      </c>
      <c r="H72" s="10"/>
      <c r="I72" s="10" t="s">
        <v>270</v>
      </c>
      <c r="J72" s="10"/>
      <c r="K72" s="10" t="s">
        <v>201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 t="s">
        <v>202</v>
      </c>
      <c r="AA72" s="10" t="s">
        <v>202</v>
      </c>
      <c r="AB72" s="10" t="s">
        <v>202</v>
      </c>
      <c r="AC72" s="10" t="s">
        <v>202</v>
      </c>
      <c r="AE72" s="10"/>
      <c r="AF72" s="10" t="s">
        <v>222</v>
      </c>
      <c r="AG72" s="10"/>
      <c r="AH72" s="10" t="s">
        <v>222</v>
      </c>
      <c r="AI72" s="10"/>
      <c r="AJ72" s="10"/>
      <c r="AK72" s="10"/>
      <c r="AL72" s="10"/>
      <c r="AM72" s="10"/>
      <c r="AN72" s="10"/>
      <c r="AP72" s="14"/>
    </row>
    <row r="73" spans="1:42" s="1" customFormat="1" x14ac:dyDescent="0.2">
      <c r="A73" s="10">
        <v>80</v>
      </c>
      <c r="B73" s="10"/>
      <c r="C73" s="10"/>
      <c r="D73" s="10" t="s">
        <v>49</v>
      </c>
      <c r="E73" s="29" t="s">
        <v>373</v>
      </c>
      <c r="F73" s="10" t="s">
        <v>28</v>
      </c>
      <c r="G73" s="10" t="s">
        <v>9</v>
      </c>
      <c r="H73" s="10"/>
      <c r="I73" s="10" t="s">
        <v>271</v>
      </c>
      <c r="J73" s="10"/>
      <c r="K73" s="10" t="s">
        <v>201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202</v>
      </c>
      <c r="AA73" s="10" t="s">
        <v>202</v>
      </c>
      <c r="AB73" s="10" t="s">
        <v>202</v>
      </c>
      <c r="AC73" s="10" t="s">
        <v>202</v>
      </c>
      <c r="AE73" s="10"/>
      <c r="AF73" s="10" t="s">
        <v>222</v>
      </c>
      <c r="AG73" s="10"/>
      <c r="AH73" s="10" t="s">
        <v>222</v>
      </c>
      <c r="AI73" s="10"/>
      <c r="AJ73" s="10"/>
      <c r="AK73" s="10"/>
      <c r="AL73" s="10"/>
      <c r="AM73" s="10"/>
      <c r="AN73" s="10"/>
      <c r="AP73" s="14"/>
    </row>
    <row r="74" spans="1:42" s="1" customFormat="1" x14ac:dyDescent="0.2">
      <c r="A74" s="10">
        <v>80</v>
      </c>
      <c r="B74" s="10"/>
      <c r="C74" s="10"/>
      <c r="D74" s="10" t="s">
        <v>60</v>
      </c>
      <c r="E74" s="29" t="s">
        <v>374</v>
      </c>
      <c r="F74" s="10" t="s">
        <v>10</v>
      </c>
      <c r="G74" s="10" t="s">
        <v>9</v>
      </c>
      <c r="H74" s="10"/>
      <c r="I74" s="10" t="s">
        <v>272</v>
      </c>
      <c r="J74" s="10"/>
      <c r="K74" s="10" t="s">
        <v>201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 t="s">
        <v>202</v>
      </c>
      <c r="AA74" s="10" t="s">
        <v>202</v>
      </c>
      <c r="AB74" s="10" t="s">
        <v>202</v>
      </c>
      <c r="AC74" s="10" t="s">
        <v>202</v>
      </c>
      <c r="AE74" s="10"/>
      <c r="AF74" s="10" t="s">
        <v>222</v>
      </c>
      <c r="AG74" s="10"/>
      <c r="AH74" s="10" t="s">
        <v>222</v>
      </c>
      <c r="AI74" s="10"/>
      <c r="AJ74" s="10"/>
      <c r="AK74" s="10"/>
      <c r="AL74" s="10"/>
      <c r="AM74" s="10"/>
      <c r="AN74" s="10"/>
      <c r="AP74" s="14"/>
    </row>
    <row r="75" spans="1:42" s="1" customFormat="1" x14ac:dyDescent="0.2">
      <c r="A75" s="10">
        <v>80</v>
      </c>
      <c r="B75" s="10"/>
      <c r="C75" s="10"/>
      <c r="D75" s="10" t="s">
        <v>50</v>
      </c>
      <c r="E75" s="29" t="s">
        <v>375</v>
      </c>
      <c r="F75" s="10" t="s">
        <v>30</v>
      </c>
      <c r="G75" s="10" t="s">
        <v>9</v>
      </c>
      <c r="H75" s="10"/>
      <c r="I75" s="10" t="s">
        <v>273</v>
      </c>
      <c r="J75" s="10"/>
      <c r="K75" s="10" t="s">
        <v>201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202</v>
      </c>
      <c r="AA75" s="10" t="s">
        <v>202</v>
      </c>
      <c r="AB75" s="10" t="s">
        <v>202</v>
      </c>
      <c r="AC75" s="10" t="s">
        <v>202</v>
      </c>
      <c r="AE75" s="10"/>
      <c r="AF75" s="10" t="s">
        <v>222</v>
      </c>
      <c r="AG75" s="10"/>
      <c r="AH75" s="10" t="s">
        <v>222</v>
      </c>
      <c r="AI75" s="10"/>
      <c r="AJ75" s="10"/>
      <c r="AK75" s="10"/>
      <c r="AL75" s="10"/>
      <c r="AM75" s="10"/>
      <c r="AN75" s="10"/>
      <c r="AP75" s="14"/>
    </row>
    <row r="76" spans="1:42" s="1" customFormat="1" x14ac:dyDescent="0.2">
      <c r="A76" s="10">
        <v>80</v>
      </c>
      <c r="B76" s="10"/>
      <c r="C76" s="10"/>
      <c r="D76" s="10" t="s">
        <v>55</v>
      </c>
      <c r="E76" s="29" t="s">
        <v>376</v>
      </c>
      <c r="F76" s="10" t="s">
        <v>56</v>
      </c>
      <c r="G76" s="10" t="s">
        <v>9</v>
      </c>
      <c r="H76" s="10"/>
      <c r="I76" s="10" t="s">
        <v>274</v>
      </c>
      <c r="J76" s="10"/>
      <c r="K76" s="10" t="s">
        <v>201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Z76" s="10" t="s">
        <v>202</v>
      </c>
      <c r="AA76" s="10" t="s">
        <v>202</v>
      </c>
      <c r="AB76" s="10" t="s">
        <v>202</v>
      </c>
      <c r="AC76" s="10" t="s">
        <v>202</v>
      </c>
      <c r="AE76" s="10"/>
      <c r="AF76" s="10" t="s">
        <v>222</v>
      </c>
      <c r="AG76" s="10"/>
      <c r="AH76" s="10" t="s">
        <v>222</v>
      </c>
      <c r="AI76" s="10"/>
      <c r="AJ76" s="10"/>
      <c r="AK76" s="10"/>
      <c r="AL76" s="10"/>
      <c r="AM76" s="10"/>
      <c r="AN76" s="10"/>
      <c r="AP76" s="14"/>
    </row>
    <row r="77" spans="1:42" s="1" customFormat="1" x14ac:dyDescent="0.2">
      <c r="A77" s="10">
        <v>80</v>
      </c>
      <c r="B77" s="10"/>
      <c r="C77" s="10"/>
      <c r="D77" s="10" t="s">
        <v>73</v>
      </c>
      <c r="E77" s="29" t="s">
        <v>377</v>
      </c>
      <c r="F77" s="10" t="s">
        <v>74</v>
      </c>
      <c r="G77" s="10"/>
      <c r="H77" s="10"/>
      <c r="I77" s="10" t="s">
        <v>275</v>
      </c>
      <c r="J77" s="10"/>
      <c r="K77" s="10" t="s">
        <v>201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247</v>
      </c>
      <c r="AA77" s="10" t="s">
        <v>247</v>
      </c>
      <c r="AB77" s="10" t="s">
        <v>247</v>
      </c>
      <c r="AC77" s="10" t="s">
        <v>247</v>
      </c>
      <c r="AE77" s="10"/>
      <c r="AF77" s="10" t="s">
        <v>222</v>
      </c>
      <c r="AG77" s="10" t="s">
        <v>222</v>
      </c>
      <c r="AH77" s="10" t="s">
        <v>222</v>
      </c>
      <c r="AI77" s="10" t="s">
        <v>222</v>
      </c>
      <c r="AJ77" s="10"/>
      <c r="AK77" s="10" t="s">
        <v>222</v>
      </c>
      <c r="AL77" s="10"/>
      <c r="AM77" s="10"/>
      <c r="AN77" s="10"/>
      <c r="AP77" s="14"/>
    </row>
    <row r="78" spans="1:42" s="1" customFormat="1" x14ac:dyDescent="0.2">
      <c r="A78" s="10">
        <v>80</v>
      </c>
      <c r="B78" s="10"/>
      <c r="C78" s="10"/>
      <c r="D78" s="10" t="s">
        <v>51</v>
      </c>
      <c r="E78" s="29" t="s">
        <v>378</v>
      </c>
      <c r="F78" s="10" t="s">
        <v>62</v>
      </c>
      <c r="G78" s="10" t="s">
        <v>1</v>
      </c>
      <c r="H78" s="10"/>
      <c r="I78" s="10" t="s">
        <v>270</v>
      </c>
      <c r="J78" s="10"/>
      <c r="K78" s="10" t="s">
        <v>201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 t="s">
        <v>202</v>
      </c>
      <c r="AA78" s="10" t="s">
        <v>202</v>
      </c>
      <c r="AB78" s="10" t="s">
        <v>202</v>
      </c>
      <c r="AC78" s="10" t="s">
        <v>202</v>
      </c>
      <c r="AE78" s="10"/>
      <c r="AF78" s="10" t="s">
        <v>222</v>
      </c>
      <c r="AG78" s="10"/>
      <c r="AH78" s="10" t="s">
        <v>222</v>
      </c>
      <c r="AI78" s="10"/>
      <c r="AJ78" s="10"/>
      <c r="AK78" s="10"/>
      <c r="AL78" s="10"/>
      <c r="AM78" s="10"/>
      <c r="AN78" s="10"/>
      <c r="AP78" s="14"/>
    </row>
    <row r="79" spans="1:42" s="1" customFormat="1" x14ac:dyDescent="0.2">
      <c r="A79" s="10">
        <v>80</v>
      </c>
      <c r="B79" s="10"/>
      <c r="C79" s="10"/>
      <c r="D79" s="10" t="s">
        <v>52</v>
      </c>
      <c r="E79" s="29" t="s">
        <v>379</v>
      </c>
      <c r="F79" s="10" t="s">
        <v>29</v>
      </c>
      <c r="G79" s="10" t="s">
        <v>9</v>
      </c>
      <c r="H79" s="10"/>
      <c r="I79" s="10" t="s">
        <v>271</v>
      </c>
      <c r="J79" s="10"/>
      <c r="K79" s="10" t="s">
        <v>201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Z79" s="10" t="s">
        <v>202</v>
      </c>
      <c r="AA79" s="10" t="s">
        <v>202</v>
      </c>
      <c r="AB79" s="10" t="s">
        <v>202</v>
      </c>
      <c r="AC79" s="10" t="s">
        <v>202</v>
      </c>
      <c r="AE79" s="10"/>
      <c r="AF79" s="10" t="s">
        <v>222</v>
      </c>
      <c r="AG79" s="10"/>
      <c r="AH79" s="10" t="s">
        <v>222</v>
      </c>
      <c r="AI79" s="10"/>
      <c r="AJ79" s="10"/>
      <c r="AK79" s="10"/>
      <c r="AL79" s="10"/>
      <c r="AM79" s="10"/>
      <c r="AN79" s="10"/>
      <c r="AP79" s="14"/>
    </row>
    <row r="80" spans="1:42" s="1" customFormat="1" x14ac:dyDescent="0.2">
      <c r="A80" s="10">
        <v>80</v>
      </c>
      <c r="B80" s="10"/>
      <c r="C80" s="10"/>
      <c r="D80" s="10" t="s">
        <v>53</v>
      </c>
      <c r="E80" s="29" t="s">
        <v>380</v>
      </c>
      <c r="F80" s="10" t="s">
        <v>31</v>
      </c>
      <c r="G80" s="10" t="s">
        <v>9</v>
      </c>
      <c r="H80" s="10"/>
      <c r="I80" s="10" t="s">
        <v>272</v>
      </c>
      <c r="J80" s="10"/>
      <c r="K80" s="10" t="s">
        <v>201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Z80" s="10" t="s">
        <v>202</v>
      </c>
      <c r="AA80" s="10" t="s">
        <v>202</v>
      </c>
      <c r="AB80" s="10" t="s">
        <v>202</v>
      </c>
      <c r="AC80" s="10" t="s">
        <v>202</v>
      </c>
      <c r="AE80" s="10"/>
      <c r="AF80" s="10" t="s">
        <v>222</v>
      </c>
      <c r="AG80" s="10"/>
      <c r="AH80" s="10" t="s">
        <v>222</v>
      </c>
      <c r="AI80" s="10"/>
      <c r="AJ80" s="10"/>
      <c r="AK80" s="10"/>
      <c r="AL80" s="10"/>
      <c r="AM80" s="10"/>
      <c r="AN80" s="10"/>
      <c r="AP80" s="14"/>
    </row>
    <row r="81" spans="1:42" s="1" customFormat="1" x14ac:dyDescent="0.2">
      <c r="A81" s="10">
        <v>80</v>
      </c>
      <c r="B81" s="10"/>
      <c r="C81" s="10"/>
      <c r="D81" s="10" t="s">
        <v>54</v>
      </c>
      <c r="E81" s="29" t="s">
        <v>381</v>
      </c>
      <c r="F81" s="10" t="s">
        <v>32</v>
      </c>
      <c r="G81" s="10" t="s">
        <v>9</v>
      </c>
      <c r="H81" s="10"/>
      <c r="I81" s="10" t="s">
        <v>273</v>
      </c>
      <c r="J81" s="10"/>
      <c r="K81" s="10" t="s">
        <v>201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202</v>
      </c>
      <c r="AA81" s="10" t="s">
        <v>202</v>
      </c>
      <c r="AB81" s="10" t="s">
        <v>202</v>
      </c>
      <c r="AC81" s="10" t="s">
        <v>202</v>
      </c>
      <c r="AE81" s="10"/>
      <c r="AF81" s="10" t="s">
        <v>222</v>
      </c>
      <c r="AG81" s="10"/>
      <c r="AH81" s="10" t="s">
        <v>222</v>
      </c>
      <c r="AI81" s="10"/>
      <c r="AJ81" s="10"/>
      <c r="AK81" s="10"/>
      <c r="AL81" s="10"/>
      <c r="AM81" s="10"/>
      <c r="AN81" s="10"/>
      <c r="AP81" s="14"/>
    </row>
    <row r="82" spans="1:42" s="1" customFormat="1" x14ac:dyDescent="0.2">
      <c r="A82" s="10">
        <v>80</v>
      </c>
      <c r="B82" s="10"/>
      <c r="C82" s="10"/>
      <c r="D82" s="10" t="s">
        <v>57</v>
      </c>
      <c r="E82" s="29" t="s">
        <v>382</v>
      </c>
      <c r="F82" s="10" t="s">
        <v>58</v>
      </c>
      <c r="G82" s="10" t="s">
        <v>9</v>
      </c>
      <c r="H82" s="10"/>
      <c r="I82" s="10" t="s">
        <v>274</v>
      </c>
      <c r="J82" s="10"/>
      <c r="K82" s="10" t="s">
        <v>201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202</v>
      </c>
      <c r="AA82" s="10" t="s">
        <v>202</v>
      </c>
      <c r="AB82" s="10" t="s">
        <v>202</v>
      </c>
      <c r="AC82" s="10" t="s">
        <v>202</v>
      </c>
      <c r="AE82" s="10"/>
      <c r="AF82" s="10" t="s">
        <v>222</v>
      </c>
      <c r="AG82" s="10"/>
      <c r="AH82" s="10" t="s">
        <v>222</v>
      </c>
      <c r="AI82" s="10"/>
      <c r="AJ82" s="10"/>
      <c r="AK82" s="10"/>
      <c r="AL82" s="10"/>
      <c r="AM82" s="10"/>
      <c r="AN82" s="10"/>
      <c r="AP82" s="14"/>
    </row>
    <row r="83" spans="1:42" s="1" customFormat="1" x14ac:dyDescent="0.2">
      <c r="A83" s="10">
        <v>80</v>
      </c>
      <c r="B83" s="10"/>
      <c r="C83" s="10"/>
      <c r="D83" s="10" t="s">
        <v>59</v>
      </c>
      <c r="E83" s="29" t="s">
        <v>383</v>
      </c>
      <c r="F83" s="10" t="s">
        <v>33</v>
      </c>
      <c r="G83" s="10" t="s">
        <v>9</v>
      </c>
      <c r="H83" s="10"/>
      <c r="I83" s="10" t="s">
        <v>276</v>
      </c>
      <c r="J83" s="10"/>
      <c r="K83" s="10" t="s">
        <v>201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 t="s">
        <v>202</v>
      </c>
      <c r="AA83" s="10" t="s">
        <v>202</v>
      </c>
      <c r="AB83" s="10" t="s">
        <v>202</v>
      </c>
      <c r="AC83" s="10" t="s">
        <v>202</v>
      </c>
      <c r="AE83" s="10"/>
      <c r="AF83" s="10" t="s">
        <v>222</v>
      </c>
      <c r="AG83" s="10"/>
      <c r="AH83" s="10" t="s">
        <v>222</v>
      </c>
      <c r="AI83" s="10"/>
      <c r="AJ83" s="10"/>
      <c r="AK83" s="10"/>
      <c r="AL83" s="10"/>
      <c r="AM83" s="10"/>
      <c r="AN83" s="10"/>
      <c r="AP83" s="14"/>
    </row>
    <row r="84" spans="1:42" s="1" customFormat="1" x14ac:dyDescent="0.2">
      <c r="A84" s="10">
        <v>80</v>
      </c>
      <c r="B84" s="10"/>
      <c r="C84" s="10"/>
      <c r="D84" s="10" t="s">
        <v>67</v>
      </c>
      <c r="E84" s="29" t="s">
        <v>384</v>
      </c>
      <c r="F84" s="10" t="s">
        <v>34</v>
      </c>
      <c r="G84" s="10" t="s">
        <v>9</v>
      </c>
      <c r="H84" s="10"/>
      <c r="I84" s="10" t="s">
        <v>270</v>
      </c>
      <c r="J84" s="10"/>
      <c r="K84" s="10" t="s">
        <v>201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 t="s">
        <v>202</v>
      </c>
      <c r="AA84" s="10" t="s">
        <v>202</v>
      </c>
      <c r="AB84" s="10" t="s">
        <v>202</v>
      </c>
      <c r="AC84" s="10" t="s">
        <v>202</v>
      </c>
      <c r="AE84" s="10"/>
      <c r="AF84" s="10" t="s">
        <v>222</v>
      </c>
      <c r="AG84" s="10"/>
      <c r="AH84" s="10" t="s">
        <v>222</v>
      </c>
      <c r="AI84" s="10"/>
      <c r="AJ84" s="10"/>
      <c r="AK84" s="10"/>
      <c r="AL84" s="10"/>
      <c r="AM84" s="10"/>
      <c r="AN84" s="10"/>
      <c r="AP84" s="14"/>
    </row>
    <row r="85" spans="1:42" s="1" customFormat="1" x14ac:dyDescent="0.2">
      <c r="A85" s="10">
        <v>80</v>
      </c>
      <c r="B85" s="10"/>
      <c r="C85" s="10"/>
      <c r="D85" s="10" t="s">
        <v>68</v>
      </c>
      <c r="E85" s="29" t="s">
        <v>385</v>
      </c>
      <c r="F85" s="10" t="s">
        <v>35</v>
      </c>
      <c r="G85" s="10" t="s">
        <v>9</v>
      </c>
      <c r="H85" s="10"/>
      <c r="I85" s="10" t="s">
        <v>271</v>
      </c>
      <c r="J85" s="10"/>
      <c r="K85" s="10" t="s">
        <v>201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Z85" s="10" t="s">
        <v>202</v>
      </c>
      <c r="AA85" s="10" t="s">
        <v>202</v>
      </c>
      <c r="AB85" s="10" t="s">
        <v>202</v>
      </c>
      <c r="AC85" s="10" t="s">
        <v>202</v>
      </c>
      <c r="AE85" s="10"/>
      <c r="AF85" s="10" t="s">
        <v>222</v>
      </c>
      <c r="AG85" s="10"/>
      <c r="AH85" s="10" t="s">
        <v>222</v>
      </c>
      <c r="AI85" s="10"/>
      <c r="AJ85" s="10"/>
      <c r="AK85" s="10"/>
      <c r="AL85" s="10"/>
      <c r="AM85" s="10"/>
      <c r="AN85" s="10"/>
      <c r="AP85" s="14"/>
    </row>
    <row r="86" spans="1:42" s="1" customFormat="1" x14ac:dyDescent="0.2">
      <c r="A86" s="10">
        <v>80</v>
      </c>
      <c r="B86" s="10"/>
      <c r="C86" s="10"/>
      <c r="D86" s="10" t="s">
        <v>69</v>
      </c>
      <c r="E86" s="29" t="s">
        <v>386</v>
      </c>
      <c r="F86" s="10" t="s">
        <v>36</v>
      </c>
      <c r="G86" s="10" t="s">
        <v>9</v>
      </c>
      <c r="H86" s="10"/>
      <c r="I86" s="10" t="s">
        <v>272</v>
      </c>
      <c r="J86" s="10"/>
      <c r="K86" s="10" t="s">
        <v>201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Z86" s="10" t="s">
        <v>202</v>
      </c>
      <c r="AA86" s="10" t="s">
        <v>202</v>
      </c>
      <c r="AB86" s="10" t="s">
        <v>202</v>
      </c>
      <c r="AC86" s="10" t="s">
        <v>202</v>
      </c>
      <c r="AE86" s="10"/>
      <c r="AF86" s="10" t="s">
        <v>222</v>
      </c>
      <c r="AG86" s="10"/>
      <c r="AH86" s="10" t="s">
        <v>222</v>
      </c>
      <c r="AI86" s="10"/>
      <c r="AJ86" s="10"/>
      <c r="AK86" s="10"/>
      <c r="AL86" s="10"/>
      <c r="AM86" s="10"/>
      <c r="AN86" s="10"/>
      <c r="AP86" s="14"/>
    </row>
    <row r="87" spans="1:42" s="1" customFormat="1" ht="52" x14ac:dyDescent="0.2">
      <c r="A87" s="40"/>
      <c r="AE87" s="34" t="s">
        <v>396</v>
      </c>
      <c r="AF87" s="34" t="s">
        <v>397</v>
      </c>
      <c r="AG87" s="34" t="s">
        <v>396</v>
      </c>
      <c r="AH87" s="34" t="s">
        <v>397</v>
      </c>
      <c r="AI87" s="34" t="s">
        <v>396</v>
      </c>
      <c r="AJ87" s="34" t="s">
        <v>397</v>
      </c>
      <c r="AK87" s="34" t="s">
        <v>396</v>
      </c>
      <c r="AL87" s="34" t="s">
        <v>397</v>
      </c>
      <c r="AM87" s="34" t="s">
        <v>396</v>
      </c>
      <c r="AN87" s="34" t="s">
        <v>397</v>
      </c>
      <c r="AP87" s="15"/>
    </row>
    <row r="88" spans="1:42" s="1" customFormat="1" x14ac:dyDescent="0.2">
      <c r="A88" s="10">
        <v>90</v>
      </c>
      <c r="B88" s="11" t="s">
        <v>11</v>
      </c>
      <c r="C88" s="11"/>
      <c r="D88" s="11" t="s">
        <v>61</v>
      </c>
      <c r="E88" s="12"/>
      <c r="F88" s="11"/>
      <c r="G88" s="11"/>
      <c r="H88" s="11"/>
      <c r="I88" s="11" t="s">
        <v>194</v>
      </c>
      <c r="J88" s="11"/>
      <c r="K88" s="11" t="s">
        <v>195</v>
      </c>
      <c r="L88" s="11"/>
      <c r="M88" s="11" t="s">
        <v>277</v>
      </c>
      <c r="N88" s="11" t="s">
        <v>198</v>
      </c>
      <c r="O88" s="11"/>
      <c r="P88" s="11"/>
      <c r="Q88" s="18"/>
      <c r="R88" s="18"/>
      <c r="S88" s="18"/>
      <c r="T88" s="18"/>
      <c r="U88" s="18"/>
      <c r="V88" s="18"/>
      <c r="W88" s="18"/>
      <c r="X88" s="18"/>
      <c r="Y88" s="16"/>
      <c r="Z88" s="18"/>
      <c r="AA88" s="18"/>
      <c r="AB88" s="18"/>
      <c r="AC88" s="18"/>
      <c r="AD88" s="16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6"/>
      <c r="AP88" s="14"/>
    </row>
    <row r="89" spans="1:42" s="1" customFormat="1" ht="26" x14ac:dyDescent="0.2">
      <c r="A89" s="10">
        <v>90</v>
      </c>
      <c r="B89" s="10"/>
      <c r="C89" s="10"/>
      <c r="D89" s="10" t="s">
        <v>135</v>
      </c>
      <c r="E89" s="29" t="s">
        <v>387</v>
      </c>
      <c r="F89" s="10" t="s">
        <v>93</v>
      </c>
      <c r="G89" s="10" t="s">
        <v>1</v>
      </c>
      <c r="H89" s="10"/>
      <c r="I89" s="10"/>
      <c r="J89" s="10"/>
      <c r="K89" s="10" t="s">
        <v>236</v>
      </c>
      <c r="L89" s="10"/>
      <c r="M89" s="10"/>
      <c r="N89" s="10"/>
      <c r="O89" s="10"/>
      <c r="P89" s="10"/>
      <c r="Q89" s="10" t="s">
        <v>318</v>
      </c>
      <c r="R89" s="10"/>
      <c r="S89" s="10"/>
      <c r="T89" s="10" t="s">
        <v>278</v>
      </c>
      <c r="U89" s="10"/>
      <c r="V89" s="10"/>
      <c r="W89" s="10"/>
      <c r="X89" s="10"/>
      <c r="Z89" s="10" t="s">
        <v>222</v>
      </c>
      <c r="AA89" s="10" t="s">
        <v>238</v>
      </c>
      <c r="AB89" s="10" t="s">
        <v>238</v>
      </c>
      <c r="AC89" s="10" t="s">
        <v>238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P89" s="14"/>
    </row>
    <row r="90" spans="1:42" s="1" customFormat="1" x14ac:dyDescent="0.2">
      <c r="A90" s="10">
        <v>90</v>
      </c>
      <c r="B90" s="10"/>
      <c r="C90" s="10"/>
      <c r="D90" s="10" t="s">
        <v>37</v>
      </c>
      <c r="E90" s="29" t="s">
        <v>388</v>
      </c>
      <c r="F90" s="10" t="s">
        <v>39</v>
      </c>
      <c r="G90" s="10" t="s">
        <v>41</v>
      </c>
      <c r="H90" s="10"/>
      <c r="I90" s="10" t="s">
        <v>279</v>
      </c>
      <c r="J90" s="10"/>
      <c r="K90" s="10" t="s">
        <v>236</v>
      </c>
      <c r="L90" s="10"/>
      <c r="M90" s="10"/>
      <c r="N90" s="10"/>
      <c r="O90" s="10"/>
      <c r="P90" s="10"/>
      <c r="Q90" s="10"/>
      <c r="R90" s="10"/>
      <c r="S90" s="10"/>
      <c r="T90" s="10" t="s">
        <v>280</v>
      </c>
      <c r="U90" s="10"/>
      <c r="V90" s="10"/>
      <c r="W90" s="10"/>
      <c r="X90" s="10"/>
      <c r="Z90" s="10" t="s">
        <v>222</v>
      </c>
      <c r="AA90" s="10" t="s">
        <v>238</v>
      </c>
      <c r="AB90" s="10" t="s">
        <v>222</v>
      </c>
      <c r="AC90" s="10" t="s">
        <v>238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P90" s="14"/>
    </row>
    <row r="91" spans="1:42" s="1" customFormat="1" x14ac:dyDescent="0.2">
      <c r="A91" s="10">
        <v>90</v>
      </c>
      <c r="B91" s="10"/>
      <c r="C91" s="10"/>
      <c r="D91" s="10" t="s">
        <v>38</v>
      </c>
      <c r="E91" s="29" t="s">
        <v>389</v>
      </c>
      <c r="F91" s="10" t="s">
        <v>40</v>
      </c>
      <c r="G91" s="10" t="s">
        <v>42</v>
      </c>
      <c r="H91" s="10"/>
      <c r="I91" s="10" t="s">
        <v>279</v>
      </c>
      <c r="J91" s="10"/>
      <c r="K91" s="10" t="s">
        <v>236</v>
      </c>
      <c r="L91" s="10"/>
      <c r="M91" s="10"/>
      <c r="N91" s="10"/>
      <c r="O91" s="10"/>
      <c r="P91" s="10"/>
      <c r="Q91" s="10"/>
      <c r="R91" s="10"/>
      <c r="S91" s="10"/>
      <c r="T91" s="10" t="s">
        <v>281</v>
      </c>
      <c r="U91" s="10"/>
      <c r="V91" s="10"/>
      <c r="W91" s="10"/>
      <c r="X91" s="10"/>
      <c r="Z91" s="10" t="s">
        <v>222</v>
      </c>
      <c r="AA91" s="10" t="s">
        <v>238</v>
      </c>
      <c r="AB91" s="10" t="s">
        <v>222</v>
      </c>
      <c r="AC91" s="10" t="s">
        <v>238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4"/>
    </row>
    <row r="92" spans="1:42" s="1" customFormat="1" x14ac:dyDescent="0.2">
      <c r="A92" s="10">
        <v>90</v>
      </c>
      <c r="B92" s="10"/>
      <c r="C92" s="10"/>
      <c r="D92" s="10" t="s">
        <v>312</v>
      </c>
      <c r="E92" s="29" t="s">
        <v>390</v>
      </c>
      <c r="F92" s="10" t="s">
        <v>14</v>
      </c>
      <c r="G92" s="10" t="s">
        <v>15</v>
      </c>
      <c r="H92" s="10"/>
      <c r="I92" s="10" t="s">
        <v>279</v>
      </c>
      <c r="J92" s="10"/>
      <c r="K92" s="10" t="s">
        <v>236</v>
      </c>
      <c r="L92" s="10"/>
      <c r="M92" s="10"/>
      <c r="N92" s="10"/>
      <c r="O92" s="10"/>
      <c r="P92" s="10"/>
      <c r="Q92" s="10" t="s">
        <v>282</v>
      </c>
      <c r="R92" s="10" t="s">
        <v>283</v>
      </c>
      <c r="S92" s="10"/>
      <c r="T92" s="10" t="s">
        <v>284</v>
      </c>
      <c r="U92" s="10"/>
      <c r="V92" s="10"/>
      <c r="W92" s="10"/>
      <c r="X92" s="10"/>
      <c r="Z92" s="10" t="s">
        <v>222</v>
      </c>
      <c r="AA92" s="10" t="s">
        <v>238</v>
      </c>
      <c r="AB92" s="10" t="s">
        <v>238</v>
      </c>
      <c r="AC92" s="10" t="s">
        <v>238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4"/>
    </row>
    <row r="93" spans="1:42" s="1" customFormat="1" x14ac:dyDescent="0.2">
      <c r="A93" s="10">
        <v>90</v>
      </c>
      <c r="B93" s="10"/>
      <c r="C93" s="10"/>
      <c r="D93" s="10" t="s">
        <v>313</v>
      </c>
      <c r="E93" s="29" t="s">
        <v>391</v>
      </c>
      <c r="F93" s="10" t="s">
        <v>16</v>
      </c>
      <c r="G93" s="10" t="s">
        <v>17</v>
      </c>
      <c r="H93" s="10"/>
      <c r="I93" s="10" t="s">
        <v>279</v>
      </c>
      <c r="J93" s="10"/>
      <c r="K93" s="10" t="s">
        <v>236</v>
      </c>
      <c r="L93" s="10"/>
      <c r="M93" s="10"/>
      <c r="N93" s="10"/>
      <c r="O93" s="10"/>
      <c r="P93" s="10"/>
      <c r="Q93" s="10" t="s">
        <v>285</v>
      </c>
      <c r="R93" s="10" t="s">
        <v>283</v>
      </c>
      <c r="S93" s="10"/>
      <c r="T93" s="10" t="s">
        <v>286</v>
      </c>
      <c r="U93" s="10"/>
      <c r="V93" s="10"/>
      <c r="W93" s="10"/>
      <c r="X93" s="10"/>
      <c r="Z93" s="10" t="s">
        <v>222</v>
      </c>
      <c r="AA93" s="10" t="s">
        <v>238</v>
      </c>
      <c r="AB93" s="10" t="s">
        <v>238</v>
      </c>
      <c r="AC93" s="10" t="s">
        <v>238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P93" s="14"/>
    </row>
    <row r="94" spans="1:42" s="1" customFormat="1" x14ac:dyDescent="0.2">
      <c r="A94" s="10">
        <v>90</v>
      </c>
      <c r="B94" s="10"/>
      <c r="C94" s="10"/>
      <c r="D94" s="10" t="s">
        <v>314</v>
      </c>
      <c r="E94" s="29" t="s">
        <v>392</v>
      </c>
      <c r="F94" s="10" t="s">
        <v>18</v>
      </c>
      <c r="G94" s="10" t="s">
        <v>19</v>
      </c>
      <c r="H94" s="10"/>
      <c r="I94" s="10" t="s">
        <v>279</v>
      </c>
      <c r="J94" s="10"/>
      <c r="K94" s="10" t="s">
        <v>236</v>
      </c>
      <c r="L94" s="10"/>
      <c r="M94" s="10"/>
      <c r="N94" s="10"/>
      <c r="O94" s="10"/>
      <c r="P94" s="10"/>
      <c r="Q94" s="10" t="s">
        <v>287</v>
      </c>
      <c r="R94" s="10" t="s">
        <v>283</v>
      </c>
      <c r="S94" s="10"/>
      <c r="T94" s="10" t="s">
        <v>288</v>
      </c>
      <c r="U94" s="10"/>
      <c r="V94" s="10"/>
      <c r="W94" s="10"/>
      <c r="X94" s="10"/>
      <c r="Z94" s="10" t="s">
        <v>222</v>
      </c>
      <c r="AA94" s="10" t="s">
        <v>238</v>
      </c>
      <c r="AB94" s="10" t="s">
        <v>238</v>
      </c>
      <c r="AC94" s="10" t="s">
        <v>238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P94" s="14"/>
    </row>
    <row r="95" spans="1:42" s="1" customFormat="1" ht="26" x14ac:dyDescent="0.2">
      <c r="A95" s="10">
        <v>90</v>
      </c>
      <c r="B95" s="10"/>
      <c r="C95" s="10"/>
      <c r="D95" s="10" t="s">
        <v>315</v>
      </c>
      <c r="E95" s="29" t="s">
        <v>393</v>
      </c>
      <c r="F95" s="10" t="s">
        <v>125</v>
      </c>
      <c r="G95" s="10" t="s">
        <v>126</v>
      </c>
      <c r="H95" s="10"/>
      <c r="I95" s="10" t="s">
        <v>289</v>
      </c>
      <c r="J95" s="10"/>
      <c r="K95" s="10" t="s">
        <v>290</v>
      </c>
      <c r="L95" s="10"/>
      <c r="M95" s="10" t="s">
        <v>198</v>
      </c>
      <c r="N95" s="10"/>
      <c r="O95" s="10"/>
      <c r="P95" s="10"/>
      <c r="Q95" s="10" t="s">
        <v>319</v>
      </c>
      <c r="R95" s="10"/>
      <c r="S95" s="10"/>
      <c r="T95" s="10" t="s">
        <v>291</v>
      </c>
      <c r="U95" s="10"/>
      <c r="V95" s="10"/>
      <c r="W95" s="10"/>
      <c r="X95" s="10"/>
      <c r="Z95" s="10" t="s">
        <v>222</v>
      </c>
      <c r="AA95" s="10" t="s">
        <v>238</v>
      </c>
      <c r="AB95" s="10" t="s">
        <v>238</v>
      </c>
      <c r="AC95" s="10" t="s">
        <v>238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P95" s="14"/>
    </row>
    <row r="96" spans="1:42" s="1" customFormat="1" ht="39" x14ac:dyDescent="0.2">
      <c r="A96" s="10">
        <v>90</v>
      </c>
      <c r="B96" s="10"/>
      <c r="C96" s="10"/>
      <c r="D96" s="10" t="s">
        <v>166</v>
      </c>
      <c r="E96" s="29" t="s">
        <v>394</v>
      </c>
      <c r="F96" s="10" t="s">
        <v>167</v>
      </c>
      <c r="G96" s="10" t="s">
        <v>168</v>
      </c>
      <c r="H96" s="10"/>
      <c r="I96" s="10"/>
      <c r="J96" s="10"/>
      <c r="K96" s="10" t="s">
        <v>228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202</v>
      </c>
      <c r="AA96" s="10" t="s">
        <v>202</v>
      </c>
      <c r="AB96" s="10" t="s">
        <v>202</v>
      </c>
      <c r="AC96" s="10" t="s">
        <v>202</v>
      </c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P96" s="14"/>
    </row>
    <row r="97" spans="1:42" s="1" customFormat="1" ht="26" x14ac:dyDescent="0.2">
      <c r="A97" s="10">
        <v>90</v>
      </c>
      <c r="B97" s="10"/>
      <c r="C97" s="10"/>
      <c r="D97" s="10" t="s">
        <v>45</v>
      </c>
      <c r="E97" s="29" t="s">
        <v>395</v>
      </c>
      <c r="F97" s="10" t="s">
        <v>102</v>
      </c>
      <c r="G97" s="10" t="s">
        <v>101</v>
      </c>
      <c r="H97" s="10"/>
      <c r="I97" s="10" t="s">
        <v>292</v>
      </c>
      <c r="J97" s="10"/>
      <c r="K97" s="10" t="s">
        <v>290</v>
      </c>
      <c r="L97" s="10"/>
      <c r="M97" s="10" t="s">
        <v>198</v>
      </c>
      <c r="N97" s="10"/>
      <c r="O97" s="10"/>
      <c r="P97" s="10"/>
      <c r="Q97" s="10" t="s">
        <v>320</v>
      </c>
      <c r="R97" s="10"/>
      <c r="S97" s="10"/>
      <c r="T97" s="10" t="s">
        <v>293</v>
      </c>
      <c r="U97" s="10"/>
      <c r="V97" s="10"/>
      <c r="W97" s="10"/>
      <c r="X97" s="10"/>
      <c r="Z97" s="10" t="s">
        <v>238</v>
      </c>
      <c r="AA97" s="10" t="s">
        <v>238</v>
      </c>
      <c r="AB97" s="10" t="s">
        <v>222</v>
      </c>
      <c r="AC97" s="10" t="s">
        <v>238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P97" s="14"/>
    </row>
    <row r="98" spans="1:42" s="1" customFormat="1" ht="52" x14ac:dyDescent="0.2">
      <c r="A98" s="40"/>
      <c r="AE98" s="34" t="s">
        <v>396</v>
      </c>
      <c r="AF98" s="34" t="s">
        <v>397</v>
      </c>
      <c r="AG98" s="34" t="s">
        <v>396</v>
      </c>
      <c r="AH98" s="34" t="s">
        <v>397</v>
      </c>
      <c r="AI98" s="34" t="s">
        <v>396</v>
      </c>
      <c r="AJ98" s="34" t="s">
        <v>397</v>
      </c>
      <c r="AK98" s="34" t="s">
        <v>396</v>
      </c>
      <c r="AL98" s="34" t="s">
        <v>397</v>
      </c>
      <c r="AM98" s="34" t="s">
        <v>396</v>
      </c>
      <c r="AN98" s="34" t="s">
        <v>397</v>
      </c>
      <c r="AP98" s="15"/>
    </row>
    <row r="99" spans="1:42" s="1" customFormat="1" x14ac:dyDescent="0.2">
      <c r="A99" s="48">
        <v>100</v>
      </c>
      <c r="B99" s="24" t="s">
        <v>46</v>
      </c>
      <c r="C99" s="24"/>
      <c r="D99" s="24" t="s">
        <v>47</v>
      </c>
      <c r="E99" s="25"/>
      <c r="F99" s="24"/>
      <c r="G99" s="24"/>
      <c r="H99" s="24"/>
      <c r="I99" s="24" t="s">
        <v>194</v>
      </c>
      <c r="J99" s="24"/>
      <c r="K99" s="24" t="s">
        <v>195</v>
      </c>
      <c r="L99" s="24"/>
      <c r="M99" s="24" t="s">
        <v>294</v>
      </c>
      <c r="N99" s="24" t="s">
        <v>198</v>
      </c>
      <c r="O99" s="24"/>
      <c r="P99" s="24"/>
      <c r="Q99" s="28"/>
      <c r="R99" s="28"/>
      <c r="S99" s="28"/>
      <c r="T99" s="28"/>
      <c r="U99" s="28"/>
      <c r="V99" s="28"/>
      <c r="W99" s="28"/>
      <c r="X99" s="28"/>
      <c r="Y99" s="51"/>
      <c r="Z99" s="28"/>
      <c r="AA99" s="28"/>
      <c r="AB99" s="28"/>
      <c r="AC99" s="28"/>
      <c r="AD99" s="51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51"/>
      <c r="AP99" s="27"/>
    </row>
    <row r="100" spans="1:42" s="1" customFormat="1" x14ac:dyDescent="0.2">
      <c r="A100" s="2"/>
      <c r="B100" s="3"/>
      <c r="C100" s="3"/>
      <c r="D100" s="4" t="s">
        <v>316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19"/>
    </row>
    <row r="101" spans="1:42" s="1" customFormat="1" x14ac:dyDescent="0.2">
      <c r="A101" s="40"/>
      <c r="AP101" s="15"/>
    </row>
    <row r="102" spans="1:42" s="1" customFormat="1" x14ac:dyDescent="0.2">
      <c r="A102" s="40"/>
      <c r="AP102" s="15"/>
    </row>
    <row r="103" spans="1:42" s="1" customFormat="1" x14ac:dyDescent="0.2">
      <c r="A103" s="40"/>
      <c r="AP103" s="15"/>
    </row>
    <row r="104" spans="1:42" s="1" customFormat="1" x14ac:dyDescent="0.2">
      <c r="A104" s="43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16384" width="9" style="20"/>
  </cols>
  <sheetData>
    <row r="1" spans="1:57" ht="38.25" customHeight="1" thickBot="1" x14ac:dyDescent="0.25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57" t="s">
        <v>4</v>
      </c>
      <c r="B3" s="58"/>
      <c r="C3" s="58"/>
      <c r="D3" s="58"/>
      <c r="E3" s="58"/>
      <c r="F3" s="58"/>
      <c r="G3" s="59"/>
      <c r="H3" s="96" t="s">
        <v>5</v>
      </c>
      <c r="I3" s="58"/>
      <c r="J3" s="58"/>
      <c r="K3" s="58"/>
      <c r="L3" s="58"/>
      <c r="M3" s="58"/>
      <c r="N3" s="59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7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65">
        <v>1</v>
      </c>
      <c r="B4" s="66"/>
      <c r="C4" s="66"/>
      <c r="D4" s="66"/>
      <c r="E4" s="66"/>
      <c r="F4" s="66"/>
      <c r="G4" s="67"/>
      <c r="H4" s="54"/>
      <c r="I4" s="55"/>
      <c r="J4" s="55"/>
      <c r="K4" s="55"/>
      <c r="L4" s="55"/>
      <c r="M4" s="55"/>
      <c r="N4" s="56"/>
      <c r="O4" s="54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60"/>
      <c r="I5" s="71"/>
      <c r="J5" s="71"/>
      <c r="K5" s="71"/>
      <c r="L5" s="71"/>
      <c r="M5" s="71"/>
      <c r="N5" s="72"/>
      <c r="O5" s="73" t="s">
        <v>398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399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60"/>
      <c r="I6" s="71"/>
      <c r="J6" s="71"/>
      <c r="K6" s="71"/>
      <c r="L6" s="71"/>
      <c r="M6" s="71"/>
      <c r="N6" s="72"/>
      <c r="O6" s="60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2"/>
      <c r="AQ6" s="63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60"/>
      <c r="I7" s="71"/>
      <c r="J7" s="71"/>
      <c r="K7" s="71"/>
      <c r="L7" s="71"/>
      <c r="M7" s="71"/>
      <c r="N7" s="72"/>
      <c r="O7" s="60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2"/>
      <c r="AQ7" s="63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4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60"/>
      <c r="I8" s="71"/>
      <c r="J8" s="71"/>
      <c r="K8" s="71"/>
      <c r="L8" s="71"/>
      <c r="M8" s="71"/>
      <c r="N8" s="72"/>
      <c r="O8" s="60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2"/>
      <c r="AQ8" s="63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4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60"/>
      <c r="I9" s="71"/>
      <c r="J9" s="71"/>
      <c r="K9" s="71"/>
      <c r="L9" s="71"/>
      <c r="M9" s="71"/>
      <c r="N9" s="72"/>
      <c r="O9" s="60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2"/>
      <c r="AQ9" s="63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4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60"/>
      <c r="I10" s="71"/>
      <c r="J10" s="71"/>
      <c r="K10" s="71"/>
      <c r="L10" s="71"/>
      <c r="M10" s="71"/>
      <c r="N10" s="72"/>
      <c r="O10" s="60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2"/>
      <c r="AQ10" s="63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4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60"/>
      <c r="I11" s="71"/>
      <c r="J11" s="71"/>
      <c r="K11" s="71"/>
      <c r="L11" s="71"/>
      <c r="M11" s="71"/>
      <c r="N11" s="72"/>
      <c r="O11" s="60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2"/>
      <c r="AQ11" s="63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4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60"/>
      <c r="I12" s="71"/>
      <c r="J12" s="71"/>
      <c r="K12" s="71"/>
      <c r="L12" s="71"/>
      <c r="M12" s="71"/>
      <c r="N12" s="72"/>
      <c r="O12" s="60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2"/>
      <c r="AQ12" s="63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60"/>
      <c r="I13" s="71"/>
      <c r="J13" s="71"/>
      <c r="K13" s="71"/>
      <c r="L13" s="71"/>
      <c r="M13" s="71"/>
      <c r="N13" s="72"/>
      <c r="O13" s="60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2"/>
      <c r="AQ13" s="63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4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60"/>
      <c r="I14" s="71"/>
      <c r="J14" s="71"/>
      <c r="K14" s="71"/>
      <c r="L14" s="71"/>
      <c r="M14" s="71"/>
      <c r="N14" s="72"/>
      <c r="O14" s="60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2"/>
      <c r="AQ14" s="63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4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60"/>
      <c r="I15" s="71"/>
      <c r="J15" s="71"/>
      <c r="K15" s="71"/>
      <c r="L15" s="71"/>
      <c r="M15" s="71"/>
      <c r="N15" s="72"/>
      <c r="O15" s="60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2"/>
      <c r="AQ15" s="63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4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60"/>
      <c r="I16" s="71"/>
      <c r="J16" s="71"/>
      <c r="K16" s="71"/>
      <c r="L16" s="71"/>
      <c r="M16" s="71"/>
      <c r="N16" s="72"/>
      <c r="O16" s="60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2"/>
      <c r="AQ16" s="63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4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60"/>
      <c r="I17" s="71"/>
      <c r="J17" s="71"/>
      <c r="K17" s="71"/>
      <c r="L17" s="71"/>
      <c r="M17" s="71"/>
      <c r="N17" s="72"/>
      <c r="O17" s="60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2"/>
      <c r="AQ17" s="63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4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60"/>
      <c r="I18" s="71"/>
      <c r="J18" s="71"/>
      <c r="K18" s="71"/>
      <c r="L18" s="71"/>
      <c r="M18" s="71"/>
      <c r="N18" s="72"/>
      <c r="O18" s="60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2"/>
      <c r="AQ18" s="63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4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60"/>
      <c r="I19" s="71"/>
      <c r="J19" s="71"/>
      <c r="K19" s="71"/>
      <c r="L19" s="71"/>
      <c r="M19" s="71"/>
      <c r="N19" s="72"/>
      <c r="O19" s="60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2"/>
      <c r="AQ19" s="63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4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60"/>
      <c r="I20" s="71"/>
      <c r="J20" s="71"/>
      <c r="K20" s="71"/>
      <c r="L20" s="71"/>
      <c r="M20" s="71"/>
      <c r="N20" s="72"/>
      <c r="O20" s="60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2"/>
      <c r="AQ20" s="63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4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60"/>
      <c r="I21" s="71"/>
      <c r="J21" s="71"/>
      <c r="K21" s="71"/>
      <c r="L21" s="71"/>
      <c r="M21" s="71"/>
      <c r="N21" s="72"/>
      <c r="O21" s="60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2"/>
      <c r="AQ21" s="63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4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60"/>
      <c r="I22" s="71"/>
      <c r="J22" s="71"/>
      <c r="K22" s="71"/>
      <c r="L22" s="71"/>
      <c r="M22" s="71"/>
      <c r="N22" s="72"/>
      <c r="O22" s="60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2"/>
      <c r="AQ22" s="63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4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60"/>
      <c r="I23" s="71"/>
      <c r="J23" s="71"/>
      <c r="K23" s="71"/>
      <c r="L23" s="71"/>
      <c r="M23" s="71"/>
      <c r="N23" s="72"/>
      <c r="O23" s="60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2"/>
      <c r="AQ23" s="63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4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60"/>
      <c r="I24" s="71"/>
      <c r="J24" s="71"/>
      <c r="K24" s="71"/>
      <c r="L24" s="71"/>
      <c r="M24" s="71"/>
      <c r="N24" s="72"/>
      <c r="O24" s="60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2"/>
      <c r="AQ24" s="63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4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60"/>
      <c r="I25" s="71"/>
      <c r="J25" s="71"/>
      <c r="K25" s="71"/>
      <c r="L25" s="71"/>
      <c r="M25" s="71"/>
      <c r="N25" s="72"/>
      <c r="O25" s="60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2"/>
      <c r="AQ25" s="63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4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60"/>
      <c r="I26" s="71"/>
      <c r="J26" s="71"/>
      <c r="K26" s="71"/>
      <c r="L26" s="71"/>
      <c r="M26" s="71"/>
      <c r="N26" s="72"/>
      <c r="O26" s="60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2"/>
      <c r="AQ26" s="63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4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60"/>
      <c r="I27" s="71"/>
      <c r="J27" s="71"/>
      <c r="K27" s="71"/>
      <c r="L27" s="71"/>
      <c r="M27" s="71"/>
      <c r="N27" s="72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2"/>
      <c r="AQ27" s="63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4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60"/>
      <c r="I28" s="71"/>
      <c r="J28" s="71"/>
      <c r="K28" s="71"/>
      <c r="L28" s="71"/>
      <c r="M28" s="71"/>
      <c r="N28" s="72"/>
      <c r="O28" s="60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2"/>
      <c r="AQ28" s="63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4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60"/>
      <c r="I29" s="71"/>
      <c r="J29" s="71"/>
      <c r="K29" s="71"/>
      <c r="L29" s="71"/>
      <c r="M29" s="71"/>
      <c r="N29" s="72"/>
      <c r="O29" s="60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2"/>
      <c r="AQ29" s="63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4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60"/>
      <c r="I30" s="71"/>
      <c r="J30" s="71"/>
      <c r="K30" s="71"/>
      <c r="L30" s="71"/>
      <c r="M30" s="71"/>
      <c r="N30" s="72"/>
      <c r="O30" s="60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2"/>
      <c r="AQ30" s="63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4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60"/>
      <c r="I31" s="71"/>
      <c r="J31" s="71"/>
      <c r="K31" s="71"/>
      <c r="L31" s="71"/>
      <c r="M31" s="71"/>
      <c r="N31" s="72"/>
      <c r="O31" s="60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2"/>
      <c r="AQ31" s="63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4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60"/>
      <c r="I32" s="71"/>
      <c r="J32" s="71"/>
      <c r="K32" s="71"/>
      <c r="L32" s="71"/>
      <c r="M32" s="71"/>
      <c r="N32" s="72"/>
      <c r="O32" s="60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2"/>
      <c r="AQ32" s="63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4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60"/>
      <c r="I33" s="71"/>
      <c r="J33" s="71"/>
      <c r="K33" s="71"/>
      <c r="L33" s="71"/>
      <c r="M33" s="71"/>
      <c r="N33" s="72"/>
      <c r="O33" s="60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2"/>
      <c r="AQ33" s="63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4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60"/>
      <c r="I34" s="71"/>
      <c r="J34" s="71"/>
      <c r="K34" s="71"/>
      <c r="L34" s="71"/>
      <c r="M34" s="71"/>
      <c r="N34" s="72"/>
      <c r="O34" s="60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2"/>
      <c r="AQ34" s="63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4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2026-03-27T05:43:18Z</dcterms:modified>
  <cp:category/>
</cp:coreProperties>
</file>