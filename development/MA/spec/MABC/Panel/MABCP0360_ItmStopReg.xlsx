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D7B462B0-5A21-4417-AD1E-ED97D09ECBF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3" i="1" l="1"/>
  <c r="F3" i="1"/>
  <c r="F2" i="1"/>
  <c r="A14" i="1" l="1"/>
  <c r="A16" i="1" s="1"/>
  <c r="AF8" i="1"/>
  <c r="AH8" i="1"/>
  <c r="AJ8" i="1"/>
  <c r="A17" i="1" l="1"/>
  <c r="A18" i="1" s="1"/>
  <c r="A20" i="1" l="1"/>
  <c r="A21" i="1" l="1"/>
  <c r="A23" i="1" s="1"/>
  <c r="A24" i="1" s="1"/>
  <c r="A25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9" i="1" l="1"/>
  <c r="A100" i="1" s="1"/>
  <c r="A101" i="1" s="1"/>
  <c r="A103" i="1" l="1"/>
  <c r="A105" i="1" s="1"/>
  <c r="A106" i="1" l="1"/>
  <c r="A108" i="1" s="1"/>
  <c r="A109" i="1" s="1"/>
  <c r="A110" i="1" s="1"/>
  <c r="A111" i="1" s="1"/>
  <c r="A112" i="1" s="1"/>
  <c r="A113" i="1" s="1"/>
  <c r="A114" i="1" s="1"/>
  <c r="A115" i="1" s="1"/>
  <c r="A116" i="1" s="1"/>
  <c r="A118" i="1" l="1"/>
  <c r="A120" i="1" s="1"/>
  <c r="A122" i="1" l="1"/>
  <c r="A124" i="1" l="1"/>
  <c r="A126" i="1" s="1"/>
  <c r="A128" i="1" l="1"/>
  <c r="A130" i="1" s="1"/>
  <c r="A132" i="1" s="1"/>
  <c r="A134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7" i="1" s="1"/>
  <c r="A178" i="1" s="1"/>
  <c r="A179" i="1" s="1"/>
  <c r="A180" i="1" s="1"/>
  <c r="A181" i="1" s="1"/>
  <c r="A182" i="1" s="1"/>
  <c r="A183" i="1" s="1"/>
  <c r="A184" i="1" s="1"/>
  <c r="A186" i="1" s="1"/>
</calcChain>
</file>

<file path=xl/sharedStrings.xml><?xml version="1.0" encoding="utf-8"?>
<sst xmlns="http://schemas.openxmlformats.org/spreadsheetml/2006/main" count="1729" uniqueCount="612">
  <si>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</si>
  <si>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</si>
  <si>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</si>
  <si>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</si>
  <si>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</si>
  <si>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</si>
  <si>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</si>
  <si>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</si>
  <si>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</si>
  <si>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</si>
  <si>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</si>
  <si>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</si>
  <si>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</si>
  <si>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</si>
  <si>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L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</si>
  <si>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</si>
  <si>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</si>
  <si>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</si>
  <si>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</si>
  <si>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</si>
  <si>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</si>
  <si>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F17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</si>
  <si>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</si>
  <si>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</si>
  <si>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</si>
  <si>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</si>
  <si>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</si>
  <si>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</si>
  <si>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</si>
  <si>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</si>
  <si>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</si>
  <si>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</si>
  <si>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</si>
  <si>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</si>
  <si>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</si>
  <si>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</si>
  <si>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</si>
  <si>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</si>
  <si>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</si>
  <si>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</si>
  <si>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</si>
  <si>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</si>
  <si>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</si>
  <si>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</si>
  <si>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</si>
  <si>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</si>
  <si>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</si>
  <si>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N</t>
    <phoneticPr fontId="6"/>
  </si>
  <si>
    <t>del@EastBtn</t>
    <phoneticPr fontId="6"/>
  </si>
  <si>
    <t>*</t>
    <phoneticPr fontId="6"/>
  </si>
  <si>
    <t>EastBtn</t>
    <phoneticPr fontId="6"/>
  </si>
  <si>
    <t>SE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</si>
  <si>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</si>
  <si>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</si>
  <si>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</si>
  <si>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</si>
  <si>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</si>
  <si>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</si>
  <si>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</si>
  <si>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</si>
  <si>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</si>
  <si>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</si>
  <si>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</si>
  <si>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</si>
  <si>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</si>
  <si>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</si>
  <si>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</si>
  <si>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</si>
  <si>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</si>
  <si>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</si>
  <si>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</si>
  <si>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</si>
  <si>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</si>
  <si>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</si>
  <si>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</si>
  <si>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</si>
  <si>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</si>
  <si>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</si>
  <si>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</si>
  <si>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</si>
  <si>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</si>
  <si>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FLG_GRP</t>
    <phoneticPr fontId="6"/>
  </si>
  <si>
    <t>MABCP0360</t>
    <phoneticPr fontId="6"/>
  </si>
  <si>
    <t>品目禁止マスタ登録</t>
    <phoneticPr fontId="6"/>
  </si>
  <si>
    <t>品目禁止マスタの検索、更新を行います。</t>
  </si>
  <si>
    <t>受注禁止日</t>
  </si>
  <si>
    <t>slo_stop_dt</t>
  </si>
  <si>
    <t>po_stop_dt</t>
  </si>
  <si>
    <t>xfr_stop_dt</t>
  </si>
  <si>
    <t>発注禁止日</t>
    <rPh sb="0" eb="2">
      <t>ハッチュウ</t>
    </rPh>
    <phoneticPr fontId="12"/>
  </si>
  <si>
    <t>売上・出荷禁止日</t>
    <rPh sb="5" eb="7">
      <t>キンシ</t>
    </rPh>
    <phoneticPr fontId="12"/>
  </si>
  <si>
    <t>仕入・入荷禁止日</t>
    <rPh sb="5" eb="7">
      <t>キンシ</t>
    </rPh>
    <phoneticPr fontId="12"/>
  </si>
  <si>
    <t>所要・オーダ禁止日</t>
    <rPh sb="0" eb="2">
      <t>ショヨウ</t>
    </rPh>
    <rPh sb="6" eb="8">
      <t>キンシ</t>
    </rPh>
    <phoneticPr fontId="12"/>
  </si>
  <si>
    <t>移送・移動禁止日</t>
    <rPh sb="0" eb="2">
      <t>イソウ</t>
    </rPh>
    <rPh sb="3" eb="5">
      <t>イドウ</t>
    </rPh>
    <rPh sb="5" eb="7">
      <t>キンシ</t>
    </rPh>
    <phoneticPr fontId="12"/>
  </si>
  <si>
    <t>sls_stop_dt</t>
  </si>
  <si>
    <t>purc_stop_dt</t>
  </si>
  <si>
    <t>order_stop_dt</t>
  </si>
  <si>
    <t>受注</t>
  </si>
  <si>
    <t>受注　許可</t>
  </si>
  <si>
    <t>許可</t>
  </si>
  <si>
    <t>受注　禁止</t>
  </si>
  <si>
    <t>禁止</t>
  </si>
  <si>
    <t>受注禁止日ＦＲＯＭ</t>
  </si>
  <si>
    <t>受注禁止日ＴＯ</t>
  </si>
  <si>
    <t>～</t>
  </si>
  <si>
    <t>発注</t>
  </si>
  <si>
    <t>発注　許可</t>
  </si>
  <si>
    <t>発注　禁止</t>
  </si>
  <si>
    <t>発注禁止日ＦＲＯＭ</t>
  </si>
  <si>
    <t>発注禁止日ＴＯ</t>
  </si>
  <si>
    <t>売上・出荷</t>
  </si>
  <si>
    <t>売上・出荷　許可</t>
  </si>
  <si>
    <t>売上・出荷　禁止</t>
  </si>
  <si>
    <t>売上・出荷禁止日ＦＲＯＭ</t>
  </si>
  <si>
    <t>売上・出荷禁止日ＴＯ</t>
  </si>
  <si>
    <t>仕入・入荷</t>
  </si>
  <si>
    <t>仕入・入荷　許可</t>
  </si>
  <si>
    <t>仕入・入荷　禁止</t>
  </si>
  <si>
    <t>仕入・入荷禁止日ＦＲＯＭ</t>
  </si>
  <si>
    <t>仕入・入荷禁止日ＴＯ</t>
  </si>
  <si>
    <t>所要・オーダ</t>
  </si>
  <si>
    <t>所要・オーダ　許可</t>
  </si>
  <si>
    <t>所要・オーダ　禁止</t>
  </si>
  <si>
    <t>所要・オーダ禁止日ＦＲＯＭ</t>
  </si>
  <si>
    <t>所要・オーダ禁止日ＴＯ</t>
  </si>
  <si>
    <t>移送・移動</t>
  </si>
  <si>
    <t>移送・移動　許可</t>
  </si>
  <si>
    <t>移送・移動　禁止</t>
  </si>
  <si>
    <t>移送・移動禁止日ＦＲＯＭ</t>
  </si>
  <si>
    <t>移送・移動禁止日ＴＯ</t>
  </si>
  <si>
    <t>mfg_inst_stop_dt</t>
  </si>
  <si>
    <t>製造指図禁止日</t>
    <phoneticPr fontId="12"/>
  </si>
  <si>
    <t>出荷指図禁止日ＦＲＯＭ</t>
  </si>
  <si>
    <t>出荷指図禁止日ＴＯ</t>
  </si>
  <si>
    <t>出荷指図禁止日</t>
    <phoneticPr fontId="12"/>
  </si>
  <si>
    <t>ship_inst_stop_dt</t>
  </si>
  <si>
    <t>製造指図　許可</t>
    <phoneticPr fontId="6"/>
  </si>
  <si>
    <t>製造指図　禁止</t>
    <phoneticPr fontId="6"/>
  </si>
  <si>
    <t>製造指図禁止日ＦＲＯＭ</t>
    <phoneticPr fontId="6"/>
  </si>
  <si>
    <t>製造指図禁止日ＴＯ</t>
    <phoneticPr fontId="6"/>
  </si>
  <si>
    <t>出荷指図　許可</t>
    <phoneticPr fontId="6"/>
  </si>
  <si>
    <t>出荷指図　禁止</t>
    <phoneticPr fontId="6"/>
  </si>
  <si>
    <t>itm_p</t>
    <phoneticPr fontId="6"/>
  </si>
  <si>
    <t>itm_p.itm_cd#</t>
    <phoneticPr fontId="6"/>
  </si>
  <si>
    <t>itm_p.itm_sub1#</t>
    <phoneticPr fontId="6"/>
  </si>
  <si>
    <t>itm_p.itm_sub2#</t>
    <phoneticPr fontId="6"/>
  </si>
  <si>
    <t>itm_p.itm_nm#</t>
    <phoneticPr fontId="6"/>
  </si>
  <si>
    <t>削除する</t>
    <phoneticPr fontId="6"/>
  </si>
  <si>
    <t>$image.DELETE$削除する</t>
    <phoneticPr fontId="6"/>
  </si>
  <si>
    <t>更新する</t>
  </si>
  <si>
    <t>$image.REGISTER$更新する</t>
    <rPh sb="16" eb="18">
      <t>コウシン</t>
    </rPh>
    <phoneticPr fontId="6"/>
  </si>
  <si>
    <t>itm_typ_p.itm_typ#</t>
    <phoneticPr fontId="6"/>
  </si>
  <si>
    <t>itm_typ_p.itm_typ_nm#</t>
    <phoneticPr fontId="6"/>
  </si>
  <si>
    <t>itm_typ_p.itm_typ_d_cd#</t>
    <phoneticPr fontId="6"/>
  </si>
  <si>
    <t>itm_typ_p.itm_typ_d_nm#</t>
    <phoneticPr fontId="6"/>
  </si>
  <si>
    <t>itm_typ</t>
  </si>
  <si>
    <t>itm_typ_d_cd</t>
  </si>
  <si>
    <t>itm_typ_d_nm</t>
  </si>
  <si>
    <t>tab1</t>
  </si>
  <si>
    <t>tab2</t>
  </si>
  <si>
    <t>Tab1</t>
    <phoneticPr fontId="6"/>
  </si>
  <si>
    <t>itm_grp_cd1@Tab2</t>
    <phoneticPr fontId="6"/>
  </si>
  <si>
    <t>品目分類１</t>
  </si>
  <si>
    <t>LIST_OUT_BASE</t>
    <phoneticPr fontId="6"/>
  </si>
  <si>
    <t>itm_grp_nm1@Tab2</t>
    <phoneticPr fontId="6"/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</si>
  <si>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</si>
  <si>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</si>
  <si>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</si>
  <si>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</si>
  <si>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</si>
  <si>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</si>
  <si>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</si>
  <si>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</si>
  <si>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</si>
  <si>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</si>
  <si>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</si>
  <si>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</si>
  <si>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</si>
  <si>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</si>
  <si>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</si>
  <si>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</si>
  <si>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</si>
  <si>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</si>
  <si>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</si>
  <si>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</si>
  <si>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</si>
  <si>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</si>
  <si>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</si>
  <si>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</si>
  <si>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</si>
  <si>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</si>
  <si>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</si>
  <si>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</si>
  <si>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itm_grp_cd2@Tab2</t>
    <phoneticPr fontId="6"/>
  </si>
  <si>
    <t>itm_grp_nm2@Tab2</t>
    <phoneticPr fontId="6"/>
  </si>
  <si>
    <t>itm_grp_cd3@Tab2</t>
    <phoneticPr fontId="6"/>
  </si>
  <si>
    <t>itm_grp_nm3@Tab2</t>
    <phoneticPr fontId="6"/>
  </si>
  <si>
    <t>itm_grp_cd4@Tab2</t>
    <phoneticPr fontId="6"/>
  </si>
  <si>
    <t>itm_grp_nm4@Tab2</t>
    <phoneticPr fontId="6"/>
  </si>
  <si>
    <t>itm_grp_cd5@Tab2</t>
    <phoneticPr fontId="6"/>
  </si>
  <si>
    <t>itm_grp_nm5@Tab2</t>
    <phoneticPr fontId="6"/>
  </si>
  <si>
    <t>itm_grp_cd6@Tab2</t>
    <phoneticPr fontId="6"/>
  </si>
  <si>
    <t>itm_grp_nm6@Tab2</t>
    <phoneticPr fontId="6"/>
  </si>
  <si>
    <t>itm_grp_cd7@Tab2</t>
    <phoneticPr fontId="6"/>
  </si>
  <si>
    <t>itm_grp_nm7@Tab2</t>
    <phoneticPr fontId="6"/>
  </si>
  <si>
    <t>itm_grp_cd8@Tab2</t>
    <phoneticPr fontId="6"/>
  </si>
  <si>
    <t>itm_grp_nm8@Tab2</t>
    <phoneticPr fontId="6"/>
  </si>
  <si>
    <t>itm_grp_cd9@Tab2</t>
    <phoneticPr fontId="6"/>
  </si>
  <si>
    <t>itm_grp_nm9@Tab2</t>
    <phoneticPr fontId="6"/>
  </si>
  <si>
    <t>itm_grp_cd10@Tab2</t>
    <phoneticPr fontId="6"/>
  </si>
  <si>
    <t>itm_grp_nm10@Tab2</t>
    <phoneticPr fontId="6"/>
  </si>
  <si>
    <t>Tab2</t>
    <phoneticPr fontId="6"/>
  </si>
  <si>
    <t>論理削除.オフ</t>
  </si>
  <si>
    <t>オフ</t>
  </si>
  <si>
    <t>論理削除.オン</t>
  </si>
  <si>
    <t>オン</t>
  </si>
  <si>
    <t>LIST_IN_BASE</t>
    <phoneticPr fontId="6"/>
  </si>
  <si>
    <t>LIST_IN</t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</si>
  <si>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</si>
  <si>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</si>
  <si>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</si>
  <si>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</si>
  <si>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</si>
  <si>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itm_p.itm_nm#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</si>
  <si>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</si>
  <si>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</si>
  <si>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</si>
  <si>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品目分類ＣＤ１</t>
    <phoneticPr fontId="6"/>
  </si>
  <si>
    <t>品目分類</t>
    <rPh sb="2" eb="4">
      <t>ブンルイ</t>
    </rPh>
    <phoneticPr fontId="6"/>
  </si>
  <si>
    <t>UPD,登録・訂正する,0;DEL,削除する（管理者）,1;REF,参照する,3</t>
    <phoneticPr fontId="6"/>
  </si>
  <si>
    <t>品目区分</t>
    <rPh sb="0" eb="2">
      <t>ヒンモク</t>
    </rPh>
    <rPh sb="2" eb="4">
      <t>クブン</t>
    </rPh>
    <phoneticPr fontId="7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</si>
  <si>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</si>
  <si>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7"/>
  </si>
  <si>
    <t>品目区分詳細ＣＤ</t>
    <rPh sb="0" eb="2">
      <t>ヒンモク</t>
    </rPh>
    <rPh sb="2" eb="4">
      <t>クブン</t>
    </rPh>
    <rPh sb="4" eb="6">
      <t>ショウサイ</t>
    </rPh>
    <phoneticPr fontId="7"/>
  </si>
  <si>
    <t>品目区分詳細</t>
    <rPh sb="0" eb="2">
      <t>ヒンモク</t>
    </rPh>
    <rPh sb="2" eb="4">
      <t>クブン</t>
    </rPh>
    <rPh sb="4" eb="6">
      <t>ショウサイ</t>
    </rPh>
    <phoneticPr fontId="7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</si>
  <si>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7"/>
  </si>
  <si>
    <t>cnd</t>
    <phoneticPr fontId="6"/>
  </si>
  <si>
    <t>CndTab</t>
    <phoneticPr fontId="6"/>
  </si>
  <si>
    <t>slo_stop_f_flg@SloWrk</t>
  </si>
  <si>
    <t>slo_stop_t_flg@SloWrk</t>
  </si>
  <si>
    <t>slo_stop_dt_fr@SloWrk</t>
  </si>
  <si>
    <t>slo_stop_dt_to@SloWrk</t>
  </si>
  <si>
    <t>po_stop_f_flg@PoWrk</t>
  </si>
  <si>
    <t>po_stop_t_flg@PoWrk</t>
  </si>
  <si>
    <t>po_stop_dt_fr@PoWrk</t>
  </si>
  <si>
    <t>po_stop_dt_to@PoWrk</t>
  </si>
  <si>
    <t>sls_stop_f_flg@SlsWrk</t>
  </si>
  <si>
    <t>sls_stop_t_flg@SlsWrk</t>
  </si>
  <si>
    <t>sls_stop_dt_fr@SlsWrk</t>
  </si>
  <si>
    <t>sls_stop_dt_to@SlsWrk</t>
  </si>
  <si>
    <t>purc_stop_f_flg@PurcWrk</t>
  </si>
  <si>
    <t>purc_stop_t_flg@PurcWrk</t>
  </si>
  <si>
    <t>purc_stop_dt_fr@PurcWrk</t>
  </si>
  <si>
    <t>purc_stop_dt_to@PurcWrk</t>
  </si>
  <si>
    <t>order_stop_f_flg@OrderWrk</t>
  </si>
  <si>
    <t>order_stop_t_flg@OrderWrk</t>
  </si>
  <si>
    <t>order_stop_dt_fr@OrderWrk</t>
  </si>
  <si>
    <t>order_stop_dt_to@OrderWrk</t>
  </si>
  <si>
    <t>mfg_inst_stop_f_flg@MfgWrk</t>
  </si>
  <si>
    <t>mfg_inst_stop_t_flg@MfgWrk</t>
  </si>
  <si>
    <t>mfg_inst_stop_dt_fr@MfgWrk</t>
  </si>
  <si>
    <t>mfg_inst_stop_dt_to@MfgWrk</t>
  </si>
  <si>
    <t>ship_inst_stop_f_flg@ShipWrk</t>
  </si>
  <si>
    <t>ship_inst_stop_t_flg@ShipWrk</t>
  </si>
  <si>
    <t>ship_inst_stop_dt_fr@ShipWrk</t>
  </si>
  <si>
    <t>ship_inst_stop_dt_to@ShipWrk</t>
  </si>
  <si>
    <t>xfr_stop_f_flg@XfrWrk</t>
  </si>
  <si>
    <t>xfr_stop_t_flg@XfrWrk</t>
  </si>
  <si>
    <t>xfr_stop_dt_fr@XfrWrk</t>
  </si>
  <si>
    <t>xfr_stop_dt_to@XfrWrk</t>
  </si>
  <si>
    <t>禁止日</t>
  </si>
  <si>
    <t>sloWrk</t>
  </si>
  <si>
    <t>poWrk</t>
  </si>
  <si>
    <t>slsWrk</t>
  </si>
  <si>
    <t>purcWrk</t>
  </si>
  <si>
    <t>orderWrk</t>
  </si>
  <si>
    <t>mfgWrk</t>
  </si>
  <si>
    <t>shipWrk</t>
  </si>
  <si>
    <t>xfrWrk</t>
  </si>
  <si>
    <t>SloWrk</t>
  </si>
  <si>
    <t>PoWrk</t>
  </si>
  <si>
    <t>SlsWrk</t>
  </si>
  <si>
    <t>PurcWrk</t>
  </si>
  <si>
    <t>OrderWrk</t>
  </si>
  <si>
    <t>MfgWrk</t>
  </si>
  <si>
    <t>ShipWrk</t>
  </si>
  <si>
    <t>XfrWrk</t>
  </si>
  <si>
    <t>製造指図</t>
  </si>
  <si>
    <t>出荷指図</t>
  </si>
  <si>
    <t>Cnd1</t>
    <phoneticPr fontId="6"/>
  </si>
  <si>
    <t>Cnd2</t>
    <phoneticPr fontId="6"/>
  </si>
  <si>
    <t>itm_typ_p@Cnd2</t>
    <phoneticPr fontId="6"/>
  </si>
  <si>
    <t>itm_p@Cnd2</t>
    <phoneticPr fontId="6"/>
  </si>
  <si>
    <t>memo1@Cnd2</t>
    <phoneticPr fontId="6"/>
  </si>
  <si>
    <t>memo2@Cnd2</t>
    <phoneticPr fontId="6"/>
  </si>
  <si>
    <t>memo3@Cnd2</t>
    <phoneticPr fontId="6"/>
  </si>
  <si>
    <t>del_flg_lab@Cnd2</t>
    <phoneticPr fontId="6"/>
  </si>
  <si>
    <t>off_del_flg@Cnd2</t>
    <phoneticPr fontId="6"/>
  </si>
  <si>
    <t>on_del_flg@Cnd2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</si>
  <si>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</si>
  <si>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</si>
  <si>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</si>
  <si>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</si>
  <si>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</si>
  <si>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</si>
  <si>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</si>
  <si>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</si>
  <si>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</si>
  <si>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</si>
  <si>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</si>
  <si>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</si>
  <si>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</si>
  <si>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</si>
  <si>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</si>
  <si>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</si>
  <si>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</si>
  <si>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</si>
  <si>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</si>
  <si>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</si>
  <si>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</si>
  <si>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</si>
  <si>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</si>
  <si>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</si>
  <si>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</si>
  <si>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</si>
  <si>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</si>
  <si>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</si>
  <si>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</si>
  <si>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</si>
  <si>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</si>
  <si>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</si>
  <si>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</si>
  <si>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</si>
  <si>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</si>
  <si>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</si>
  <si>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TAB</t>
    <phoneticPr fontId="6"/>
  </si>
  <si>
    <t>Srch01_Cnd</t>
    <phoneticPr fontId="6"/>
  </si>
  <si>
    <t>#MA.FLG</t>
    <phoneticPr fontId="6"/>
  </si>
  <si>
    <t>K</t>
    <phoneticPr fontId="6"/>
  </si>
  <si>
    <t>E</t>
    <phoneticPr fontId="6"/>
  </si>
  <si>
    <t>#MA.DT</t>
    <phoneticPr fontId="6"/>
  </si>
  <si>
    <t>SC</t>
    <phoneticPr fontId="6"/>
  </si>
  <si>
    <t>MA.MAUBP0100.ItmTyp</t>
    <phoneticPr fontId="6"/>
  </si>
  <si>
    <t>ENABLE</t>
    <phoneticPr fontId="6"/>
  </si>
  <si>
    <t>RI</t>
    <phoneticPr fontId="6"/>
  </si>
  <si>
    <t>CI</t>
    <phoneticPr fontId="6"/>
  </si>
  <si>
    <t>itm_typ</t>
    <phoneticPr fontId="6"/>
  </si>
  <si>
    <t>itm_typ_d_cd</t>
    <phoneticPr fontId="6"/>
  </si>
  <si>
    <t>itm_typ_d_nm</t>
    <phoneticPr fontId="6"/>
  </si>
  <si>
    <t>MA.MAUBP0030.Itm</t>
    <phoneticPr fontId="6"/>
  </si>
  <si>
    <t>ENABLE_SRCH</t>
    <phoneticPr fontId="6"/>
  </si>
  <si>
    <t>MAC_ITM_IS_SRCH_TYP.NOT_ASSET3</t>
    <phoneticPr fontId="6"/>
  </si>
  <si>
    <t>itm_is_srch_typ</t>
    <phoneticPr fontId="6"/>
  </si>
  <si>
    <t>itm_cd</t>
    <phoneticPr fontId="6"/>
  </si>
  <si>
    <t>itm_sub1</t>
    <phoneticPr fontId="6"/>
  </si>
  <si>
    <t>itm_sub2</t>
    <phoneticPr fontId="6"/>
  </si>
  <si>
    <t>itm_sub3</t>
    <phoneticPr fontId="6"/>
  </si>
  <si>
    <t>itm_nm</t>
    <phoneticPr fontId="6"/>
  </si>
  <si>
    <t>#MA.MST_MEMO1</t>
    <phoneticPr fontId="6"/>
  </si>
  <si>
    <t>FA</t>
    <phoneticPr fontId="6"/>
  </si>
  <si>
    <t>#MA.MST_MEMO2</t>
    <phoneticPr fontId="6"/>
  </si>
  <si>
    <t>#MA.MST_MEMO3</t>
    <phoneticPr fontId="6"/>
  </si>
  <si>
    <t>LAB</t>
    <phoneticPr fontId="6"/>
  </si>
  <si>
    <t>del_flg</t>
    <phoneticPr fontId="6"/>
  </si>
  <si>
    <t>#MA.ITM_GRP_CD</t>
    <phoneticPr fontId="6"/>
  </si>
  <si>
    <t>C2A</t>
    <phoneticPr fontId="6"/>
  </si>
  <si>
    <t>MA.MAUAP0010.ItmGrp1</t>
    <phoneticPr fontId="6"/>
  </si>
  <si>
    <t>itm_grp_nm1</t>
    <phoneticPr fontId="6"/>
  </si>
  <si>
    <t>itm_grp_nm</t>
    <phoneticPr fontId="6"/>
  </si>
  <si>
    <t>#MA.ITM_GRP_NM</t>
    <phoneticPr fontId="6"/>
  </si>
  <si>
    <t>MA.MAUAP0010.ItmGrp2</t>
    <phoneticPr fontId="6"/>
  </si>
  <si>
    <t>itm_grp_nm2</t>
    <phoneticPr fontId="6"/>
  </si>
  <si>
    <t>MA.MAUAP0010.ItmGrp3</t>
    <phoneticPr fontId="6"/>
  </si>
  <si>
    <t>itm_grp_nm3</t>
    <phoneticPr fontId="6"/>
  </si>
  <si>
    <t>MA.MAUAP0010.ItmGrp4</t>
    <phoneticPr fontId="6"/>
  </si>
  <si>
    <t>itm_grp_nm4</t>
    <phoneticPr fontId="6"/>
  </si>
  <si>
    <t>MA.MAUAP0010.ItmGrp5</t>
    <phoneticPr fontId="6"/>
  </si>
  <si>
    <t>itm_grp_nm5</t>
    <phoneticPr fontId="6"/>
  </si>
  <si>
    <t>MA.MAUAP0010.ItmGrp6</t>
    <phoneticPr fontId="6"/>
  </si>
  <si>
    <t>itm_grp_nm6</t>
    <phoneticPr fontId="6"/>
  </si>
  <si>
    <t>MA.MAUAP0010.ItmGrp7</t>
    <phoneticPr fontId="6"/>
  </si>
  <si>
    <t>itm_grp_nm7</t>
    <phoneticPr fontId="6"/>
  </si>
  <si>
    <t>MA.MAUAP0010.ItmGrp8</t>
    <phoneticPr fontId="6"/>
  </si>
  <si>
    <t>itm_grp_nm8</t>
    <phoneticPr fontId="6"/>
  </si>
  <si>
    <t>MA.MAUAP0010.ItmGrp9</t>
    <phoneticPr fontId="6"/>
  </si>
  <si>
    <t>itm_grp_nm9</t>
    <phoneticPr fontId="6"/>
  </si>
  <si>
    <t>MA.MAUAP0010.ItmGrp10</t>
    <phoneticPr fontId="6"/>
  </si>
  <si>
    <t>itm_grp_nm10</t>
    <phoneticPr fontId="6"/>
  </si>
  <si>
    <t>NV</t>
    <phoneticPr fontId="6"/>
  </si>
  <si>
    <t>S</t>
    <phoneticPr fontId="35"/>
  </si>
  <si>
    <t>FX.FXBAP0130</t>
    <phoneticPr fontId="35"/>
  </si>
  <si>
    <t>NC</t>
    <phoneticPr fontId="6"/>
  </si>
  <si>
    <t>SloWrk</t>
    <phoneticPr fontId="6"/>
  </si>
  <si>
    <t>PoWrk</t>
    <phoneticPr fontId="6"/>
  </si>
  <si>
    <t>SlsWrk</t>
    <phoneticPr fontId="6"/>
  </si>
  <si>
    <t>PurcWrk</t>
    <phoneticPr fontId="6"/>
  </si>
  <si>
    <t>OrderWrk</t>
    <phoneticPr fontId="6"/>
  </si>
  <si>
    <t>MfgWrk</t>
    <phoneticPr fontId="6"/>
  </si>
  <si>
    <t>ShipWrk</t>
    <phoneticPr fontId="6"/>
  </si>
  <si>
    <t>XfrWrk</t>
    <phoneticPr fontId="6"/>
  </si>
  <si>
    <t>NS</t>
    <phoneticPr fontId="6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</si>
  <si>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</si>
  <si>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</si>
  <si>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</si>
  <si>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</si>
  <si>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</si>
  <si>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</si>
  <si>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</si>
  <si>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CM</t>
    <phoneticPr fontId="6"/>
  </si>
  <si>
    <t>MA.MAUBP5030.Itm</t>
    <phoneticPr fontId="6"/>
  </si>
  <si>
    <t>REQUIRED</t>
    <phoneticPr fontId="6"/>
  </si>
  <si>
    <t>READ_ONLY</t>
    <phoneticPr fontId="6"/>
  </si>
  <si>
    <t>MA.MAUAP0010.Itm</t>
    <phoneticPr fontId="6"/>
  </si>
  <si>
    <t>itm_nm;itm_sub1;itm_sub2;itm_sub3;itm_typ;itm_typ_nm;itm_typ_d_cd;itm_typ_d_nm</t>
    <phoneticPr fontId="6"/>
  </si>
  <si>
    <t>MA.MAUAP0010.ItmSub1</t>
    <phoneticPr fontId="6"/>
  </si>
  <si>
    <t>itm_nm;itm_sub2;itm_sub3;itm_typ;itm_typ_nm;itm_typ_d_cd;itm_typ_d_nm</t>
    <phoneticPr fontId="6"/>
  </si>
  <si>
    <t>MAC_ITM_IS_SRCH_TYP.NOT_ASSET3;itm_cd</t>
    <phoneticPr fontId="6"/>
  </si>
  <si>
    <t>itm_is_srch_typ;itm_cd</t>
    <phoneticPr fontId="6"/>
  </si>
  <si>
    <t>MA.MAUAP0010.ItmSub2</t>
    <phoneticPr fontId="6"/>
  </si>
  <si>
    <t>itm_nm;itm_sub3;itm_typ;itm_typ_nm;itm_typ_d_cd;itm_typ_d_nm</t>
    <phoneticPr fontId="6"/>
  </si>
  <si>
    <t>MAC_ITM_IS_SRCH_TYP.NOT_ASSET3;itm_cd;itm_sub1</t>
    <phoneticPr fontId="6"/>
  </si>
  <si>
    <t>itm_is_srch_typ;itm_cd;itm_sub1</t>
    <phoneticPr fontId="6"/>
  </si>
  <si>
    <t>MA.MAUAP0010.ItmSub3</t>
    <phoneticPr fontId="6"/>
  </si>
  <si>
    <t>itm_nm;itm_typ;itm_typ_nm;itm_typ_d_cd;itm_typ_d_nm</t>
    <phoneticPr fontId="6"/>
  </si>
  <si>
    <t>MAC_ITM_IS_SRCH_TYP.NOT_ASSET3;itm_cd;itm_sub1;itm_sub2</t>
    <phoneticPr fontId="6"/>
  </si>
  <si>
    <t>itm_is_srch_typ;itm_cd;itm_sub1;itm_sub2</t>
    <phoneticPr fontId="6"/>
  </si>
  <si>
    <t>#MA.ITM_TYP</t>
    <phoneticPr fontId="6"/>
  </si>
  <si>
    <t>#MA.ITM_TYP_NM</t>
    <phoneticPr fontId="6"/>
  </si>
  <si>
    <t>#MA.ITM_TYP_D_CD</t>
    <phoneticPr fontId="6"/>
  </si>
  <si>
    <t>#MA.ITM_TYP_D_NM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</si>
  <si>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</si>
  <si>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</si>
  <si>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</si>
  <si>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</si>
  <si>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</si>
  <si>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</si>
  <si>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</si>
  <si>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</si>
  <si>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</si>
  <si>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</si>
  <si>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</si>
  <si>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</si>
  <si>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</si>
  <si>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</si>
  <si>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</si>
  <si>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</si>
  <si>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</si>
  <si>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</si>
  <si>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</si>
  <si>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</si>
  <si>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</si>
  <si>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</si>
  <si>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</si>
  <si>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</si>
  <si>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MC</t>
    <phoneticPr fontId="6"/>
  </si>
  <si>
    <t>MABCP_ItmStopReg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</si>
  <si>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</si>
  <si>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</si>
  <si>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</si>
  <si>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</si>
  <si>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</si>
  <si>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</si>
  <si>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</si>
  <si>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</si>
  <si>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</si>
  <si>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</si>
  <si>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</si>
  <si>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</si>
  <si>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</si>
  <si>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</si>
  <si>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itm_p.itm_sub3#</t>
    <phoneticPr fontId="6"/>
  </si>
  <si>
    <t>cnd1</t>
    <phoneticPr fontId="6"/>
  </si>
  <si>
    <r>
      <t>cnd2</t>
    </r>
    <r>
      <rPr>
        <sz val="11"/>
        <color theme="1"/>
        <rFont val="ＭＳ Ｐゴシック"/>
        <family val="2"/>
        <charset val="128"/>
        <scheme val="minor"/>
      </rPr>
      <t/>
    </r>
  </si>
  <si>
    <t>radd</t>
    <phoneticPr fontId="6"/>
  </si>
  <si>
    <t>rdel</t>
    <phoneticPr fontId="6"/>
  </si>
  <si>
    <t>rcopy</t>
    <phoneticPr fontId="6"/>
  </si>
  <si>
    <t>詳細 :</t>
    <rPh sb="0" eb="2">
      <t>ショウサイ</t>
    </rPh>
    <phoneticPr fontId="6"/>
  </si>
  <si>
    <t>MA.MABCL0360.Upd01</t>
    <phoneticPr fontId="6"/>
  </si>
  <si>
    <t>MA.MABCL0360.Del01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</si>
  <si>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</si>
  <si>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</si>
  <si>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</si>
  <si>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</si>
  <si>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</si>
  <si>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</si>
  <si>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</si>
  <si>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</si>
  <si>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</si>
  <si>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</si>
  <si>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</si>
  <si>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</si>
  <si>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</si>
  <si>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</si>
  <si>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</si>
  <si>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</si>
  <si>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</si>
  <si>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</si>
  <si>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</si>
  <si>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</si>
  <si>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</si>
  <si>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</si>
  <si>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</si>
  <si>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</si>
  <si>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</si>
  <si>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</si>
  <si>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Item classification</t>
  </si>
  <si>
    <t>UPD,Create/Modify,0;DEL,Delete (Administrator),1;REF,View,3</t>
  </si>
  <si>
    <t>Allow sales order</t>
  </si>
  <si>
    <t>Prohibit sales order</t>
  </si>
  <si>
    <t>Sales order prohibit date FROM</t>
  </si>
  <si>
    <t>Sales order prohibit date TO</t>
  </si>
  <si>
    <t>Allow PO placement</t>
  </si>
  <si>
    <t>Prohibit PO placement</t>
  </si>
  <si>
    <t>PO prohibit date FROM</t>
  </si>
  <si>
    <t>PO prohibit date TO</t>
  </si>
  <si>
    <t>Allow sales/shipment</t>
  </si>
  <si>
    <t>Prohibit sales/shipment</t>
  </si>
  <si>
    <t>Sales/shipment prohibited date FROM</t>
  </si>
  <si>
    <t>Sales/shipment prohibited date TO</t>
  </si>
  <si>
    <t>Allow purchase/receipt</t>
  </si>
  <si>
    <t>Prohibit purchase/receipt</t>
  </si>
  <si>
    <t>Purchase/receipt prohibit date FROM</t>
  </si>
  <si>
    <t>Purchase/receipt prohibit date TO</t>
  </si>
  <si>
    <t>Allow requirement/order</t>
  </si>
  <si>
    <t>Prohibit requirement/order</t>
  </si>
  <si>
    <t>Requirements/order prohibited date FROM</t>
  </si>
  <si>
    <t>Requirements/order prohibited date TO</t>
  </si>
  <si>
    <t>Allow mfg. order</t>
  </si>
  <si>
    <t>Prohibit mfg. order</t>
  </si>
  <si>
    <t>Mfg. order prohibit date FROM</t>
  </si>
  <si>
    <t>Mfg. order prohibit date TO</t>
  </si>
  <si>
    <t>Allow shipping order</t>
  </si>
  <si>
    <t>Prohibit shipping order</t>
  </si>
  <si>
    <t>Shipping order prohibit date FROM</t>
  </si>
  <si>
    <t>Shipping order prohibit date TO</t>
  </si>
  <si>
    <t>Allow transport/movement</t>
  </si>
  <si>
    <t>Prohibit transport/movement</t>
  </si>
  <si>
    <t>Transport/movement prohibit date FROM</t>
  </si>
  <si>
    <t>Transport/movement prohibit date TO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</si>
  <si>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</si>
  <si>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</si>
  <si>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</si>
  <si>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</si>
  <si>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</si>
  <si>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</si>
  <si>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</si>
  <si>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</si>
  <si>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</si>
  <si>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</si>
  <si>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</si>
  <si>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</si>
  <si>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</si>
  <si>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</si>
  <si>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</si>
  <si>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</si>
  <si>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</si>
  <si>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</si>
  <si>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</si>
  <si>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</si>
  <si>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</si>
  <si>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</si>
  <si>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</si>
  <si>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</si>
  <si>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</si>
  <si>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</si>
  <si>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Sales order</t>
  </si>
  <si>
    <t>PO</t>
  </si>
  <si>
    <t>Sales/shipment</t>
  </si>
  <si>
    <t>Purchase/receipt</t>
  </si>
  <si>
    <t>Requirements/order</t>
  </si>
  <si>
    <t>Mfg. order</t>
  </si>
  <si>
    <t>Shipping order</t>
  </si>
  <si>
    <t>Transport/movement</t>
  </si>
  <si>
    <t>Select</t>
  </si>
  <si>
    <t>Item type</t>
  </si>
  <si>
    <t>Item type name</t>
  </si>
  <si>
    <t>Item type details cd.</t>
  </si>
  <si>
    <t>Item type details name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</si>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</sst>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36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/>
    <xf numFmtId="0" fontId="7" fillId="0" borderId="0">
      <alignment vertical="top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8" fontId="39" fillId="20" borderId="0" applyNumberFormat="0" applyBorder="0" applyAlignment="0" applyProtection="0"/>
    <xf numFmtId="10" fontId="39" fillId="21" borderId="15" applyNumberFormat="0" applyBorder="0" applyAlignment="0" applyProtection="0"/>
    <xf numFmtId="178" fontId="40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7" fillId="0" borderId="0" applyBorder="0" applyAlignment="0"/>
    <xf numFmtId="0" fontId="27" fillId="0" borderId="0"/>
    <xf numFmtId="0" fontId="7" fillId="0" borderId="0">
      <alignment vertical="top"/>
    </xf>
    <xf numFmtId="0" fontId="41" fillId="0" borderId="0">
      <alignment vertical="center"/>
    </xf>
    <xf numFmtId="0" fontId="7" fillId="0" borderId="0" applyNumberFormat="0"/>
    <xf numFmtId="0" fontId="37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6" fillId="30" borderId="7" applyNumberFormat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41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3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8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5" xfId="0" applyFont="1" applyBorder="1" applyAlignment="1">
      <alignment vertical="top"/>
    </xf>
    <xf numFmtId="0" fontId="51" fillId="0" borderId="21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7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18" borderId="47" xfId="0" applyFont="1" applyFill="1" applyBorder="1">
      <alignment vertical="top" wrapText="1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0" borderId="49" xfId="0" applyFont="1" applyBorder="1">
      <alignment vertical="top" wrapText="1"/>
    </xf>
    <xf numFmtId="0" fontId="51" fillId="19" borderId="47" xfId="0" applyFont="1" applyFill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50" xfId="0" applyFont="1" applyBorder="1">
      <alignment vertical="top" wrapText="1"/>
    </xf>
    <xf numFmtId="0" fontId="51" fillId="0" borderId="51" xfId="0" applyFont="1" applyBorder="1" applyAlignment="1">
      <alignment vertical="top"/>
    </xf>
    <xf numFmtId="0" fontId="51" fillId="0" borderId="50" xfId="0" applyFont="1" applyBorder="1" applyAlignment="1">
      <alignment vertical="top"/>
    </xf>
    <xf numFmtId="0" fontId="51" fillId="0" borderId="19" xfId="0" applyFont="1" applyBorder="1" applyAlignment="1">
      <alignment vertical="top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0" borderId="53" xfId="0" applyFont="1" applyBorder="1" applyAlignment="1">
      <alignment vertical="top"/>
    </xf>
    <xf numFmtId="0" fontId="51" fillId="18" borderId="54" xfId="0" applyFont="1" applyFill="1" applyBorder="1" applyAlignment="1">
      <alignment vertical="top"/>
    </xf>
    <xf numFmtId="0" fontId="51" fillId="18" borderId="55" xfId="0" applyFont="1" applyFill="1" applyBorder="1" applyAlignment="1">
      <alignment vertical="top"/>
    </xf>
    <xf numFmtId="0" fontId="51" fillId="0" borderId="56" xfId="0" applyFont="1" applyBorder="1" applyAlignment="1">
      <alignment vertical="top"/>
    </xf>
    <xf numFmtId="0" fontId="51" fillId="19" borderId="54" xfId="0" applyFont="1" applyFill="1" applyBorder="1" applyAlignment="1">
      <alignment vertical="top"/>
    </xf>
    <xf numFmtId="0" fontId="51" fillId="0" borderId="57" xfId="0" applyFont="1" applyBorder="1" applyAlignment="1">
      <alignment vertical="top"/>
    </xf>
    <xf numFmtId="0" fontId="51" fillId="19" borderId="47" xfId="0" applyFont="1" applyFill="1" applyBorder="1">
      <alignment vertical="top" wrapText="1"/>
    </xf>
    <xf numFmtId="0" fontId="51" fillId="18" borderId="50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46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8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0" borderId="18" xfId="0" applyFont="1" applyBorder="1">
      <alignment vertical="top" wrapText="1"/>
    </xf>
    <xf numFmtId="0" fontId="51" fillId="18" borderId="20" xfId="0" applyFont="1" applyFill="1" applyBorder="1">
      <alignment vertical="top" wrapText="1"/>
    </xf>
    <xf numFmtId="0" fontId="51" fillId="0" borderId="51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52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18" borderId="54" xfId="0" applyFont="1" applyFill="1" applyBorder="1">
      <alignment vertical="top" wrapText="1"/>
    </xf>
    <xf numFmtId="0" fontId="51" fillId="0" borderId="56" xfId="0" applyFont="1" applyBorder="1">
      <alignment vertical="top" wrapText="1"/>
    </xf>
    <xf numFmtId="0" fontId="51" fillId="31" borderId="47" xfId="0" applyFont="1" applyFill="1" applyBorder="1">
      <alignment vertical="top" wrapText="1"/>
    </xf>
    <xf numFmtId="0" fontId="51" fillId="0" borderId="57" xfId="0" applyFont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15" xfId="0" applyFont="1" applyBorder="1">
      <alignment vertical="top" wrapText="1"/>
    </xf>
    <xf numFmtId="0" fontId="52" fillId="19" borderId="37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38" xfId="137" applyFont="1" applyBorder="1" applyAlignment="1">
      <alignment vertical="center"/>
    </xf>
    <xf numFmtId="0" fontId="54" fillId="19" borderId="39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25" xfId="137" applyFont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25" xfId="139" applyFont="1" applyFill="1" applyBorder="1" applyAlignment="1">
      <alignment horizontal="center" vertical="center"/>
    </xf>
    <xf numFmtId="0" fontId="54" fillId="19" borderId="39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40" xfId="137" applyFont="1" applyBorder="1" applyAlignment="1">
      <alignment horizontal="center" vertical="center"/>
    </xf>
    <xf numFmtId="176" fontId="53" fillId="0" borderId="29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7" xfId="137" applyNumberFormat="1" applyFont="1" applyBorder="1" applyAlignment="1">
      <alignment horizontal="center" vertical="center"/>
    </xf>
    <xf numFmtId="0" fontId="53" fillId="0" borderId="16" xfId="139" applyFont="1" applyBorder="1" applyAlignment="1">
      <alignment horizontal="left" vertical="center" wrapText="1"/>
    </xf>
    <xf numFmtId="0" fontId="53" fillId="0" borderId="2" xfId="137" applyFont="1" applyBorder="1" applyAlignment="1">
      <alignment horizontal="left" vertical="center" wrapText="1"/>
    </xf>
    <xf numFmtId="0" fontId="53" fillId="0" borderId="17" xfId="137" applyFont="1" applyBorder="1" applyAlignment="1">
      <alignment horizontal="left" vertical="center" wrapText="1"/>
    </xf>
    <xf numFmtId="0" fontId="53" fillId="0" borderId="2" xfId="137" applyFont="1" applyBorder="1" applyAlignment="1">
      <alignment vertical="center" wrapText="1"/>
    </xf>
    <xf numFmtId="0" fontId="53" fillId="0" borderId="17" xfId="137" applyFont="1" applyBorder="1" applyAlignment="1">
      <alignment vertical="center" wrapText="1"/>
    </xf>
    <xf numFmtId="0" fontId="53" fillId="0" borderId="16" xfId="139" applyFont="1" applyBorder="1" applyAlignment="1">
      <alignment vertical="center" wrapText="1"/>
    </xf>
    <xf numFmtId="0" fontId="53" fillId="0" borderId="23" xfId="137" applyFont="1" applyBorder="1" applyAlignment="1">
      <alignment vertical="center" wrapText="1"/>
    </xf>
    <xf numFmtId="176" fontId="53" fillId="0" borderId="36" xfId="139" applyNumberFormat="1" applyFont="1" applyBorder="1" applyAlignment="1">
      <alignment horizontal="center" vertical="center"/>
    </xf>
    <xf numFmtId="176" fontId="53" fillId="0" borderId="33" xfId="137" applyNumberFormat="1" applyFont="1" applyBorder="1" applyAlignment="1">
      <alignment horizontal="center" vertical="center"/>
    </xf>
    <xf numFmtId="176" fontId="53" fillId="0" borderId="34" xfId="137" applyNumberFormat="1" applyFont="1" applyBorder="1" applyAlignment="1">
      <alignment horizontal="center" vertical="center"/>
    </xf>
    <xf numFmtId="0" fontId="53" fillId="0" borderId="32" xfId="139" applyFont="1" applyBorder="1" applyAlignment="1">
      <alignment horizontal="left" vertical="center" wrapText="1"/>
    </xf>
    <xf numFmtId="0" fontId="53" fillId="0" borderId="33" xfId="137" applyFont="1" applyBorder="1" applyAlignment="1">
      <alignment horizontal="left" vertical="center" wrapText="1"/>
    </xf>
    <xf numFmtId="0" fontId="53" fillId="0" borderId="34" xfId="137" applyFont="1" applyBorder="1" applyAlignment="1">
      <alignment horizontal="left" vertical="center" wrapText="1"/>
    </xf>
    <xf numFmtId="0" fontId="53" fillId="0" borderId="33" xfId="137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0" fontId="53" fillId="0" borderId="32" xfId="139" applyFont="1" applyBorder="1" applyAlignment="1">
      <alignment vertical="center" wrapText="1"/>
    </xf>
    <xf numFmtId="0" fontId="53" fillId="0" borderId="35" xfId="137" applyFont="1" applyBorder="1" applyAlignment="1">
      <alignment vertical="center" wrapText="1"/>
    </xf>
    <xf numFmtId="0" fontId="53" fillId="0" borderId="30" xfId="139" applyFont="1" applyBorder="1" applyAlignment="1">
      <alignment horizontal="left" vertical="center" wrapText="1"/>
    </xf>
    <xf numFmtId="0" fontId="53" fillId="0" borderId="27" xfId="137" applyFont="1" applyBorder="1" applyAlignment="1">
      <alignment horizontal="left" vertical="center" wrapText="1"/>
    </xf>
    <xf numFmtId="0" fontId="53" fillId="0" borderId="28" xfId="137" applyFont="1" applyBorder="1" applyAlignment="1">
      <alignment horizontal="left" vertical="center" wrapText="1"/>
    </xf>
    <xf numFmtId="0" fontId="54" fillId="19" borderId="24" xfId="139" applyFont="1" applyFill="1" applyBorder="1" applyAlignment="1">
      <alignment horizontal="center" vertical="center"/>
    </xf>
    <xf numFmtId="176" fontId="53" fillId="0" borderId="26" xfId="139" applyNumberFormat="1" applyFont="1" applyBorder="1" applyAlignment="1">
      <alignment horizontal="center" vertical="center"/>
    </xf>
    <xf numFmtId="176" fontId="53" fillId="0" borderId="27" xfId="137" applyNumberFormat="1" applyFont="1" applyBorder="1" applyAlignment="1">
      <alignment horizontal="center" vertical="center"/>
    </xf>
    <xf numFmtId="176" fontId="53" fillId="0" borderId="28" xfId="137" applyNumberFormat="1" applyFont="1" applyBorder="1" applyAlignment="1">
      <alignment horizontal="center" vertical="center"/>
    </xf>
    <xf numFmtId="0" fontId="53" fillId="0" borderId="16" xfId="139" applyFont="1" applyBorder="1" applyAlignment="1">
      <alignment horizontal="left" vertical="center"/>
    </xf>
    <xf numFmtId="0" fontId="53" fillId="0" borderId="56" xfId="137" applyFont="1" applyBorder="1" applyAlignment="1">
      <alignment horizontal="left" vertical="center"/>
    </xf>
    <xf numFmtId="0" fontId="53" fillId="0" borderId="55" xfId="137" applyFont="1" applyBorder="1" applyAlignment="1">
      <alignment horizontal="left" vertical="center"/>
    </xf>
    <xf numFmtId="0" fontId="53" fillId="0" borderId="16" xfId="139" applyFont="1" applyBorder="1" applyAlignment="1">
      <alignment vertical="center"/>
    </xf>
    <xf numFmtId="0" fontId="53" fillId="0" borderId="56" xfId="137" applyFont="1" applyBorder="1" applyAlignment="1">
      <alignment vertical="center"/>
    </xf>
    <xf numFmtId="0" fontId="53" fillId="0" borderId="23" xfId="137" applyFont="1" applyBorder="1" applyAlignment="1">
      <alignment vertical="center"/>
    </xf>
    <xf numFmtId="0" fontId="53" fillId="0" borderId="27" xfId="137" applyFont="1" applyBorder="1" applyAlignment="1">
      <alignment vertical="center" wrapText="1"/>
    </xf>
    <xf numFmtId="0" fontId="53" fillId="0" borderId="28" xfId="137" applyFont="1" applyBorder="1" applyAlignment="1">
      <alignment vertical="center" wrapText="1"/>
    </xf>
    <xf numFmtId="0" fontId="53" fillId="0" borderId="30" xfId="139" applyFont="1" applyBorder="1" applyAlignment="1">
      <alignment vertical="center" wrapText="1"/>
    </xf>
    <xf numFmtId="0" fontId="53" fillId="0" borderId="31" xfId="137" applyFont="1" applyBorder="1" applyAlignment="1">
      <alignment vertical="center" wrapText="1"/>
    </xf>
    <xf numFmtId="0" fontId="51" fillId="0" borderId="16" xfId="0" applyFont="1" applyBorder="1">
      <alignment vertical="top" wrapText="1"/>
    </xf>
    <xf numFmtId="0" fontId="51" fillId="0" borderId="56" xfId="0" applyFont="1" applyBorder="1">
      <alignment vertical="top" wrapText="1"/>
    </xf>
    <xf numFmtId="0" fontId="51" fillId="0" borderId="5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6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</cellXfs>
  <cellStyles count="103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98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99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0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1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2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3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04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05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06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07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08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09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0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1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2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147" xr:uid="{00000000-0005-0000-0000-00004A000000}"/>
    <cellStyle name="Currency [0]" xfId="148" xr:uid="{00000000-0005-0000-0000-00004B000000}"/>
    <cellStyle name="Grey" xfId="149" xr:uid="{00000000-0005-0000-0000-00004C000000}"/>
    <cellStyle name="Header1" xfId="58" xr:uid="{00000000-0005-0000-0000-00004D000000}"/>
    <cellStyle name="Header2" xfId="59" xr:uid="{00000000-0005-0000-0000-00004E000000}"/>
    <cellStyle name="Input [yellow]" xfId="150" xr:uid="{00000000-0005-0000-0000-00004F000000}"/>
    <cellStyle name="Normal - Style1" xfId="151" xr:uid="{00000000-0005-0000-0000-000050000000}"/>
    <cellStyle name="Normal_#18-Internet" xfId="60" xr:uid="{00000000-0005-0000-0000-000051000000}"/>
    <cellStyle name="Percent [2]" xfId="152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3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14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15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16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17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18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19" xr:uid="{00000000-0005-0000-0000-000077000000}"/>
    <cellStyle name="ハイパーリンク 2" xfId="258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20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21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3" xr:uid="{00000000-0005-0000-0000-000083000000}"/>
    <cellStyle name="_x001d__x000c_K_x0014__x000d_&gt;V_x0001_&gt;_x0014_n_x001e__x0007__x0001__x0001_ 2 2 2" xfId="237" xr:uid="{00000000-0005-0000-0000-000084000000}"/>
    <cellStyle name="_x001d__x000c_K_x0014__x000d_&gt;V_x0001_&gt;_x0014_n_x001e__x0007__x0001__x0001_ 2 2 3" xfId="248" xr:uid="{00000000-0005-0000-0000-000085000000}"/>
    <cellStyle name="_x001d__x000c_K_x0014__x000d_&gt;V_x0001_&gt;_x0014_n_x001e__x0007__x0001__x0001_ 2 2 4" xfId="190" xr:uid="{00000000-0005-0000-0000-000086000000}"/>
    <cellStyle name="_x001d__x000c_K_x0014__x000d_&gt;V_x0001_&gt;_x0014_n_x001e__x0007__x0001__x0001_ 2 2 5" xfId="261" xr:uid="{00000000-0005-0000-0000-000087000000}"/>
    <cellStyle name="_x001d__x000c_K_x0014__x000d_&gt;V_x0001_&gt;_x0014_n_x001e__x0007__x0001__x0001_ 2 3" xfId="222" xr:uid="{00000000-0005-0000-0000-000088000000}"/>
    <cellStyle name="_x001d__x000c_K_x0014__x000d_&gt;V_x0001_&gt;_x0014_n_x001e__x0007__x0001__x0001_ 2 4" xfId="584" xr:uid="{00000000-0005-0000-0000-000089000000}"/>
    <cellStyle name="_x001d__x000c_K_x0014__x000d_&gt;V_x0001_&gt;_x0014_n_x001e__x0007__x0001__x0001_ 3" xfId="154" xr:uid="{00000000-0005-0000-0000-00008A000000}"/>
    <cellStyle name="_x001d__x000c_K_x0014__x000d_&gt;V_x0001_&gt;_x0014_n_x001e__x0007__x0001__x0001_ 3 2" xfId="192" xr:uid="{00000000-0005-0000-0000-00008B000000}"/>
    <cellStyle name="_x001d__x000c_K_x0014__x000d_&gt;V_x0001_&gt;_x0014_n_x001e__x0007__x0001__x0001_ 3 3" xfId="238" xr:uid="{00000000-0005-0000-0000-00008C000000}"/>
    <cellStyle name="_x001d__x000c_K_x0014__x000d_&gt;V_x0001_&gt;_x0014_n_x001e__x0007__x0001__x0001_ 3 4" xfId="249" xr:uid="{00000000-0005-0000-0000-00008D000000}"/>
    <cellStyle name="_x001d__x000c_K_x0014__x000d_&gt;V_x0001_&gt;_x0014_n_x001e__x0007__x0001__x0001_ 3 5" xfId="191" xr:uid="{00000000-0005-0000-0000-00008E000000}"/>
    <cellStyle name="_x001d__x000c_K_x0014__x000d_&gt;V_x0001_&gt;_x0014_n_x001e__x0007__x0001__x0001_ 3 6" xfId="583" xr:uid="{00000000-0005-0000-0000-00008F000000}"/>
    <cellStyle name="_x001d__x000c_K_x0014__x000d_&gt;V_x0001_&gt;_x0014_n_x001e__x0007__x0001__x0001_ 4" xfId="193" xr:uid="{00000000-0005-0000-0000-000090000000}"/>
    <cellStyle name="_x001d__x000c_K_x0014__x000d_&gt;V_x0001_&gt;_x0014_n_x001e__x0007__x0001__x0001_ 5" xfId="189" xr:uid="{00000000-0005-0000-0000-000091000000}"/>
    <cellStyle name="悪い 2" xfId="98" xr:uid="{00000000-0005-0000-0000-000092000000}"/>
    <cellStyle name="悪い 3" xfId="99" xr:uid="{00000000-0005-0000-0000-000093000000}"/>
    <cellStyle name="悪い 4" xfId="100" xr:uid="{00000000-0005-0000-0000-000094000000}"/>
    <cellStyle name="悪い 5" xfId="223" xr:uid="{00000000-0005-0000-0000-000095000000}"/>
    <cellStyle name="計算 2" xfId="101" xr:uid="{00000000-0005-0000-0000-000096000000}"/>
    <cellStyle name="計算 3" xfId="102" xr:uid="{00000000-0005-0000-0000-000097000000}"/>
    <cellStyle name="計算 4" xfId="103" xr:uid="{00000000-0005-0000-0000-000098000000}"/>
    <cellStyle name="計算 5" xfId="224" xr:uid="{00000000-0005-0000-0000-000099000000}"/>
    <cellStyle name="警告文 2" xfId="104" xr:uid="{00000000-0005-0000-0000-00009A000000}"/>
    <cellStyle name="警告文 3" xfId="105" xr:uid="{00000000-0005-0000-0000-00009B000000}"/>
    <cellStyle name="警告文 4" xfId="106" xr:uid="{00000000-0005-0000-0000-00009C000000}"/>
    <cellStyle name="桁区切り 2" xfId="165" xr:uid="{00000000-0005-0000-0000-00009D000000}"/>
    <cellStyle name="桁区切り 3" xfId="166" xr:uid="{00000000-0005-0000-0000-00009E000000}"/>
    <cellStyle name="見出し 1 2" xfId="107" xr:uid="{00000000-0005-0000-0000-00009F000000}"/>
    <cellStyle name="見出し 1 3" xfId="108" xr:uid="{00000000-0005-0000-0000-0000A0000000}"/>
    <cellStyle name="見出し 1 4" xfId="109" xr:uid="{00000000-0005-0000-0000-0000A1000000}"/>
    <cellStyle name="見出し 1 5" xfId="225" xr:uid="{00000000-0005-0000-0000-0000A2000000}"/>
    <cellStyle name="見出し 2 2" xfId="110" xr:uid="{00000000-0005-0000-0000-0000A3000000}"/>
    <cellStyle name="見出し 2 3" xfId="111" xr:uid="{00000000-0005-0000-0000-0000A4000000}"/>
    <cellStyle name="見出し 2 4" xfId="112" xr:uid="{00000000-0005-0000-0000-0000A5000000}"/>
    <cellStyle name="見出し 2 5" xfId="226" xr:uid="{00000000-0005-0000-0000-0000A6000000}"/>
    <cellStyle name="見出し 3 2" xfId="113" xr:uid="{00000000-0005-0000-0000-0000A7000000}"/>
    <cellStyle name="見出し 3 3" xfId="114" xr:uid="{00000000-0005-0000-0000-0000A8000000}"/>
    <cellStyle name="見出し 3 4" xfId="115" xr:uid="{00000000-0005-0000-0000-0000A9000000}"/>
    <cellStyle name="見出し 3 5" xfId="227" xr:uid="{00000000-0005-0000-0000-0000AA000000}"/>
    <cellStyle name="見出し 4 2" xfId="116" xr:uid="{00000000-0005-0000-0000-0000AB000000}"/>
    <cellStyle name="見出し 4 3" xfId="117" xr:uid="{00000000-0005-0000-0000-0000AC000000}"/>
    <cellStyle name="見出し 4 4" xfId="118" xr:uid="{00000000-0005-0000-0000-0000AD000000}"/>
    <cellStyle name="見出し 4 5" xfId="228" xr:uid="{00000000-0005-0000-0000-0000AE000000}"/>
    <cellStyle name="作業ﾌﾛｰ" xfId="155" xr:uid="{00000000-0005-0000-0000-0000AF000000}"/>
    <cellStyle name="資料" xfId="156" xr:uid="{00000000-0005-0000-0000-0000B0000000}"/>
    <cellStyle name="資料２" xfId="157" xr:uid="{00000000-0005-0000-0000-0000B1000000}"/>
    <cellStyle name="集計 2" xfId="119" xr:uid="{00000000-0005-0000-0000-0000B2000000}"/>
    <cellStyle name="集計 3" xfId="120" xr:uid="{00000000-0005-0000-0000-0000B3000000}"/>
    <cellStyle name="集計 4" xfId="121" xr:uid="{00000000-0005-0000-0000-0000B4000000}"/>
    <cellStyle name="集計 5" xfId="229" xr:uid="{00000000-0005-0000-0000-0000B5000000}"/>
    <cellStyle name="出力 2" xfId="122" xr:uid="{00000000-0005-0000-0000-0000B6000000}"/>
    <cellStyle name="出力 3" xfId="123" xr:uid="{00000000-0005-0000-0000-0000B7000000}"/>
    <cellStyle name="出力 4" xfId="124" xr:uid="{00000000-0005-0000-0000-0000B8000000}"/>
    <cellStyle name="出力 5" xfId="230" xr:uid="{00000000-0005-0000-0000-0000B9000000}"/>
    <cellStyle name="説明文 2" xfId="125" xr:uid="{00000000-0005-0000-0000-0000BA000000}"/>
    <cellStyle name="説明文 3" xfId="126" xr:uid="{00000000-0005-0000-0000-0000BB000000}"/>
    <cellStyle name="説明文 4" xfId="127" xr:uid="{00000000-0005-0000-0000-0000BC000000}"/>
    <cellStyle name="入力 2" xfId="128" xr:uid="{00000000-0005-0000-0000-0000BD000000}"/>
    <cellStyle name="入力 3" xfId="129" xr:uid="{00000000-0005-0000-0000-0000BE000000}"/>
    <cellStyle name="入力 4" xfId="130" xr:uid="{00000000-0005-0000-0000-0000BF000000}"/>
    <cellStyle name="入力 5" xfId="231" xr:uid="{00000000-0005-0000-0000-0000C0000000}"/>
    <cellStyle name="標準" xfId="0" builtinId="0"/>
    <cellStyle name="標準 10" xfId="164" xr:uid="{00000000-0005-0000-0000-0000C2000000}"/>
    <cellStyle name="標準 10 2" xfId="247" xr:uid="{00000000-0005-0000-0000-0000C3000000}"/>
    <cellStyle name="標準 10 3" xfId="240" xr:uid="{00000000-0005-0000-0000-0000C4000000}"/>
    <cellStyle name="標準 10 4" xfId="188" xr:uid="{00000000-0005-0000-0000-0000C5000000}"/>
    <cellStyle name="標準 10 5" xfId="262" xr:uid="{00000000-0005-0000-0000-0000C6000000}"/>
    <cellStyle name="標準 11" xfId="171" xr:uid="{00000000-0005-0000-0000-0000C7000000}"/>
    <cellStyle name="標準 12" xfId="179" xr:uid="{00000000-0005-0000-0000-0000C8000000}"/>
    <cellStyle name="標準 13" xfId="180" xr:uid="{00000000-0005-0000-0000-0000C9000000}"/>
    <cellStyle name="標準 14" xfId="181" xr:uid="{00000000-0005-0000-0000-0000CA000000}"/>
    <cellStyle name="標準 15" xfId="196" xr:uid="{00000000-0005-0000-0000-0000CB000000}"/>
    <cellStyle name="標準 16" xfId="182" xr:uid="{00000000-0005-0000-0000-0000CC000000}"/>
    <cellStyle name="標準 17" xfId="187" xr:uid="{00000000-0005-0000-0000-0000CD000000}"/>
    <cellStyle name="標準 18" xfId="183" xr:uid="{00000000-0005-0000-0000-0000CE000000}"/>
    <cellStyle name="標準 19" xfId="185" xr:uid="{00000000-0005-0000-0000-0000CF000000}"/>
    <cellStyle name="標準 2" xfId="131" xr:uid="{00000000-0005-0000-0000-0000D0000000}"/>
    <cellStyle name="標準 2 2" xfId="158" xr:uid="{00000000-0005-0000-0000-0000D1000000}"/>
    <cellStyle name="標準 2 3" xfId="172" xr:uid="{00000000-0005-0000-0000-0000D2000000}"/>
    <cellStyle name="標準 2 3 2" xfId="255" xr:uid="{00000000-0005-0000-0000-0000D3000000}"/>
    <cellStyle name="標準 2 3 2 10" xfId="600" xr:uid="{00000000-0005-0000-0000-0000D4000000}"/>
    <cellStyle name="標準 2 3 2 2" xfId="281" xr:uid="{00000000-0005-0000-0000-0000D5000000}"/>
    <cellStyle name="標準 2 3 2 2 2" xfId="323" xr:uid="{00000000-0005-0000-0000-0000D6000000}"/>
    <cellStyle name="標準 2 3 2 2 2 2" xfId="563" xr:uid="{00000000-0005-0000-0000-0000D7000000}"/>
    <cellStyle name="標準 2 3 2 2 2 2 2" xfId="911" xr:uid="{00000000-0005-0000-0000-0000D8000000}"/>
    <cellStyle name="標準 2 3 2 2 2 3" xfId="1022" xr:uid="{00000000-0005-0000-0000-0000D9000000}"/>
    <cellStyle name="標準 2 3 2 2 2 4" xfId="660" xr:uid="{00000000-0005-0000-0000-0000DA000000}"/>
    <cellStyle name="標準 2 3 2 2 3" xfId="383" xr:uid="{00000000-0005-0000-0000-0000DB000000}"/>
    <cellStyle name="標準 2 3 2 2 3 2" xfId="720" xr:uid="{00000000-0005-0000-0000-0000DC000000}"/>
    <cellStyle name="標準 2 3 2 2 4" xfId="443" xr:uid="{00000000-0005-0000-0000-0000DD000000}"/>
    <cellStyle name="標準 2 3 2 2 4 2" xfId="780" xr:uid="{00000000-0005-0000-0000-0000DE000000}"/>
    <cellStyle name="標準 2 3 2 2 5" xfId="523" xr:uid="{00000000-0005-0000-0000-0000DF000000}"/>
    <cellStyle name="標準 2 3 2 2 5 2" xfId="871" xr:uid="{00000000-0005-0000-0000-0000E0000000}"/>
    <cellStyle name="標準 2 3 2 2 6" xfId="982" xr:uid="{00000000-0005-0000-0000-0000E1000000}"/>
    <cellStyle name="標準 2 3 2 2 7" xfId="620" xr:uid="{00000000-0005-0000-0000-0000E2000000}"/>
    <cellStyle name="標準 2 3 2 3" xfId="343" xr:uid="{00000000-0005-0000-0000-0000E3000000}"/>
    <cellStyle name="標準 2 3 2 3 2" xfId="403" xr:uid="{00000000-0005-0000-0000-0000E4000000}"/>
    <cellStyle name="標準 2 3 2 3 2 2" xfId="740" xr:uid="{00000000-0005-0000-0000-0000E5000000}"/>
    <cellStyle name="標準 2 3 2 3 3" xfId="463" xr:uid="{00000000-0005-0000-0000-0000E6000000}"/>
    <cellStyle name="標準 2 3 2 3 3 2" xfId="800" xr:uid="{00000000-0005-0000-0000-0000E7000000}"/>
    <cellStyle name="標準 2 3 2 3 4" xfId="543" xr:uid="{00000000-0005-0000-0000-0000E8000000}"/>
    <cellStyle name="標準 2 3 2 3 4 2" xfId="891" xr:uid="{00000000-0005-0000-0000-0000E9000000}"/>
    <cellStyle name="標準 2 3 2 3 5" xfId="1002" xr:uid="{00000000-0005-0000-0000-0000EA000000}"/>
    <cellStyle name="標準 2 3 2 3 6" xfId="680" xr:uid="{00000000-0005-0000-0000-0000EB000000}"/>
    <cellStyle name="標準 2 3 2 4" xfId="303" xr:uid="{00000000-0005-0000-0000-0000EC000000}"/>
    <cellStyle name="標準 2 3 2 4 2" xfId="503" xr:uid="{00000000-0005-0000-0000-0000ED000000}"/>
    <cellStyle name="標準 2 3 2 4 2 2" xfId="851" xr:uid="{00000000-0005-0000-0000-0000EE000000}"/>
    <cellStyle name="標準 2 3 2 4 3" xfId="962" xr:uid="{00000000-0005-0000-0000-0000EF000000}"/>
    <cellStyle name="標準 2 3 2 4 4" xfId="640" xr:uid="{00000000-0005-0000-0000-0000F0000000}"/>
    <cellStyle name="標準 2 3 2 5" xfId="363" xr:uid="{00000000-0005-0000-0000-0000F1000000}"/>
    <cellStyle name="標準 2 3 2 5 2" xfId="577" xr:uid="{00000000-0005-0000-0000-0000F2000000}"/>
    <cellStyle name="標準 2 3 2 5 2 2" xfId="922" xr:uid="{00000000-0005-0000-0000-0000F3000000}"/>
    <cellStyle name="標準 2 3 2 5 3" xfId="1033" xr:uid="{00000000-0005-0000-0000-0000F4000000}"/>
    <cellStyle name="標準 2 3 2 5 4" xfId="700" xr:uid="{00000000-0005-0000-0000-0000F5000000}"/>
    <cellStyle name="標準 2 3 2 6" xfId="423" xr:uid="{00000000-0005-0000-0000-0000F6000000}"/>
    <cellStyle name="標準 2 3 2 6 2" xfId="760" xr:uid="{00000000-0005-0000-0000-0000F7000000}"/>
    <cellStyle name="標準 2 3 2 7" xfId="483" xr:uid="{00000000-0005-0000-0000-0000F8000000}"/>
    <cellStyle name="標準 2 3 2 7 2" xfId="811" xr:uid="{00000000-0005-0000-0000-0000F9000000}"/>
    <cellStyle name="標準 2 3 2 8" xfId="831" xr:uid="{00000000-0005-0000-0000-0000FA000000}"/>
    <cellStyle name="標準 2 3 2 9" xfId="942" xr:uid="{00000000-0005-0000-0000-0000FB000000}"/>
    <cellStyle name="標準 2 4" xfId="167" xr:uid="{00000000-0005-0000-0000-0000FC000000}"/>
    <cellStyle name="標準 2 4 10" xfId="405" xr:uid="{00000000-0005-0000-0000-0000FD000000}"/>
    <cellStyle name="標準 2 4 10 2" xfId="742" xr:uid="{00000000-0005-0000-0000-0000FE000000}"/>
    <cellStyle name="標準 2 4 11" xfId="465" xr:uid="{00000000-0005-0000-0000-0000FF000000}"/>
    <cellStyle name="標準 2 4 11 2" xfId="802" xr:uid="{00000000-0005-0000-0000-000000010000}"/>
    <cellStyle name="標準 2 4 12" xfId="813" xr:uid="{00000000-0005-0000-0000-000001010000}"/>
    <cellStyle name="標準 2 4 13" xfId="924" xr:uid="{00000000-0005-0000-0000-000002010000}"/>
    <cellStyle name="標準 2 4 14" xfId="580" xr:uid="{00000000-0005-0000-0000-000003010000}"/>
    <cellStyle name="標準 2 4 2" xfId="176" xr:uid="{00000000-0005-0000-0000-000004010000}"/>
    <cellStyle name="標準 2 4 2 10" xfId="927" xr:uid="{00000000-0005-0000-0000-000005010000}"/>
    <cellStyle name="標準 2 4 2 11" xfId="585" xr:uid="{00000000-0005-0000-0000-000006010000}"/>
    <cellStyle name="標準 2 4 2 2" xfId="244" xr:uid="{00000000-0005-0000-0000-000007010000}"/>
    <cellStyle name="標準 2 4 2 2 2" xfId="275" xr:uid="{00000000-0005-0000-0000-000008010000}"/>
    <cellStyle name="標準 2 4 2 2 2 2" xfId="317" xr:uid="{00000000-0005-0000-0000-000009010000}"/>
    <cellStyle name="標準 2 4 2 2 2 2 2" xfId="557" xr:uid="{00000000-0005-0000-0000-00000A010000}"/>
    <cellStyle name="標準 2 4 2 2 2 2 2 2" xfId="905" xr:uid="{00000000-0005-0000-0000-00000B010000}"/>
    <cellStyle name="標準 2 4 2 2 2 2 3" xfId="1016" xr:uid="{00000000-0005-0000-0000-00000C010000}"/>
    <cellStyle name="標準 2 4 2 2 2 2 4" xfId="654" xr:uid="{00000000-0005-0000-0000-00000D010000}"/>
    <cellStyle name="標準 2 4 2 2 2 3" xfId="377" xr:uid="{00000000-0005-0000-0000-00000E010000}"/>
    <cellStyle name="標準 2 4 2 2 2 3 2" xfId="714" xr:uid="{00000000-0005-0000-0000-00000F010000}"/>
    <cellStyle name="標準 2 4 2 2 2 4" xfId="437" xr:uid="{00000000-0005-0000-0000-000010010000}"/>
    <cellStyle name="標準 2 4 2 2 2 4 2" xfId="774" xr:uid="{00000000-0005-0000-0000-000011010000}"/>
    <cellStyle name="標準 2 4 2 2 2 5" xfId="517" xr:uid="{00000000-0005-0000-0000-000012010000}"/>
    <cellStyle name="標準 2 4 2 2 2 5 2" xfId="865" xr:uid="{00000000-0005-0000-0000-000013010000}"/>
    <cellStyle name="標準 2 4 2 2 2 6" xfId="976" xr:uid="{00000000-0005-0000-0000-000014010000}"/>
    <cellStyle name="標準 2 4 2 2 2 7" xfId="614" xr:uid="{00000000-0005-0000-0000-000015010000}"/>
    <cellStyle name="標準 2 4 2 2 3" xfId="337" xr:uid="{00000000-0005-0000-0000-000016010000}"/>
    <cellStyle name="標準 2 4 2 2 3 2" xfId="397" xr:uid="{00000000-0005-0000-0000-000017010000}"/>
    <cellStyle name="標準 2 4 2 2 3 2 2" xfId="734" xr:uid="{00000000-0005-0000-0000-000018010000}"/>
    <cellStyle name="標準 2 4 2 2 3 3" xfId="457" xr:uid="{00000000-0005-0000-0000-000019010000}"/>
    <cellStyle name="標準 2 4 2 2 3 3 2" xfId="794" xr:uid="{00000000-0005-0000-0000-00001A010000}"/>
    <cellStyle name="標準 2 4 2 2 3 4" xfId="537" xr:uid="{00000000-0005-0000-0000-00001B010000}"/>
    <cellStyle name="標準 2 4 2 2 3 4 2" xfId="885" xr:uid="{00000000-0005-0000-0000-00001C010000}"/>
    <cellStyle name="標準 2 4 2 2 3 5" xfId="996" xr:uid="{00000000-0005-0000-0000-00001D010000}"/>
    <cellStyle name="標準 2 4 2 2 3 6" xfId="674" xr:uid="{00000000-0005-0000-0000-00001E010000}"/>
    <cellStyle name="標準 2 4 2 2 4" xfId="297" xr:uid="{00000000-0005-0000-0000-00001F010000}"/>
    <cellStyle name="標準 2 4 2 2 4 2" xfId="497" xr:uid="{00000000-0005-0000-0000-000020010000}"/>
    <cellStyle name="標準 2 4 2 2 4 2 2" xfId="845" xr:uid="{00000000-0005-0000-0000-000021010000}"/>
    <cellStyle name="標準 2 4 2 2 4 3" xfId="956" xr:uid="{00000000-0005-0000-0000-000022010000}"/>
    <cellStyle name="標準 2 4 2 2 4 4" xfId="634" xr:uid="{00000000-0005-0000-0000-000023010000}"/>
    <cellStyle name="標準 2 4 2 2 5" xfId="357" xr:uid="{00000000-0005-0000-0000-000024010000}"/>
    <cellStyle name="標準 2 4 2 2 5 2" xfId="694" xr:uid="{00000000-0005-0000-0000-000025010000}"/>
    <cellStyle name="標準 2 4 2 2 6" xfId="417" xr:uid="{00000000-0005-0000-0000-000026010000}"/>
    <cellStyle name="標準 2 4 2 2 6 2" xfId="754" xr:uid="{00000000-0005-0000-0000-000027010000}"/>
    <cellStyle name="標準 2 4 2 2 7" xfId="477" xr:uid="{00000000-0005-0000-0000-000028010000}"/>
    <cellStyle name="標準 2 4 2 2 7 2" xfId="825" xr:uid="{00000000-0005-0000-0000-000029010000}"/>
    <cellStyle name="標準 2 4 2 2 8" xfId="936" xr:uid="{00000000-0005-0000-0000-00002A010000}"/>
    <cellStyle name="標準 2 4 2 2 9" xfId="594" xr:uid="{00000000-0005-0000-0000-00002B010000}"/>
    <cellStyle name="標準 2 4 2 3" xfId="266" xr:uid="{00000000-0005-0000-0000-00002C010000}"/>
    <cellStyle name="標準 2 4 2 3 2" xfId="308" xr:uid="{00000000-0005-0000-0000-00002D010000}"/>
    <cellStyle name="標準 2 4 2 3 2 2" xfId="548" xr:uid="{00000000-0005-0000-0000-00002E010000}"/>
    <cellStyle name="標準 2 4 2 3 2 2 2" xfId="896" xr:uid="{00000000-0005-0000-0000-00002F010000}"/>
    <cellStyle name="標準 2 4 2 3 2 3" xfId="1007" xr:uid="{00000000-0005-0000-0000-000030010000}"/>
    <cellStyle name="標準 2 4 2 3 2 4" xfId="645" xr:uid="{00000000-0005-0000-0000-000031010000}"/>
    <cellStyle name="標準 2 4 2 3 3" xfId="368" xr:uid="{00000000-0005-0000-0000-000032010000}"/>
    <cellStyle name="標準 2 4 2 3 3 2" xfId="705" xr:uid="{00000000-0005-0000-0000-000033010000}"/>
    <cellStyle name="標準 2 4 2 3 4" xfId="428" xr:uid="{00000000-0005-0000-0000-000034010000}"/>
    <cellStyle name="標準 2 4 2 3 4 2" xfId="765" xr:uid="{00000000-0005-0000-0000-000035010000}"/>
    <cellStyle name="標準 2 4 2 3 5" xfId="508" xr:uid="{00000000-0005-0000-0000-000036010000}"/>
    <cellStyle name="標準 2 4 2 3 5 2" xfId="856" xr:uid="{00000000-0005-0000-0000-000037010000}"/>
    <cellStyle name="標準 2 4 2 3 6" xfId="967" xr:uid="{00000000-0005-0000-0000-000038010000}"/>
    <cellStyle name="標準 2 4 2 3 7" xfId="605" xr:uid="{00000000-0005-0000-0000-000039010000}"/>
    <cellStyle name="標準 2 4 2 4" xfId="328" xr:uid="{00000000-0005-0000-0000-00003A010000}"/>
    <cellStyle name="標準 2 4 2 4 2" xfId="388" xr:uid="{00000000-0005-0000-0000-00003B010000}"/>
    <cellStyle name="標準 2 4 2 4 2 2" xfId="725" xr:uid="{00000000-0005-0000-0000-00003C010000}"/>
    <cellStyle name="標準 2 4 2 4 3" xfId="448" xr:uid="{00000000-0005-0000-0000-00003D010000}"/>
    <cellStyle name="標準 2 4 2 4 3 2" xfId="785" xr:uid="{00000000-0005-0000-0000-00003E010000}"/>
    <cellStyle name="標準 2 4 2 4 4" xfId="528" xr:uid="{00000000-0005-0000-0000-00003F010000}"/>
    <cellStyle name="標準 2 4 2 4 4 2" xfId="876" xr:uid="{00000000-0005-0000-0000-000040010000}"/>
    <cellStyle name="標準 2 4 2 4 5" xfId="987" xr:uid="{00000000-0005-0000-0000-000041010000}"/>
    <cellStyle name="標準 2 4 2 4 6" xfId="665" xr:uid="{00000000-0005-0000-0000-000042010000}"/>
    <cellStyle name="標準 2 4 2 5" xfId="288" xr:uid="{00000000-0005-0000-0000-000043010000}"/>
    <cellStyle name="標準 2 4 2 5 2" xfId="488" xr:uid="{00000000-0005-0000-0000-000044010000}"/>
    <cellStyle name="標準 2 4 2 5 2 2" xfId="836" xr:uid="{00000000-0005-0000-0000-000045010000}"/>
    <cellStyle name="標準 2 4 2 5 3" xfId="947" xr:uid="{00000000-0005-0000-0000-000046010000}"/>
    <cellStyle name="標準 2 4 2 5 4" xfId="625" xr:uid="{00000000-0005-0000-0000-000047010000}"/>
    <cellStyle name="標準 2 4 2 6" xfId="348" xr:uid="{00000000-0005-0000-0000-000048010000}"/>
    <cellStyle name="標準 2 4 2 6 2" xfId="571" xr:uid="{00000000-0005-0000-0000-000049010000}"/>
    <cellStyle name="標準 2 4 2 6 2 2" xfId="916" xr:uid="{00000000-0005-0000-0000-00004A010000}"/>
    <cellStyle name="標準 2 4 2 6 3" xfId="1027" xr:uid="{00000000-0005-0000-0000-00004B010000}"/>
    <cellStyle name="標準 2 4 2 6 4" xfId="685" xr:uid="{00000000-0005-0000-0000-00004C010000}"/>
    <cellStyle name="標準 2 4 2 7" xfId="408" xr:uid="{00000000-0005-0000-0000-00004D010000}"/>
    <cellStyle name="標準 2 4 2 7 2" xfId="745" xr:uid="{00000000-0005-0000-0000-00004E010000}"/>
    <cellStyle name="標準 2 4 2 8" xfId="468" xr:uid="{00000000-0005-0000-0000-00004F010000}"/>
    <cellStyle name="標準 2 4 2 8 2" xfId="805" xr:uid="{00000000-0005-0000-0000-000050010000}"/>
    <cellStyle name="標準 2 4 2 9" xfId="816" xr:uid="{00000000-0005-0000-0000-000051010000}"/>
    <cellStyle name="標準 2 4 3" xfId="252" xr:uid="{00000000-0005-0000-0000-000052010000}"/>
    <cellStyle name="標準 2 4 3 10" xfId="597" xr:uid="{00000000-0005-0000-0000-000053010000}"/>
    <cellStyle name="標準 2 4 3 2" xfId="278" xr:uid="{00000000-0005-0000-0000-000054010000}"/>
    <cellStyle name="標準 2 4 3 2 2" xfId="320" xr:uid="{00000000-0005-0000-0000-000055010000}"/>
    <cellStyle name="標準 2 4 3 2 2 2" xfId="560" xr:uid="{00000000-0005-0000-0000-000056010000}"/>
    <cellStyle name="標準 2 4 3 2 2 2 2" xfId="908" xr:uid="{00000000-0005-0000-0000-000057010000}"/>
    <cellStyle name="標準 2 4 3 2 2 3" xfId="1019" xr:uid="{00000000-0005-0000-0000-000058010000}"/>
    <cellStyle name="標準 2 4 3 2 2 4" xfId="657" xr:uid="{00000000-0005-0000-0000-000059010000}"/>
    <cellStyle name="標準 2 4 3 2 3" xfId="380" xr:uid="{00000000-0005-0000-0000-00005A010000}"/>
    <cellStyle name="標準 2 4 3 2 3 2" xfId="717" xr:uid="{00000000-0005-0000-0000-00005B010000}"/>
    <cellStyle name="標準 2 4 3 2 4" xfId="440" xr:uid="{00000000-0005-0000-0000-00005C010000}"/>
    <cellStyle name="標準 2 4 3 2 4 2" xfId="777" xr:uid="{00000000-0005-0000-0000-00005D010000}"/>
    <cellStyle name="標準 2 4 3 2 5" xfId="520" xr:uid="{00000000-0005-0000-0000-00005E010000}"/>
    <cellStyle name="標準 2 4 3 2 5 2" xfId="868" xr:uid="{00000000-0005-0000-0000-00005F010000}"/>
    <cellStyle name="標準 2 4 3 2 6" xfId="979" xr:uid="{00000000-0005-0000-0000-000060010000}"/>
    <cellStyle name="標準 2 4 3 2 7" xfId="617" xr:uid="{00000000-0005-0000-0000-000061010000}"/>
    <cellStyle name="標準 2 4 3 3" xfId="340" xr:uid="{00000000-0005-0000-0000-000062010000}"/>
    <cellStyle name="標準 2 4 3 3 2" xfId="400" xr:uid="{00000000-0005-0000-0000-000063010000}"/>
    <cellStyle name="標準 2 4 3 3 2 2" xfId="737" xr:uid="{00000000-0005-0000-0000-000064010000}"/>
    <cellStyle name="標準 2 4 3 3 3" xfId="460" xr:uid="{00000000-0005-0000-0000-000065010000}"/>
    <cellStyle name="標準 2 4 3 3 3 2" xfId="797" xr:uid="{00000000-0005-0000-0000-000066010000}"/>
    <cellStyle name="標準 2 4 3 3 4" xfId="540" xr:uid="{00000000-0005-0000-0000-000067010000}"/>
    <cellStyle name="標準 2 4 3 3 4 2" xfId="888" xr:uid="{00000000-0005-0000-0000-000068010000}"/>
    <cellStyle name="標準 2 4 3 3 5" xfId="999" xr:uid="{00000000-0005-0000-0000-000069010000}"/>
    <cellStyle name="標準 2 4 3 3 6" xfId="677" xr:uid="{00000000-0005-0000-0000-00006A010000}"/>
    <cellStyle name="標準 2 4 3 4" xfId="300" xr:uid="{00000000-0005-0000-0000-00006B010000}"/>
    <cellStyle name="標準 2 4 3 4 2" xfId="500" xr:uid="{00000000-0005-0000-0000-00006C010000}"/>
    <cellStyle name="標準 2 4 3 4 2 2" xfId="848" xr:uid="{00000000-0005-0000-0000-00006D010000}"/>
    <cellStyle name="標準 2 4 3 4 3" xfId="959" xr:uid="{00000000-0005-0000-0000-00006E010000}"/>
    <cellStyle name="標準 2 4 3 4 4" xfId="637" xr:uid="{00000000-0005-0000-0000-00006F010000}"/>
    <cellStyle name="標準 2 4 3 5" xfId="360" xr:uid="{00000000-0005-0000-0000-000070010000}"/>
    <cellStyle name="標準 2 4 3 5 2" xfId="574" xr:uid="{00000000-0005-0000-0000-000071010000}"/>
    <cellStyle name="標準 2 4 3 5 2 2" xfId="919" xr:uid="{00000000-0005-0000-0000-000072010000}"/>
    <cellStyle name="標準 2 4 3 5 3" xfId="1030" xr:uid="{00000000-0005-0000-0000-000073010000}"/>
    <cellStyle name="標準 2 4 3 5 4" xfId="697" xr:uid="{00000000-0005-0000-0000-000074010000}"/>
    <cellStyle name="標準 2 4 3 6" xfId="420" xr:uid="{00000000-0005-0000-0000-000075010000}"/>
    <cellStyle name="標準 2 4 3 6 2" xfId="757" xr:uid="{00000000-0005-0000-0000-000076010000}"/>
    <cellStyle name="標準 2 4 3 7" xfId="480" xr:uid="{00000000-0005-0000-0000-000077010000}"/>
    <cellStyle name="標準 2 4 3 7 2" xfId="808" xr:uid="{00000000-0005-0000-0000-000078010000}"/>
    <cellStyle name="標準 2 4 3 8" xfId="828" xr:uid="{00000000-0005-0000-0000-000079010000}"/>
    <cellStyle name="標準 2 4 3 9" xfId="939" xr:uid="{00000000-0005-0000-0000-00007A010000}"/>
    <cellStyle name="標準 2 4 4" xfId="241" xr:uid="{00000000-0005-0000-0000-00007B010000}"/>
    <cellStyle name="標準 2 4 4 2" xfId="272" xr:uid="{00000000-0005-0000-0000-00007C010000}"/>
    <cellStyle name="標準 2 4 4 2 2" xfId="314" xr:uid="{00000000-0005-0000-0000-00007D010000}"/>
    <cellStyle name="標準 2 4 4 2 2 2" xfId="554" xr:uid="{00000000-0005-0000-0000-00007E010000}"/>
    <cellStyle name="標準 2 4 4 2 2 2 2" xfId="902" xr:uid="{00000000-0005-0000-0000-00007F010000}"/>
    <cellStyle name="標準 2 4 4 2 2 3" xfId="1013" xr:uid="{00000000-0005-0000-0000-000080010000}"/>
    <cellStyle name="標準 2 4 4 2 2 4" xfId="651" xr:uid="{00000000-0005-0000-0000-000081010000}"/>
    <cellStyle name="標準 2 4 4 2 3" xfId="374" xr:uid="{00000000-0005-0000-0000-000082010000}"/>
    <cellStyle name="標準 2 4 4 2 3 2" xfId="711" xr:uid="{00000000-0005-0000-0000-000083010000}"/>
    <cellStyle name="標準 2 4 4 2 4" xfId="434" xr:uid="{00000000-0005-0000-0000-000084010000}"/>
    <cellStyle name="標準 2 4 4 2 4 2" xfId="771" xr:uid="{00000000-0005-0000-0000-000085010000}"/>
    <cellStyle name="標準 2 4 4 2 5" xfId="514" xr:uid="{00000000-0005-0000-0000-000086010000}"/>
    <cellStyle name="標準 2 4 4 2 5 2" xfId="862" xr:uid="{00000000-0005-0000-0000-000087010000}"/>
    <cellStyle name="標準 2 4 4 2 6" xfId="973" xr:uid="{00000000-0005-0000-0000-000088010000}"/>
    <cellStyle name="標準 2 4 4 2 7" xfId="611" xr:uid="{00000000-0005-0000-0000-000089010000}"/>
    <cellStyle name="標準 2 4 4 3" xfId="334" xr:uid="{00000000-0005-0000-0000-00008A010000}"/>
    <cellStyle name="標準 2 4 4 3 2" xfId="394" xr:uid="{00000000-0005-0000-0000-00008B010000}"/>
    <cellStyle name="標準 2 4 4 3 2 2" xfId="731" xr:uid="{00000000-0005-0000-0000-00008C010000}"/>
    <cellStyle name="標準 2 4 4 3 3" xfId="454" xr:uid="{00000000-0005-0000-0000-00008D010000}"/>
    <cellStyle name="標準 2 4 4 3 3 2" xfId="791" xr:uid="{00000000-0005-0000-0000-00008E010000}"/>
    <cellStyle name="標準 2 4 4 3 4" xfId="534" xr:uid="{00000000-0005-0000-0000-00008F010000}"/>
    <cellStyle name="標準 2 4 4 3 4 2" xfId="882" xr:uid="{00000000-0005-0000-0000-000090010000}"/>
    <cellStyle name="標準 2 4 4 3 5" xfId="993" xr:uid="{00000000-0005-0000-0000-000091010000}"/>
    <cellStyle name="標準 2 4 4 3 6" xfId="671" xr:uid="{00000000-0005-0000-0000-000092010000}"/>
    <cellStyle name="標準 2 4 4 4" xfId="294" xr:uid="{00000000-0005-0000-0000-000093010000}"/>
    <cellStyle name="標準 2 4 4 4 2" xfId="494" xr:uid="{00000000-0005-0000-0000-000094010000}"/>
    <cellStyle name="標準 2 4 4 4 2 2" xfId="842" xr:uid="{00000000-0005-0000-0000-000095010000}"/>
    <cellStyle name="標準 2 4 4 4 3" xfId="953" xr:uid="{00000000-0005-0000-0000-000096010000}"/>
    <cellStyle name="標準 2 4 4 4 4" xfId="631" xr:uid="{00000000-0005-0000-0000-000097010000}"/>
    <cellStyle name="標準 2 4 4 5" xfId="354" xr:uid="{00000000-0005-0000-0000-000098010000}"/>
    <cellStyle name="標準 2 4 4 5 2" xfId="691" xr:uid="{00000000-0005-0000-0000-000099010000}"/>
    <cellStyle name="標準 2 4 4 6" xfId="414" xr:uid="{00000000-0005-0000-0000-00009A010000}"/>
    <cellStyle name="標準 2 4 4 6 2" xfId="751" xr:uid="{00000000-0005-0000-0000-00009B010000}"/>
    <cellStyle name="標準 2 4 4 7" xfId="474" xr:uid="{00000000-0005-0000-0000-00009C010000}"/>
    <cellStyle name="標準 2 4 4 7 2" xfId="822" xr:uid="{00000000-0005-0000-0000-00009D010000}"/>
    <cellStyle name="標準 2 4 4 8" xfId="933" xr:uid="{00000000-0005-0000-0000-00009E010000}"/>
    <cellStyle name="標準 2 4 4 9" xfId="591" xr:uid="{00000000-0005-0000-0000-00009F010000}"/>
    <cellStyle name="標準 2 4 5" xfId="234" xr:uid="{00000000-0005-0000-0000-0000A0010000}"/>
    <cellStyle name="標準 2 4 5 2" xfId="269" xr:uid="{00000000-0005-0000-0000-0000A1010000}"/>
    <cellStyle name="標準 2 4 5 2 2" xfId="311" xr:uid="{00000000-0005-0000-0000-0000A2010000}"/>
    <cellStyle name="標準 2 4 5 2 2 2" xfId="551" xr:uid="{00000000-0005-0000-0000-0000A3010000}"/>
    <cellStyle name="標準 2 4 5 2 2 2 2" xfId="899" xr:uid="{00000000-0005-0000-0000-0000A4010000}"/>
    <cellStyle name="標準 2 4 5 2 2 3" xfId="1010" xr:uid="{00000000-0005-0000-0000-0000A5010000}"/>
    <cellStyle name="標準 2 4 5 2 2 4" xfId="648" xr:uid="{00000000-0005-0000-0000-0000A6010000}"/>
    <cellStyle name="標準 2 4 5 2 3" xfId="371" xr:uid="{00000000-0005-0000-0000-0000A7010000}"/>
    <cellStyle name="標準 2 4 5 2 3 2" xfId="708" xr:uid="{00000000-0005-0000-0000-0000A8010000}"/>
    <cellStyle name="標準 2 4 5 2 4" xfId="431" xr:uid="{00000000-0005-0000-0000-0000A9010000}"/>
    <cellStyle name="標準 2 4 5 2 4 2" xfId="768" xr:uid="{00000000-0005-0000-0000-0000AA010000}"/>
    <cellStyle name="標準 2 4 5 2 5" xfId="511" xr:uid="{00000000-0005-0000-0000-0000AB010000}"/>
    <cellStyle name="標準 2 4 5 2 5 2" xfId="859" xr:uid="{00000000-0005-0000-0000-0000AC010000}"/>
    <cellStyle name="標準 2 4 5 2 6" xfId="970" xr:uid="{00000000-0005-0000-0000-0000AD010000}"/>
    <cellStyle name="標準 2 4 5 2 7" xfId="608" xr:uid="{00000000-0005-0000-0000-0000AE010000}"/>
    <cellStyle name="標準 2 4 5 3" xfId="331" xr:uid="{00000000-0005-0000-0000-0000AF010000}"/>
    <cellStyle name="標準 2 4 5 3 2" xfId="391" xr:uid="{00000000-0005-0000-0000-0000B0010000}"/>
    <cellStyle name="標準 2 4 5 3 2 2" xfId="728" xr:uid="{00000000-0005-0000-0000-0000B1010000}"/>
    <cellStyle name="標準 2 4 5 3 3" xfId="451" xr:uid="{00000000-0005-0000-0000-0000B2010000}"/>
    <cellStyle name="標準 2 4 5 3 3 2" xfId="788" xr:uid="{00000000-0005-0000-0000-0000B3010000}"/>
    <cellStyle name="標準 2 4 5 3 4" xfId="531" xr:uid="{00000000-0005-0000-0000-0000B4010000}"/>
    <cellStyle name="標準 2 4 5 3 4 2" xfId="879" xr:uid="{00000000-0005-0000-0000-0000B5010000}"/>
    <cellStyle name="標準 2 4 5 3 5" xfId="990" xr:uid="{00000000-0005-0000-0000-0000B6010000}"/>
    <cellStyle name="標準 2 4 5 3 6" xfId="668" xr:uid="{00000000-0005-0000-0000-0000B7010000}"/>
    <cellStyle name="標準 2 4 5 4" xfId="291" xr:uid="{00000000-0005-0000-0000-0000B8010000}"/>
    <cellStyle name="標準 2 4 5 4 2" xfId="491" xr:uid="{00000000-0005-0000-0000-0000B9010000}"/>
    <cellStyle name="標準 2 4 5 4 2 2" xfId="839" xr:uid="{00000000-0005-0000-0000-0000BA010000}"/>
    <cellStyle name="標準 2 4 5 4 3" xfId="950" xr:uid="{00000000-0005-0000-0000-0000BB010000}"/>
    <cellStyle name="標準 2 4 5 4 4" xfId="628" xr:uid="{00000000-0005-0000-0000-0000BC010000}"/>
    <cellStyle name="標準 2 4 5 5" xfId="351" xr:uid="{00000000-0005-0000-0000-0000BD010000}"/>
    <cellStyle name="標準 2 4 5 5 2" xfId="688" xr:uid="{00000000-0005-0000-0000-0000BE010000}"/>
    <cellStyle name="標準 2 4 5 6" xfId="411" xr:uid="{00000000-0005-0000-0000-0000BF010000}"/>
    <cellStyle name="標準 2 4 5 6 2" xfId="748" xr:uid="{00000000-0005-0000-0000-0000C0010000}"/>
    <cellStyle name="標準 2 4 5 7" xfId="471" xr:uid="{00000000-0005-0000-0000-0000C1010000}"/>
    <cellStyle name="標準 2 4 5 7 2" xfId="819" xr:uid="{00000000-0005-0000-0000-0000C2010000}"/>
    <cellStyle name="標準 2 4 5 8" xfId="930" xr:uid="{00000000-0005-0000-0000-0000C3010000}"/>
    <cellStyle name="標準 2 4 5 9" xfId="588" xr:uid="{00000000-0005-0000-0000-0000C4010000}"/>
    <cellStyle name="標準 2 4 6" xfId="263" xr:uid="{00000000-0005-0000-0000-0000C5010000}"/>
    <cellStyle name="標準 2 4 6 2" xfId="305" xr:uid="{00000000-0005-0000-0000-0000C6010000}"/>
    <cellStyle name="標準 2 4 6 2 2" xfId="545" xr:uid="{00000000-0005-0000-0000-0000C7010000}"/>
    <cellStyle name="標準 2 4 6 2 2 2" xfId="893" xr:uid="{00000000-0005-0000-0000-0000C8010000}"/>
    <cellStyle name="標準 2 4 6 2 3" xfId="1004" xr:uid="{00000000-0005-0000-0000-0000C9010000}"/>
    <cellStyle name="標準 2 4 6 2 4" xfId="642" xr:uid="{00000000-0005-0000-0000-0000CA010000}"/>
    <cellStyle name="標準 2 4 6 3" xfId="365" xr:uid="{00000000-0005-0000-0000-0000CB010000}"/>
    <cellStyle name="標準 2 4 6 3 2" xfId="702" xr:uid="{00000000-0005-0000-0000-0000CC010000}"/>
    <cellStyle name="標準 2 4 6 4" xfId="425" xr:uid="{00000000-0005-0000-0000-0000CD010000}"/>
    <cellStyle name="標準 2 4 6 4 2" xfId="762" xr:uid="{00000000-0005-0000-0000-0000CE010000}"/>
    <cellStyle name="標準 2 4 6 5" xfId="505" xr:uid="{00000000-0005-0000-0000-0000CF010000}"/>
    <cellStyle name="標準 2 4 6 5 2" xfId="853" xr:uid="{00000000-0005-0000-0000-0000D0010000}"/>
    <cellStyle name="標準 2 4 6 6" xfId="964" xr:uid="{00000000-0005-0000-0000-0000D1010000}"/>
    <cellStyle name="標準 2 4 6 7" xfId="602" xr:uid="{00000000-0005-0000-0000-0000D2010000}"/>
    <cellStyle name="標準 2 4 7" xfId="325" xr:uid="{00000000-0005-0000-0000-0000D3010000}"/>
    <cellStyle name="標準 2 4 7 2" xfId="385" xr:uid="{00000000-0005-0000-0000-0000D4010000}"/>
    <cellStyle name="標準 2 4 7 2 2" xfId="722" xr:uid="{00000000-0005-0000-0000-0000D5010000}"/>
    <cellStyle name="標準 2 4 7 3" xfId="445" xr:uid="{00000000-0005-0000-0000-0000D6010000}"/>
    <cellStyle name="標準 2 4 7 3 2" xfId="782" xr:uid="{00000000-0005-0000-0000-0000D7010000}"/>
    <cellStyle name="標準 2 4 7 4" xfId="525" xr:uid="{00000000-0005-0000-0000-0000D8010000}"/>
    <cellStyle name="標準 2 4 7 4 2" xfId="873" xr:uid="{00000000-0005-0000-0000-0000D9010000}"/>
    <cellStyle name="標準 2 4 7 5" xfId="984" xr:uid="{00000000-0005-0000-0000-0000DA010000}"/>
    <cellStyle name="標準 2 4 7 6" xfId="662" xr:uid="{00000000-0005-0000-0000-0000DB010000}"/>
    <cellStyle name="標準 2 4 8" xfId="285" xr:uid="{00000000-0005-0000-0000-0000DC010000}"/>
    <cellStyle name="標準 2 4 8 2" xfId="485" xr:uid="{00000000-0005-0000-0000-0000DD010000}"/>
    <cellStyle name="標準 2 4 8 2 2" xfId="833" xr:uid="{00000000-0005-0000-0000-0000DE010000}"/>
    <cellStyle name="標準 2 4 8 3" xfId="944" xr:uid="{00000000-0005-0000-0000-0000DF010000}"/>
    <cellStyle name="標準 2 4 8 4" xfId="622" xr:uid="{00000000-0005-0000-0000-0000E0010000}"/>
    <cellStyle name="標準 2 4 9" xfId="345" xr:uid="{00000000-0005-0000-0000-0000E1010000}"/>
    <cellStyle name="標準 2 4 9 2" xfId="568" xr:uid="{00000000-0005-0000-0000-0000E2010000}"/>
    <cellStyle name="標準 2 4 9 2 2" xfId="913" xr:uid="{00000000-0005-0000-0000-0000E3010000}"/>
    <cellStyle name="標準 2 4 9 3" xfId="1024" xr:uid="{00000000-0005-0000-0000-0000E4010000}"/>
    <cellStyle name="標準 2 4 9 4" xfId="682" xr:uid="{00000000-0005-0000-0000-0000E5010000}"/>
    <cellStyle name="標準 20" xfId="184" xr:uid="{00000000-0005-0000-0000-0000E6010000}"/>
    <cellStyle name="標準 21" xfId="186" xr:uid="{00000000-0005-0000-0000-0000E7010000}"/>
    <cellStyle name="標準 22" xfId="259" xr:uid="{00000000-0005-0000-0000-0000E8010000}"/>
    <cellStyle name="標準 23" xfId="283" xr:uid="{00000000-0005-0000-0000-0000E9010000}"/>
    <cellStyle name="標準 24" xfId="284" xr:uid="{00000000-0005-0000-0000-0000EA010000}"/>
    <cellStyle name="標準 25" xfId="567" xr:uid="{00000000-0005-0000-0000-0000EB010000}"/>
    <cellStyle name="標準 26" xfId="565" xr:uid="{00000000-0005-0000-0000-0000EC010000}"/>
    <cellStyle name="標準 27" xfId="566" xr:uid="{00000000-0005-0000-0000-0000ED010000}"/>
    <cellStyle name="標準 3" xfId="132" xr:uid="{00000000-0005-0000-0000-0000EE010000}"/>
    <cellStyle name="標準 3 2" xfId="159" xr:uid="{00000000-0005-0000-0000-0000EF010000}"/>
    <cellStyle name="標準 3 3" xfId="173" xr:uid="{00000000-0005-0000-0000-0000F0010000}"/>
    <cellStyle name="標準 3 3 2" xfId="256" xr:uid="{00000000-0005-0000-0000-0000F1010000}"/>
    <cellStyle name="標準 3 3 2 10" xfId="601" xr:uid="{00000000-0005-0000-0000-0000F2010000}"/>
    <cellStyle name="標準 3 3 2 2" xfId="282" xr:uid="{00000000-0005-0000-0000-0000F3010000}"/>
    <cellStyle name="標準 3 3 2 2 2" xfId="324" xr:uid="{00000000-0005-0000-0000-0000F4010000}"/>
    <cellStyle name="標準 3 3 2 2 2 2" xfId="564" xr:uid="{00000000-0005-0000-0000-0000F5010000}"/>
    <cellStyle name="標準 3 3 2 2 2 2 2" xfId="912" xr:uid="{00000000-0005-0000-0000-0000F6010000}"/>
    <cellStyle name="標準 3 3 2 2 2 3" xfId="1023" xr:uid="{00000000-0005-0000-0000-0000F7010000}"/>
    <cellStyle name="標準 3 3 2 2 2 4" xfId="661" xr:uid="{00000000-0005-0000-0000-0000F8010000}"/>
    <cellStyle name="標準 3 3 2 2 3" xfId="384" xr:uid="{00000000-0005-0000-0000-0000F9010000}"/>
    <cellStyle name="標準 3 3 2 2 3 2" xfId="721" xr:uid="{00000000-0005-0000-0000-0000FA010000}"/>
    <cellStyle name="標準 3 3 2 2 4" xfId="444" xr:uid="{00000000-0005-0000-0000-0000FB010000}"/>
    <cellStyle name="標準 3 3 2 2 4 2" xfId="781" xr:uid="{00000000-0005-0000-0000-0000FC010000}"/>
    <cellStyle name="標準 3 3 2 2 5" xfId="524" xr:uid="{00000000-0005-0000-0000-0000FD010000}"/>
    <cellStyle name="標準 3 3 2 2 5 2" xfId="872" xr:uid="{00000000-0005-0000-0000-0000FE010000}"/>
    <cellStyle name="標準 3 3 2 2 6" xfId="983" xr:uid="{00000000-0005-0000-0000-0000FF010000}"/>
    <cellStyle name="標準 3 3 2 2 7" xfId="621" xr:uid="{00000000-0005-0000-0000-000000020000}"/>
    <cellStyle name="標準 3 3 2 3" xfId="344" xr:uid="{00000000-0005-0000-0000-000001020000}"/>
    <cellStyle name="標準 3 3 2 3 2" xfId="404" xr:uid="{00000000-0005-0000-0000-000002020000}"/>
    <cellStyle name="標準 3 3 2 3 2 2" xfId="741" xr:uid="{00000000-0005-0000-0000-000003020000}"/>
    <cellStyle name="標準 3 3 2 3 3" xfId="464" xr:uid="{00000000-0005-0000-0000-000004020000}"/>
    <cellStyle name="標準 3 3 2 3 3 2" xfId="801" xr:uid="{00000000-0005-0000-0000-000005020000}"/>
    <cellStyle name="標準 3 3 2 3 4" xfId="544" xr:uid="{00000000-0005-0000-0000-000006020000}"/>
    <cellStyle name="標準 3 3 2 3 4 2" xfId="892" xr:uid="{00000000-0005-0000-0000-000007020000}"/>
    <cellStyle name="標準 3 3 2 3 5" xfId="1003" xr:uid="{00000000-0005-0000-0000-000008020000}"/>
    <cellStyle name="標準 3 3 2 3 6" xfId="681" xr:uid="{00000000-0005-0000-0000-000009020000}"/>
    <cellStyle name="標準 3 3 2 4" xfId="304" xr:uid="{00000000-0005-0000-0000-00000A020000}"/>
    <cellStyle name="標準 3 3 2 4 2" xfId="504" xr:uid="{00000000-0005-0000-0000-00000B020000}"/>
    <cellStyle name="標準 3 3 2 4 2 2" xfId="852" xr:uid="{00000000-0005-0000-0000-00000C020000}"/>
    <cellStyle name="標準 3 3 2 4 3" xfId="963" xr:uid="{00000000-0005-0000-0000-00000D020000}"/>
    <cellStyle name="標準 3 3 2 4 4" xfId="641" xr:uid="{00000000-0005-0000-0000-00000E020000}"/>
    <cellStyle name="標準 3 3 2 5" xfId="364" xr:uid="{00000000-0005-0000-0000-00000F020000}"/>
    <cellStyle name="標準 3 3 2 5 2" xfId="578" xr:uid="{00000000-0005-0000-0000-000010020000}"/>
    <cellStyle name="標準 3 3 2 5 2 2" xfId="923" xr:uid="{00000000-0005-0000-0000-000011020000}"/>
    <cellStyle name="標準 3 3 2 5 3" xfId="1034" xr:uid="{00000000-0005-0000-0000-000012020000}"/>
    <cellStyle name="標準 3 3 2 5 4" xfId="701" xr:uid="{00000000-0005-0000-0000-000013020000}"/>
    <cellStyle name="標準 3 3 2 6" xfId="424" xr:uid="{00000000-0005-0000-0000-000014020000}"/>
    <cellStyle name="標準 3 3 2 6 2" xfId="761" xr:uid="{00000000-0005-0000-0000-000015020000}"/>
    <cellStyle name="標準 3 3 2 7" xfId="484" xr:uid="{00000000-0005-0000-0000-000016020000}"/>
    <cellStyle name="標準 3 3 2 7 2" xfId="812" xr:uid="{00000000-0005-0000-0000-000017020000}"/>
    <cellStyle name="標準 3 3 2 8" xfId="832" xr:uid="{00000000-0005-0000-0000-000018020000}"/>
    <cellStyle name="標準 3 3 2 9" xfId="943" xr:uid="{00000000-0005-0000-0000-000019020000}"/>
    <cellStyle name="標準 3 4" xfId="168" xr:uid="{00000000-0005-0000-0000-00001A020000}"/>
    <cellStyle name="標準 3 4 10" xfId="406" xr:uid="{00000000-0005-0000-0000-00001B020000}"/>
    <cellStyle name="標準 3 4 10 2" xfId="743" xr:uid="{00000000-0005-0000-0000-00001C020000}"/>
    <cellStyle name="標準 3 4 11" xfId="466" xr:uid="{00000000-0005-0000-0000-00001D020000}"/>
    <cellStyle name="標準 3 4 11 2" xfId="803" xr:uid="{00000000-0005-0000-0000-00001E020000}"/>
    <cellStyle name="標準 3 4 12" xfId="814" xr:uid="{00000000-0005-0000-0000-00001F020000}"/>
    <cellStyle name="標準 3 4 13" xfId="925" xr:uid="{00000000-0005-0000-0000-000020020000}"/>
    <cellStyle name="標準 3 4 14" xfId="581" xr:uid="{00000000-0005-0000-0000-000021020000}"/>
    <cellStyle name="標準 3 4 2" xfId="177" xr:uid="{00000000-0005-0000-0000-000022020000}"/>
    <cellStyle name="標準 3 4 2 10" xfId="928" xr:uid="{00000000-0005-0000-0000-000023020000}"/>
    <cellStyle name="標準 3 4 2 11" xfId="586" xr:uid="{00000000-0005-0000-0000-000024020000}"/>
    <cellStyle name="標準 3 4 2 2" xfId="245" xr:uid="{00000000-0005-0000-0000-000025020000}"/>
    <cellStyle name="標準 3 4 2 2 2" xfId="276" xr:uid="{00000000-0005-0000-0000-000026020000}"/>
    <cellStyle name="標準 3 4 2 2 2 2" xfId="318" xr:uid="{00000000-0005-0000-0000-000027020000}"/>
    <cellStyle name="標準 3 4 2 2 2 2 2" xfId="558" xr:uid="{00000000-0005-0000-0000-000028020000}"/>
    <cellStyle name="標準 3 4 2 2 2 2 2 2" xfId="906" xr:uid="{00000000-0005-0000-0000-000029020000}"/>
    <cellStyle name="標準 3 4 2 2 2 2 3" xfId="1017" xr:uid="{00000000-0005-0000-0000-00002A020000}"/>
    <cellStyle name="標準 3 4 2 2 2 2 4" xfId="655" xr:uid="{00000000-0005-0000-0000-00002B020000}"/>
    <cellStyle name="標準 3 4 2 2 2 3" xfId="378" xr:uid="{00000000-0005-0000-0000-00002C020000}"/>
    <cellStyle name="標準 3 4 2 2 2 3 2" xfId="715" xr:uid="{00000000-0005-0000-0000-00002D020000}"/>
    <cellStyle name="標準 3 4 2 2 2 4" xfId="438" xr:uid="{00000000-0005-0000-0000-00002E020000}"/>
    <cellStyle name="標準 3 4 2 2 2 4 2" xfId="775" xr:uid="{00000000-0005-0000-0000-00002F020000}"/>
    <cellStyle name="標準 3 4 2 2 2 5" xfId="518" xr:uid="{00000000-0005-0000-0000-000030020000}"/>
    <cellStyle name="標準 3 4 2 2 2 5 2" xfId="866" xr:uid="{00000000-0005-0000-0000-000031020000}"/>
    <cellStyle name="標準 3 4 2 2 2 6" xfId="977" xr:uid="{00000000-0005-0000-0000-000032020000}"/>
    <cellStyle name="標準 3 4 2 2 2 7" xfId="615" xr:uid="{00000000-0005-0000-0000-000033020000}"/>
    <cellStyle name="標準 3 4 2 2 3" xfId="338" xr:uid="{00000000-0005-0000-0000-000034020000}"/>
    <cellStyle name="標準 3 4 2 2 3 2" xfId="398" xr:uid="{00000000-0005-0000-0000-000035020000}"/>
    <cellStyle name="標準 3 4 2 2 3 2 2" xfId="735" xr:uid="{00000000-0005-0000-0000-000036020000}"/>
    <cellStyle name="標準 3 4 2 2 3 3" xfId="458" xr:uid="{00000000-0005-0000-0000-000037020000}"/>
    <cellStyle name="標準 3 4 2 2 3 3 2" xfId="795" xr:uid="{00000000-0005-0000-0000-000038020000}"/>
    <cellStyle name="標準 3 4 2 2 3 4" xfId="538" xr:uid="{00000000-0005-0000-0000-000039020000}"/>
    <cellStyle name="標準 3 4 2 2 3 4 2" xfId="886" xr:uid="{00000000-0005-0000-0000-00003A020000}"/>
    <cellStyle name="標準 3 4 2 2 3 5" xfId="997" xr:uid="{00000000-0005-0000-0000-00003B020000}"/>
    <cellStyle name="標準 3 4 2 2 3 6" xfId="675" xr:uid="{00000000-0005-0000-0000-00003C020000}"/>
    <cellStyle name="標準 3 4 2 2 4" xfId="298" xr:uid="{00000000-0005-0000-0000-00003D020000}"/>
    <cellStyle name="標準 3 4 2 2 4 2" xfId="498" xr:uid="{00000000-0005-0000-0000-00003E020000}"/>
    <cellStyle name="標準 3 4 2 2 4 2 2" xfId="846" xr:uid="{00000000-0005-0000-0000-00003F020000}"/>
    <cellStyle name="標準 3 4 2 2 4 3" xfId="957" xr:uid="{00000000-0005-0000-0000-000040020000}"/>
    <cellStyle name="標準 3 4 2 2 4 4" xfId="635" xr:uid="{00000000-0005-0000-0000-000041020000}"/>
    <cellStyle name="標準 3 4 2 2 5" xfId="358" xr:uid="{00000000-0005-0000-0000-000042020000}"/>
    <cellStyle name="標準 3 4 2 2 5 2" xfId="695" xr:uid="{00000000-0005-0000-0000-000043020000}"/>
    <cellStyle name="標準 3 4 2 2 6" xfId="418" xr:uid="{00000000-0005-0000-0000-000044020000}"/>
    <cellStyle name="標準 3 4 2 2 6 2" xfId="755" xr:uid="{00000000-0005-0000-0000-000045020000}"/>
    <cellStyle name="標準 3 4 2 2 7" xfId="478" xr:uid="{00000000-0005-0000-0000-000046020000}"/>
    <cellStyle name="標準 3 4 2 2 7 2" xfId="826" xr:uid="{00000000-0005-0000-0000-000047020000}"/>
    <cellStyle name="標準 3 4 2 2 8" xfId="937" xr:uid="{00000000-0005-0000-0000-000048020000}"/>
    <cellStyle name="標準 3 4 2 2 9" xfId="595" xr:uid="{00000000-0005-0000-0000-000049020000}"/>
    <cellStyle name="標準 3 4 2 3" xfId="267" xr:uid="{00000000-0005-0000-0000-00004A020000}"/>
    <cellStyle name="標準 3 4 2 3 2" xfId="309" xr:uid="{00000000-0005-0000-0000-00004B020000}"/>
    <cellStyle name="標準 3 4 2 3 2 2" xfId="549" xr:uid="{00000000-0005-0000-0000-00004C020000}"/>
    <cellStyle name="標準 3 4 2 3 2 2 2" xfId="897" xr:uid="{00000000-0005-0000-0000-00004D020000}"/>
    <cellStyle name="標準 3 4 2 3 2 3" xfId="1008" xr:uid="{00000000-0005-0000-0000-00004E020000}"/>
    <cellStyle name="標準 3 4 2 3 2 4" xfId="646" xr:uid="{00000000-0005-0000-0000-00004F020000}"/>
    <cellStyle name="標準 3 4 2 3 3" xfId="369" xr:uid="{00000000-0005-0000-0000-000050020000}"/>
    <cellStyle name="標準 3 4 2 3 3 2" xfId="706" xr:uid="{00000000-0005-0000-0000-000051020000}"/>
    <cellStyle name="標準 3 4 2 3 4" xfId="429" xr:uid="{00000000-0005-0000-0000-000052020000}"/>
    <cellStyle name="標準 3 4 2 3 4 2" xfId="766" xr:uid="{00000000-0005-0000-0000-000053020000}"/>
    <cellStyle name="標準 3 4 2 3 5" xfId="509" xr:uid="{00000000-0005-0000-0000-000054020000}"/>
    <cellStyle name="標準 3 4 2 3 5 2" xfId="857" xr:uid="{00000000-0005-0000-0000-000055020000}"/>
    <cellStyle name="標準 3 4 2 3 6" xfId="968" xr:uid="{00000000-0005-0000-0000-000056020000}"/>
    <cellStyle name="標準 3 4 2 3 7" xfId="606" xr:uid="{00000000-0005-0000-0000-000057020000}"/>
    <cellStyle name="標準 3 4 2 4" xfId="329" xr:uid="{00000000-0005-0000-0000-000058020000}"/>
    <cellStyle name="標準 3 4 2 4 2" xfId="389" xr:uid="{00000000-0005-0000-0000-000059020000}"/>
    <cellStyle name="標準 3 4 2 4 2 2" xfId="726" xr:uid="{00000000-0005-0000-0000-00005A020000}"/>
    <cellStyle name="標準 3 4 2 4 3" xfId="449" xr:uid="{00000000-0005-0000-0000-00005B020000}"/>
    <cellStyle name="標準 3 4 2 4 3 2" xfId="786" xr:uid="{00000000-0005-0000-0000-00005C020000}"/>
    <cellStyle name="標準 3 4 2 4 4" xfId="529" xr:uid="{00000000-0005-0000-0000-00005D020000}"/>
    <cellStyle name="標準 3 4 2 4 4 2" xfId="877" xr:uid="{00000000-0005-0000-0000-00005E020000}"/>
    <cellStyle name="標準 3 4 2 4 5" xfId="988" xr:uid="{00000000-0005-0000-0000-00005F020000}"/>
    <cellStyle name="標準 3 4 2 4 6" xfId="666" xr:uid="{00000000-0005-0000-0000-000060020000}"/>
    <cellStyle name="標準 3 4 2 5" xfId="289" xr:uid="{00000000-0005-0000-0000-000061020000}"/>
    <cellStyle name="標準 3 4 2 5 2" xfId="489" xr:uid="{00000000-0005-0000-0000-000062020000}"/>
    <cellStyle name="標準 3 4 2 5 2 2" xfId="837" xr:uid="{00000000-0005-0000-0000-000063020000}"/>
    <cellStyle name="標準 3 4 2 5 3" xfId="948" xr:uid="{00000000-0005-0000-0000-000064020000}"/>
    <cellStyle name="標準 3 4 2 5 4" xfId="626" xr:uid="{00000000-0005-0000-0000-000065020000}"/>
    <cellStyle name="標準 3 4 2 6" xfId="349" xr:uid="{00000000-0005-0000-0000-000066020000}"/>
    <cellStyle name="標準 3 4 2 6 2" xfId="572" xr:uid="{00000000-0005-0000-0000-000067020000}"/>
    <cellStyle name="標準 3 4 2 6 2 2" xfId="917" xr:uid="{00000000-0005-0000-0000-000068020000}"/>
    <cellStyle name="標準 3 4 2 6 3" xfId="1028" xr:uid="{00000000-0005-0000-0000-000069020000}"/>
    <cellStyle name="標準 3 4 2 6 4" xfId="686" xr:uid="{00000000-0005-0000-0000-00006A020000}"/>
    <cellStyle name="標準 3 4 2 7" xfId="409" xr:uid="{00000000-0005-0000-0000-00006B020000}"/>
    <cellStyle name="標準 3 4 2 7 2" xfId="746" xr:uid="{00000000-0005-0000-0000-00006C020000}"/>
    <cellStyle name="標準 3 4 2 8" xfId="469" xr:uid="{00000000-0005-0000-0000-00006D020000}"/>
    <cellStyle name="標準 3 4 2 8 2" xfId="806" xr:uid="{00000000-0005-0000-0000-00006E020000}"/>
    <cellStyle name="標準 3 4 2 9" xfId="817" xr:uid="{00000000-0005-0000-0000-00006F020000}"/>
    <cellStyle name="標準 3 4 3" xfId="253" xr:uid="{00000000-0005-0000-0000-000070020000}"/>
    <cellStyle name="標準 3 4 3 10" xfId="598" xr:uid="{00000000-0005-0000-0000-000071020000}"/>
    <cellStyle name="標準 3 4 3 2" xfId="279" xr:uid="{00000000-0005-0000-0000-000072020000}"/>
    <cellStyle name="標準 3 4 3 2 2" xfId="321" xr:uid="{00000000-0005-0000-0000-000073020000}"/>
    <cellStyle name="標準 3 4 3 2 2 2" xfId="561" xr:uid="{00000000-0005-0000-0000-000074020000}"/>
    <cellStyle name="標準 3 4 3 2 2 2 2" xfId="909" xr:uid="{00000000-0005-0000-0000-000075020000}"/>
    <cellStyle name="標準 3 4 3 2 2 3" xfId="1020" xr:uid="{00000000-0005-0000-0000-000076020000}"/>
    <cellStyle name="標準 3 4 3 2 2 4" xfId="658" xr:uid="{00000000-0005-0000-0000-000077020000}"/>
    <cellStyle name="標準 3 4 3 2 3" xfId="381" xr:uid="{00000000-0005-0000-0000-000078020000}"/>
    <cellStyle name="標準 3 4 3 2 3 2" xfId="718" xr:uid="{00000000-0005-0000-0000-000079020000}"/>
    <cellStyle name="標準 3 4 3 2 4" xfId="441" xr:uid="{00000000-0005-0000-0000-00007A020000}"/>
    <cellStyle name="標準 3 4 3 2 4 2" xfId="778" xr:uid="{00000000-0005-0000-0000-00007B020000}"/>
    <cellStyle name="標準 3 4 3 2 5" xfId="521" xr:uid="{00000000-0005-0000-0000-00007C020000}"/>
    <cellStyle name="標準 3 4 3 2 5 2" xfId="869" xr:uid="{00000000-0005-0000-0000-00007D020000}"/>
    <cellStyle name="標準 3 4 3 2 6" xfId="980" xr:uid="{00000000-0005-0000-0000-00007E020000}"/>
    <cellStyle name="標準 3 4 3 2 7" xfId="618" xr:uid="{00000000-0005-0000-0000-00007F020000}"/>
    <cellStyle name="標準 3 4 3 3" xfId="341" xr:uid="{00000000-0005-0000-0000-000080020000}"/>
    <cellStyle name="標準 3 4 3 3 2" xfId="401" xr:uid="{00000000-0005-0000-0000-000081020000}"/>
    <cellStyle name="標準 3 4 3 3 2 2" xfId="738" xr:uid="{00000000-0005-0000-0000-000082020000}"/>
    <cellStyle name="標準 3 4 3 3 3" xfId="461" xr:uid="{00000000-0005-0000-0000-000083020000}"/>
    <cellStyle name="標準 3 4 3 3 3 2" xfId="798" xr:uid="{00000000-0005-0000-0000-000084020000}"/>
    <cellStyle name="標準 3 4 3 3 4" xfId="541" xr:uid="{00000000-0005-0000-0000-000085020000}"/>
    <cellStyle name="標準 3 4 3 3 4 2" xfId="889" xr:uid="{00000000-0005-0000-0000-000086020000}"/>
    <cellStyle name="標準 3 4 3 3 5" xfId="1000" xr:uid="{00000000-0005-0000-0000-000087020000}"/>
    <cellStyle name="標準 3 4 3 3 6" xfId="678" xr:uid="{00000000-0005-0000-0000-000088020000}"/>
    <cellStyle name="標準 3 4 3 4" xfId="301" xr:uid="{00000000-0005-0000-0000-000089020000}"/>
    <cellStyle name="標準 3 4 3 4 2" xfId="501" xr:uid="{00000000-0005-0000-0000-00008A020000}"/>
    <cellStyle name="標準 3 4 3 4 2 2" xfId="849" xr:uid="{00000000-0005-0000-0000-00008B020000}"/>
    <cellStyle name="標準 3 4 3 4 3" xfId="960" xr:uid="{00000000-0005-0000-0000-00008C020000}"/>
    <cellStyle name="標準 3 4 3 4 4" xfId="638" xr:uid="{00000000-0005-0000-0000-00008D020000}"/>
    <cellStyle name="標準 3 4 3 5" xfId="361" xr:uid="{00000000-0005-0000-0000-00008E020000}"/>
    <cellStyle name="標準 3 4 3 5 2" xfId="575" xr:uid="{00000000-0005-0000-0000-00008F020000}"/>
    <cellStyle name="標準 3 4 3 5 2 2" xfId="920" xr:uid="{00000000-0005-0000-0000-000090020000}"/>
    <cellStyle name="標準 3 4 3 5 3" xfId="1031" xr:uid="{00000000-0005-0000-0000-000091020000}"/>
    <cellStyle name="標準 3 4 3 5 4" xfId="698" xr:uid="{00000000-0005-0000-0000-000092020000}"/>
    <cellStyle name="標準 3 4 3 6" xfId="421" xr:uid="{00000000-0005-0000-0000-000093020000}"/>
    <cellStyle name="標準 3 4 3 6 2" xfId="758" xr:uid="{00000000-0005-0000-0000-000094020000}"/>
    <cellStyle name="標準 3 4 3 7" xfId="481" xr:uid="{00000000-0005-0000-0000-000095020000}"/>
    <cellStyle name="標準 3 4 3 7 2" xfId="809" xr:uid="{00000000-0005-0000-0000-000096020000}"/>
    <cellStyle name="標準 3 4 3 8" xfId="829" xr:uid="{00000000-0005-0000-0000-000097020000}"/>
    <cellStyle name="標準 3 4 3 9" xfId="940" xr:uid="{00000000-0005-0000-0000-000098020000}"/>
    <cellStyle name="標準 3 4 4" xfId="242" xr:uid="{00000000-0005-0000-0000-000099020000}"/>
    <cellStyle name="標準 3 4 4 2" xfId="273" xr:uid="{00000000-0005-0000-0000-00009A020000}"/>
    <cellStyle name="標準 3 4 4 2 2" xfId="315" xr:uid="{00000000-0005-0000-0000-00009B020000}"/>
    <cellStyle name="標準 3 4 4 2 2 2" xfId="555" xr:uid="{00000000-0005-0000-0000-00009C020000}"/>
    <cellStyle name="標準 3 4 4 2 2 2 2" xfId="903" xr:uid="{00000000-0005-0000-0000-00009D020000}"/>
    <cellStyle name="標準 3 4 4 2 2 3" xfId="1014" xr:uid="{00000000-0005-0000-0000-00009E020000}"/>
    <cellStyle name="標準 3 4 4 2 2 4" xfId="652" xr:uid="{00000000-0005-0000-0000-00009F020000}"/>
    <cellStyle name="標準 3 4 4 2 3" xfId="375" xr:uid="{00000000-0005-0000-0000-0000A0020000}"/>
    <cellStyle name="標準 3 4 4 2 3 2" xfId="712" xr:uid="{00000000-0005-0000-0000-0000A1020000}"/>
    <cellStyle name="標準 3 4 4 2 4" xfId="435" xr:uid="{00000000-0005-0000-0000-0000A2020000}"/>
    <cellStyle name="標準 3 4 4 2 4 2" xfId="772" xr:uid="{00000000-0005-0000-0000-0000A3020000}"/>
    <cellStyle name="標準 3 4 4 2 5" xfId="515" xr:uid="{00000000-0005-0000-0000-0000A4020000}"/>
    <cellStyle name="標準 3 4 4 2 5 2" xfId="863" xr:uid="{00000000-0005-0000-0000-0000A5020000}"/>
    <cellStyle name="標準 3 4 4 2 6" xfId="974" xr:uid="{00000000-0005-0000-0000-0000A6020000}"/>
    <cellStyle name="標準 3 4 4 2 7" xfId="612" xr:uid="{00000000-0005-0000-0000-0000A7020000}"/>
    <cellStyle name="標準 3 4 4 3" xfId="335" xr:uid="{00000000-0005-0000-0000-0000A8020000}"/>
    <cellStyle name="標準 3 4 4 3 2" xfId="395" xr:uid="{00000000-0005-0000-0000-0000A9020000}"/>
    <cellStyle name="標準 3 4 4 3 2 2" xfId="732" xr:uid="{00000000-0005-0000-0000-0000AA020000}"/>
    <cellStyle name="標準 3 4 4 3 3" xfId="455" xr:uid="{00000000-0005-0000-0000-0000AB020000}"/>
    <cellStyle name="標準 3 4 4 3 3 2" xfId="792" xr:uid="{00000000-0005-0000-0000-0000AC020000}"/>
    <cellStyle name="標準 3 4 4 3 4" xfId="535" xr:uid="{00000000-0005-0000-0000-0000AD020000}"/>
    <cellStyle name="標準 3 4 4 3 4 2" xfId="883" xr:uid="{00000000-0005-0000-0000-0000AE020000}"/>
    <cellStyle name="標準 3 4 4 3 5" xfId="994" xr:uid="{00000000-0005-0000-0000-0000AF020000}"/>
    <cellStyle name="標準 3 4 4 3 6" xfId="672" xr:uid="{00000000-0005-0000-0000-0000B0020000}"/>
    <cellStyle name="標準 3 4 4 4" xfId="295" xr:uid="{00000000-0005-0000-0000-0000B1020000}"/>
    <cellStyle name="標準 3 4 4 4 2" xfId="495" xr:uid="{00000000-0005-0000-0000-0000B2020000}"/>
    <cellStyle name="標準 3 4 4 4 2 2" xfId="843" xr:uid="{00000000-0005-0000-0000-0000B3020000}"/>
    <cellStyle name="標準 3 4 4 4 3" xfId="954" xr:uid="{00000000-0005-0000-0000-0000B4020000}"/>
    <cellStyle name="標準 3 4 4 4 4" xfId="632" xr:uid="{00000000-0005-0000-0000-0000B5020000}"/>
    <cellStyle name="標準 3 4 4 5" xfId="355" xr:uid="{00000000-0005-0000-0000-0000B6020000}"/>
    <cellStyle name="標準 3 4 4 5 2" xfId="692" xr:uid="{00000000-0005-0000-0000-0000B7020000}"/>
    <cellStyle name="標準 3 4 4 6" xfId="415" xr:uid="{00000000-0005-0000-0000-0000B8020000}"/>
    <cellStyle name="標準 3 4 4 6 2" xfId="752" xr:uid="{00000000-0005-0000-0000-0000B9020000}"/>
    <cellStyle name="標準 3 4 4 7" xfId="475" xr:uid="{00000000-0005-0000-0000-0000BA020000}"/>
    <cellStyle name="標準 3 4 4 7 2" xfId="823" xr:uid="{00000000-0005-0000-0000-0000BB020000}"/>
    <cellStyle name="標準 3 4 4 8" xfId="934" xr:uid="{00000000-0005-0000-0000-0000BC020000}"/>
    <cellStyle name="標準 3 4 4 9" xfId="592" xr:uid="{00000000-0005-0000-0000-0000BD020000}"/>
    <cellStyle name="標準 3 4 5" xfId="235" xr:uid="{00000000-0005-0000-0000-0000BE020000}"/>
    <cellStyle name="標準 3 4 5 2" xfId="270" xr:uid="{00000000-0005-0000-0000-0000BF020000}"/>
    <cellStyle name="標準 3 4 5 2 2" xfId="312" xr:uid="{00000000-0005-0000-0000-0000C0020000}"/>
    <cellStyle name="標準 3 4 5 2 2 2" xfId="552" xr:uid="{00000000-0005-0000-0000-0000C1020000}"/>
    <cellStyle name="標準 3 4 5 2 2 2 2" xfId="900" xr:uid="{00000000-0005-0000-0000-0000C2020000}"/>
    <cellStyle name="標準 3 4 5 2 2 3" xfId="1011" xr:uid="{00000000-0005-0000-0000-0000C3020000}"/>
    <cellStyle name="標準 3 4 5 2 2 4" xfId="649" xr:uid="{00000000-0005-0000-0000-0000C4020000}"/>
    <cellStyle name="標準 3 4 5 2 3" xfId="372" xr:uid="{00000000-0005-0000-0000-0000C5020000}"/>
    <cellStyle name="標準 3 4 5 2 3 2" xfId="709" xr:uid="{00000000-0005-0000-0000-0000C6020000}"/>
    <cellStyle name="標準 3 4 5 2 4" xfId="432" xr:uid="{00000000-0005-0000-0000-0000C7020000}"/>
    <cellStyle name="標準 3 4 5 2 4 2" xfId="769" xr:uid="{00000000-0005-0000-0000-0000C8020000}"/>
    <cellStyle name="標準 3 4 5 2 5" xfId="512" xr:uid="{00000000-0005-0000-0000-0000C9020000}"/>
    <cellStyle name="標準 3 4 5 2 5 2" xfId="860" xr:uid="{00000000-0005-0000-0000-0000CA020000}"/>
    <cellStyle name="標準 3 4 5 2 6" xfId="971" xr:uid="{00000000-0005-0000-0000-0000CB020000}"/>
    <cellStyle name="標準 3 4 5 2 7" xfId="609" xr:uid="{00000000-0005-0000-0000-0000CC020000}"/>
    <cellStyle name="標準 3 4 5 3" xfId="332" xr:uid="{00000000-0005-0000-0000-0000CD020000}"/>
    <cellStyle name="標準 3 4 5 3 2" xfId="392" xr:uid="{00000000-0005-0000-0000-0000CE020000}"/>
    <cellStyle name="標準 3 4 5 3 2 2" xfId="729" xr:uid="{00000000-0005-0000-0000-0000CF020000}"/>
    <cellStyle name="標準 3 4 5 3 3" xfId="452" xr:uid="{00000000-0005-0000-0000-0000D0020000}"/>
    <cellStyle name="標準 3 4 5 3 3 2" xfId="789" xr:uid="{00000000-0005-0000-0000-0000D1020000}"/>
    <cellStyle name="標準 3 4 5 3 4" xfId="532" xr:uid="{00000000-0005-0000-0000-0000D2020000}"/>
    <cellStyle name="標準 3 4 5 3 4 2" xfId="880" xr:uid="{00000000-0005-0000-0000-0000D3020000}"/>
    <cellStyle name="標準 3 4 5 3 5" xfId="991" xr:uid="{00000000-0005-0000-0000-0000D4020000}"/>
    <cellStyle name="標準 3 4 5 3 6" xfId="669" xr:uid="{00000000-0005-0000-0000-0000D5020000}"/>
    <cellStyle name="標準 3 4 5 4" xfId="292" xr:uid="{00000000-0005-0000-0000-0000D6020000}"/>
    <cellStyle name="標準 3 4 5 4 2" xfId="492" xr:uid="{00000000-0005-0000-0000-0000D7020000}"/>
    <cellStyle name="標準 3 4 5 4 2 2" xfId="840" xr:uid="{00000000-0005-0000-0000-0000D8020000}"/>
    <cellStyle name="標準 3 4 5 4 3" xfId="951" xr:uid="{00000000-0005-0000-0000-0000D9020000}"/>
    <cellStyle name="標準 3 4 5 4 4" xfId="629" xr:uid="{00000000-0005-0000-0000-0000DA020000}"/>
    <cellStyle name="標準 3 4 5 5" xfId="352" xr:uid="{00000000-0005-0000-0000-0000DB020000}"/>
    <cellStyle name="標準 3 4 5 5 2" xfId="689" xr:uid="{00000000-0005-0000-0000-0000DC020000}"/>
    <cellStyle name="標準 3 4 5 6" xfId="412" xr:uid="{00000000-0005-0000-0000-0000DD020000}"/>
    <cellStyle name="標準 3 4 5 6 2" xfId="749" xr:uid="{00000000-0005-0000-0000-0000DE020000}"/>
    <cellStyle name="標準 3 4 5 7" xfId="472" xr:uid="{00000000-0005-0000-0000-0000DF020000}"/>
    <cellStyle name="標準 3 4 5 7 2" xfId="820" xr:uid="{00000000-0005-0000-0000-0000E0020000}"/>
    <cellStyle name="標準 3 4 5 8" xfId="931" xr:uid="{00000000-0005-0000-0000-0000E1020000}"/>
    <cellStyle name="標準 3 4 5 9" xfId="589" xr:uid="{00000000-0005-0000-0000-0000E2020000}"/>
    <cellStyle name="標準 3 4 6" xfId="264" xr:uid="{00000000-0005-0000-0000-0000E3020000}"/>
    <cellStyle name="標準 3 4 6 2" xfId="306" xr:uid="{00000000-0005-0000-0000-0000E4020000}"/>
    <cellStyle name="標準 3 4 6 2 2" xfId="546" xr:uid="{00000000-0005-0000-0000-0000E5020000}"/>
    <cellStyle name="標準 3 4 6 2 2 2" xfId="894" xr:uid="{00000000-0005-0000-0000-0000E6020000}"/>
    <cellStyle name="標準 3 4 6 2 3" xfId="1005" xr:uid="{00000000-0005-0000-0000-0000E7020000}"/>
    <cellStyle name="標準 3 4 6 2 4" xfId="643" xr:uid="{00000000-0005-0000-0000-0000E8020000}"/>
    <cellStyle name="標準 3 4 6 3" xfId="366" xr:uid="{00000000-0005-0000-0000-0000E9020000}"/>
    <cellStyle name="標準 3 4 6 3 2" xfId="703" xr:uid="{00000000-0005-0000-0000-0000EA020000}"/>
    <cellStyle name="標準 3 4 6 4" xfId="426" xr:uid="{00000000-0005-0000-0000-0000EB020000}"/>
    <cellStyle name="標準 3 4 6 4 2" xfId="763" xr:uid="{00000000-0005-0000-0000-0000EC020000}"/>
    <cellStyle name="標準 3 4 6 5" xfId="506" xr:uid="{00000000-0005-0000-0000-0000ED020000}"/>
    <cellStyle name="標準 3 4 6 5 2" xfId="854" xr:uid="{00000000-0005-0000-0000-0000EE020000}"/>
    <cellStyle name="標準 3 4 6 6" xfId="965" xr:uid="{00000000-0005-0000-0000-0000EF020000}"/>
    <cellStyle name="標準 3 4 6 7" xfId="603" xr:uid="{00000000-0005-0000-0000-0000F0020000}"/>
    <cellStyle name="標準 3 4 7" xfId="326" xr:uid="{00000000-0005-0000-0000-0000F1020000}"/>
    <cellStyle name="標準 3 4 7 2" xfId="386" xr:uid="{00000000-0005-0000-0000-0000F2020000}"/>
    <cellStyle name="標準 3 4 7 2 2" xfId="723" xr:uid="{00000000-0005-0000-0000-0000F3020000}"/>
    <cellStyle name="標準 3 4 7 3" xfId="446" xr:uid="{00000000-0005-0000-0000-0000F4020000}"/>
    <cellStyle name="標準 3 4 7 3 2" xfId="783" xr:uid="{00000000-0005-0000-0000-0000F5020000}"/>
    <cellStyle name="標準 3 4 7 4" xfId="526" xr:uid="{00000000-0005-0000-0000-0000F6020000}"/>
    <cellStyle name="標準 3 4 7 4 2" xfId="874" xr:uid="{00000000-0005-0000-0000-0000F7020000}"/>
    <cellStyle name="標準 3 4 7 5" xfId="985" xr:uid="{00000000-0005-0000-0000-0000F8020000}"/>
    <cellStyle name="標準 3 4 7 6" xfId="663" xr:uid="{00000000-0005-0000-0000-0000F9020000}"/>
    <cellStyle name="標準 3 4 8" xfId="286" xr:uid="{00000000-0005-0000-0000-0000FA020000}"/>
    <cellStyle name="標準 3 4 8 2" xfId="486" xr:uid="{00000000-0005-0000-0000-0000FB020000}"/>
    <cellStyle name="標準 3 4 8 2 2" xfId="834" xr:uid="{00000000-0005-0000-0000-0000FC020000}"/>
    <cellStyle name="標準 3 4 8 3" xfId="945" xr:uid="{00000000-0005-0000-0000-0000FD020000}"/>
    <cellStyle name="標準 3 4 8 4" xfId="623" xr:uid="{00000000-0005-0000-0000-0000FE020000}"/>
    <cellStyle name="標準 3 4 9" xfId="346" xr:uid="{00000000-0005-0000-0000-0000FF020000}"/>
    <cellStyle name="標準 3 4 9 2" xfId="569" xr:uid="{00000000-0005-0000-0000-000000030000}"/>
    <cellStyle name="標準 3 4 9 2 2" xfId="914" xr:uid="{00000000-0005-0000-0000-000001030000}"/>
    <cellStyle name="標準 3 4 9 3" xfId="1025" xr:uid="{00000000-0005-0000-0000-000002030000}"/>
    <cellStyle name="標準 3 4 9 4" xfId="683" xr:uid="{00000000-0005-0000-0000-000003030000}"/>
    <cellStyle name="標準 4" xfId="133" xr:uid="{00000000-0005-0000-0000-000004030000}"/>
    <cellStyle name="標準 4 2" xfId="174" xr:uid="{00000000-0005-0000-0000-000005030000}"/>
    <cellStyle name="標準 4 2 2" xfId="257" xr:uid="{00000000-0005-0000-0000-000006030000}"/>
    <cellStyle name="標準 4 3" xfId="169" xr:uid="{00000000-0005-0000-0000-000007030000}"/>
    <cellStyle name="標準 5" xfId="134" xr:uid="{00000000-0005-0000-0000-000008030000}"/>
    <cellStyle name="標準 5 2" xfId="175" xr:uid="{00000000-0005-0000-0000-000009030000}"/>
    <cellStyle name="標準 5 3" xfId="170" xr:uid="{00000000-0005-0000-0000-00000A030000}"/>
    <cellStyle name="標準 5 3 10" xfId="407" xr:uid="{00000000-0005-0000-0000-00000B030000}"/>
    <cellStyle name="標準 5 3 10 2" xfId="744" xr:uid="{00000000-0005-0000-0000-00000C030000}"/>
    <cellStyle name="標準 5 3 11" xfId="467" xr:uid="{00000000-0005-0000-0000-00000D030000}"/>
    <cellStyle name="標準 5 3 11 2" xfId="804" xr:uid="{00000000-0005-0000-0000-00000E030000}"/>
    <cellStyle name="標準 5 3 12" xfId="815" xr:uid="{00000000-0005-0000-0000-00000F030000}"/>
    <cellStyle name="標準 5 3 13" xfId="926" xr:uid="{00000000-0005-0000-0000-000010030000}"/>
    <cellStyle name="標準 5 3 14" xfId="582" xr:uid="{00000000-0005-0000-0000-000011030000}"/>
    <cellStyle name="標準 5 3 2" xfId="178" xr:uid="{00000000-0005-0000-0000-000012030000}"/>
    <cellStyle name="標準 5 3 2 10" xfId="929" xr:uid="{00000000-0005-0000-0000-000013030000}"/>
    <cellStyle name="標準 5 3 2 11" xfId="587" xr:uid="{00000000-0005-0000-0000-000014030000}"/>
    <cellStyle name="標準 5 3 2 2" xfId="246" xr:uid="{00000000-0005-0000-0000-000015030000}"/>
    <cellStyle name="標準 5 3 2 2 2" xfId="277" xr:uid="{00000000-0005-0000-0000-000016030000}"/>
    <cellStyle name="標準 5 3 2 2 2 2" xfId="319" xr:uid="{00000000-0005-0000-0000-000017030000}"/>
    <cellStyle name="標準 5 3 2 2 2 2 2" xfId="559" xr:uid="{00000000-0005-0000-0000-000018030000}"/>
    <cellStyle name="標準 5 3 2 2 2 2 2 2" xfId="907" xr:uid="{00000000-0005-0000-0000-000019030000}"/>
    <cellStyle name="標準 5 3 2 2 2 2 3" xfId="1018" xr:uid="{00000000-0005-0000-0000-00001A030000}"/>
    <cellStyle name="標準 5 3 2 2 2 2 4" xfId="656" xr:uid="{00000000-0005-0000-0000-00001B030000}"/>
    <cellStyle name="標準 5 3 2 2 2 3" xfId="379" xr:uid="{00000000-0005-0000-0000-00001C030000}"/>
    <cellStyle name="標準 5 3 2 2 2 3 2" xfId="716" xr:uid="{00000000-0005-0000-0000-00001D030000}"/>
    <cellStyle name="標準 5 3 2 2 2 4" xfId="439" xr:uid="{00000000-0005-0000-0000-00001E030000}"/>
    <cellStyle name="標準 5 3 2 2 2 4 2" xfId="776" xr:uid="{00000000-0005-0000-0000-00001F030000}"/>
    <cellStyle name="標準 5 3 2 2 2 5" xfId="519" xr:uid="{00000000-0005-0000-0000-000020030000}"/>
    <cellStyle name="標準 5 3 2 2 2 5 2" xfId="867" xr:uid="{00000000-0005-0000-0000-000021030000}"/>
    <cellStyle name="標準 5 3 2 2 2 6" xfId="978" xr:uid="{00000000-0005-0000-0000-000022030000}"/>
    <cellStyle name="標準 5 3 2 2 2 7" xfId="616" xr:uid="{00000000-0005-0000-0000-000023030000}"/>
    <cellStyle name="標準 5 3 2 2 3" xfId="339" xr:uid="{00000000-0005-0000-0000-000024030000}"/>
    <cellStyle name="標準 5 3 2 2 3 2" xfId="399" xr:uid="{00000000-0005-0000-0000-000025030000}"/>
    <cellStyle name="標準 5 3 2 2 3 2 2" xfId="736" xr:uid="{00000000-0005-0000-0000-000026030000}"/>
    <cellStyle name="標準 5 3 2 2 3 3" xfId="459" xr:uid="{00000000-0005-0000-0000-000027030000}"/>
    <cellStyle name="標準 5 3 2 2 3 3 2" xfId="796" xr:uid="{00000000-0005-0000-0000-000028030000}"/>
    <cellStyle name="標準 5 3 2 2 3 4" xfId="539" xr:uid="{00000000-0005-0000-0000-000029030000}"/>
    <cellStyle name="標準 5 3 2 2 3 4 2" xfId="887" xr:uid="{00000000-0005-0000-0000-00002A030000}"/>
    <cellStyle name="標準 5 3 2 2 3 5" xfId="998" xr:uid="{00000000-0005-0000-0000-00002B030000}"/>
    <cellStyle name="標準 5 3 2 2 3 6" xfId="676" xr:uid="{00000000-0005-0000-0000-00002C030000}"/>
    <cellStyle name="標準 5 3 2 2 4" xfId="299" xr:uid="{00000000-0005-0000-0000-00002D030000}"/>
    <cellStyle name="標準 5 3 2 2 4 2" xfId="499" xr:uid="{00000000-0005-0000-0000-00002E030000}"/>
    <cellStyle name="標準 5 3 2 2 4 2 2" xfId="847" xr:uid="{00000000-0005-0000-0000-00002F030000}"/>
    <cellStyle name="標準 5 3 2 2 4 3" xfId="958" xr:uid="{00000000-0005-0000-0000-000030030000}"/>
    <cellStyle name="標準 5 3 2 2 4 4" xfId="636" xr:uid="{00000000-0005-0000-0000-000031030000}"/>
    <cellStyle name="標準 5 3 2 2 5" xfId="359" xr:uid="{00000000-0005-0000-0000-000032030000}"/>
    <cellStyle name="標準 5 3 2 2 5 2" xfId="696" xr:uid="{00000000-0005-0000-0000-000033030000}"/>
    <cellStyle name="標準 5 3 2 2 6" xfId="419" xr:uid="{00000000-0005-0000-0000-000034030000}"/>
    <cellStyle name="標準 5 3 2 2 6 2" xfId="756" xr:uid="{00000000-0005-0000-0000-000035030000}"/>
    <cellStyle name="標準 5 3 2 2 7" xfId="479" xr:uid="{00000000-0005-0000-0000-000036030000}"/>
    <cellStyle name="標準 5 3 2 2 7 2" xfId="827" xr:uid="{00000000-0005-0000-0000-000037030000}"/>
    <cellStyle name="標準 5 3 2 2 8" xfId="938" xr:uid="{00000000-0005-0000-0000-000038030000}"/>
    <cellStyle name="標準 5 3 2 2 9" xfId="596" xr:uid="{00000000-0005-0000-0000-000039030000}"/>
    <cellStyle name="標準 5 3 2 3" xfId="268" xr:uid="{00000000-0005-0000-0000-00003A030000}"/>
    <cellStyle name="標準 5 3 2 3 2" xfId="310" xr:uid="{00000000-0005-0000-0000-00003B030000}"/>
    <cellStyle name="標準 5 3 2 3 2 2" xfId="550" xr:uid="{00000000-0005-0000-0000-00003C030000}"/>
    <cellStyle name="標準 5 3 2 3 2 2 2" xfId="898" xr:uid="{00000000-0005-0000-0000-00003D030000}"/>
    <cellStyle name="標準 5 3 2 3 2 3" xfId="1009" xr:uid="{00000000-0005-0000-0000-00003E030000}"/>
    <cellStyle name="標準 5 3 2 3 2 4" xfId="647" xr:uid="{00000000-0005-0000-0000-00003F030000}"/>
    <cellStyle name="標準 5 3 2 3 3" xfId="370" xr:uid="{00000000-0005-0000-0000-000040030000}"/>
    <cellStyle name="標準 5 3 2 3 3 2" xfId="707" xr:uid="{00000000-0005-0000-0000-000041030000}"/>
    <cellStyle name="標準 5 3 2 3 4" xfId="430" xr:uid="{00000000-0005-0000-0000-000042030000}"/>
    <cellStyle name="標準 5 3 2 3 4 2" xfId="767" xr:uid="{00000000-0005-0000-0000-000043030000}"/>
    <cellStyle name="標準 5 3 2 3 5" xfId="510" xr:uid="{00000000-0005-0000-0000-000044030000}"/>
    <cellStyle name="標準 5 3 2 3 5 2" xfId="858" xr:uid="{00000000-0005-0000-0000-000045030000}"/>
    <cellStyle name="標準 5 3 2 3 6" xfId="969" xr:uid="{00000000-0005-0000-0000-000046030000}"/>
    <cellStyle name="標準 5 3 2 3 7" xfId="607" xr:uid="{00000000-0005-0000-0000-000047030000}"/>
    <cellStyle name="標準 5 3 2 4" xfId="330" xr:uid="{00000000-0005-0000-0000-000048030000}"/>
    <cellStyle name="標準 5 3 2 4 2" xfId="390" xr:uid="{00000000-0005-0000-0000-000049030000}"/>
    <cellStyle name="標準 5 3 2 4 2 2" xfId="727" xr:uid="{00000000-0005-0000-0000-00004A030000}"/>
    <cellStyle name="標準 5 3 2 4 3" xfId="450" xr:uid="{00000000-0005-0000-0000-00004B030000}"/>
    <cellStyle name="標準 5 3 2 4 3 2" xfId="787" xr:uid="{00000000-0005-0000-0000-00004C030000}"/>
    <cellStyle name="標準 5 3 2 4 4" xfId="530" xr:uid="{00000000-0005-0000-0000-00004D030000}"/>
    <cellStyle name="標準 5 3 2 4 4 2" xfId="878" xr:uid="{00000000-0005-0000-0000-00004E030000}"/>
    <cellStyle name="標準 5 3 2 4 5" xfId="989" xr:uid="{00000000-0005-0000-0000-00004F030000}"/>
    <cellStyle name="標準 5 3 2 4 6" xfId="667" xr:uid="{00000000-0005-0000-0000-000050030000}"/>
    <cellStyle name="標準 5 3 2 5" xfId="290" xr:uid="{00000000-0005-0000-0000-000051030000}"/>
    <cellStyle name="標準 5 3 2 5 2" xfId="490" xr:uid="{00000000-0005-0000-0000-000052030000}"/>
    <cellStyle name="標準 5 3 2 5 2 2" xfId="838" xr:uid="{00000000-0005-0000-0000-000053030000}"/>
    <cellStyle name="標準 5 3 2 5 3" xfId="949" xr:uid="{00000000-0005-0000-0000-000054030000}"/>
    <cellStyle name="標準 5 3 2 5 4" xfId="627" xr:uid="{00000000-0005-0000-0000-000055030000}"/>
    <cellStyle name="標準 5 3 2 6" xfId="350" xr:uid="{00000000-0005-0000-0000-000056030000}"/>
    <cellStyle name="標準 5 3 2 6 2" xfId="573" xr:uid="{00000000-0005-0000-0000-000057030000}"/>
    <cellStyle name="標準 5 3 2 6 2 2" xfId="918" xr:uid="{00000000-0005-0000-0000-000058030000}"/>
    <cellStyle name="標準 5 3 2 6 3" xfId="1029" xr:uid="{00000000-0005-0000-0000-000059030000}"/>
    <cellStyle name="標準 5 3 2 6 4" xfId="687" xr:uid="{00000000-0005-0000-0000-00005A030000}"/>
    <cellStyle name="標準 5 3 2 7" xfId="410" xr:uid="{00000000-0005-0000-0000-00005B030000}"/>
    <cellStyle name="標準 5 3 2 7 2" xfId="747" xr:uid="{00000000-0005-0000-0000-00005C030000}"/>
    <cellStyle name="標準 5 3 2 8" xfId="470" xr:uid="{00000000-0005-0000-0000-00005D030000}"/>
    <cellStyle name="標準 5 3 2 8 2" xfId="807" xr:uid="{00000000-0005-0000-0000-00005E030000}"/>
    <cellStyle name="標準 5 3 2 9" xfId="818" xr:uid="{00000000-0005-0000-0000-00005F030000}"/>
    <cellStyle name="標準 5 3 3" xfId="254" xr:uid="{00000000-0005-0000-0000-000060030000}"/>
    <cellStyle name="標準 5 3 3 10" xfId="599" xr:uid="{00000000-0005-0000-0000-000061030000}"/>
    <cellStyle name="標準 5 3 3 2" xfId="280" xr:uid="{00000000-0005-0000-0000-000062030000}"/>
    <cellStyle name="標準 5 3 3 2 2" xfId="322" xr:uid="{00000000-0005-0000-0000-000063030000}"/>
    <cellStyle name="標準 5 3 3 2 2 2" xfId="562" xr:uid="{00000000-0005-0000-0000-000064030000}"/>
    <cellStyle name="標準 5 3 3 2 2 2 2" xfId="910" xr:uid="{00000000-0005-0000-0000-000065030000}"/>
    <cellStyle name="標準 5 3 3 2 2 3" xfId="1021" xr:uid="{00000000-0005-0000-0000-000066030000}"/>
    <cellStyle name="標準 5 3 3 2 2 4" xfId="659" xr:uid="{00000000-0005-0000-0000-000067030000}"/>
    <cellStyle name="標準 5 3 3 2 3" xfId="382" xr:uid="{00000000-0005-0000-0000-000068030000}"/>
    <cellStyle name="標準 5 3 3 2 3 2" xfId="719" xr:uid="{00000000-0005-0000-0000-000069030000}"/>
    <cellStyle name="標準 5 3 3 2 4" xfId="442" xr:uid="{00000000-0005-0000-0000-00006A030000}"/>
    <cellStyle name="標準 5 3 3 2 4 2" xfId="779" xr:uid="{00000000-0005-0000-0000-00006B030000}"/>
    <cellStyle name="標準 5 3 3 2 5" xfId="522" xr:uid="{00000000-0005-0000-0000-00006C030000}"/>
    <cellStyle name="標準 5 3 3 2 5 2" xfId="870" xr:uid="{00000000-0005-0000-0000-00006D030000}"/>
    <cellStyle name="標準 5 3 3 2 6" xfId="981" xr:uid="{00000000-0005-0000-0000-00006E030000}"/>
    <cellStyle name="標準 5 3 3 2 7" xfId="619" xr:uid="{00000000-0005-0000-0000-00006F030000}"/>
    <cellStyle name="標準 5 3 3 3" xfId="342" xr:uid="{00000000-0005-0000-0000-000070030000}"/>
    <cellStyle name="標準 5 3 3 3 2" xfId="402" xr:uid="{00000000-0005-0000-0000-000071030000}"/>
    <cellStyle name="標準 5 3 3 3 2 2" xfId="739" xr:uid="{00000000-0005-0000-0000-000072030000}"/>
    <cellStyle name="標準 5 3 3 3 3" xfId="462" xr:uid="{00000000-0005-0000-0000-000073030000}"/>
    <cellStyle name="標準 5 3 3 3 3 2" xfId="799" xr:uid="{00000000-0005-0000-0000-000074030000}"/>
    <cellStyle name="標準 5 3 3 3 4" xfId="542" xr:uid="{00000000-0005-0000-0000-000075030000}"/>
    <cellStyle name="標準 5 3 3 3 4 2" xfId="890" xr:uid="{00000000-0005-0000-0000-000076030000}"/>
    <cellStyle name="標準 5 3 3 3 5" xfId="1001" xr:uid="{00000000-0005-0000-0000-000077030000}"/>
    <cellStyle name="標準 5 3 3 3 6" xfId="679" xr:uid="{00000000-0005-0000-0000-000078030000}"/>
    <cellStyle name="標準 5 3 3 4" xfId="302" xr:uid="{00000000-0005-0000-0000-000079030000}"/>
    <cellStyle name="標準 5 3 3 4 2" xfId="502" xr:uid="{00000000-0005-0000-0000-00007A030000}"/>
    <cellStyle name="標準 5 3 3 4 2 2" xfId="850" xr:uid="{00000000-0005-0000-0000-00007B030000}"/>
    <cellStyle name="標準 5 3 3 4 3" xfId="961" xr:uid="{00000000-0005-0000-0000-00007C030000}"/>
    <cellStyle name="標準 5 3 3 4 4" xfId="639" xr:uid="{00000000-0005-0000-0000-00007D030000}"/>
    <cellStyle name="標準 5 3 3 5" xfId="362" xr:uid="{00000000-0005-0000-0000-00007E030000}"/>
    <cellStyle name="標準 5 3 3 5 2" xfId="576" xr:uid="{00000000-0005-0000-0000-00007F030000}"/>
    <cellStyle name="標準 5 3 3 5 2 2" xfId="921" xr:uid="{00000000-0005-0000-0000-000080030000}"/>
    <cellStyle name="標準 5 3 3 5 3" xfId="1032" xr:uid="{00000000-0005-0000-0000-000081030000}"/>
    <cellStyle name="標準 5 3 3 5 4" xfId="699" xr:uid="{00000000-0005-0000-0000-000082030000}"/>
    <cellStyle name="標準 5 3 3 6" xfId="422" xr:uid="{00000000-0005-0000-0000-000083030000}"/>
    <cellStyle name="標準 5 3 3 6 2" xfId="759" xr:uid="{00000000-0005-0000-0000-000084030000}"/>
    <cellStyle name="標準 5 3 3 7" xfId="482" xr:uid="{00000000-0005-0000-0000-000085030000}"/>
    <cellStyle name="標準 5 3 3 7 2" xfId="810" xr:uid="{00000000-0005-0000-0000-000086030000}"/>
    <cellStyle name="標準 5 3 3 8" xfId="830" xr:uid="{00000000-0005-0000-0000-000087030000}"/>
    <cellStyle name="標準 5 3 3 9" xfId="941" xr:uid="{00000000-0005-0000-0000-000088030000}"/>
    <cellStyle name="標準 5 3 4" xfId="243" xr:uid="{00000000-0005-0000-0000-000089030000}"/>
    <cellStyle name="標準 5 3 4 2" xfId="274" xr:uid="{00000000-0005-0000-0000-00008A030000}"/>
    <cellStyle name="標準 5 3 4 2 2" xfId="316" xr:uid="{00000000-0005-0000-0000-00008B030000}"/>
    <cellStyle name="標準 5 3 4 2 2 2" xfId="556" xr:uid="{00000000-0005-0000-0000-00008C030000}"/>
    <cellStyle name="標準 5 3 4 2 2 2 2" xfId="904" xr:uid="{00000000-0005-0000-0000-00008D030000}"/>
    <cellStyle name="標準 5 3 4 2 2 3" xfId="1015" xr:uid="{00000000-0005-0000-0000-00008E030000}"/>
    <cellStyle name="標準 5 3 4 2 2 4" xfId="653" xr:uid="{00000000-0005-0000-0000-00008F030000}"/>
    <cellStyle name="標準 5 3 4 2 3" xfId="376" xr:uid="{00000000-0005-0000-0000-000090030000}"/>
    <cellStyle name="標準 5 3 4 2 3 2" xfId="713" xr:uid="{00000000-0005-0000-0000-000091030000}"/>
    <cellStyle name="標準 5 3 4 2 4" xfId="436" xr:uid="{00000000-0005-0000-0000-000092030000}"/>
    <cellStyle name="標準 5 3 4 2 4 2" xfId="773" xr:uid="{00000000-0005-0000-0000-000093030000}"/>
    <cellStyle name="標準 5 3 4 2 5" xfId="516" xr:uid="{00000000-0005-0000-0000-000094030000}"/>
    <cellStyle name="標準 5 3 4 2 5 2" xfId="864" xr:uid="{00000000-0005-0000-0000-000095030000}"/>
    <cellStyle name="標準 5 3 4 2 6" xfId="975" xr:uid="{00000000-0005-0000-0000-000096030000}"/>
    <cellStyle name="標準 5 3 4 2 7" xfId="613" xr:uid="{00000000-0005-0000-0000-000097030000}"/>
    <cellStyle name="標準 5 3 4 3" xfId="336" xr:uid="{00000000-0005-0000-0000-000098030000}"/>
    <cellStyle name="標準 5 3 4 3 2" xfId="396" xr:uid="{00000000-0005-0000-0000-000099030000}"/>
    <cellStyle name="標準 5 3 4 3 2 2" xfId="733" xr:uid="{00000000-0005-0000-0000-00009A030000}"/>
    <cellStyle name="標準 5 3 4 3 3" xfId="456" xr:uid="{00000000-0005-0000-0000-00009B030000}"/>
    <cellStyle name="標準 5 3 4 3 3 2" xfId="793" xr:uid="{00000000-0005-0000-0000-00009C030000}"/>
    <cellStyle name="標準 5 3 4 3 4" xfId="536" xr:uid="{00000000-0005-0000-0000-00009D030000}"/>
    <cellStyle name="標準 5 3 4 3 4 2" xfId="884" xr:uid="{00000000-0005-0000-0000-00009E030000}"/>
    <cellStyle name="標準 5 3 4 3 5" xfId="995" xr:uid="{00000000-0005-0000-0000-00009F030000}"/>
    <cellStyle name="標準 5 3 4 3 6" xfId="673" xr:uid="{00000000-0005-0000-0000-0000A0030000}"/>
    <cellStyle name="標準 5 3 4 4" xfId="296" xr:uid="{00000000-0005-0000-0000-0000A1030000}"/>
    <cellStyle name="標準 5 3 4 4 2" xfId="496" xr:uid="{00000000-0005-0000-0000-0000A2030000}"/>
    <cellStyle name="標準 5 3 4 4 2 2" xfId="844" xr:uid="{00000000-0005-0000-0000-0000A3030000}"/>
    <cellStyle name="標準 5 3 4 4 3" xfId="955" xr:uid="{00000000-0005-0000-0000-0000A4030000}"/>
    <cellStyle name="標準 5 3 4 4 4" xfId="633" xr:uid="{00000000-0005-0000-0000-0000A5030000}"/>
    <cellStyle name="標準 5 3 4 5" xfId="356" xr:uid="{00000000-0005-0000-0000-0000A6030000}"/>
    <cellStyle name="標準 5 3 4 5 2" xfId="693" xr:uid="{00000000-0005-0000-0000-0000A7030000}"/>
    <cellStyle name="標準 5 3 4 6" xfId="416" xr:uid="{00000000-0005-0000-0000-0000A8030000}"/>
    <cellStyle name="標準 5 3 4 6 2" xfId="753" xr:uid="{00000000-0005-0000-0000-0000A9030000}"/>
    <cellStyle name="標準 5 3 4 7" xfId="476" xr:uid="{00000000-0005-0000-0000-0000AA030000}"/>
    <cellStyle name="標準 5 3 4 7 2" xfId="824" xr:uid="{00000000-0005-0000-0000-0000AB030000}"/>
    <cellStyle name="標準 5 3 4 8" xfId="935" xr:uid="{00000000-0005-0000-0000-0000AC030000}"/>
    <cellStyle name="標準 5 3 4 9" xfId="593" xr:uid="{00000000-0005-0000-0000-0000AD030000}"/>
    <cellStyle name="標準 5 3 5" xfId="236" xr:uid="{00000000-0005-0000-0000-0000AE030000}"/>
    <cellStyle name="標準 5 3 5 2" xfId="271" xr:uid="{00000000-0005-0000-0000-0000AF030000}"/>
    <cellStyle name="標準 5 3 5 2 2" xfId="313" xr:uid="{00000000-0005-0000-0000-0000B0030000}"/>
    <cellStyle name="標準 5 3 5 2 2 2" xfId="553" xr:uid="{00000000-0005-0000-0000-0000B1030000}"/>
    <cellStyle name="標準 5 3 5 2 2 2 2" xfId="901" xr:uid="{00000000-0005-0000-0000-0000B2030000}"/>
    <cellStyle name="標準 5 3 5 2 2 3" xfId="1012" xr:uid="{00000000-0005-0000-0000-0000B3030000}"/>
    <cellStyle name="標準 5 3 5 2 2 4" xfId="650" xr:uid="{00000000-0005-0000-0000-0000B4030000}"/>
    <cellStyle name="標準 5 3 5 2 3" xfId="373" xr:uid="{00000000-0005-0000-0000-0000B5030000}"/>
    <cellStyle name="標準 5 3 5 2 3 2" xfId="710" xr:uid="{00000000-0005-0000-0000-0000B6030000}"/>
    <cellStyle name="標準 5 3 5 2 4" xfId="433" xr:uid="{00000000-0005-0000-0000-0000B7030000}"/>
    <cellStyle name="標準 5 3 5 2 4 2" xfId="770" xr:uid="{00000000-0005-0000-0000-0000B8030000}"/>
    <cellStyle name="標準 5 3 5 2 5" xfId="513" xr:uid="{00000000-0005-0000-0000-0000B9030000}"/>
    <cellStyle name="標準 5 3 5 2 5 2" xfId="861" xr:uid="{00000000-0005-0000-0000-0000BA030000}"/>
    <cellStyle name="標準 5 3 5 2 6" xfId="972" xr:uid="{00000000-0005-0000-0000-0000BB030000}"/>
    <cellStyle name="標準 5 3 5 2 7" xfId="610" xr:uid="{00000000-0005-0000-0000-0000BC030000}"/>
    <cellStyle name="標準 5 3 5 3" xfId="333" xr:uid="{00000000-0005-0000-0000-0000BD030000}"/>
    <cellStyle name="標準 5 3 5 3 2" xfId="393" xr:uid="{00000000-0005-0000-0000-0000BE030000}"/>
    <cellStyle name="標準 5 3 5 3 2 2" xfId="730" xr:uid="{00000000-0005-0000-0000-0000BF030000}"/>
    <cellStyle name="標準 5 3 5 3 3" xfId="453" xr:uid="{00000000-0005-0000-0000-0000C0030000}"/>
    <cellStyle name="標準 5 3 5 3 3 2" xfId="790" xr:uid="{00000000-0005-0000-0000-0000C1030000}"/>
    <cellStyle name="標準 5 3 5 3 4" xfId="533" xr:uid="{00000000-0005-0000-0000-0000C2030000}"/>
    <cellStyle name="標準 5 3 5 3 4 2" xfId="881" xr:uid="{00000000-0005-0000-0000-0000C3030000}"/>
    <cellStyle name="標準 5 3 5 3 5" xfId="992" xr:uid="{00000000-0005-0000-0000-0000C4030000}"/>
    <cellStyle name="標準 5 3 5 3 6" xfId="670" xr:uid="{00000000-0005-0000-0000-0000C5030000}"/>
    <cellStyle name="標準 5 3 5 4" xfId="293" xr:uid="{00000000-0005-0000-0000-0000C6030000}"/>
    <cellStyle name="標準 5 3 5 4 2" xfId="493" xr:uid="{00000000-0005-0000-0000-0000C7030000}"/>
    <cellStyle name="標準 5 3 5 4 2 2" xfId="841" xr:uid="{00000000-0005-0000-0000-0000C8030000}"/>
    <cellStyle name="標準 5 3 5 4 3" xfId="952" xr:uid="{00000000-0005-0000-0000-0000C9030000}"/>
    <cellStyle name="標準 5 3 5 4 4" xfId="630" xr:uid="{00000000-0005-0000-0000-0000CA030000}"/>
    <cellStyle name="標準 5 3 5 5" xfId="353" xr:uid="{00000000-0005-0000-0000-0000CB030000}"/>
    <cellStyle name="標準 5 3 5 5 2" xfId="690" xr:uid="{00000000-0005-0000-0000-0000CC030000}"/>
    <cellStyle name="標準 5 3 5 6" xfId="413" xr:uid="{00000000-0005-0000-0000-0000CD030000}"/>
    <cellStyle name="標準 5 3 5 6 2" xfId="750" xr:uid="{00000000-0005-0000-0000-0000CE030000}"/>
    <cellStyle name="標準 5 3 5 7" xfId="473" xr:uid="{00000000-0005-0000-0000-0000CF030000}"/>
    <cellStyle name="標準 5 3 5 7 2" xfId="821" xr:uid="{00000000-0005-0000-0000-0000D0030000}"/>
    <cellStyle name="標準 5 3 5 8" xfId="932" xr:uid="{00000000-0005-0000-0000-0000D1030000}"/>
    <cellStyle name="標準 5 3 5 9" xfId="590" xr:uid="{00000000-0005-0000-0000-0000D2030000}"/>
    <cellStyle name="標準 5 3 6" xfId="265" xr:uid="{00000000-0005-0000-0000-0000D3030000}"/>
    <cellStyle name="標準 5 3 6 2" xfId="307" xr:uid="{00000000-0005-0000-0000-0000D4030000}"/>
    <cellStyle name="標準 5 3 6 2 2" xfId="547" xr:uid="{00000000-0005-0000-0000-0000D5030000}"/>
    <cellStyle name="標準 5 3 6 2 2 2" xfId="895" xr:uid="{00000000-0005-0000-0000-0000D6030000}"/>
    <cellStyle name="標準 5 3 6 2 3" xfId="1006" xr:uid="{00000000-0005-0000-0000-0000D7030000}"/>
    <cellStyle name="標準 5 3 6 2 4" xfId="644" xr:uid="{00000000-0005-0000-0000-0000D8030000}"/>
    <cellStyle name="標準 5 3 6 3" xfId="367" xr:uid="{00000000-0005-0000-0000-0000D9030000}"/>
    <cellStyle name="標準 5 3 6 3 2" xfId="704" xr:uid="{00000000-0005-0000-0000-0000DA030000}"/>
    <cellStyle name="標準 5 3 6 4" xfId="427" xr:uid="{00000000-0005-0000-0000-0000DB030000}"/>
    <cellStyle name="標準 5 3 6 4 2" xfId="764" xr:uid="{00000000-0005-0000-0000-0000DC030000}"/>
    <cellStyle name="標準 5 3 6 5" xfId="507" xr:uid="{00000000-0005-0000-0000-0000DD030000}"/>
    <cellStyle name="標準 5 3 6 5 2" xfId="855" xr:uid="{00000000-0005-0000-0000-0000DE030000}"/>
    <cellStyle name="標準 5 3 6 6" xfId="966" xr:uid="{00000000-0005-0000-0000-0000DF030000}"/>
    <cellStyle name="標準 5 3 6 7" xfId="604" xr:uid="{00000000-0005-0000-0000-0000E0030000}"/>
    <cellStyle name="標準 5 3 7" xfId="327" xr:uid="{00000000-0005-0000-0000-0000E1030000}"/>
    <cellStyle name="標準 5 3 7 2" xfId="387" xr:uid="{00000000-0005-0000-0000-0000E2030000}"/>
    <cellStyle name="標準 5 3 7 2 2" xfId="724" xr:uid="{00000000-0005-0000-0000-0000E3030000}"/>
    <cellStyle name="標準 5 3 7 3" xfId="447" xr:uid="{00000000-0005-0000-0000-0000E4030000}"/>
    <cellStyle name="標準 5 3 7 3 2" xfId="784" xr:uid="{00000000-0005-0000-0000-0000E5030000}"/>
    <cellStyle name="標準 5 3 7 4" xfId="527" xr:uid="{00000000-0005-0000-0000-0000E6030000}"/>
    <cellStyle name="標準 5 3 7 4 2" xfId="875" xr:uid="{00000000-0005-0000-0000-0000E7030000}"/>
    <cellStyle name="標準 5 3 7 5" xfId="986" xr:uid="{00000000-0005-0000-0000-0000E8030000}"/>
    <cellStyle name="標準 5 3 7 6" xfId="664" xr:uid="{00000000-0005-0000-0000-0000E9030000}"/>
    <cellStyle name="標準 5 3 8" xfId="287" xr:uid="{00000000-0005-0000-0000-0000EA030000}"/>
    <cellStyle name="標準 5 3 8 2" xfId="487" xr:uid="{00000000-0005-0000-0000-0000EB030000}"/>
    <cellStyle name="標準 5 3 8 2 2" xfId="835" xr:uid="{00000000-0005-0000-0000-0000EC030000}"/>
    <cellStyle name="標準 5 3 8 3" xfId="946" xr:uid="{00000000-0005-0000-0000-0000ED030000}"/>
    <cellStyle name="標準 5 3 8 4" xfId="624" xr:uid="{00000000-0005-0000-0000-0000EE030000}"/>
    <cellStyle name="標準 5 3 9" xfId="347" xr:uid="{00000000-0005-0000-0000-0000EF030000}"/>
    <cellStyle name="標準 5 3 9 2" xfId="570" xr:uid="{00000000-0005-0000-0000-0000F0030000}"/>
    <cellStyle name="標準 5 3 9 2 2" xfId="915" xr:uid="{00000000-0005-0000-0000-0000F1030000}"/>
    <cellStyle name="標準 5 3 9 3" xfId="1026" xr:uid="{00000000-0005-0000-0000-0000F2030000}"/>
    <cellStyle name="標準 5 3 9 4" xfId="684" xr:uid="{00000000-0005-0000-0000-0000F3030000}"/>
    <cellStyle name="標準 6" xfId="135" xr:uid="{00000000-0005-0000-0000-0000F4030000}"/>
    <cellStyle name="標準 7" xfId="136" xr:uid="{00000000-0005-0000-0000-0000F5030000}"/>
    <cellStyle name="標準 8" xfId="160" xr:uid="{00000000-0005-0000-0000-0000F6030000}"/>
    <cellStyle name="標準 8 2" xfId="239" xr:uid="{00000000-0005-0000-0000-0000F7030000}"/>
    <cellStyle name="標準 8 3" xfId="250" xr:uid="{00000000-0005-0000-0000-0000F8030000}"/>
    <cellStyle name="標準 8 4" xfId="194" xr:uid="{00000000-0005-0000-0000-0000F9030000}"/>
    <cellStyle name="標準 8 5" xfId="579" xr:uid="{00000000-0005-0000-0000-0000FA030000}"/>
    <cellStyle name="標準 8 5 2" xfId="1035" xr:uid="{00000000-0005-0000-0000-0000FB030000}"/>
    <cellStyle name="標準 9" xfId="145" xr:uid="{00000000-0005-0000-0000-0000FC030000}"/>
    <cellStyle name="標準 9 2" xfId="233" xr:uid="{00000000-0005-0000-0000-0000FD030000}"/>
    <cellStyle name="標準 9 3" xfId="251" xr:uid="{00000000-0005-0000-0000-0000FE030000}"/>
    <cellStyle name="標準 9 4" xfId="195" xr:uid="{00000000-0005-0000-0000-0000FF030000}"/>
    <cellStyle name="標準 9 5" xfId="260" xr:uid="{00000000-0005-0000-0000-000000040000}"/>
    <cellStyle name="標準_02_変更来歴例" xfId="137" xr:uid="{00000000-0005-0000-0000-000001040000}"/>
    <cellStyle name="標準_A00200 オーダー状況" xfId="138" xr:uid="{00000000-0005-0000-0000-000002040000}"/>
    <cellStyle name="標準_変更来歴_1" xfId="139" xr:uid="{00000000-0005-0000-0000-000003040000}"/>
    <cellStyle name="標準2" xfId="161" xr:uid="{00000000-0005-0000-0000-000004040000}"/>
    <cellStyle name="標準２" xfId="162" xr:uid="{00000000-0005-0000-0000-000005040000}"/>
    <cellStyle name="標準2_DAIICH" xfId="163" xr:uid="{00000000-0005-0000-0000-000006040000}"/>
    <cellStyle name="未定義" xfId="140" xr:uid="{00000000-0005-0000-0000-000007040000}"/>
    <cellStyle name="良い 2" xfId="141" xr:uid="{00000000-0005-0000-0000-000008040000}"/>
    <cellStyle name="良い 3" xfId="142" xr:uid="{00000000-0005-0000-0000-000009040000}"/>
    <cellStyle name="良い 4" xfId="143" xr:uid="{00000000-0005-0000-0000-00000A040000}"/>
    <cellStyle name="良い 5" xfId="232" xr:uid="{00000000-0005-0000-0000-00000B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re_itm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2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81640625" style="4" bestFit="1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2" width="15.6328125" style="4" bestFit="1" customWidth="1"/>
    <col min="23" max="24" width="15.6328125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2" t="s">
        <v>11</v>
      </c>
      <c r="B1" s="32" t="s">
        <v>11</v>
      </c>
      <c r="C1" s="32"/>
      <c r="D1" s="16" t="s">
        <v>301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>
      <c r="A2" s="33" t="s">
        <v>11</v>
      </c>
      <c r="B2" s="34"/>
      <c r="C2" s="34"/>
      <c r="D2" s="35" t="s">
        <v>479</v>
      </c>
      <c r="E2" s="36" t="s">
        <v>302</v>
      </c>
      <c r="F2" s="10" t="str">
        <f>LEFT(I2,2)</f>
        <v>MA</v>
      </c>
      <c r="G2" s="104" t="s">
        <v>303</v>
      </c>
      <c r="H2" s="109"/>
      <c r="I2" s="110" t="s">
        <v>82</v>
      </c>
      <c r="J2" s="111"/>
      <c r="K2" s="107" t="s">
        <v>304</v>
      </c>
      <c r="L2" s="107"/>
      <c r="M2" s="107"/>
      <c r="N2" s="107"/>
      <c r="O2" s="104"/>
      <c r="P2" s="37"/>
      <c r="Q2" s="10" t="s">
        <v>454</v>
      </c>
      <c r="R2" s="36" t="s">
        <v>305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35"/>
    </row>
    <row r="3" spans="1:40" s="1" customFormat="1" ht="13.5" customHeight="1">
      <c r="A3" s="41" t="s">
        <v>11</v>
      </c>
      <c r="B3" s="42"/>
      <c r="C3" s="42"/>
      <c r="E3" s="36" t="s">
        <v>306</v>
      </c>
      <c r="F3" s="10" t="str">
        <f>LEFT(I2,4)</f>
        <v>MABC</v>
      </c>
      <c r="G3" s="104" t="s">
        <v>307</v>
      </c>
      <c r="H3" s="109"/>
      <c r="I3" s="110" t="s">
        <v>455</v>
      </c>
      <c r="J3" s="111"/>
      <c r="K3" s="107" t="s">
        <v>308</v>
      </c>
      <c r="L3" s="107"/>
      <c r="M3" s="107"/>
      <c r="N3" s="107"/>
      <c r="O3" s="104"/>
      <c r="P3" s="37"/>
      <c r="Q3" s="10"/>
      <c r="R3" s="36" t="s">
        <v>309</v>
      </c>
      <c r="S3" s="10" t="s">
        <v>456</v>
      </c>
      <c r="T3" s="10"/>
      <c r="AN3" s="15"/>
    </row>
    <row r="4" spans="1:40" s="1" customFormat="1" ht="13.5" customHeight="1">
      <c r="A4" s="41" t="s">
        <v>11</v>
      </c>
      <c r="B4" s="42"/>
      <c r="C4" s="42"/>
      <c r="D4" s="15"/>
      <c r="E4" s="36" t="s">
        <v>310</v>
      </c>
      <c r="F4" s="10" t="s">
        <v>12</v>
      </c>
      <c r="G4" s="104" t="s">
        <v>311</v>
      </c>
      <c r="H4" s="109"/>
      <c r="I4" s="110" t="s">
        <v>83</v>
      </c>
      <c r="J4" s="111"/>
      <c r="K4" s="107" t="s">
        <v>312</v>
      </c>
      <c r="L4" s="107"/>
      <c r="M4" s="107"/>
      <c r="N4" s="107"/>
      <c r="O4" s="104"/>
      <c r="P4" s="37"/>
      <c r="Q4" s="10" t="s">
        <v>313</v>
      </c>
      <c r="R4" s="36"/>
      <c r="S4" s="36"/>
      <c r="T4" s="43"/>
      <c r="AN4" s="15"/>
    </row>
    <row r="5" spans="1:40" s="1" customFormat="1">
      <c r="A5" s="44" t="s">
        <v>11</v>
      </c>
      <c r="B5" s="32"/>
      <c r="C5" s="32"/>
      <c r="D5" s="45"/>
      <c r="E5" s="36" t="s">
        <v>314</v>
      </c>
      <c r="F5" s="10" t="s">
        <v>1</v>
      </c>
      <c r="G5" s="104" t="s">
        <v>315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5"/>
    </row>
    <row r="6" spans="1:40" s="1" customFormat="1" ht="13.5" customHeight="1">
      <c r="A6" s="41" t="s">
        <v>11</v>
      </c>
      <c r="B6" s="42"/>
      <c r="C6" s="42"/>
      <c r="D6" s="1" t="s">
        <v>316</v>
      </c>
      <c r="E6" s="108" t="s">
        <v>84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N6" s="47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317</v>
      </c>
      <c r="V7" s="10" t="s">
        <v>317</v>
      </c>
      <c r="W7" s="10" t="s">
        <v>317</v>
      </c>
      <c r="X7" s="10" t="s">
        <v>317</v>
      </c>
      <c r="Y7" s="5"/>
      <c r="Z7" s="10" t="s">
        <v>318</v>
      </c>
      <c r="AA7" s="10" t="s">
        <v>318</v>
      </c>
      <c r="AB7" s="10" t="s">
        <v>318</v>
      </c>
      <c r="AC7" s="10" t="s">
        <v>318</v>
      </c>
      <c r="AD7" s="5"/>
      <c r="AE7" s="36" t="s">
        <v>322</v>
      </c>
      <c r="AF7" s="10" t="s">
        <v>78</v>
      </c>
      <c r="AG7" s="36" t="s">
        <v>322</v>
      </c>
      <c r="AH7" s="10" t="s">
        <v>79</v>
      </c>
      <c r="AI7" s="36" t="s">
        <v>322</v>
      </c>
      <c r="AJ7" s="10" t="s">
        <v>80</v>
      </c>
      <c r="AK7" s="36" t="s">
        <v>322</v>
      </c>
      <c r="AL7" s="10"/>
      <c r="AM7" s="4"/>
      <c r="AN7" s="25"/>
    </row>
    <row r="8" spans="1:40" s="1" customFormat="1" ht="60" customHeight="1">
      <c r="A8" s="10" t="s">
        <v>13</v>
      </c>
      <c r="B8" s="10"/>
      <c r="C8" s="10"/>
      <c r="D8" s="36" t="s">
        <v>480</v>
      </c>
      <c r="E8" s="36" t="s">
        <v>457</v>
      </c>
      <c r="F8" s="36" t="s">
        <v>481</v>
      </c>
      <c r="G8" s="13" t="s">
        <v>482</v>
      </c>
      <c r="H8" s="36"/>
      <c r="I8" s="36" t="s">
        <v>483</v>
      </c>
      <c r="J8" s="36" t="s">
        <v>484</v>
      </c>
      <c r="K8" s="36" t="s">
        <v>485</v>
      </c>
      <c r="L8" s="36" t="s">
        <v>486</v>
      </c>
      <c r="M8" s="36" t="s">
        <v>458</v>
      </c>
      <c r="N8" s="36" t="s">
        <v>459</v>
      </c>
      <c r="O8" s="36" t="s">
        <v>460</v>
      </c>
      <c r="P8" s="36" t="s">
        <v>461</v>
      </c>
      <c r="Q8" s="104" t="s">
        <v>487</v>
      </c>
      <c r="R8" s="105"/>
      <c r="S8" s="106"/>
      <c r="T8" s="39" t="s">
        <v>488</v>
      </c>
      <c r="U8" s="10" t="s">
        <v>81</v>
      </c>
      <c r="V8" s="10" t="s">
        <v>163</v>
      </c>
      <c r="W8" s="10" t="s">
        <v>217</v>
      </c>
      <c r="X8" s="10" t="s">
        <v>216</v>
      </c>
      <c r="Y8" s="5"/>
      <c r="Z8" s="10" t="s">
        <v>462</v>
      </c>
      <c r="AA8" s="10" t="s">
        <v>319</v>
      </c>
      <c r="AB8" s="10" t="s">
        <v>320</v>
      </c>
      <c r="AC8" s="10" t="s">
        <v>321</v>
      </c>
      <c r="AD8" s="5"/>
      <c r="AE8" s="36" t="s">
        <v>463</v>
      </c>
      <c r="AF8" s="10" t="str">
        <f>F2&amp;"."&amp;F3&amp;"L"&amp;RIGHT(I2,4)&amp;".Srch01"</f>
        <v>MA.MABCL0360.Srch01</v>
      </c>
      <c r="AG8" s="36" t="s">
        <v>463</v>
      </c>
      <c r="AH8" s="10" t="str">
        <f>F2&amp;"."&amp;F3&amp;"L"&amp;RIGHT(I2,4)&amp;".Upd01"</f>
        <v>MA.MABCL0360.Upd01</v>
      </c>
      <c r="AI8" s="36" t="s">
        <v>463</v>
      </c>
      <c r="AJ8" s="10" t="str">
        <f>F2&amp;"."&amp;F3&amp;"L"&amp;RIGHT(I2,4)&amp;".Del01"</f>
        <v>MA.MABCL0360.Del01</v>
      </c>
      <c r="AK8" s="36" t="s">
        <v>463</v>
      </c>
      <c r="AL8" s="10"/>
      <c r="AM8" s="6"/>
      <c r="AN8" s="55" t="s">
        <v>500</v>
      </c>
    </row>
    <row r="9" spans="1:40" s="1" customFormat="1" ht="60" customHeight="1">
      <c r="A9" s="10" t="s">
        <v>13</v>
      </c>
      <c r="B9" s="10"/>
      <c r="C9" s="10"/>
      <c r="D9" s="36" t="s">
        <v>489</v>
      </c>
      <c r="E9" s="13" t="s">
        <v>490</v>
      </c>
      <c r="F9" s="48" t="s">
        <v>491</v>
      </c>
      <c r="G9" s="48" t="s">
        <v>492</v>
      </c>
      <c r="H9" s="48" t="s">
        <v>493</v>
      </c>
      <c r="I9" s="36" t="s">
        <v>494</v>
      </c>
      <c r="J9" s="48" t="s">
        <v>464</v>
      </c>
      <c r="K9" s="48" t="s">
        <v>495</v>
      </c>
      <c r="L9" s="36" t="s">
        <v>496</v>
      </c>
      <c r="M9" s="36" t="s">
        <v>497</v>
      </c>
      <c r="N9" s="36" t="s">
        <v>498</v>
      </c>
      <c r="O9" s="36" t="s">
        <v>299</v>
      </c>
      <c r="P9" s="36" t="s">
        <v>461</v>
      </c>
      <c r="Q9" s="36" t="s">
        <v>465</v>
      </c>
      <c r="R9" s="36" t="s">
        <v>300</v>
      </c>
      <c r="S9" s="36" t="s">
        <v>466</v>
      </c>
      <c r="T9" s="49"/>
      <c r="U9" s="4"/>
      <c r="V9" s="4"/>
      <c r="W9" s="4"/>
      <c r="X9" s="4"/>
      <c r="Y9" s="4"/>
      <c r="Z9" s="7"/>
      <c r="AA9" s="7"/>
      <c r="AB9" s="4"/>
      <c r="AC9" s="7"/>
      <c r="AD9" s="4"/>
      <c r="AE9" s="36" t="s">
        <v>467</v>
      </c>
      <c r="AF9" s="10" t="s">
        <v>323</v>
      </c>
      <c r="AG9" s="36" t="s">
        <v>467</v>
      </c>
      <c r="AH9" s="10" t="s">
        <v>323</v>
      </c>
      <c r="AI9" s="36" t="s">
        <v>467</v>
      </c>
      <c r="AJ9" s="10" t="s">
        <v>323</v>
      </c>
      <c r="AK9" s="36" t="s">
        <v>467</v>
      </c>
      <c r="AL9" s="10"/>
      <c r="AM9" s="54" t="s">
        <v>499</v>
      </c>
      <c r="AN9" s="55" t="s">
        <v>501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6" t="s">
        <v>608</v>
      </c>
      <c r="AF10" s="36" t="s">
        <v>609</v>
      </c>
      <c r="AG10" s="36" t="s">
        <v>608</v>
      </c>
      <c r="AH10" s="36" t="s">
        <v>609</v>
      </c>
      <c r="AI10" s="36" t="s">
        <v>608</v>
      </c>
      <c r="AJ10" s="36" t="s">
        <v>609</v>
      </c>
      <c r="AK10" s="36" t="s">
        <v>608</v>
      </c>
      <c r="AL10" s="36" t="s">
        <v>609</v>
      </c>
      <c r="AM10" s="9"/>
      <c r="AN10" s="8"/>
    </row>
    <row r="11" spans="1:40" s="1" customFormat="1" ht="26">
      <c r="A11" s="50">
        <f>IF(A10="",MAX($A$10:A10)+10,A10)</f>
        <v>10</v>
      </c>
      <c r="B11" s="26" t="s">
        <v>0</v>
      </c>
      <c r="C11" s="26"/>
      <c r="D11" s="26" t="s">
        <v>73</v>
      </c>
      <c r="E11" s="27"/>
      <c r="F11" s="26"/>
      <c r="G11" s="26" t="s">
        <v>74</v>
      </c>
      <c r="H11" s="26"/>
      <c r="I11" s="26" t="s">
        <v>324</v>
      </c>
      <c r="J11" s="50" t="s">
        <v>502</v>
      </c>
      <c r="K11" s="26" t="s">
        <v>47</v>
      </c>
      <c r="L11" s="26" t="s">
        <v>325</v>
      </c>
      <c r="M11" s="26" t="s">
        <v>326</v>
      </c>
      <c r="N11" s="26" t="s">
        <v>327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1"/>
      <c r="Z11" s="28"/>
      <c r="AA11" s="28"/>
      <c r="AB11" s="28"/>
      <c r="AC11" s="28"/>
      <c r="AD11" s="51"/>
      <c r="AE11" s="50"/>
      <c r="AF11" s="50"/>
      <c r="AG11" s="50"/>
      <c r="AH11" s="50"/>
      <c r="AI11" s="50"/>
      <c r="AJ11" s="50"/>
      <c r="AK11" s="50"/>
      <c r="AL11" s="50"/>
      <c r="AM11" s="51"/>
      <c r="AN11" s="29"/>
    </row>
    <row r="12" spans="1:40" s="1" customFormat="1" ht="52">
      <c r="A12" s="41"/>
      <c r="AE12" s="36"/>
      <c r="AF12" s="36"/>
      <c r="AG12" s="36" t="s">
        <v>608</v>
      </c>
      <c r="AH12" s="36" t="s">
        <v>609</v>
      </c>
      <c r="AI12" s="36"/>
      <c r="AJ12" s="36"/>
      <c r="AK12" s="36" t="s">
        <v>608</v>
      </c>
      <c r="AL12" s="36" t="s">
        <v>609</v>
      </c>
      <c r="AN12" s="15"/>
    </row>
    <row r="13" spans="1:40" s="1" customFormat="1">
      <c r="A13" s="10">
        <f>IF(A12="",MAX($A$10:A12)+10,A12)</f>
        <v>20</v>
      </c>
      <c r="B13" s="11" t="s">
        <v>0</v>
      </c>
      <c r="C13" s="11"/>
      <c r="D13" s="11" t="s">
        <v>224</v>
      </c>
      <c r="E13" s="12"/>
      <c r="F13" s="11"/>
      <c r="G13" s="11"/>
      <c r="H13" s="11"/>
      <c r="I13" s="11" t="s">
        <v>324</v>
      </c>
      <c r="J13" s="11"/>
      <c r="K13" s="11" t="s">
        <v>47</v>
      </c>
      <c r="L13" s="11"/>
      <c r="M13" s="11" t="s">
        <v>328</v>
      </c>
      <c r="N13" s="11" t="s">
        <v>327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7"/>
    </row>
    <row r="14" spans="1:40" s="1" customFormat="1" ht="26">
      <c r="A14" s="10">
        <f>IF(A13="",MAX($A$10:A13)+10,A13)</f>
        <v>20</v>
      </c>
      <c r="B14" s="10"/>
      <c r="C14" s="10"/>
      <c r="D14" s="10" t="s">
        <v>468</v>
      </c>
      <c r="E14" s="31" t="s">
        <v>503</v>
      </c>
      <c r="F14" s="10" t="s">
        <v>225</v>
      </c>
      <c r="G14" s="10" t="s">
        <v>226</v>
      </c>
      <c r="H14" s="10"/>
      <c r="I14" s="10" t="s">
        <v>329</v>
      </c>
      <c r="J14" s="10"/>
      <c r="K14" s="10" t="s">
        <v>330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64</v>
      </c>
      <c r="AA14" s="10" t="s">
        <v>64</v>
      </c>
      <c r="AB14" s="10" t="s">
        <v>64</v>
      </c>
      <c r="AC14" s="10" t="s">
        <v>64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>
      <c r="A15" s="41"/>
      <c r="AA15" s="1" t="s">
        <v>608</v>
      </c>
      <c r="AB15" s="1" t="s">
        <v>609</v>
      </c>
      <c r="AC15" s="1" t="s">
        <v>608</v>
      </c>
      <c r="AE15" s="36" t="s">
        <v>609</v>
      </c>
      <c r="AF15" s="36" t="s">
        <v>608</v>
      </c>
      <c r="AG15" s="36" t="s">
        <v>609</v>
      </c>
      <c r="AH15" s="36" t="s">
        <v>608</v>
      </c>
      <c r="AI15" s="36" t="s">
        <v>609</v>
      </c>
      <c r="AJ15" s="36"/>
      <c r="AK15" s="36"/>
      <c r="AL15" s="36"/>
      <c r="AN15" s="15"/>
    </row>
    <row r="16" spans="1:40" s="1" customFormat="1" ht="26">
      <c r="A16" s="10">
        <f>IF(A15="",MAX($A$10:A15)+10,A15)</f>
        <v>30</v>
      </c>
      <c r="B16" s="11" t="s">
        <v>0</v>
      </c>
      <c r="C16" s="11"/>
      <c r="D16" s="11" t="s">
        <v>218</v>
      </c>
      <c r="E16" s="12"/>
      <c r="F16" s="11"/>
      <c r="G16" s="11"/>
      <c r="H16" s="11"/>
      <c r="I16" s="11" t="s">
        <v>324</v>
      </c>
      <c r="J16" s="11"/>
      <c r="K16" s="11" t="s">
        <v>47</v>
      </c>
      <c r="L16" s="11"/>
      <c r="M16" s="11" t="s">
        <v>331</v>
      </c>
      <c r="N16" s="11"/>
      <c r="O16" s="10" t="s">
        <v>332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4"/>
    </row>
    <row r="17" spans="1:40" s="1" customFormat="1">
      <c r="A17" s="10">
        <f>IF(A16="",MAX($A$10:A16)+10,A16)</f>
        <v>30</v>
      </c>
      <c r="B17" s="10"/>
      <c r="C17" s="10"/>
      <c r="D17" s="10" t="s">
        <v>219</v>
      </c>
      <c r="E17" s="31"/>
      <c r="F17" s="10"/>
      <c r="G17" s="10"/>
      <c r="H17" s="10"/>
      <c r="I17" s="10"/>
      <c r="J17" s="10"/>
      <c r="K17" s="10" t="s">
        <v>333</v>
      </c>
      <c r="L17" s="10"/>
      <c r="M17" s="10"/>
      <c r="N17" s="10"/>
      <c r="O17" s="10" t="s">
        <v>220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f>IF(A17="",MAX($A$10:A17)+10,A17)</f>
        <v>30</v>
      </c>
      <c r="B18" s="10"/>
      <c r="C18" s="10"/>
      <c r="D18" s="10" t="s">
        <v>221</v>
      </c>
      <c r="E18" s="31"/>
      <c r="F18" s="10"/>
      <c r="G18" s="10"/>
      <c r="H18" s="10"/>
      <c r="I18" s="10"/>
      <c r="J18" s="10"/>
      <c r="K18" s="10" t="s">
        <v>333</v>
      </c>
      <c r="L18" s="10"/>
      <c r="M18" s="10"/>
      <c r="N18" s="10"/>
      <c r="O18" s="10" t="s">
        <v>222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1"/>
      <c r="AE19" s="36" t="s">
        <v>608</v>
      </c>
      <c r="AF19" s="36" t="s">
        <v>609</v>
      </c>
      <c r="AG19" s="36" t="s">
        <v>608</v>
      </c>
      <c r="AH19" s="36" t="s">
        <v>609</v>
      </c>
      <c r="AI19" s="36" t="s">
        <v>608</v>
      </c>
      <c r="AJ19" s="36" t="s">
        <v>609</v>
      </c>
      <c r="AK19" s="36" t="s">
        <v>608</v>
      </c>
      <c r="AL19" s="36" t="s">
        <v>609</v>
      </c>
      <c r="AN19" s="15"/>
    </row>
    <row r="20" spans="1:40" s="1" customFormat="1">
      <c r="A20" s="10">
        <f>IF(A19="",MAX($A$10:A19)+10,A19)</f>
        <v>40</v>
      </c>
      <c r="B20" s="11" t="s">
        <v>0</v>
      </c>
      <c r="C20" s="11"/>
      <c r="D20" s="11" t="s">
        <v>220</v>
      </c>
      <c r="E20" s="12"/>
      <c r="F20" s="11"/>
      <c r="G20" s="11"/>
      <c r="H20" s="11"/>
      <c r="I20" s="11" t="s">
        <v>324</v>
      </c>
      <c r="J20" s="11"/>
      <c r="K20" s="11" t="s">
        <v>47</v>
      </c>
      <c r="L20" s="11"/>
      <c r="M20" s="11" t="s">
        <v>334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4"/>
    </row>
    <row r="21" spans="1:40" s="1" customFormat="1">
      <c r="A21" s="10">
        <f>IF(A20="",MAX($A$10:A20)+10,A20)</f>
        <v>40</v>
      </c>
      <c r="B21" s="10"/>
      <c r="C21" s="10"/>
      <c r="D21" s="10" t="s">
        <v>236</v>
      </c>
      <c r="E21" s="31" t="s">
        <v>504</v>
      </c>
      <c r="F21" s="10" t="s">
        <v>2</v>
      </c>
      <c r="G21" s="10" t="s">
        <v>9</v>
      </c>
      <c r="H21" s="10"/>
      <c r="I21" s="10"/>
      <c r="J21" s="10"/>
      <c r="K21" s="10" t="s">
        <v>333</v>
      </c>
      <c r="L21" s="10"/>
      <c r="M21" s="10"/>
      <c r="N21" s="10"/>
      <c r="O21" s="10" t="s">
        <v>237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>
      <c r="A22" s="41"/>
      <c r="AE22" s="36" t="s">
        <v>608</v>
      </c>
      <c r="AF22" s="36" t="s">
        <v>609</v>
      </c>
      <c r="AG22" s="36" t="s">
        <v>608</v>
      </c>
      <c r="AH22" s="36" t="s">
        <v>609</v>
      </c>
      <c r="AI22" s="36" t="s">
        <v>608</v>
      </c>
      <c r="AJ22" s="36" t="s">
        <v>609</v>
      </c>
      <c r="AK22" s="36" t="s">
        <v>608</v>
      </c>
      <c r="AL22" s="36" t="s">
        <v>609</v>
      </c>
      <c r="AN22" s="15"/>
    </row>
    <row r="23" spans="1:40" s="1" customFormat="1">
      <c r="A23" s="10">
        <f>IF(A22="",MAX($A$10:A22)+10,A22)</f>
        <v>50</v>
      </c>
      <c r="B23" s="11" t="s">
        <v>0</v>
      </c>
      <c r="C23" s="11"/>
      <c r="D23" s="11" t="s">
        <v>237</v>
      </c>
      <c r="E23" s="12"/>
      <c r="F23" s="11"/>
      <c r="G23" s="11"/>
      <c r="H23" s="11"/>
      <c r="I23" s="11" t="s">
        <v>14</v>
      </c>
      <c r="J23" s="11"/>
      <c r="K23" s="11" t="s">
        <v>335</v>
      </c>
      <c r="L23" s="11" t="s">
        <v>325</v>
      </c>
      <c r="M23" s="11" t="s">
        <v>47</v>
      </c>
      <c r="N23" s="11"/>
      <c r="O23" s="11"/>
      <c r="P23" s="11"/>
      <c r="Q23" s="18"/>
      <c r="R23" s="18"/>
      <c r="S23" s="18"/>
      <c r="T23" s="18"/>
      <c r="U23" s="18"/>
      <c r="V23" s="18"/>
      <c r="W23" s="18"/>
      <c r="X23" s="18"/>
      <c r="Y23" s="16"/>
      <c r="Z23" s="18"/>
      <c r="AA23" s="18"/>
      <c r="AB23" s="18"/>
      <c r="AC23" s="18"/>
      <c r="AD23" s="16"/>
      <c r="AE23" s="10"/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>
      <c r="A24" s="10">
        <f>IF(A23="",MAX($A$10:A23)+10,A23)</f>
        <v>50</v>
      </c>
      <c r="B24" s="10"/>
      <c r="C24" s="10"/>
      <c r="D24" s="10" t="s">
        <v>158</v>
      </c>
      <c r="E24" s="31" t="s">
        <v>504</v>
      </c>
      <c r="F24" s="10" t="s">
        <v>2</v>
      </c>
      <c r="G24" s="10" t="s">
        <v>9</v>
      </c>
      <c r="H24" s="10"/>
      <c r="I24" s="10"/>
      <c r="J24" s="10"/>
      <c r="K24" s="10" t="s">
        <v>333</v>
      </c>
      <c r="L24" s="10"/>
      <c r="M24" s="10"/>
      <c r="N24" s="10"/>
      <c r="O24" s="10" t="s">
        <v>160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>
      <c r="A25" s="10">
        <f>IF(A24="",MAX($A$10:A24)+10,A24)</f>
        <v>50</v>
      </c>
      <c r="B25" s="10"/>
      <c r="C25" s="10"/>
      <c r="D25" s="10" t="s">
        <v>159</v>
      </c>
      <c r="E25" s="31" t="s">
        <v>505</v>
      </c>
      <c r="F25" s="10" t="s">
        <v>228</v>
      </c>
      <c r="G25" s="10" t="s">
        <v>9</v>
      </c>
      <c r="H25" s="10"/>
      <c r="I25" s="10"/>
      <c r="J25" s="10"/>
      <c r="K25" s="10" t="s">
        <v>333</v>
      </c>
      <c r="L25" s="10"/>
      <c r="M25" s="10"/>
      <c r="N25" s="10"/>
      <c r="O25" s="10" t="s">
        <v>211</v>
      </c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52">
      <c r="A26" s="41"/>
      <c r="AE26" s="36" t="s">
        <v>608</v>
      </c>
      <c r="AF26" s="36" t="s">
        <v>609</v>
      </c>
      <c r="AG26" s="36" t="s">
        <v>608</v>
      </c>
      <c r="AH26" s="36" t="s">
        <v>609</v>
      </c>
      <c r="AI26" s="36" t="s">
        <v>608</v>
      </c>
      <c r="AJ26" s="36" t="s">
        <v>609</v>
      </c>
      <c r="AK26" s="36" t="s">
        <v>608</v>
      </c>
      <c r="AL26" s="36" t="s">
        <v>609</v>
      </c>
      <c r="AN26" s="15"/>
    </row>
    <row r="27" spans="1:40" s="1" customFormat="1">
      <c r="A27" s="10">
        <f>IF(A26="",MAX($A$10:A26)+10,A26)</f>
        <v>60</v>
      </c>
      <c r="B27" s="11" t="s">
        <v>0</v>
      </c>
      <c r="C27" s="11"/>
      <c r="D27" s="11" t="s">
        <v>469</v>
      </c>
      <c r="E27" s="12"/>
      <c r="F27" s="11"/>
      <c r="G27" s="11"/>
      <c r="H27" s="11"/>
      <c r="I27" s="11" t="s">
        <v>324</v>
      </c>
      <c r="J27" s="11"/>
      <c r="K27" s="11" t="s">
        <v>47</v>
      </c>
      <c r="L27" s="11" t="s">
        <v>325</v>
      </c>
      <c r="M27" s="11" t="s">
        <v>47</v>
      </c>
      <c r="N27" s="11"/>
      <c r="O27" s="11"/>
      <c r="P27" s="11"/>
      <c r="Q27" s="18"/>
      <c r="R27" s="18"/>
      <c r="S27" s="18"/>
      <c r="T27" s="18"/>
      <c r="U27" s="18"/>
      <c r="V27" s="18"/>
      <c r="W27" s="18"/>
      <c r="X27" s="18"/>
      <c r="Y27" s="16"/>
      <c r="Z27" s="18"/>
      <c r="AA27" s="18"/>
      <c r="AB27" s="18"/>
      <c r="AC27" s="18"/>
      <c r="AD27" s="16"/>
      <c r="AE27" s="10" t="s">
        <v>336</v>
      </c>
      <c r="AF27" s="10"/>
      <c r="AG27" s="10"/>
      <c r="AH27" s="10"/>
      <c r="AI27" s="10"/>
      <c r="AJ27" s="10"/>
      <c r="AK27" s="10"/>
      <c r="AL27" s="10"/>
      <c r="AM27" s="16"/>
      <c r="AN27" s="14"/>
    </row>
    <row r="28" spans="1:40" s="1" customFormat="1" ht="39">
      <c r="A28" s="10">
        <f>IF(A27="",MAX($A$10:A27)+10,A27)</f>
        <v>60</v>
      </c>
      <c r="B28" s="10"/>
      <c r="C28" s="10"/>
      <c r="D28" s="10" t="s">
        <v>75</v>
      </c>
      <c r="E28" s="31" t="s">
        <v>506</v>
      </c>
      <c r="F28" s="10" t="s">
        <v>229</v>
      </c>
      <c r="G28" s="10" t="s">
        <v>9</v>
      </c>
      <c r="H28" s="10"/>
      <c r="I28" s="10" t="s">
        <v>334</v>
      </c>
      <c r="J28" s="10"/>
      <c r="K28" s="10" t="s">
        <v>324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324</v>
      </c>
      <c r="AA28" s="10" t="s">
        <v>324</v>
      </c>
      <c r="AB28" s="10" t="s">
        <v>324</v>
      </c>
      <c r="AC28" s="10" t="s">
        <v>324</v>
      </c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f>IF(A28="",MAX($A$10:A28)+10,A28)</f>
        <v>60</v>
      </c>
      <c r="B29" s="10"/>
      <c r="C29" s="10"/>
      <c r="D29" s="10" t="s">
        <v>238</v>
      </c>
      <c r="E29" s="31" t="s">
        <v>507</v>
      </c>
      <c r="F29" s="10" t="s">
        <v>98</v>
      </c>
      <c r="G29" s="10" t="s">
        <v>99</v>
      </c>
      <c r="H29" s="10"/>
      <c r="I29" s="10" t="s">
        <v>337</v>
      </c>
      <c r="J29" s="10"/>
      <c r="K29" s="10" t="s">
        <v>338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324</v>
      </c>
      <c r="AA29" s="10" t="s">
        <v>324</v>
      </c>
      <c r="AB29" s="10" t="s">
        <v>324</v>
      </c>
      <c r="AC29" s="10" t="s">
        <v>324</v>
      </c>
      <c r="AE29" s="10" t="s">
        <v>339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f>IF(A29="",MAX($A$10:A29)+10,A29)</f>
        <v>60</v>
      </c>
      <c r="B30" s="10"/>
      <c r="C30" s="10"/>
      <c r="D30" s="10" t="s">
        <v>239</v>
      </c>
      <c r="E30" s="31" t="s">
        <v>508</v>
      </c>
      <c r="F30" s="10" t="s">
        <v>100</v>
      </c>
      <c r="G30" s="10" t="s">
        <v>101</v>
      </c>
      <c r="H30" s="10"/>
      <c r="I30" s="10" t="s">
        <v>337</v>
      </c>
      <c r="J30" s="10"/>
      <c r="K30" s="10" t="s">
        <v>338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324</v>
      </c>
      <c r="AA30" s="10" t="s">
        <v>324</v>
      </c>
      <c r="AB30" s="10" t="s">
        <v>324</v>
      </c>
      <c r="AC30" s="10" t="s">
        <v>324</v>
      </c>
      <c r="AE30" s="10" t="s">
        <v>339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f>IF(A30="",MAX($A$10:A30)+10,A30)</f>
        <v>60</v>
      </c>
      <c r="B31" s="10"/>
      <c r="C31" s="10"/>
      <c r="D31" s="10" t="s">
        <v>240</v>
      </c>
      <c r="E31" s="31" t="s">
        <v>509</v>
      </c>
      <c r="F31" s="10" t="s">
        <v>102</v>
      </c>
      <c r="G31" s="10" t="s">
        <v>270</v>
      </c>
      <c r="H31" s="10"/>
      <c r="I31" s="10" t="s">
        <v>340</v>
      </c>
      <c r="J31" s="10"/>
      <c r="K31" s="10" t="s">
        <v>330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64</v>
      </c>
      <c r="AA31" s="10" t="s">
        <v>64</v>
      </c>
      <c r="AB31" s="10" t="s">
        <v>64</v>
      </c>
      <c r="AC31" s="10" t="s">
        <v>64</v>
      </c>
      <c r="AE31" s="10" t="s">
        <v>339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f>IF(A31="",MAX($A$10:A31)+10,A31)</f>
        <v>60</v>
      </c>
      <c r="B32" s="10"/>
      <c r="C32" s="10"/>
      <c r="D32" s="10" t="s">
        <v>241</v>
      </c>
      <c r="E32" s="31" t="s">
        <v>510</v>
      </c>
      <c r="F32" s="10" t="s">
        <v>103</v>
      </c>
      <c r="G32" s="10" t="s">
        <v>104</v>
      </c>
      <c r="H32" s="10"/>
      <c r="I32" s="10" t="s">
        <v>340</v>
      </c>
      <c r="J32" s="10"/>
      <c r="K32" s="10" t="s">
        <v>330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64</v>
      </c>
      <c r="AA32" s="10" t="s">
        <v>64</v>
      </c>
      <c r="AB32" s="10" t="s">
        <v>64</v>
      </c>
      <c r="AC32" s="10" t="s">
        <v>64</v>
      </c>
      <c r="AE32" s="10" t="s">
        <v>339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f>IF(A32="",MAX($A$10:A32)+10,A32)</f>
        <v>60</v>
      </c>
      <c r="B33" s="10"/>
      <c r="C33" s="10"/>
      <c r="D33" s="10" t="s">
        <v>242</v>
      </c>
      <c r="E33" s="31" t="s">
        <v>511</v>
      </c>
      <c r="F33" s="10" t="s">
        <v>106</v>
      </c>
      <c r="G33" s="10" t="s">
        <v>99</v>
      </c>
      <c r="H33" s="10"/>
      <c r="I33" s="10" t="s">
        <v>337</v>
      </c>
      <c r="J33" s="10"/>
      <c r="K33" s="10" t="s">
        <v>338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324</v>
      </c>
      <c r="AA33" s="10" t="s">
        <v>324</v>
      </c>
      <c r="AB33" s="10" t="s">
        <v>324</v>
      </c>
      <c r="AC33" s="10" t="s">
        <v>324</v>
      </c>
      <c r="AE33" s="10" t="s">
        <v>339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f>IF(A33="",MAX($A$10:A33)+10,A33)</f>
        <v>60</v>
      </c>
      <c r="B34" s="10"/>
      <c r="C34" s="10"/>
      <c r="D34" s="10" t="s">
        <v>243</v>
      </c>
      <c r="E34" s="31" t="s">
        <v>512</v>
      </c>
      <c r="F34" s="10" t="s">
        <v>107</v>
      </c>
      <c r="G34" s="10" t="s">
        <v>101</v>
      </c>
      <c r="H34" s="10"/>
      <c r="I34" s="10" t="s">
        <v>337</v>
      </c>
      <c r="J34" s="10"/>
      <c r="K34" s="10" t="s">
        <v>338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324</v>
      </c>
      <c r="AA34" s="10" t="s">
        <v>324</v>
      </c>
      <c r="AB34" s="10" t="s">
        <v>324</v>
      </c>
      <c r="AC34" s="10" t="s">
        <v>324</v>
      </c>
      <c r="AE34" s="10" t="s">
        <v>339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f>IF(A34="",MAX($A$10:A34)+10,A34)</f>
        <v>60</v>
      </c>
      <c r="B35" s="10"/>
      <c r="C35" s="10"/>
      <c r="D35" s="10" t="s">
        <v>244</v>
      </c>
      <c r="E35" s="31" t="s">
        <v>513</v>
      </c>
      <c r="F35" s="10" t="s">
        <v>108</v>
      </c>
      <c r="G35" s="10" t="s">
        <v>270</v>
      </c>
      <c r="H35" s="10"/>
      <c r="I35" s="10" t="s">
        <v>340</v>
      </c>
      <c r="J35" s="10"/>
      <c r="K35" s="10" t="s">
        <v>330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64</v>
      </c>
      <c r="AA35" s="10" t="s">
        <v>64</v>
      </c>
      <c r="AB35" s="10" t="s">
        <v>64</v>
      </c>
      <c r="AC35" s="10" t="s">
        <v>64</v>
      </c>
      <c r="AE35" s="10" t="s">
        <v>339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10">
        <f>IF(A35="",MAX($A$10:A35)+10,A35)</f>
        <v>60</v>
      </c>
      <c r="B36" s="10"/>
      <c r="C36" s="10"/>
      <c r="D36" s="10" t="s">
        <v>245</v>
      </c>
      <c r="E36" s="31" t="s">
        <v>514</v>
      </c>
      <c r="F36" s="10" t="s">
        <v>109</v>
      </c>
      <c r="G36" s="10" t="s">
        <v>104</v>
      </c>
      <c r="H36" s="10"/>
      <c r="I36" s="10" t="s">
        <v>340</v>
      </c>
      <c r="J36" s="10"/>
      <c r="K36" s="10" t="s">
        <v>330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64</v>
      </c>
      <c r="AA36" s="10" t="s">
        <v>64</v>
      </c>
      <c r="AB36" s="10" t="s">
        <v>64</v>
      </c>
      <c r="AC36" s="10" t="s">
        <v>64</v>
      </c>
      <c r="AE36" s="10" t="s">
        <v>339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f>IF(A36="",MAX($A$10:A36)+10,A36)</f>
        <v>60</v>
      </c>
      <c r="B37" s="10"/>
      <c r="C37" s="10"/>
      <c r="D37" s="10" t="s">
        <v>246</v>
      </c>
      <c r="E37" s="31" t="s">
        <v>515</v>
      </c>
      <c r="F37" s="10" t="s">
        <v>111</v>
      </c>
      <c r="G37" s="10" t="s">
        <v>99</v>
      </c>
      <c r="H37" s="10"/>
      <c r="I37" s="10" t="s">
        <v>337</v>
      </c>
      <c r="J37" s="10"/>
      <c r="K37" s="10" t="s">
        <v>338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324</v>
      </c>
      <c r="AA37" s="10" t="s">
        <v>324</v>
      </c>
      <c r="AB37" s="10" t="s">
        <v>324</v>
      </c>
      <c r="AC37" s="10" t="s">
        <v>324</v>
      </c>
      <c r="AE37" s="10" t="s">
        <v>339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f>IF(A37="",MAX($A$10:A37)+10,A37)</f>
        <v>60</v>
      </c>
      <c r="B38" s="10"/>
      <c r="C38" s="10"/>
      <c r="D38" s="10" t="s">
        <v>247</v>
      </c>
      <c r="E38" s="31" t="s">
        <v>516</v>
      </c>
      <c r="F38" s="10" t="s">
        <v>112</v>
      </c>
      <c r="G38" s="10" t="s">
        <v>101</v>
      </c>
      <c r="H38" s="10"/>
      <c r="I38" s="10" t="s">
        <v>337</v>
      </c>
      <c r="J38" s="10"/>
      <c r="K38" s="10" t="s">
        <v>338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324</v>
      </c>
      <c r="AA38" s="10" t="s">
        <v>324</v>
      </c>
      <c r="AB38" s="10" t="s">
        <v>324</v>
      </c>
      <c r="AC38" s="10" t="s">
        <v>324</v>
      </c>
      <c r="AE38" s="10" t="s">
        <v>339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26">
      <c r="A39" s="10">
        <f>IF(A38="",MAX($A$10:A38)+10,A38)</f>
        <v>60</v>
      </c>
      <c r="B39" s="10"/>
      <c r="C39" s="10"/>
      <c r="D39" s="10" t="s">
        <v>248</v>
      </c>
      <c r="E39" s="31" t="s">
        <v>517</v>
      </c>
      <c r="F39" s="10" t="s">
        <v>113</v>
      </c>
      <c r="G39" s="10" t="s">
        <v>270</v>
      </c>
      <c r="H39" s="10"/>
      <c r="I39" s="10" t="s">
        <v>340</v>
      </c>
      <c r="J39" s="10"/>
      <c r="K39" s="10" t="s">
        <v>330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64</v>
      </c>
      <c r="AA39" s="10" t="s">
        <v>64</v>
      </c>
      <c r="AB39" s="10" t="s">
        <v>64</v>
      </c>
      <c r="AC39" s="10" t="s">
        <v>64</v>
      </c>
      <c r="AE39" s="10" t="s">
        <v>339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26">
      <c r="A40" s="10">
        <f>IF(A39="",MAX($A$10:A39)+10,A39)</f>
        <v>60</v>
      </c>
      <c r="B40" s="10"/>
      <c r="C40" s="10"/>
      <c r="D40" s="10" t="s">
        <v>249</v>
      </c>
      <c r="E40" s="31" t="s">
        <v>518</v>
      </c>
      <c r="F40" s="10" t="s">
        <v>114</v>
      </c>
      <c r="G40" s="10" t="s">
        <v>104</v>
      </c>
      <c r="H40" s="10"/>
      <c r="I40" s="10" t="s">
        <v>340</v>
      </c>
      <c r="J40" s="10"/>
      <c r="K40" s="10" t="s">
        <v>330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64</v>
      </c>
      <c r="AA40" s="10" t="s">
        <v>64</v>
      </c>
      <c r="AB40" s="10" t="s">
        <v>64</v>
      </c>
      <c r="AC40" s="10" t="s">
        <v>64</v>
      </c>
      <c r="AE40" s="10" t="s">
        <v>339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f>IF(A40="",MAX($A$10:A40)+10,A40)</f>
        <v>60</v>
      </c>
      <c r="B41" s="10"/>
      <c r="C41" s="10"/>
      <c r="D41" s="10" t="s">
        <v>250</v>
      </c>
      <c r="E41" s="31" t="s">
        <v>519</v>
      </c>
      <c r="F41" s="10" t="s">
        <v>116</v>
      </c>
      <c r="G41" s="10" t="s">
        <v>99</v>
      </c>
      <c r="H41" s="10"/>
      <c r="I41" s="10" t="s">
        <v>337</v>
      </c>
      <c r="J41" s="10"/>
      <c r="K41" s="10" t="s">
        <v>338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324</v>
      </c>
      <c r="AA41" s="10" t="s">
        <v>324</v>
      </c>
      <c r="AB41" s="10" t="s">
        <v>324</v>
      </c>
      <c r="AC41" s="10" t="s">
        <v>324</v>
      </c>
      <c r="AE41" s="10" t="s">
        <v>339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f>IF(A41="",MAX($A$10:A41)+10,A41)</f>
        <v>60</v>
      </c>
      <c r="B42" s="10"/>
      <c r="C42" s="10"/>
      <c r="D42" s="10" t="s">
        <v>251</v>
      </c>
      <c r="E42" s="31" t="s">
        <v>520</v>
      </c>
      <c r="F42" s="10" t="s">
        <v>117</v>
      </c>
      <c r="G42" s="10" t="s">
        <v>101</v>
      </c>
      <c r="H42" s="10"/>
      <c r="I42" s="10" t="s">
        <v>337</v>
      </c>
      <c r="J42" s="10"/>
      <c r="K42" s="10" t="s">
        <v>338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324</v>
      </c>
      <c r="AA42" s="10" t="s">
        <v>324</v>
      </c>
      <c r="AB42" s="10" t="s">
        <v>324</v>
      </c>
      <c r="AC42" s="10" t="s">
        <v>324</v>
      </c>
      <c r="AE42" s="10" t="s">
        <v>339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26">
      <c r="A43" s="10">
        <f>IF(A42="",MAX($A$10:A42)+10,A42)</f>
        <v>60</v>
      </c>
      <c r="B43" s="10"/>
      <c r="C43" s="10"/>
      <c r="D43" s="10" t="s">
        <v>252</v>
      </c>
      <c r="E43" s="31" t="s">
        <v>521</v>
      </c>
      <c r="F43" s="10" t="s">
        <v>118</v>
      </c>
      <c r="G43" s="10" t="s">
        <v>270</v>
      </c>
      <c r="H43" s="10"/>
      <c r="I43" s="10" t="s">
        <v>340</v>
      </c>
      <c r="J43" s="10"/>
      <c r="K43" s="10" t="s">
        <v>330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64</v>
      </c>
      <c r="AA43" s="10" t="s">
        <v>64</v>
      </c>
      <c r="AB43" s="10" t="s">
        <v>64</v>
      </c>
      <c r="AC43" s="10" t="s">
        <v>64</v>
      </c>
      <c r="AE43" s="10" t="s">
        <v>339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ht="26">
      <c r="A44" s="10">
        <f>IF(A43="",MAX($A$10:A43)+10,A43)</f>
        <v>60</v>
      </c>
      <c r="B44" s="10"/>
      <c r="C44" s="10"/>
      <c r="D44" s="10" t="s">
        <v>253</v>
      </c>
      <c r="E44" s="31" t="s">
        <v>522</v>
      </c>
      <c r="F44" s="10" t="s">
        <v>119</v>
      </c>
      <c r="G44" s="10" t="s">
        <v>104</v>
      </c>
      <c r="H44" s="10"/>
      <c r="I44" s="10" t="s">
        <v>340</v>
      </c>
      <c r="J44" s="10"/>
      <c r="K44" s="10" t="s">
        <v>330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64</v>
      </c>
      <c r="AA44" s="10" t="s">
        <v>64</v>
      </c>
      <c r="AB44" s="10" t="s">
        <v>64</v>
      </c>
      <c r="AC44" s="10" t="s">
        <v>64</v>
      </c>
      <c r="AE44" s="10" t="s">
        <v>339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f>IF(A44="",MAX($A$10:A44)+10,A44)</f>
        <v>60</v>
      </c>
      <c r="B45" s="10"/>
      <c r="C45" s="10"/>
      <c r="D45" s="10" t="s">
        <v>254</v>
      </c>
      <c r="E45" s="31" t="s">
        <v>523</v>
      </c>
      <c r="F45" s="10" t="s">
        <v>121</v>
      </c>
      <c r="G45" s="10" t="s">
        <v>99</v>
      </c>
      <c r="H45" s="10"/>
      <c r="I45" s="10" t="s">
        <v>337</v>
      </c>
      <c r="J45" s="10"/>
      <c r="K45" s="10" t="s">
        <v>338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324</v>
      </c>
      <c r="AA45" s="10" t="s">
        <v>324</v>
      </c>
      <c r="AB45" s="10" t="s">
        <v>324</v>
      </c>
      <c r="AC45" s="10" t="s">
        <v>324</v>
      </c>
      <c r="AE45" s="10" t="s">
        <v>339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>
      <c r="A46" s="10">
        <f>IF(A45="",MAX($A$10:A45)+10,A45)</f>
        <v>60</v>
      </c>
      <c r="B46" s="10"/>
      <c r="C46" s="10"/>
      <c r="D46" s="10" t="s">
        <v>255</v>
      </c>
      <c r="E46" s="31" t="s">
        <v>524</v>
      </c>
      <c r="F46" s="10" t="s">
        <v>122</v>
      </c>
      <c r="G46" s="10" t="s">
        <v>101</v>
      </c>
      <c r="H46" s="10"/>
      <c r="I46" s="10" t="s">
        <v>337</v>
      </c>
      <c r="J46" s="10"/>
      <c r="K46" s="10" t="s">
        <v>338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324</v>
      </c>
      <c r="AA46" s="10" t="s">
        <v>324</v>
      </c>
      <c r="AB46" s="10" t="s">
        <v>324</v>
      </c>
      <c r="AC46" s="10" t="s">
        <v>324</v>
      </c>
      <c r="AE46" s="10" t="s">
        <v>339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>
      <c r="A47" s="10">
        <f>IF(A46="",MAX($A$10:A46)+10,A46)</f>
        <v>60</v>
      </c>
      <c r="B47" s="10"/>
      <c r="C47" s="10"/>
      <c r="D47" s="10" t="s">
        <v>256</v>
      </c>
      <c r="E47" s="31" t="s">
        <v>525</v>
      </c>
      <c r="F47" s="10" t="s">
        <v>123</v>
      </c>
      <c r="G47" s="10" t="s">
        <v>270</v>
      </c>
      <c r="H47" s="10"/>
      <c r="I47" s="10" t="s">
        <v>340</v>
      </c>
      <c r="J47" s="10"/>
      <c r="K47" s="10" t="s">
        <v>330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64</v>
      </c>
      <c r="AA47" s="10" t="s">
        <v>64</v>
      </c>
      <c r="AB47" s="10" t="s">
        <v>64</v>
      </c>
      <c r="AC47" s="10" t="s">
        <v>64</v>
      </c>
      <c r="AE47" s="10" t="s">
        <v>339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>
      <c r="A48" s="10">
        <f>IF(A47="",MAX($A$10:A47)+10,A47)</f>
        <v>60</v>
      </c>
      <c r="B48" s="10"/>
      <c r="C48" s="10"/>
      <c r="D48" s="10" t="s">
        <v>257</v>
      </c>
      <c r="E48" s="31" t="s">
        <v>526</v>
      </c>
      <c r="F48" s="10" t="s">
        <v>124</v>
      </c>
      <c r="G48" s="10" t="s">
        <v>104</v>
      </c>
      <c r="H48" s="10"/>
      <c r="I48" s="10" t="s">
        <v>340</v>
      </c>
      <c r="J48" s="10"/>
      <c r="K48" s="10" t="s">
        <v>330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64</v>
      </c>
      <c r="AA48" s="10" t="s">
        <v>64</v>
      </c>
      <c r="AB48" s="10" t="s">
        <v>64</v>
      </c>
      <c r="AC48" s="10" t="s">
        <v>64</v>
      </c>
      <c r="AE48" s="10" t="s">
        <v>339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f>IF(A48="",MAX($A$10:A48)+10,A48)</f>
        <v>60</v>
      </c>
      <c r="B49" s="10"/>
      <c r="C49" s="10"/>
      <c r="D49" s="10" t="s">
        <v>258</v>
      </c>
      <c r="E49" s="31" t="s">
        <v>527</v>
      </c>
      <c r="F49" s="10" t="s">
        <v>136</v>
      </c>
      <c r="G49" s="10" t="s">
        <v>99</v>
      </c>
      <c r="H49" s="10"/>
      <c r="I49" s="10" t="s">
        <v>337</v>
      </c>
      <c r="J49" s="10"/>
      <c r="K49" s="10" t="s">
        <v>338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324</v>
      </c>
      <c r="AA49" s="10" t="s">
        <v>324</v>
      </c>
      <c r="AB49" s="10" t="s">
        <v>324</v>
      </c>
      <c r="AC49" s="10" t="s">
        <v>324</v>
      </c>
      <c r="AE49" s="10" t="s">
        <v>339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>
      <c r="A50" s="10">
        <f>IF(A49="",MAX($A$10:A49)+10,A49)</f>
        <v>60</v>
      </c>
      <c r="B50" s="10"/>
      <c r="C50" s="10"/>
      <c r="D50" s="10" t="s">
        <v>259</v>
      </c>
      <c r="E50" s="31" t="s">
        <v>528</v>
      </c>
      <c r="F50" s="10" t="s">
        <v>137</v>
      </c>
      <c r="G50" s="10" t="s">
        <v>101</v>
      </c>
      <c r="H50" s="10"/>
      <c r="I50" s="10" t="s">
        <v>337</v>
      </c>
      <c r="J50" s="10"/>
      <c r="K50" s="10" t="s">
        <v>338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324</v>
      </c>
      <c r="AA50" s="10" t="s">
        <v>324</v>
      </c>
      <c r="AB50" s="10" t="s">
        <v>324</v>
      </c>
      <c r="AC50" s="10" t="s">
        <v>324</v>
      </c>
      <c r="AE50" s="10" t="s">
        <v>339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f>IF(A50="",MAX($A$10:A50)+10,A50)</f>
        <v>60</v>
      </c>
      <c r="B51" s="10"/>
      <c r="C51" s="10"/>
      <c r="D51" s="10" t="s">
        <v>260</v>
      </c>
      <c r="E51" s="31" t="s">
        <v>529</v>
      </c>
      <c r="F51" s="10" t="s">
        <v>138</v>
      </c>
      <c r="G51" s="10" t="s">
        <v>270</v>
      </c>
      <c r="H51" s="10"/>
      <c r="I51" s="10" t="s">
        <v>340</v>
      </c>
      <c r="J51" s="10"/>
      <c r="K51" s="10" t="s">
        <v>330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64</v>
      </c>
      <c r="AA51" s="10" t="s">
        <v>64</v>
      </c>
      <c r="AB51" s="10" t="s">
        <v>64</v>
      </c>
      <c r="AC51" s="10" t="s">
        <v>64</v>
      </c>
      <c r="AE51" s="10" t="s">
        <v>339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>
      <c r="A52" s="10">
        <f>IF(A51="",MAX($A$10:A51)+10,A51)</f>
        <v>60</v>
      </c>
      <c r="B52" s="10"/>
      <c r="C52" s="10"/>
      <c r="D52" s="10" t="s">
        <v>261</v>
      </c>
      <c r="E52" s="31" t="s">
        <v>530</v>
      </c>
      <c r="F52" s="10" t="s">
        <v>139</v>
      </c>
      <c r="G52" s="10" t="s">
        <v>104</v>
      </c>
      <c r="H52" s="10"/>
      <c r="I52" s="10" t="s">
        <v>340</v>
      </c>
      <c r="J52" s="10"/>
      <c r="K52" s="10" t="s">
        <v>330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64</v>
      </c>
      <c r="AA52" s="10" t="s">
        <v>64</v>
      </c>
      <c r="AB52" s="10" t="s">
        <v>64</v>
      </c>
      <c r="AC52" s="10" t="s">
        <v>64</v>
      </c>
      <c r="AE52" s="10" t="s">
        <v>339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f>IF(A52="",MAX($A$10:A52)+10,A52)</f>
        <v>60</v>
      </c>
      <c r="B53" s="10"/>
      <c r="C53" s="10"/>
      <c r="D53" s="10" t="s">
        <v>262</v>
      </c>
      <c r="E53" s="31" t="s">
        <v>531</v>
      </c>
      <c r="F53" s="10" t="s">
        <v>140</v>
      </c>
      <c r="G53" s="10" t="s">
        <v>99</v>
      </c>
      <c r="H53" s="10"/>
      <c r="I53" s="10" t="s">
        <v>337</v>
      </c>
      <c r="J53" s="10"/>
      <c r="K53" s="10" t="s">
        <v>338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324</v>
      </c>
      <c r="AA53" s="10" t="s">
        <v>324</v>
      </c>
      <c r="AB53" s="10" t="s">
        <v>324</v>
      </c>
      <c r="AC53" s="10" t="s">
        <v>324</v>
      </c>
      <c r="AE53" s="10" t="s">
        <v>339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f>IF(A53="",MAX($A$10:A53)+10,A53)</f>
        <v>60</v>
      </c>
      <c r="B54" s="10"/>
      <c r="C54" s="10"/>
      <c r="D54" s="10" t="s">
        <v>263</v>
      </c>
      <c r="E54" s="31" t="s">
        <v>532</v>
      </c>
      <c r="F54" s="10" t="s">
        <v>141</v>
      </c>
      <c r="G54" s="10" t="s">
        <v>101</v>
      </c>
      <c r="H54" s="10"/>
      <c r="I54" s="10" t="s">
        <v>337</v>
      </c>
      <c r="J54" s="10"/>
      <c r="K54" s="10" t="s">
        <v>338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324</v>
      </c>
      <c r="AA54" s="10" t="s">
        <v>324</v>
      </c>
      <c r="AB54" s="10" t="s">
        <v>324</v>
      </c>
      <c r="AC54" s="10" t="s">
        <v>324</v>
      </c>
      <c r="AE54" s="10" t="s">
        <v>339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>
      <c r="A55" s="10">
        <f>IF(A54="",MAX($A$10:A54)+10,A54)</f>
        <v>60</v>
      </c>
      <c r="B55" s="10"/>
      <c r="C55" s="10"/>
      <c r="D55" s="10" t="s">
        <v>264</v>
      </c>
      <c r="E55" s="31" t="s">
        <v>533</v>
      </c>
      <c r="F55" s="10" t="s">
        <v>132</v>
      </c>
      <c r="G55" s="10" t="s">
        <v>270</v>
      </c>
      <c r="H55" s="10"/>
      <c r="I55" s="10" t="s">
        <v>340</v>
      </c>
      <c r="J55" s="10"/>
      <c r="K55" s="10" t="s">
        <v>330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64</v>
      </c>
      <c r="AA55" s="10" t="s">
        <v>64</v>
      </c>
      <c r="AB55" s="10" t="s">
        <v>64</v>
      </c>
      <c r="AC55" s="10" t="s">
        <v>64</v>
      </c>
      <c r="AE55" s="10" t="s">
        <v>339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>
      <c r="A56" s="10">
        <f>IF(A55="",MAX($A$10:A55)+10,A55)</f>
        <v>60</v>
      </c>
      <c r="B56" s="10"/>
      <c r="C56" s="10"/>
      <c r="D56" s="10" t="s">
        <v>265</v>
      </c>
      <c r="E56" s="31" t="s">
        <v>534</v>
      </c>
      <c r="F56" s="10" t="s">
        <v>133</v>
      </c>
      <c r="G56" s="10" t="s">
        <v>104</v>
      </c>
      <c r="H56" s="10"/>
      <c r="I56" s="10" t="s">
        <v>340</v>
      </c>
      <c r="J56" s="10"/>
      <c r="K56" s="10" t="s">
        <v>330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64</v>
      </c>
      <c r="AA56" s="10" t="s">
        <v>64</v>
      </c>
      <c r="AB56" s="10" t="s">
        <v>64</v>
      </c>
      <c r="AC56" s="10" t="s">
        <v>64</v>
      </c>
      <c r="AE56" s="10" t="s">
        <v>339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f>IF(A56="",MAX($A$10:A56)+10,A56)</f>
        <v>60</v>
      </c>
      <c r="B57" s="10"/>
      <c r="C57" s="10"/>
      <c r="D57" s="10" t="s">
        <v>266</v>
      </c>
      <c r="E57" s="31" t="s">
        <v>535</v>
      </c>
      <c r="F57" s="10" t="s">
        <v>126</v>
      </c>
      <c r="G57" s="10" t="s">
        <v>99</v>
      </c>
      <c r="H57" s="10"/>
      <c r="I57" s="10" t="s">
        <v>337</v>
      </c>
      <c r="J57" s="10"/>
      <c r="K57" s="10" t="s">
        <v>338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324</v>
      </c>
      <c r="AA57" s="10" t="s">
        <v>324</v>
      </c>
      <c r="AB57" s="10" t="s">
        <v>324</v>
      </c>
      <c r="AC57" s="10" t="s">
        <v>324</v>
      </c>
      <c r="AE57" s="10" t="s">
        <v>339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f>IF(A57="",MAX($A$10:A57)+10,A57)</f>
        <v>60</v>
      </c>
      <c r="B58" s="10"/>
      <c r="C58" s="10"/>
      <c r="D58" s="10" t="s">
        <v>267</v>
      </c>
      <c r="E58" s="31" t="s">
        <v>536</v>
      </c>
      <c r="F58" s="10" t="s">
        <v>127</v>
      </c>
      <c r="G58" s="10" t="s">
        <v>101</v>
      </c>
      <c r="H58" s="10"/>
      <c r="I58" s="10" t="s">
        <v>337</v>
      </c>
      <c r="J58" s="10"/>
      <c r="K58" s="10" t="s">
        <v>338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324</v>
      </c>
      <c r="AA58" s="10" t="s">
        <v>324</v>
      </c>
      <c r="AB58" s="10" t="s">
        <v>324</v>
      </c>
      <c r="AC58" s="10" t="s">
        <v>324</v>
      </c>
      <c r="AE58" s="10" t="s">
        <v>339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>
      <c r="A59" s="10">
        <f>IF(A58="",MAX($A$10:A58)+10,A58)</f>
        <v>60</v>
      </c>
      <c r="B59" s="10"/>
      <c r="C59" s="10"/>
      <c r="D59" s="10" t="s">
        <v>268</v>
      </c>
      <c r="E59" s="31" t="s">
        <v>537</v>
      </c>
      <c r="F59" s="10" t="s">
        <v>128</v>
      </c>
      <c r="G59" s="10" t="s">
        <v>270</v>
      </c>
      <c r="H59" s="10"/>
      <c r="I59" s="10" t="s">
        <v>340</v>
      </c>
      <c r="J59" s="10"/>
      <c r="K59" s="10" t="s">
        <v>330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64</v>
      </c>
      <c r="AA59" s="10" t="s">
        <v>64</v>
      </c>
      <c r="AB59" s="10" t="s">
        <v>64</v>
      </c>
      <c r="AC59" s="10" t="s">
        <v>64</v>
      </c>
      <c r="AE59" s="10" t="s">
        <v>339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>
      <c r="A60" s="10">
        <f>IF(A59="",MAX($A$10:A59)+10,A59)</f>
        <v>60</v>
      </c>
      <c r="B60" s="10"/>
      <c r="C60" s="10"/>
      <c r="D60" s="10" t="s">
        <v>269</v>
      </c>
      <c r="E60" s="31" t="s">
        <v>538</v>
      </c>
      <c r="F60" s="10" t="s">
        <v>129</v>
      </c>
      <c r="G60" s="10" t="s">
        <v>104</v>
      </c>
      <c r="H60" s="10"/>
      <c r="I60" s="10" t="s">
        <v>340</v>
      </c>
      <c r="J60" s="10"/>
      <c r="K60" s="10" t="s">
        <v>330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64</v>
      </c>
      <c r="AA60" s="10" t="s">
        <v>64</v>
      </c>
      <c r="AB60" s="10" t="s">
        <v>64</v>
      </c>
      <c r="AC60" s="10" t="s">
        <v>64</v>
      </c>
      <c r="AE60" s="10" t="s">
        <v>339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>
      <c r="A61" s="52">
        <f>IF(A60="",MAX($A$10:A60)+10,A60)</f>
        <v>60</v>
      </c>
      <c r="B61" s="52"/>
      <c r="C61" s="52"/>
      <c r="D61" s="52" t="s">
        <v>291</v>
      </c>
      <c r="E61" s="52"/>
      <c r="F61" s="52"/>
      <c r="G61" s="52"/>
      <c r="H61" s="52"/>
      <c r="I61" s="52" t="s">
        <v>324</v>
      </c>
      <c r="J61" s="52"/>
      <c r="K61" s="52" t="s">
        <v>341</v>
      </c>
      <c r="L61" s="52" t="s">
        <v>342</v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 t="s">
        <v>343</v>
      </c>
      <c r="AA61" s="52" t="s">
        <v>343</v>
      </c>
      <c r="AB61" s="52" t="s">
        <v>343</v>
      </c>
      <c r="AC61" s="52" t="s">
        <v>343</v>
      </c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</row>
    <row r="62" spans="1:40" s="1" customFormat="1">
      <c r="A62" s="52">
        <f>IF(A61="",MAX($A$10:A61)+10,A61)</f>
        <v>60</v>
      </c>
      <c r="B62" s="10"/>
      <c r="C62" s="10"/>
      <c r="D62" s="10" t="s">
        <v>151</v>
      </c>
      <c r="E62" s="31"/>
      <c r="F62" s="10"/>
      <c r="G62" s="10"/>
      <c r="H62" s="10"/>
      <c r="I62" s="10" t="s">
        <v>344</v>
      </c>
      <c r="J62" s="10"/>
      <c r="K62" s="10" t="s">
        <v>345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A62" s="10"/>
      <c r="AB62" s="10"/>
      <c r="AC62" s="10"/>
      <c r="AE62" s="10" t="s">
        <v>346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52">
        <f>IF(A62="",MAX($A$10:A62)+10,A62)</f>
        <v>60</v>
      </c>
      <c r="B63" s="10"/>
      <c r="C63" s="10"/>
      <c r="D63" s="10" t="s">
        <v>152</v>
      </c>
      <c r="E63" s="31"/>
      <c r="F63" s="10"/>
      <c r="G63" s="10"/>
      <c r="H63" s="10"/>
      <c r="I63" s="10" t="s">
        <v>344</v>
      </c>
      <c r="J63" s="10"/>
      <c r="K63" s="10" t="s">
        <v>345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A63" s="10"/>
      <c r="AB63" s="10"/>
      <c r="AC63" s="10"/>
      <c r="AE63" s="10"/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52">
        <f>IF(A63="",MAX($A$10:A63)+10,A63)</f>
        <v>60</v>
      </c>
      <c r="B64" s="10"/>
      <c r="C64" s="10"/>
      <c r="D64" s="10" t="s">
        <v>153</v>
      </c>
      <c r="E64" s="31"/>
      <c r="F64" s="10"/>
      <c r="G64" s="10"/>
      <c r="H64" s="10"/>
      <c r="I64" s="10" t="s">
        <v>344</v>
      </c>
      <c r="J64" s="10"/>
      <c r="K64" s="10" t="s">
        <v>345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 t="s">
        <v>347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>
      <c r="A65" s="52">
        <f>IF(A64="",MAX($A$10:A64)+10,A64)</f>
        <v>60</v>
      </c>
      <c r="B65" s="10"/>
      <c r="C65" s="10"/>
      <c r="D65" s="10" t="s">
        <v>154</v>
      </c>
      <c r="E65" s="31"/>
      <c r="F65" s="10"/>
      <c r="G65" s="10"/>
      <c r="H65" s="10"/>
      <c r="I65" s="10" t="s">
        <v>344</v>
      </c>
      <c r="J65" s="10"/>
      <c r="K65" s="10" t="s">
        <v>345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E65" s="10" t="s">
        <v>348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26">
      <c r="A66" s="52">
        <f>IF(A65="",MAX($A$10:A65)+10,A65)</f>
        <v>60</v>
      </c>
      <c r="B66" s="52"/>
      <c r="C66" s="52"/>
      <c r="D66" s="52" t="s">
        <v>292</v>
      </c>
      <c r="E66" s="52"/>
      <c r="F66" s="52"/>
      <c r="G66" s="52"/>
      <c r="H66" s="52"/>
      <c r="I66" s="52" t="s">
        <v>324</v>
      </c>
      <c r="J66" s="52"/>
      <c r="K66" s="52" t="s">
        <v>341</v>
      </c>
      <c r="L66" s="52" t="s">
        <v>349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 t="s">
        <v>350</v>
      </c>
      <c r="AA66" s="52" t="s">
        <v>350</v>
      </c>
      <c r="AB66" s="52" t="s">
        <v>350</v>
      </c>
      <c r="AC66" s="52" t="s">
        <v>350</v>
      </c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</row>
    <row r="67" spans="1:40" s="1" customFormat="1" ht="26">
      <c r="A67" s="52">
        <f>IF(A66="",MAX($A$10:A66)+10,A66)</f>
        <v>60</v>
      </c>
      <c r="B67" s="10"/>
      <c r="C67" s="10"/>
      <c r="D67" s="10" t="s">
        <v>143</v>
      </c>
      <c r="E67" s="31"/>
      <c r="F67" s="10"/>
      <c r="G67" s="10"/>
      <c r="H67" s="10"/>
      <c r="I67" s="10" t="s">
        <v>344</v>
      </c>
      <c r="J67" s="10"/>
      <c r="K67" s="10" t="s">
        <v>345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 t="s">
        <v>351</v>
      </c>
      <c r="X67" s="10" t="s">
        <v>352</v>
      </c>
      <c r="Z67" s="10"/>
      <c r="AA67" s="10"/>
      <c r="AB67" s="10"/>
      <c r="AC67" s="10"/>
      <c r="AE67" s="10" t="s">
        <v>353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>
      <c r="A68" s="52">
        <f>IF(A67="",MAX($A$10:A67)+10,A67)</f>
        <v>60</v>
      </c>
      <c r="B68" s="10"/>
      <c r="C68" s="10"/>
      <c r="D68" s="10" t="s">
        <v>144</v>
      </c>
      <c r="E68" s="31"/>
      <c r="F68" s="10"/>
      <c r="G68" s="10"/>
      <c r="H68" s="10"/>
      <c r="I68" s="10" t="s">
        <v>344</v>
      </c>
      <c r="J68" s="10"/>
      <c r="K68" s="10" t="s">
        <v>345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A68" s="10"/>
      <c r="AB68" s="10"/>
      <c r="AC68" s="10"/>
      <c r="AE68" s="10" t="s">
        <v>354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>
      <c r="A69" s="52">
        <f>IF(A68="",MAX($A$10:A68)+10,A68)</f>
        <v>60</v>
      </c>
      <c r="B69" s="10"/>
      <c r="C69" s="10"/>
      <c r="D69" s="10" t="s">
        <v>145</v>
      </c>
      <c r="E69" s="31"/>
      <c r="F69" s="10"/>
      <c r="G69" s="10"/>
      <c r="H69" s="10"/>
      <c r="I69" s="10" t="s">
        <v>344</v>
      </c>
      <c r="J69" s="10"/>
      <c r="K69" s="10" t="s">
        <v>345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B69" s="10"/>
      <c r="AC69" s="10"/>
      <c r="AE69" s="10" t="s">
        <v>355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>
      <c r="A70" s="52">
        <f>IF(A69="",MAX($A$10:A69)+10,A69)</f>
        <v>60</v>
      </c>
      <c r="B70" s="10"/>
      <c r="C70" s="10"/>
      <c r="D70" s="10" t="s">
        <v>470</v>
      </c>
      <c r="E70" s="31"/>
      <c r="F70" s="10"/>
      <c r="G70" s="10"/>
      <c r="H70" s="10"/>
      <c r="I70" s="10" t="s">
        <v>344</v>
      </c>
      <c r="J70" s="10"/>
      <c r="K70" s="10" t="s">
        <v>345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 t="s">
        <v>356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>
      <c r="A71" s="52">
        <f>IF(A70="",MAX($A$10:A70)+10,A70)</f>
        <v>60</v>
      </c>
      <c r="B71" s="10"/>
      <c r="C71" s="10"/>
      <c r="D71" s="10" t="s">
        <v>223</v>
      </c>
      <c r="E71" s="31"/>
      <c r="F71" s="10"/>
      <c r="G71" s="10"/>
      <c r="H71" s="10"/>
      <c r="I71" s="10" t="s">
        <v>344</v>
      </c>
      <c r="J71" s="10"/>
      <c r="K71" s="10" t="s">
        <v>345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 t="s">
        <v>357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>
      <c r="A72" s="10">
        <f>IF(A71="",MAX($A$10:A71)+10,A71)</f>
        <v>60</v>
      </c>
      <c r="B72" s="10"/>
      <c r="C72" s="10"/>
      <c r="D72" s="10" t="s">
        <v>293</v>
      </c>
      <c r="E72" s="31" t="s">
        <v>539</v>
      </c>
      <c r="F72" s="10" t="s">
        <v>22</v>
      </c>
      <c r="G72" s="10" t="s">
        <v>9</v>
      </c>
      <c r="H72" s="10"/>
      <c r="I72" s="10" t="s">
        <v>358</v>
      </c>
      <c r="J72" s="10"/>
      <c r="K72" s="10" t="s">
        <v>359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339</v>
      </c>
      <c r="AA72" s="10" t="s">
        <v>339</v>
      </c>
      <c r="AB72" s="10" t="s">
        <v>339</v>
      </c>
      <c r="AC72" s="10" t="s">
        <v>339</v>
      </c>
      <c r="AE72" s="10" t="s">
        <v>339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>
      <c r="A73" s="10">
        <f>IF(A72="",MAX($A$10:A72)+10,A72)</f>
        <v>60</v>
      </c>
      <c r="B73" s="10"/>
      <c r="C73" s="10"/>
      <c r="D73" s="10" t="s">
        <v>294</v>
      </c>
      <c r="E73" s="31" t="s">
        <v>540</v>
      </c>
      <c r="F73" s="10" t="s">
        <v>25</v>
      </c>
      <c r="G73" s="10" t="s">
        <v>9</v>
      </c>
      <c r="H73" s="10"/>
      <c r="I73" s="10" t="s">
        <v>360</v>
      </c>
      <c r="J73" s="10"/>
      <c r="K73" s="10" t="s">
        <v>359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339</v>
      </c>
      <c r="AA73" s="10" t="s">
        <v>339</v>
      </c>
      <c r="AB73" s="10" t="s">
        <v>339</v>
      </c>
      <c r="AC73" s="10" t="s">
        <v>339</v>
      </c>
      <c r="AE73" s="10" t="s">
        <v>339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>
      <c r="A74" s="10">
        <f>IF(A73="",MAX($A$10:A73)+10,A73)</f>
        <v>60</v>
      </c>
      <c r="B74" s="10"/>
      <c r="C74" s="10"/>
      <c r="D74" s="10" t="s">
        <v>295</v>
      </c>
      <c r="E74" s="31" t="s">
        <v>541</v>
      </c>
      <c r="F74" s="10" t="s">
        <v>26</v>
      </c>
      <c r="G74" s="10" t="s">
        <v>9</v>
      </c>
      <c r="H74" s="10"/>
      <c r="I74" s="10" t="s">
        <v>361</v>
      </c>
      <c r="J74" s="10"/>
      <c r="K74" s="10" t="s">
        <v>359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339</v>
      </c>
      <c r="AA74" s="10" t="s">
        <v>339</v>
      </c>
      <c r="AB74" s="10" t="s">
        <v>339</v>
      </c>
      <c r="AC74" s="10" t="s">
        <v>339</v>
      </c>
      <c r="AE74" s="10" t="s">
        <v>339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>
      <c r="A75" s="10">
        <f>IF(A74="",MAX($A$10:A74)+10,A74)</f>
        <v>60</v>
      </c>
      <c r="B75" s="10"/>
      <c r="C75" s="10"/>
      <c r="D75" s="10" t="s">
        <v>296</v>
      </c>
      <c r="E75" s="31" t="s">
        <v>542</v>
      </c>
      <c r="F75" s="10" t="s">
        <v>46</v>
      </c>
      <c r="G75" s="10" t="s">
        <v>9</v>
      </c>
      <c r="H75" s="10"/>
      <c r="I75" s="10"/>
      <c r="J75" s="10"/>
      <c r="K75" s="10" t="s">
        <v>362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f>IF(A75="",MAX($A$10:A75)+10,A75)</f>
        <v>60</v>
      </c>
      <c r="B76" s="10"/>
      <c r="C76" s="10"/>
      <c r="D76" s="10" t="s">
        <v>297</v>
      </c>
      <c r="E76" s="31" t="s">
        <v>543</v>
      </c>
      <c r="F76" s="10" t="s">
        <v>212</v>
      </c>
      <c r="G76" s="10" t="s">
        <v>213</v>
      </c>
      <c r="H76" s="10"/>
      <c r="I76" s="10" t="s">
        <v>337</v>
      </c>
      <c r="J76" s="10"/>
      <c r="K76" s="10" t="s">
        <v>338</v>
      </c>
      <c r="L76" s="10"/>
      <c r="M76" s="10"/>
      <c r="N76" s="10"/>
      <c r="O76" s="10"/>
      <c r="P76" s="10"/>
      <c r="Q76" s="10"/>
      <c r="R76" s="10"/>
      <c r="S76" s="10"/>
      <c r="T76" s="10"/>
      <c r="U76" s="10" t="s">
        <v>363</v>
      </c>
      <c r="V76" s="10"/>
      <c r="W76" s="10"/>
      <c r="X76" s="10"/>
      <c r="Z76" s="10" t="s">
        <v>339</v>
      </c>
      <c r="AA76" s="10" t="s">
        <v>339</v>
      </c>
      <c r="AB76" s="10" t="s">
        <v>339</v>
      </c>
      <c r="AC76" s="10" t="s">
        <v>339</v>
      </c>
      <c r="AE76" s="10" t="s">
        <v>339</v>
      </c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>
      <c r="A77" s="10">
        <f>IF(A76="",MAX($A$10:A76)+10,A76)</f>
        <v>60</v>
      </c>
      <c r="B77" s="10"/>
      <c r="C77" s="10"/>
      <c r="D77" s="10" t="s">
        <v>298</v>
      </c>
      <c r="E77" s="31" t="s">
        <v>544</v>
      </c>
      <c r="F77" s="10" t="s">
        <v>214</v>
      </c>
      <c r="G77" s="10" t="s">
        <v>215</v>
      </c>
      <c r="H77" s="10"/>
      <c r="I77" s="10" t="s">
        <v>337</v>
      </c>
      <c r="J77" s="10"/>
      <c r="K77" s="10" t="s">
        <v>338</v>
      </c>
      <c r="L77" s="10"/>
      <c r="M77" s="10"/>
      <c r="N77" s="10"/>
      <c r="O77" s="10"/>
      <c r="P77" s="10"/>
      <c r="Q77" s="10"/>
      <c r="R77" s="10"/>
      <c r="S77" s="10"/>
      <c r="T77" s="10"/>
      <c r="U77" s="10" t="s">
        <v>363</v>
      </c>
      <c r="V77" s="10"/>
      <c r="W77" s="10"/>
      <c r="X77" s="10"/>
      <c r="Z77" s="10" t="s">
        <v>339</v>
      </c>
      <c r="AA77" s="10" t="s">
        <v>339</v>
      </c>
      <c r="AB77" s="10" t="s">
        <v>339</v>
      </c>
      <c r="AC77" s="10" t="s">
        <v>339</v>
      </c>
      <c r="AE77" s="10" t="s">
        <v>339</v>
      </c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ht="26">
      <c r="A78" s="10">
        <f>IF(A77="",MAX($A$10:A77)+10,A77)</f>
        <v>60</v>
      </c>
      <c r="B78" s="10"/>
      <c r="C78" s="10"/>
      <c r="D78" s="10" t="s">
        <v>161</v>
      </c>
      <c r="E78" s="31" t="s">
        <v>545</v>
      </c>
      <c r="F78" s="10" t="s">
        <v>227</v>
      </c>
      <c r="G78" s="10" t="s">
        <v>162</v>
      </c>
      <c r="H78" s="10"/>
      <c r="I78" s="10" t="s">
        <v>364</v>
      </c>
      <c r="J78" s="10"/>
      <c r="K78" s="10" t="s">
        <v>365</v>
      </c>
      <c r="L78" s="10"/>
      <c r="M78" s="10"/>
      <c r="N78" s="10"/>
      <c r="O78" s="10"/>
      <c r="P78" s="10"/>
      <c r="Q78" s="10" t="s">
        <v>366</v>
      </c>
      <c r="R78" s="10"/>
      <c r="S78" s="10" t="s">
        <v>367</v>
      </c>
      <c r="T78" s="10"/>
      <c r="U78" s="10"/>
      <c r="V78" s="10" t="s">
        <v>368</v>
      </c>
      <c r="W78" s="10"/>
      <c r="X78" s="10"/>
      <c r="Z78" s="10" t="s">
        <v>339</v>
      </c>
      <c r="AA78" s="10" t="s">
        <v>339</v>
      </c>
      <c r="AB78" s="10" t="s">
        <v>339</v>
      </c>
      <c r="AC78" s="10" t="s">
        <v>339</v>
      </c>
      <c r="AE78" s="10" t="s">
        <v>339</v>
      </c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>
      <c r="A79" s="10">
        <f>IF(A78="",MAX($A$10:A78)+10,A78)</f>
        <v>60</v>
      </c>
      <c r="B79" s="10"/>
      <c r="C79" s="10"/>
      <c r="D79" s="10" t="s">
        <v>164</v>
      </c>
      <c r="E79" s="31" t="s">
        <v>546</v>
      </c>
      <c r="F79" s="10" t="s">
        <v>165</v>
      </c>
      <c r="G79" s="10"/>
      <c r="H79" s="10"/>
      <c r="I79" s="10" t="s">
        <v>369</v>
      </c>
      <c r="J79" s="10"/>
      <c r="K79" s="10" t="s">
        <v>359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339</v>
      </c>
      <c r="AA79" s="10" t="s">
        <v>339</v>
      </c>
      <c r="AB79" s="10" t="s">
        <v>339</v>
      </c>
      <c r="AC79" s="10" t="s">
        <v>339</v>
      </c>
      <c r="AE79" s="10" t="s">
        <v>339</v>
      </c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 ht="26">
      <c r="A80" s="10">
        <f>IF(A79="",MAX($A$10:A79)+10,A79)</f>
        <v>60</v>
      </c>
      <c r="B80" s="10"/>
      <c r="C80" s="10"/>
      <c r="D80" s="10" t="s">
        <v>193</v>
      </c>
      <c r="E80" s="31" t="s">
        <v>547</v>
      </c>
      <c r="F80" s="10" t="s">
        <v>166</v>
      </c>
      <c r="G80" s="10" t="s">
        <v>184</v>
      </c>
      <c r="H80" s="10"/>
      <c r="I80" s="10" t="s">
        <v>364</v>
      </c>
      <c r="J80" s="10"/>
      <c r="K80" s="10" t="s">
        <v>365</v>
      </c>
      <c r="L80" s="10"/>
      <c r="M80" s="10"/>
      <c r="N80" s="10"/>
      <c r="O80" s="10"/>
      <c r="P80" s="10"/>
      <c r="Q80" s="10" t="s">
        <v>370</v>
      </c>
      <c r="R80" s="10"/>
      <c r="S80" s="10" t="s">
        <v>371</v>
      </c>
      <c r="T80" s="10"/>
      <c r="U80" s="10"/>
      <c r="V80" s="10" t="s">
        <v>368</v>
      </c>
      <c r="W80" s="10"/>
      <c r="X80" s="10"/>
      <c r="Z80" s="10" t="s">
        <v>339</v>
      </c>
      <c r="AA80" s="10" t="s">
        <v>339</v>
      </c>
      <c r="AB80" s="10" t="s">
        <v>339</v>
      </c>
      <c r="AC80" s="10" t="s">
        <v>339</v>
      </c>
      <c r="AE80" s="10" t="s">
        <v>339</v>
      </c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>
      <c r="A81" s="10">
        <f>IF(A80="",MAX($A$10:A80)+10,A80)</f>
        <v>60</v>
      </c>
      <c r="B81" s="10"/>
      <c r="C81" s="10"/>
      <c r="D81" s="10" t="s">
        <v>194</v>
      </c>
      <c r="E81" s="31" t="s">
        <v>548</v>
      </c>
      <c r="F81" s="10" t="s">
        <v>167</v>
      </c>
      <c r="G81" s="10"/>
      <c r="H81" s="10"/>
      <c r="I81" s="10" t="s">
        <v>369</v>
      </c>
      <c r="J81" s="10"/>
      <c r="K81" s="10" t="s">
        <v>359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339</v>
      </c>
      <c r="AA81" s="10" t="s">
        <v>339</v>
      </c>
      <c r="AB81" s="10" t="s">
        <v>339</v>
      </c>
      <c r="AC81" s="10" t="s">
        <v>339</v>
      </c>
      <c r="AE81" s="10" t="s">
        <v>339</v>
      </c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ht="26">
      <c r="A82" s="10">
        <f>IF(A81="",MAX($A$10:A81)+10,A81)</f>
        <v>60</v>
      </c>
      <c r="B82" s="10"/>
      <c r="C82" s="10"/>
      <c r="D82" s="10" t="s">
        <v>195</v>
      </c>
      <c r="E82" s="31" t="s">
        <v>549</v>
      </c>
      <c r="F82" s="10" t="s">
        <v>168</v>
      </c>
      <c r="G82" s="10" t="s">
        <v>185</v>
      </c>
      <c r="H82" s="10"/>
      <c r="I82" s="10" t="s">
        <v>364</v>
      </c>
      <c r="J82" s="10"/>
      <c r="K82" s="10" t="s">
        <v>365</v>
      </c>
      <c r="L82" s="10"/>
      <c r="M82" s="10"/>
      <c r="N82" s="10"/>
      <c r="O82" s="10"/>
      <c r="P82" s="10"/>
      <c r="Q82" s="10" t="s">
        <v>372</v>
      </c>
      <c r="R82" s="10"/>
      <c r="S82" s="10" t="s">
        <v>373</v>
      </c>
      <c r="T82" s="10"/>
      <c r="U82" s="10"/>
      <c r="V82" s="10" t="s">
        <v>368</v>
      </c>
      <c r="W82" s="10"/>
      <c r="X82" s="10"/>
      <c r="Z82" s="10" t="s">
        <v>339</v>
      </c>
      <c r="AA82" s="10" t="s">
        <v>339</v>
      </c>
      <c r="AB82" s="10" t="s">
        <v>339</v>
      </c>
      <c r="AC82" s="10" t="s">
        <v>339</v>
      </c>
      <c r="AE82" s="10" t="s">
        <v>339</v>
      </c>
      <c r="AF82" s="10"/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f>IF(A82="",MAX($A$10:A82)+10,A82)</f>
        <v>60</v>
      </c>
      <c r="B83" s="10"/>
      <c r="C83" s="10"/>
      <c r="D83" s="10" t="s">
        <v>196</v>
      </c>
      <c r="E83" s="31" t="s">
        <v>550</v>
      </c>
      <c r="F83" s="10" t="s">
        <v>169</v>
      </c>
      <c r="G83" s="10"/>
      <c r="H83" s="10"/>
      <c r="I83" s="10" t="s">
        <v>369</v>
      </c>
      <c r="J83" s="10"/>
      <c r="K83" s="10" t="s">
        <v>359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339</v>
      </c>
      <c r="AA83" s="10" t="s">
        <v>339</v>
      </c>
      <c r="AB83" s="10" t="s">
        <v>339</v>
      </c>
      <c r="AC83" s="10" t="s">
        <v>339</v>
      </c>
      <c r="AE83" s="10" t="s">
        <v>339</v>
      </c>
      <c r="AF83" s="10"/>
      <c r="AG83" s="10"/>
      <c r="AH83" s="10"/>
      <c r="AI83" s="10"/>
      <c r="AJ83" s="10"/>
      <c r="AK83" s="10"/>
      <c r="AL83" s="10"/>
      <c r="AN83" s="14"/>
    </row>
    <row r="84" spans="1:40" s="1" customFormat="1" ht="26">
      <c r="A84" s="10">
        <f>IF(A83="",MAX($A$10:A83)+10,A83)</f>
        <v>60</v>
      </c>
      <c r="B84" s="10"/>
      <c r="C84" s="10"/>
      <c r="D84" s="10" t="s">
        <v>197</v>
      </c>
      <c r="E84" s="31" t="s">
        <v>551</v>
      </c>
      <c r="F84" s="10" t="s">
        <v>170</v>
      </c>
      <c r="G84" s="10" t="s">
        <v>186</v>
      </c>
      <c r="H84" s="10"/>
      <c r="I84" s="10" t="s">
        <v>364</v>
      </c>
      <c r="J84" s="10"/>
      <c r="K84" s="10" t="s">
        <v>365</v>
      </c>
      <c r="L84" s="10"/>
      <c r="M84" s="10"/>
      <c r="N84" s="10"/>
      <c r="O84" s="10"/>
      <c r="P84" s="10"/>
      <c r="Q84" s="10" t="s">
        <v>374</v>
      </c>
      <c r="R84" s="10"/>
      <c r="S84" s="10" t="s">
        <v>375</v>
      </c>
      <c r="T84" s="10"/>
      <c r="U84" s="10"/>
      <c r="V84" s="10" t="s">
        <v>368</v>
      </c>
      <c r="W84" s="10"/>
      <c r="X84" s="10"/>
      <c r="Z84" s="10" t="s">
        <v>339</v>
      </c>
      <c r="AA84" s="10" t="s">
        <v>339</v>
      </c>
      <c r="AB84" s="10" t="s">
        <v>339</v>
      </c>
      <c r="AC84" s="10" t="s">
        <v>339</v>
      </c>
      <c r="AE84" s="10" t="s">
        <v>339</v>
      </c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>
      <c r="A85" s="10">
        <f>IF(A84="",MAX($A$10:A84)+10,A84)</f>
        <v>60</v>
      </c>
      <c r="B85" s="10"/>
      <c r="C85" s="10"/>
      <c r="D85" s="10" t="s">
        <v>198</v>
      </c>
      <c r="E85" s="31" t="s">
        <v>552</v>
      </c>
      <c r="F85" s="10" t="s">
        <v>171</v>
      </c>
      <c r="G85" s="10"/>
      <c r="H85" s="10"/>
      <c r="I85" s="10" t="s">
        <v>369</v>
      </c>
      <c r="J85" s="10"/>
      <c r="K85" s="10" t="s">
        <v>359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339</v>
      </c>
      <c r="AA85" s="10" t="s">
        <v>339</v>
      </c>
      <c r="AB85" s="10" t="s">
        <v>339</v>
      </c>
      <c r="AC85" s="10" t="s">
        <v>339</v>
      </c>
      <c r="AE85" s="10" t="s">
        <v>339</v>
      </c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ht="26">
      <c r="A86" s="10">
        <f>IF(A85="",MAX($A$10:A85)+10,A85)</f>
        <v>60</v>
      </c>
      <c r="B86" s="10"/>
      <c r="C86" s="10"/>
      <c r="D86" s="10" t="s">
        <v>199</v>
      </c>
      <c r="E86" s="31" t="s">
        <v>553</v>
      </c>
      <c r="F86" s="10" t="s">
        <v>172</v>
      </c>
      <c r="G86" s="10" t="s">
        <v>187</v>
      </c>
      <c r="H86" s="10"/>
      <c r="I86" s="10" t="s">
        <v>364</v>
      </c>
      <c r="J86" s="10"/>
      <c r="K86" s="10" t="s">
        <v>365</v>
      </c>
      <c r="L86" s="10"/>
      <c r="M86" s="10"/>
      <c r="N86" s="10"/>
      <c r="O86" s="10"/>
      <c r="P86" s="10"/>
      <c r="Q86" s="10" t="s">
        <v>376</v>
      </c>
      <c r="R86" s="10"/>
      <c r="S86" s="10" t="s">
        <v>377</v>
      </c>
      <c r="T86" s="10"/>
      <c r="U86" s="10"/>
      <c r="V86" s="10" t="s">
        <v>368</v>
      </c>
      <c r="W86" s="10"/>
      <c r="X86" s="10"/>
      <c r="Z86" s="10" t="s">
        <v>339</v>
      </c>
      <c r="AA86" s="10" t="s">
        <v>339</v>
      </c>
      <c r="AB86" s="10" t="s">
        <v>339</v>
      </c>
      <c r="AC86" s="10" t="s">
        <v>339</v>
      </c>
      <c r="AE86" s="10" t="s">
        <v>339</v>
      </c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f>IF(A86="",MAX($A$10:A86)+10,A86)</f>
        <v>60</v>
      </c>
      <c r="B87" s="10"/>
      <c r="C87" s="10"/>
      <c r="D87" s="10" t="s">
        <v>200</v>
      </c>
      <c r="E87" s="31" t="s">
        <v>554</v>
      </c>
      <c r="F87" s="10" t="s">
        <v>173</v>
      </c>
      <c r="G87" s="10"/>
      <c r="H87" s="10"/>
      <c r="I87" s="10" t="s">
        <v>369</v>
      </c>
      <c r="J87" s="10"/>
      <c r="K87" s="10" t="s">
        <v>359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339</v>
      </c>
      <c r="AA87" s="10" t="s">
        <v>339</v>
      </c>
      <c r="AB87" s="10" t="s">
        <v>339</v>
      </c>
      <c r="AC87" s="10" t="s">
        <v>339</v>
      </c>
      <c r="AE87" s="10" t="s">
        <v>339</v>
      </c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ht="26">
      <c r="A88" s="10">
        <f>IF(A87="",MAX($A$10:A87)+10,A87)</f>
        <v>60</v>
      </c>
      <c r="B88" s="10"/>
      <c r="C88" s="10"/>
      <c r="D88" s="10" t="s">
        <v>201</v>
      </c>
      <c r="E88" s="31" t="s">
        <v>555</v>
      </c>
      <c r="F88" s="10" t="s">
        <v>174</v>
      </c>
      <c r="G88" s="10" t="s">
        <v>188</v>
      </c>
      <c r="H88" s="10"/>
      <c r="I88" s="10" t="s">
        <v>364</v>
      </c>
      <c r="J88" s="10"/>
      <c r="K88" s="10" t="s">
        <v>365</v>
      </c>
      <c r="L88" s="10"/>
      <c r="M88" s="10"/>
      <c r="N88" s="10"/>
      <c r="O88" s="10"/>
      <c r="P88" s="10"/>
      <c r="Q88" s="10" t="s">
        <v>378</v>
      </c>
      <c r="R88" s="10"/>
      <c r="S88" s="10" t="s">
        <v>379</v>
      </c>
      <c r="T88" s="10"/>
      <c r="U88" s="10"/>
      <c r="V88" s="10" t="s">
        <v>368</v>
      </c>
      <c r="W88" s="10"/>
      <c r="X88" s="10"/>
      <c r="Z88" s="10" t="s">
        <v>339</v>
      </c>
      <c r="AA88" s="10" t="s">
        <v>339</v>
      </c>
      <c r="AB88" s="10" t="s">
        <v>339</v>
      </c>
      <c r="AC88" s="10" t="s">
        <v>339</v>
      </c>
      <c r="AE88" s="10" t="s">
        <v>339</v>
      </c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f>IF(A88="",MAX($A$10:A88)+10,A88)</f>
        <v>60</v>
      </c>
      <c r="B89" s="10"/>
      <c r="C89" s="10"/>
      <c r="D89" s="10" t="s">
        <v>202</v>
      </c>
      <c r="E89" s="31" t="s">
        <v>556</v>
      </c>
      <c r="F89" s="10" t="s">
        <v>175</v>
      </c>
      <c r="G89" s="10"/>
      <c r="H89" s="10"/>
      <c r="I89" s="10" t="s">
        <v>369</v>
      </c>
      <c r="J89" s="10"/>
      <c r="K89" s="10" t="s">
        <v>359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339</v>
      </c>
      <c r="AA89" s="10" t="s">
        <v>339</v>
      </c>
      <c r="AB89" s="10" t="s">
        <v>339</v>
      </c>
      <c r="AC89" s="10" t="s">
        <v>339</v>
      </c>
      <c r="AE89" s="10" t="s">
        <v>339</v>
      </c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ht="26">
      <c r="A90" s="10">
        <f>IF(A89="",MAX($A$10:A89)+10,A89)</f>
        <v>60</v>
      </c>
      <c r="B90" s="10"/>
      <c r="C90" s="10"/>
      <c r="D90" s="10" t="s">
        <v>203</v>
      </c>
      <c r="E90" s="31" t="s">
        <v>557</v>
      </c>
      <c r="F90" s="10" t="s">
        <v>176</v>
      </c>
      <c r="G90" s="10" t="s">
        <v>189</v>
      </c>
      <c r="H90" s="10"/>
      <c r="I90" s="10" t="s">
        <v>364</v>
      </c>
      <c r="J90" s="10"/>
      <c r="K90" s="10" t="s">
        <v>365</v>
      </c>
      <c r="L90" s="10"/>
      <c r="M90" s="10"/>
      <c r="N90" s="10"/>
      <c r="O90" s="10"/>
      <c r="P90" s="10"/>
      <c r="Q90" s="10" t="s">
        <v>380</v>
      </c>
      <c r="R90" s="10"/>
      <c r="S90" s="10" t="s">
        <v>381</v>
      </c>
      <c r="T90" s="10"/>
      <c r="U90" s="10"/>
      <c r="V90" s="10" t="s">
        <v>368</v>
      </c>
      <c r="W90" s="10"/>
      <c r="X90" s="10"/>
      <c r="Z90" s="10" t="s">
        <v>339</v>
      </c>
      <c r="AA90" s="10" t="s">
        <v>339</v>
      </c>
      <c r="AB90" s="10" t="s">
        <v>339</v>
      </c>
      <c r="AC90" s="10" t="s">
        <v>339</v>
      </c>
      <c r="AE90" s="10" t="s">
        <v>339</v>
      </c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f>IF(A90="",MAX($A$10:A90)+10,A90)</f>
        <v>60</v>
      </c>
      <c r="B91" s="10"/>
      <c r="C91" s="10"/>
      <c r="D91" s="10" t="s">
        <v>204</v>
      </c>
      <c r="E91" s="31" t="s">
        <v>558</v>
      </c>
      <c r="F91" s="10" t="s">
        <v>177</v>
      </c>
      <c r="G91" s="10"/>
      <c r="H91" s="10"/>
      <c r="I91" s="10" t="s">
        <v>369</v>
      </c>
      <c r="J91" s="10"/>
      <c r="K91" s="10" t="s">
        <v>359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339</v>
      </c>
      <c r="AA91" s="10" t="s">
        <v>339</v>
      </c>
      <c r="AB91" s="10" t="s">
        <v>339</v>
      </c>
      <c r="AC91" s="10" t="s">
        <v>339</v>
      </c>
      <c r="AE91" s="10" t="s">
        <v>339</v>
      </c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26">
      <c r="A92" s="10">
        <f>IF(A91="",MAX($A$10:A91)+10,A91)</f>
        <v>60</v>
      </c>
      <c r="B92" s="10"/>
      <c r="C92" s="10"/>
      <c r="D92" s="10" t="s">
        <v>205</v>
      </c>
      <c r="E92" s="31" t="s">
        <v>559</v>
      </c>
      <c r="F92" s="10" t="s">
        <v>178</v>
      </c>
      <c r="G92" s="10" t="s">
        <v>190</v>
      </c>
      <c r="H92" s="10"/>
      <c r="I92" s="10" t="s">
        <v>364</v>
      </c>
      <c r="J92" s="10"/>
      <c r="K92" s="10" t="s">
        <v>365</v>
      </c>
      <c r="L92" s="10"/>
      <c r="M92" s="10"/>
      <c r="N92" s="10"/>
      <c r="O92" s="10"/>
      <c r="P92" s="10"/>
      <c r="Q92" s="10" t="s">
        <v>382</v>
      </c>
      <c r="R92" s="10"/>
      <c r="S92" s="10" t="s">
        <v>383</v>
      </c>
      <c r="T92" s="10"/>
      <c r="U92" s="10"/>
      <c r="V92" s="10" t="s">
        <v>368</v>
      </c>
      <c r="W92" s="10"/>
      <c r="X92" s="10"/>
      <c r="Z92" s="10" t="s">
        <v>339</v>
      </c>
      <c r="AA92" s="10" t="s">
        <v>339</v>
      </c>
      <c r="AB92" s="10" t="s">
        <v>339</v>
      </c>
      <c r="AC92" s="10" t="s">
        <v>339</v>
      </c>
      <c r="AE92" s="10" t="s">
        <v>339</v>
      </c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>
      <c r="A93" s="10">
        <f>IF(A92="",MAX($A$10:A92)+10,A92)</f>
        <v>60</v>
      </c>
      <c r="B93" s="10"/>
      <c r="C93" s="10"/>
      <c r="D93" s="10" t="s">
        <v>206</v>
      </c>
      <c r="E93" s="31" t="s">
        <v>560</v>
      </c>
      <c r="F93" s="10" t="s">
        <v>179</v>
      </c>
      <c r="G93" s="10"/>
      <c r="H93" s="10"/>
      <c r="I93" s="10" t="s">
        <v>369</v>
      </c>
      <c r="J93" s="10"/>
      <c r="K93" s="10" t="s">
        <v>359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339</v>
      </c>
      <c r="AA93" s="10" t="s">
        <v>339</v>
      </c>
      <c r="AB93" s="10" t="s">
        <v>339</v>
      </c>
      <c r="AC93" s="10" t="s">
        <v>339</v>
      </c>
      <c r="AE93" s="10" t="s">
        <v>339</v>
      </c>
      <c r="AF93" s="10"/>
      <c r="AG93" s="10"/>
      <c r="AH93" s="10"/>
      <c r="AI93" s="10"/>
      <c r="AJ93" s="10"/>
      <c r="AK93" s="10"/>
      <c r="AL93" s="10"/>
      <c r="AN93" s="14"/>
    </row>
    <row r="94" spans="1:40" s="1" customFormat="1" ht="26">
      <c r="A94" s="10">
        <f>IF(A93="",MAX($A$10:A93)+10,A93)</f>
        <v>60</v>
      </c>
      <c r="B94" s="10"/>
      <c r="C94" s="10"/>
      <c r="D94" s="10" t="s">
        <v>207</v>
      </c>
      <c r="E94" s="31" t="s">
        <v>561</v>
      </c>
      <c r="F94" s="10" t="s">
        <v>180</v>
      </c>
      <c r="G94" s="10" t="s">
        <v>191</v>
      </c>
      <c r="H94" s="10"/>
      <c r="I94" s="10" t="s">
        <v>364</v>
      </c>
      <c r="J94" s="10"/>
      <c r="K94" s="10" t="s">
        <v>365</v>
      </c>
      <c r="L94" s="10"/>
      <c r="M94" s="10"/>
      <c r="N94" s="10"/>
      <c r="O94" s="10"/>
      <c r="P94" s="10"/>
      <c r="Q94" s="10" t="s">
        <v>384</v>
      </c>
      <c r="R94" s="10"/>
      <c r="S94" s="10" t="s">
        <v>385</v>
      </c>
      <c r="T94" s="10"/>
      <c r="U94" s="10"/>
      <c r="V94" s="10" t="s">
        <v>368</v>
      </c>
      <c r="W94" s="10"/>
      <c r="X94" s="10"/>
      <c r="Z94" s="10" t="s">
        <v>339</v>
      </c>
      <c r="AA94" s="10" t="s">
        <v>339</v>
      </c>
      <c r="AB94" s="10" t="s">
        <v>339</v>
      </c>
      <c r="AC94" s="10" t="s">
        <v>339</v>
      </c>
      <c r="AE94" s="10" t="s">
        <v>339</v>
      </c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f>IF(A94="",MAX($A$10:A94)+10,A94)</f>
        <v>60</v>
      </c>
      <c r="B95" s="10"/>
      <c r="C95" s="10"/>
      <c r="D95" s="10" t="s">
        <v>208</v>
      </c>
      <c r="E95" s="31" t="s">
        <v>562</v>
      </c>
      <c r="F95" s="10" t="s">
        <v>181</v>
      </c>
      <c r="G95" s="10"/>
      <c r="H95" s="10"/>
      <c r="I95" s="10" t="s">
        <v>369</v>
      </c>
      <c r="J95" s="10"/>
      <c r="K95" s="10" t="s">
        <v>359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339</v>
      </c>
      <c r="AA95" s="10" t="s">
        <v>339</v>
      </c>
      <c r="AB95" s="10" t="s">
        <v>339</v>
      </c>
      <c r="AC95" s="10" t="s">
        <v>339</v>
      </c>
      <c r="AE95" s="10" t="s">
        <v>339</v>
      </c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 ht="26">
      <c r="A96" s="10">
        <f>IF(A95="",MAX($A$10:A95)+10,A95)</f>
        <v>60</v>
      </c>
      <c r="B96" s="10"/>
      <c r="C96" s="10"/>
      <c r="D96" s="10" t="s">
        <v>209</v>
      </c>
      <c r="E96" s="31" t="s">
        <v>563</v>
      </c>
      <c r="F96" s="10" t="s">
        <v>182</v>
      </c>
      <c r="G96" s="10" t="s">
        <v>192</v>
      </c>
      <c r="H96" s="10"/>
      <c r="I96" s="10" t="s">
        <v>364</v>
      </c>
      <c r="J96" s="10"/>
      <c r="K96" s="10" t="s">
        <v>365</v>
      </c>
      <c r="L96" s="10"/>
      <c r="M96" s="10"/>
      <c r="N96" s="10"/>
      <c r="O96" s="10"/>
      <c r="P96" s="10"/>
      <c r="Q96" s="10" t="s">
        <v>386</v>
      </c>
      <c r="R96" s="10"/>
      <c r="S96" s="10" t="s">
        <v>387</v>
      </c>
      <c r="T96" s="10"/>
      <c r="U96" s="10"/>
      <c r="V96" s="10" t="s">
        <v>368</v>
      </c>
      <c r="W96" s="10"/>
      <c r="X96" s="10"/>
      <c r="Z96" s="10" t="s">
        <v>339</v>
      </c>
      <c r="AA96" s="10" t="s">
        <v>339</v>
      </c>
      <c r="AB96" s="10" t="s">
        <v>339</v>
      </c>
      <c r="AC96" s="10" t="s">
        <v>339</v>
      </c>
      <c r="AE96" s="10" t="s">
        <v>339</v>
      </c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f>IF(A96="",MAX($A$10:A96)+10,A96)</f>
        <v>60</v>
      </c>
      <c r="B97" s="10"/>
      <c r="C97" s="10"/>
      <c r="D97" s="10" t="s">
        <v>210</v>
      </c>
      <c r="E97" s="31" t="s">
        <v>564</v>
      </c>
      <c r="F97" s="10" t="s">
        <v>183</v>
      </c>
      <c r="G97" s="10"/>
      <c r="H97" s="10"/>
      <c r="I97" s="10" t="s">
        <v>369</v>
      </c>
      <c r="J97" s="10"/>
      <c r="K97" s="10" t="s">
        <v>359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339</v>
      </c>
      <c r="AA97" s="10" t="s">
        <v>339</v>
      </c>
      <c r="AB97" s="10" t="s">
        <v>339</v>
      </c>
      <c r="AC97" s="10" t="s">
        <v>339</v>
      </c>
      <c r="AE97" s="10" t="s">
        <v>339</v>
      </c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ht="52">
      <c r="A98" s="41"/>
      <c r="AE98" s="36" t="s">
        <v>608</v>
      </c>
      <c r="AF98" s="36" t="s">
        <v>609</v>
      </c>
      <c r="AG98" s="36" t="s">
        <v>608</v>
      </c>
      <c r="AH98" s="36" t="s">
        <v>609</v>
      </c>
      <c r="AI98" s="36" t="s">
        <v>608</v>
      </c>
      <c r="AJ98" s="36" t="s">
        <v>609</v>
      </c>
      <c r="AK98" s="36" t="s">
        <v>608</v>
      </c>
      <c r="AL98" s="36" t="s">
        <v>609</v>
      </c>
      <c r="AN98" s="15"/>
    </row>
    <row r="99" spans="1:40" s="1" customFormat="1">
      <c r="A99" s="10">
        <f>IF(A98="",MAX($A$10:A98)+10,A98)</f>
        <v>70</v>
      </c>
      <c r="B99" s="11" t="s">
        <v>11</v>
      </c>
      <c r="C99" s="11"/>
      <c r="D99" s="11" t="s">
        <v>160</v>
      </c>
      <c r="E99" s="12"/>
      <c r="F99" s="11"/>
      <c r="G99" s="11"/>
      <c r="H99" s="11"/>
      <c r="I99" s="11" t="s">
        <v>324</v>
      </c>
      <c r="J99" s="11"/>
      <c r="K99" s="11" t="s">
        <v>47</v>
      </c>
      <c r="L99" s="11" t="s">
        <v>325</v>
      </c>
      <c r="M99" s="11" t="s">
        <v>326</v>
      </c>
      <c r="N99" s="11"/>
      <c r="O99" s="11"/>
      <c r="P99" s="11"/>
      <c r="Q99" s="18"/>
      <c r="R99" s="18"/>
      <c r="S99" s="18"/>
      <c r="T99" s="18"/>
      <c r="U99" s="18"/>
      <c r="V99" s="18"/>
      <c r="W99" s="18"/>
      <c r="X99" s="18"/>
      <c r="Y99" s="16"/>
      <c r="Z99" s="18"/>
      <c r="AA99" s="18"/>
      <c r="AB99" s="18"/>
      <c r="AC99" s="18"/>
      <c r="AD99" s="16"/>
      <c r="AE99" s="10"/>
      <c r="AF99" s="10"/>
      <c r="AG99" s="10"/>
      <c r="AH99" s="10"/>
      <c r="AI99" s="10"/>
      <c r="AJ99" s="10"/>
      <c r="AK99" s="10"/>
      <c r="AL99" s="10"/>
      <c r="AM99" s="16"/>
      <c r="AN99" s="14"/>
    </row>
    <row r="100" spans="1:40" s="1" customFormat="1">
      <c r="A100" s="10">
        <f>IF(A99="",MAX($A$10:A99)+10,A99)</f>
        <v>70</v>
      </c>
      <c r="B100" s="10"/>
      <c r="C100" s="10"/>
      <c r="D100" s="10" t="s">
        <v>471</v>
      </c>
      <c r="E100" s="31"/>
      <c r="F100" s="10"/>
      <c r="G100" s="10"/>
      <c r="H100" s="10"/>
      <c r="I100" s="10"/>
      <c r="J100" s="10"/>
      <c r="K100" s="10" t="s">
        <v>333</v>
      </c>
      <c r="L100" s="10"/>
      <c r="M100" s="10"/>
      <c r="N100" s="10"/>
      <c r="O100" s="10" t="s">
        <v>289</v>
      </c>
      <c r="P100" s="10"/>
      <c r="Q100" s="10"/>
      <c r="R100" s="10"/>
      <c r="S100" s="10"/>
      <c r="T100" s="10"/>
      <c r="U100" s="10"/>
      <c r="V100" s="10"/>
      <c r="W100" s="10"/>
      <c r="X100" s="10"/>
      <c r="Z100" s="10"/>
      <c r="AA100" s="10"/>
      <c r="AB100" s="10"/>
      <c r="AC100" s="10"/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>
      <c r="A101" s="10">
        <f>IF(A100="",MAX($A$10:A100)+10,A100)</f>
        <v>70</v>
      </c>
      <c r="B101" s="10"/>
      <c r="C101" s="10"/>
      <c r="D101" s="10" t="s">
        <v>472</v>
      </c>
      <c r="E101" s="31"/>
      <c r="F101" s="10"/>
      <c r="G101" s="10"/>
      <c r="H101" s="10"/>
      <c r="I101" s="10"/>
      <c r="J101" s="10"/>
      <c r="K101" s="10" t="s">
        <v>333</v>
      </c>
      <c r="L101" s="10"/>
      <c r="M101" s="10"/>
      <c r="N101" s="10"/>
      <c r="O101" s="10" t="s">
        <v>290</v>
      </c>
      <c r="P101" s="10"/>
      <c r="Q101" s="10"/>
      <c r="R101" s="10"/>
      <c r="S101" s="10"/>
      <c r="T101" s="10"/>
      <c r="U101" s="10"/>
      <c r="V101" s="10"/>
      <c r="W101" s="10"/>
      <c r="X101" s="10"/>
      <c r="Z101" s="10"/>
      <c r="AA101" s="10"/>
      <c r="AB101" s="10"/>
      <c r="AC101" s="10"/>
      <c r="AE101" s="10"/>
      <c r="AF101" s="10"/>
      <c r="AG101" s="10"/>
      <c r="AH101" s="10"/>
      <c r="AI101" s="10"/>
      <c r="AJ101" s="10"/>
      <c r="AK101" s="10"/>
      <c r="AL101" s="10"/>
      <c r="AN101" s="14"/>
    </row>
    <row r="102" spans="1:40" s="1" customFormat="1" ht="52">
      <c r="A102" s="41"/>
      <c r="AE102" s="36" t="s">
        <v>608</v>
      </c>
      <c r="AF102" s="36" t="s">
        <v>609</v>
      </c>
      <c r="AG102" s="36" t="s">
        <v>608</v>
      </c>
      <c r="AH102" s="36" t="s">
        <v>609</v>
      </c>
      <c r="AI102" s="36" t="s">
        <v>608</v>
      </c>
      <c r="AJ102" s="36" t="s">
        <v>609</v>
      </c>
      <c r="AK102" s="36" t="s">
        <v>608</v>
      </c>
      <c r="AL102" s="36" t="s">
        <v>609</v>
      </c>
      <c r="AN102" s="15"/>
    </row>
    <row r="103" spans="1:40" s="1" customFormat="1">
      <c r="A103" s="50">
        <f>IF(A102="",MAX($A$10:A102)+10,A102)</f>
        <v>80</v>
      </c>
      <c r="B103" s="26" t="s">
        <v>11</v>
      </c>
      <c r="C103" s="26"/>
      <c r="D103" s="26" t="s">
        <v>211</v>
      </c>
      <c r="E103" s="27"/>
      <c r="F103" s="26"/>
      <c r="G103" s="26"/>
      <c r="H103" s="26"/>
      <c r="I103" s="26" t="s">
        <v>324</v>
      </c>
      <c r="J103" s="26"/>
      <c r="K103" s="26" t="s">
        <v>47</v>
      </c>
      <c r="L103" s="26"/>
      <c r="M103" s="26"/>
      <c r="N103" s="26"/>
      <c r="O103" s="26"/>
      <c r="P103" s="26"/>
      <c r="Q103" s="30"/>
      <c r="R103" s="30"/>
      <c r="S103" s="30"/>
      <c r="T103" s="30"/>
      <c r="U103" s="30"/>
      <c r="V103" s="30"/>
      <c r="W103" s="30"/>
      <c r="X103" s="30"/>
      <c r="Y103" s="53"/>
      <c r="Z103" s="30"/>
      <c r="AA103" s="30"/>
      <c r="AB103" s="30"/>
      <c r="AC103" s="30"/>
      <c r="AD103" s="53"/>
      <c r="AE103" s="50"/>
      <c r="AF103" s="50"/>
      <c r="AG103" s="50"/>
      <c r="AH103" s="50"/>
      <c r="AI103" s="50"/>
      <c r="AJ103" s="50"/>
      <c r="AK103" s="50"/>
      <c r="AL103" s="50"/>
      <c r="AM103" s="53"/>
      <c r="AN103" s="29"/>
    </row>
    <row r="104" spans="1:40" s="1" customFormat="1" ht="52">
      <c r="A104" s="41"/>
      <c r="AE104" s="36" t="s">
        <v>608</v>
      </c>
      <c r="AF104" s="36" t="s">
        <v>609</v>
      </c>
      <c r="AG104" s="36" t="s">
        <v>608</v>
      </c>
      <c r="AH104" s="36" t="s">
        <v>609</v>
      </c>
      <c r="AI104" s="36" t="s">
        <v>608</v>
      </c>
      <c r="AJ104" s="36" t="s">
        <v>609</v>
      </c>
      <c r="AK104" s="36" t="s">
        <v>608</v>
      </c>
      <c r="AL104" s="36" t="s">
        <v>609</v>
      </c>
      <c r="AN104" s="15"/>
    </row>
    <row r="105" spans="1:40" s="1" customFormat="1">
      <c r="A105" s="10">
        <f>IF(A104="",MAX($A$10:A104)+10,A104)</f>
        <v>90</v>
      </c>
      <c r="B105" s="11" t="s">
        <v>0</v>
      </c>
      <c r="C105" s="11"/>
      <c r="D105" s="11" t="s">
        <v>222</v>
      </c>
      <c r="E105" s="12"/>
      <c r="F105" s="11"/>
      <c r="G105" s="11"/>
      <c r="H105" s="11"/>
      <c r="I105" s="11" t="s">
        <v>324</v>
      </c>
      <c r="J105" s="11"/>
      <c r="K105" s="10" t="s">
        <v>47</v>
      </c>
      <c r="L105" s="10" t="s">
        <v>388</v>
      </c>
      <c r="M105" s="10" t="s">
        <v>389</v>
      </c>
      <c r="N105" s="11" t="s">
        <v>327</v>
      </c>
      <c r="O105" s="10"/>
      <c r="P105" s="11"/>
      <c r="Q105" s="11"/>
      <c r="R105" s="11"/>
      <c r="S105" s="11"/>
      <c r="T105" s="11"/>
      <c r="U105" s="11"/>
      <c r="V105" s="11"/>
      <c r="W105" s="11"/>
      <c r="X105" s="11"/>
      <c r="Y105" s="16"/>
      <c r="Z105" s="11"/>
      <c r="AA105" s="11"/>
      <c r="AB105" s="11"/>
      <c r="AC105" s="11"/>
      <c r="AD105" s="16"/>
      <c r="AE105" s="10"/>
      <c r="AF105" s="10"/>
      <c r="AG105" s="10"/>
      <c r="AH105" s="10"/>
      <c r="AI105" s="10"/>
      <c r="AJ105" s="10"/>
      <c r="AK105" s="10"/>
      <c r="AL105" s="10"/>
      <c r="AM105" s="16"/>
      <c r="AN105" s="14"/>
    </row>
    <row r="106" spans="1:40" s="1" customFormat="1">
      <c r="A106" s="10">
        <f>IF(A105="",MAX($A$10:A105)+10,A105)</f>
        <v>90</v>
      </c>
      <c r="B106" s="10"/>
      <c r="C106" s="10"/>
      <c r="D106" s="10" t="s">
        <v>221</v>
      </c>
      <c r="E106" s="31"/>
      <c r="F106" s="10"/>
      <c r="G106" s="10"/>
      <c r="H106" s="10"/>
      <c r="I106" s="10"/>
      <c r="J106" s="10"/>
      <c r="K106" s="10" t="s">
        <v>341</v>
      </c>
      <c r="L106" s="10" t="s">
        <v>390</v>
      </c>
      <c r="M106" s="10" t="s">
        <v>327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/>
      <c r="AG106" s="10"/>
      <c r="AH106" s="10"/>
      <c r="AI106" s="10"/>
      <c r="AJ106" s="10"/>
      <c r="AK106" s="10"/>
      <c r="AL106" s="10"/>
      <c r="AN106" s="14"/>
    </row>
    <row r="107" spans="1:40" s="1" customFormat="1" ht="52">
      <c r="A107" s="41"/>
      <c r="AE107" s="36" t="s">
        <v>608</v>
      </c>
      <c r="AF107" s="36" t="s">
        <v>609</v>
      </c>
      <c r="AG107" s="36" t="s">
        <v>608</v>
      </c>
      <c r="AH107" s="36" t="s">
        <v>609</v>
      </c>
      <c r="AI107" s="36" t="s">
        <v>608</v>
      </c>
      <c r="AJ107" s="36" t="s">
        <v>609</v>
      </c>
      <c r="AK107" s="36" t="s">
        <v>608</v>
      </c>
      <c r="AL107" s="36" t="s">
        <v>609</v>
      </c>
      <c r="AN107" s="15"/>
    </row>
    <row r="108" spans="1:40" s="1" customFormat="1">
      <c r="A108" s="10">
        <f>IF(A107="",MAX($A$10:A107)+10,A107)</f>
        <v>100</v>
      </c>
      <c r="B108" s="11" t="s">
        <v>11</v>
      </c>
      <c r="C108" s="11"/>
      <c r="D108" s="11" t="s">
        <v>289</v>
      </c>
      <c r="E108" s="12"/>
      <c r="F108" s="11"/>
      <c r="G108" s="11"/>
      <c r="H108" s="11"/>
      <c r="I108" s="11" t="s">
        <v>324</v>
      </c>
      <c r="J108" s="11"/>
      <c r="K108" s="11" t="s">
        <v>47</v>
      </c>
      <c r="L108" s="11" t="s">
        <v>325</v>
      </c>
      <c r="M108" s="11" t="s">
        <v>391</v>
      </c>
      <c r="N108" s="11"/>
      <c r="O108" s="11"/>
      <c r="P108" s="11"/>
      <c r="Q108" s="18"/>
      <c r="R108" s="18"/>
      <c r="S108" s="18"/>
      <c r="T108" s="18"/>
      <c r="U108" s="18"/>
      <c r="V108" s="18"/>
      <c r="W108" s="18"/>
      <c r="X108" s="18"/>
      <c r="Y108" s="16"/>
      <c r="Z108" s="18"/>
      <c r="AA108" s="18"/>
      <c r="AB108" s="18"/>
      <c r="AC108" s="18"/>
      <c r="AD108" s="16"/>
      <c r="AE108" s="10"/>
      <c r="AF108" s="10"/>
      <c r="AG108" s="10"/>
      <c r="AH108" s="10"/>
      <c r="AI108" s="10"/>
      <c r="AJ108" s="10"/>
      <c r="AK108" s="10"/>
      <c r="AL108" s="10"/>
      <c r="AM108" s="16"/>
      <c r="AN108" s="14"/>
    </row>
    <row r="109" spans="1:40" s="1" customFormat="1">
      <c r="A109" s="10">
        <f>IF(A108="",MAX($A$10:A108)+10,A108)</f>
        <v>100</v>
      </c>
      <c r="B109" s="10"/>
      <c r="C109" s="10"/>
      <c r="D109" s="10" t="s">
        <v>271</v>
      </c>
      <c r="E109" s="31"/>
      <c r="F109" s="10"/>
      <c r="G109" s="10"/>
      <c r="H109" s="10"/>
      <c r="I109" s="10"/>
      <c r="J109" s="10"/>
      <c r="K109" s="10" t="s">
        <v>333</v>
      </c>
      <c r="L109" s="10"/>
      <c r="M109" s="10"/>
      <c r="N109" s="10"/>
      <c r="O109" s="10" t="s">
        <v>392</v>
      </c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/>
      <c r="AG109" s="10"/>
      <c r="AH109" s="10"/>
      <c r="AI109" s="10"/>
      <c r="AJ109" s="10"/>
      <c r="AK109" s="10"/>
      <c r="AL109" s="10"/>
      <c r="AN109" s="14"/>
    </row>
    <row r="110" spans="1:40" s="1" customFormat="1">
      <c r="A110" s="10">
        <f>IF(A109="",MAX($A$10:A109)+10,A109)</f>
        <v>100</v>
      </c>
      <c r="B110" s="10"/>
      <c r="C110" s="10"/>
      <c r="D110" s="10" t="s">
        <v>272</v>
      </c>
      <c r="E110" s="31"/>
      <c r="F110" s="10"/>
      <c r="G110" s="10"/>
      <c r="H110" s="10"/>
      <c r="I110" s="10"/>
      <c r="J110" s="10"/>
      <c r="K110" s="10" t="s">
        <v>333</v>
      </c>
      <c r="L110" s="10"/>
      <c r="M110" s="10"/>
      <c r="N110" s="10"/>
      <c r="O110" s="10" t="s">
        <v>393</v>
      </c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/>
      <c r="AG110" s="10"/>
      <c r="AH110" s="10"/>
      <c r="AI110" s="10"/>
      <c r="AJ110" s="10"/>
      <c r="AK110" s="10"/>
      <c r="AL110" s="10"/>
      <c r="AN110" s="14"/>
    </row>
    <row r="111" spans="1:40" s="1" customFormat="1">
      <c r="A111" s="10">
        <f>IF(A110="",MAX($A$10:A110)+10,A110)</f>
        <v>100</v>
      </c>
      <c r="B111" s="10"/>
      <c r="C111" s="10"/>
      <c r="D111" s="10" t="s">
        <v>273</v>
      </c>
      <c r="E111" s="31"/>
      <c r="F111" s="10"/>
      <c r="G111" s="10"/>
      <c r="H111" s="10"/>
      <c r="I111" s="10"/>
      <c r="J111" s="10"/>
      <c r="K111" s="10" t="s">
        <v>333</v>
      </c>
      <c r="L111" s="10"/>
      <c r="M111" s="10"/>
      <c r="N111" s="10"/>
      <c r="O111" s="10" t="s">
        <v>394</v>
      </c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>
      <c r="A112" s="10">
        <f>IF(A111="",MAX($A$10:A111)+10,A111)</f>
        <v>100</v>
      </c>
      <c r="B112" s="10"/>
      <c r="C112" s="10"/>
      <c r="D112" s="10" t="s">
        <v>274</v>
      </c>
      <c r="E112" s="31"/>
      <c r="F112" s="10"/>
      <c r="G112" s="10"/>
      <c r="H112" s="10"/>
      <c r="I112" s="10"/>
      <c r="J112" s="10"/>
      <c r="K112" s="10" t="s">
        <v>333</v>
      </c>
      <c r="L112" s="10"/>
      <c r="M112" s="10"/>
      <c r="N112" s="10"/>
      <c r="O112" s="10" t="s">
        <v>395</v>
      </c>
      <c r="P112" s="10"/>
      <c r="Q112" s="10"/>
      <c r="R112" s="10"/>
      <c r="S112" s="10"/>
      <c r="T112" s="10"/>
      <c r="U112" s="10"/>
      <c r="V112" s="10"/>
      <c r="W112" s="10"/>
      <c r="X112" s="10"/>
      <c r="Z112" s="10"/>
      <c r="AA112" s="10"/>
      <c r="AB112" s="10"/>
      <c r="AC112" s="10"/>
      <c r="AE112" s="10"/>
      <c r="AF112" s="10"/>
      <c r="AG112" s="10"/>
      <c r="AH112" s="10"/>
      <c r="AI112" s="10"/>
      <c r="AJ112" s="10"/>
      <c r="AK112" s="10"/>
      <c r="AL112" s="10"/>
      <c r="AN112" s="14"/>
    </row>
    <row r="113" spans="1:40" s="1" customFormat="1">
      <c r="A113" s="10">
        <f>IF(A112="",MAX($A$10:A112)+10,A112)</f>
        <v>100</v>
      </c>
      <c r="B113" s="10"/>
      <c r="C113" s="10"/>
      <c r="D113" s="10" t="s">
        <v>275</v>
      </c>
      <c r="E113" s="31"/>
      <c r="F113" s="10"/>
      <c r="G113" s="10"/>
      <c r="H113" s="10"/>
      <c r="I113" s="10"/>
      <c r="J113" s="10"/>
      <c r="K113" s="10" t="s">
        <v>333</v>
      </c>
      <c r="L113" s="10"/>
      <c r="M113" s="10"/>
      <c r="N113" s="10"/>
      <c r="O113" s="10" t="s">
        <v>396</v>
      </c>
      <c r="P113" s="10"/>
      <c r="Q113" s="10"/>
      <c r="R113" s="10"/>
      <c r="S113" s="10"/>
      <c r="T113" s="10"/>
      <c r="U113" s="10"/>
      <c r="V113" s="10"/>
      <c r="W113" s="10"/>
      <c r="X113" s="10"/>
      <c r="Z113" s="10"/>
      <c r="AA113" s="10"/>
      <c r="AB113" s="10"/>
      <c r="AC113" s="10"/>
      <c r="AE113" s="10"/>
      <c r="AF113" s="10"/>
      <c r="AG113" s="10"/>
      <c r="AH113" s="10"/>
      <c r="AI113" s="10"/>
      <c r="AJ113" s="10"/>
      <c r="AK113" s="10"/>
      <c r="AL113" s="10"/>
      <c r="AN113" s="14"/>
    </row>
    <row r="114" spans="1:40" s="1" customFormat="1">
      <c r="A114" s="10">
        <f>IF(A113="",MAX($A$10:A113)+10,A113)</f>
        <v>100</v>
      </c>
      <c r="B114" s="10"/>
      <c r="C114" s="10"/>
      <c r="D114" s="10" t="s">
        <v>276</v>
      </c>
      <c r="E114" s="31"/>
      <c r="F114" s="10"/>
      <c r="G114" s="10"/>
      <c r="H114" s="10"/>
      <c r="I114" s="10"/>
      <c r="J114" s="10"/>
      <c r="K114" s="10" t="s">
        <v>333</v>
      </c>
      <c r="L114" s="10"/>
      <c r="M114" s="10"/>
      <c r="N114" s="10"/>
      <c r="O114" s="10" t="s">
        <v>397</v>
      </c>
      <c r="P114" s="10"/>
      <c r="Q114" s="10"/>
      <c r="R114" s="10"/>
      <c r="S114" s="10"/>
      <c r="T114" s="10"/>
      <c r="U114" s="10"/>
      <c r="V114" s="10"/>
      <c r="W114" s="10"/>
      <c r="X114" s="10"/>
      <c r="Z114" s="10"/>
      <c r="AA114" s="10"/>
      <c r="AB114" s="10"/>
      <c r="AC114" s="10"/>
      <c r="AE114" s="10"/>
      <c r="AF114" s="10"/>
      <c r="AG114" s="10"/>
      <c r="AH114" s="10"/>
      <c r="AI114" s="10"/>
      <c r="AJ114" s="10"/>
      <c r="AK114" s="10"/>
      <c r="AL114" s="10"/>
      <c r="AN114" s="14"/>
    </row>
    <row r="115" spans="1:40" s="1" customFormat="1">
      <c r="A115" s="10">
        <f>IF(A114="",MAX($A$10:A114)+10,A114)</f>
        <v>100</v>
      </c>
      <c r="B115" s="10"/>
      <c r="C115" s="10"/>
      <c r="D115" s="10" t="s">
        <v>277</v>
      </c>
      <c r="E115" s="31"/>
      <c r="F115" s="10"/>
      <c r="G115" s="10"/>
      <c r="H115" s="10"/>
      <c r="I115" s="10"/>
      <c r="J115" s="10"/>
      <c r="K115" s="10" t="s">
        <v>333</v>
      </c>
      <c r="L115" s="10"/>
      <c r="M115" s="10"/>
      <c r="N115" s="10"/>
      <c r="O115" s="10" t="s">
        <v>398</v>
      </c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f>IF(A115="",MAX($A$10:A115)+10,A115)</f>
        <v>100</v>
      </c>
      <c r="B116" s="10"/>
      <c r="C116" s="10"/>
      <c r="D116" s="10" t="s">
        <v>278</v>
      </c>
      <c r="E116" s="31"/>
      <c r="F116" s="10"/>
      <c r="G116" s="10"/>
      <c r="H116" s="10"/>
      <c r="I116" s="10"/>
      <c r="J116" s="10"/>
      <c r="K116" s="10" t="s">
        <v>333</v>
      </c>
      <c r="L116" s="10"/>
      <c r="M116" s="10"/>
      <c r="N116" s="10"/>
      <c r="O116" s="10" t="s">
        <v>399</v>
      </c>
      <c r="P116" s="10"/>
      <c r="Q116" s="10"/>
      <c r="R116" s="10"/>
      <c r="S116" s="10"/>
      <c r="T116" s="10"/>
      <c r="U116" s="10"/>
      <c r="V116" s="10"/>
      <c r="W116" s="10"/>
      <c r="X116" s="10"/>
      <c r="Z116" s="10"/>
      <c r="AA116" s="10"/>
      <c r="AB116" s="10"/>
      <c r="AC116" s="10"/>
      <c r="AE116" s="10"/>
      <c r="AF116" s="10"/>
      <c r="AG116" s="10"/>
      <c r="AH116" s="10"/>
      <c r="AI116" s="10"/>
      <c r="AJ116" s="10"/>
      <c r="AK116" s="10"/>
      <c r="AL116" s="10"/>
      <c r="AN116" s="14"/>
    </row>
    <row r="117" spans="1:40" s="1" customFormat="1" ht="52">
      <c r="A117" s="41"/>
      <c r="AE117" s="36" t="s">
        <v>608</v>
      </c>
      <c r="AF117" s="36" t="s">
        <v>609</v>
      </c>
      <c r="AG117" s="36" t="s">
        <v>608</v>
      </c>
      <c r="AH117" s="36" t="s">
        <v>609</v>
      </c>
      <c r="AI117" s="36" t="s">
        <v>608</v>
      </c>
      <c r="AJ117" s="36" t="s">
        <v>609</v>
      </c>
      <c r="AK117" s="36" t="s">
        <v>608</v>
      </c>
      <c r="AL117" s="36" t="s">
        <v>609</v>
      </c>
      <c r="AN117" s="15"/>
    </row>
    <row r="118" spans="1:40" s="1" customFormat="1">
      <c r="A118" s="50">
        <f>IF(A117="",MAX($A$10:A117)+10,A117)</f>
        <v>110</v>
      </c>
      <c r="B118" s="26" t="s">
        <v>11</v>
      </c>
      <c r="C118" s="26"/>
      <c r="D118" s="26" t="s">
        <v>290</v>
      </c>
      <c r="E118" s="27"/>
      <c r="F118" s="26"/>
      <c r="G118" s="26"/>
      <c r="H118" s="26"/>
      <c r="I118" s="26" t="s">
        <v>324</v>
      </c>
      <c r="J118" s="26"/>
      <c r="K118" s="26" t="s">
        <v>47</v>
      </c>
      <c r="L118" s="26" t="s">
        <v>325</v>
      </c>
      <c r="M118" s="26" t="s">
        <v>400</v>
      </c>
      <c r="N118" s="26"/>
      <c r="O118" s="26"/>
      <c r="P118" s="26"/>
      <c r="Q118" s="30"/>
      <c r="R118" s="30"/>
      <c r="S118" s="30"/>
      <c r="T118" s="30"/>
      <c r="U118" s="30"/>
      <c r="V118" s="30"/>
      <c r="W118" s="30"/>
      <c r="X118" s="30"/>
      <c r="Y118" s="53"/>
      <c r="Z118" s="30"/>
      <c r="AA118" s="30"/>
      <c r="AB118" s="30"/>
      <c r="AC118" s="30"/>
      <c r="AD118" s="53"/>
      <c r="AE118" s="50"/>
      <c r="AF118" s="50"/>
      <c r="AG118" s="50"/>
      <c r="AH118" s="50"/>
      <c r="AI118" s="50"/>
      <c r="AJ118" s="50"/>
      <c r="AK118" s="50"/>
      <c r="AL118" s="50"/>
      <c r="AM118" s="53"/>
      <c r="AN118" s="29"/>
    </row>
    <row r="119" spans="1:40" s="1" customFormat="1" ht="52">
      <c r="A119" s="41"/>
      <c r="AE119" s="36" t="s">
        <v>608</v>
      </c>
      <c r="AF119" s="36" t="s">
        <v>609</v>
      </c>
      <c r="AG119" s="36" t="s">
        <v>608</v>
      </c>
      <c r="AH119" s="36" t="s">
        <v>609</v>
      </c>
      <c r="AI119" s="36" t="s">
        <v>608</v>
      </c>
      <c r="AJ119" s="36" t="s">
        <v>609</v>
      </c>
      <c r="AK119" s="36" t="s">
        <v>608</v>
      </c>
      <c r="AL119" s="36" t="s">
        <v>609</v>
      </c>
      <c r="AN119" s="15"/>
    </row>
    <row r="120" spans="1:40" s="1" customFormat="1" ht="26">
      <c r="A120" s="50">
        <f>IF(A119="",MAX($A$10:A119)+10,A119)</f>
        <v>120</v>
      </c>
      <c r="B120" s="26" t="s">
        <v>11</v>
      </c>
      <c r="C120" s="26"/>
      <c r="D120" s="26" t="s">
        <v>279</v>
      </c>
      <c r="E120" s="27"/>
      <c r="F120" s="26"/>
      <c r="G120" s="26" t="s">
        <v>97</v>
      </c>
      <c r="H120" s="26"/>
      <c r="I120" s="26" t="s">
        <v>324</v>
      </c>
      <c r="J120" s="50" t="s">
        <v>565</v>
      </c>
      <c r="K120" s="26" t="s">
        <v>47</v>
      </c>
      <c r="L120" s="26" t="s">
        <v>325</v>
      </c>
      <c r="M120" s="26"/>
      <c r="N120" s="26" t="s">
        <v>327</v>
      </c>
      <c r="O120" s="26"/>
      <c r="P120" s="26"/>
      <c r="Q120" s="30"/>
      <c r="R120" s="30"/>
      <c r="S120" s="30"/>
      <c r="T120" s="30"/>
      <c r="U120" s="30"/>
      <c r="V120" s="30"/>
      <c r="W120" s="30"/>
      <c r="X120" s="30"/>
      <c r="Y120" s="53"/>
      <c r="Z120" s="30"/>
      <c r="AA120" s="30"/>
      <c r="AB120" s="30"/>
      <c r="AC120" s="30"/>
      <c r="AD120" s="53"/>
      <c r="AE120" s="50"/>
      <c r="AF120" s="50"/>
      <c r="AG120" s="50"/>
      <c r="AH120" s="50"/>
      <c r="AI120" s="50"/>
      <c r="AJ120" s="50"/>
      <c r="AK120" s="50"/>
      <c r="AL120" s="50"/>
      <c r="AM120" s="53"/>
      <c r="AN120" s="29"/>
    </row>
    <row r="121" spans="1:40" s="1" customFormat="1" ht="52">
      <c r="A121" s="41"/>
      <c r="AE121" s="36" t="s">
        <v>608</v>
      </c>
      <c r="AF121" s="36" t="s">
        <v>609</v>
      </c>
      <c r="AG121" s="36" t="s">
        <v>608</v>
      </c>
      <c r="AH121" s="36" t="s">
        <v>609</v>
      </c>
      <c r="AI121" s="36" t="s">
        <v>608</v>
      </c>
      <c r="AJ121" s="36" t="s">
        <v>609</v>
      </c>
      <c r="AK121" s="36" t="s">
        <v>608</v>
      </c>
      <c r="AL121" s="36" t="s">
        <v>609</v>
      </c>
      <c r="AN121" s="15"/>
    </row>
    <row r="122" spans="1:40" s="1" customFormat="1">
      <c r="A122" s="50">
        <f>IF(A121="",MAX($A$10:A121)+10,A121)</f>
        <v>130</v>
      </c>
      <c r="B122" s="26" t="s">
        <v>11</v>
      </c>
      <c r="C122" s="26"/>
      <c r="D122" s="26" t="s">
        <v>280</v>
      </c>
      <c r="E122" s="27"/>
      <c r="F122" s="26"/>
      <c r="G122" s="26" t="s">
        <v>105</v>
      </c>
      <c r="H122" s="26"/>
      <c r="I122" s="26" t="s">
        <v>324</v>
      </c>
      <c r="J122" s="50" t="s">
        <v>566</v>
      </c>
      <c r="K122" s="26" t="s">
        <v>47</v>
      </c>
      <c r="L122" s="26" t="s">
        <v>325</v>
      </c>
      <c r="M122" s="26"/>
      <c r="N122" s="26" t="s">
        <v>327</v>
      </c>
      <c r="O122" s="26"/>
      <c r="P122" s="26"/>
      <c r="Q122" s="30"/>
      <c r="R122" s="30"/>
      <c r="S122" s="30"/>
      <c r="T122" s="30"/>
      <c r="U122" s="30"/>
      <c r="V122" s="30"/>
      <c r="W122" s="30"/>
      <c r="X122" s="30"/>
      <c r="Y122" s="53"/>
      <c r="Z122" s="30"/>
      <c r="AA122" s="30"/>
      <c r="AB122" s="30"/>
      <c r="AC122" s="30"/>
      <c r="AD122" s="53"/>
      <c r="AE122" s="50"/>
      <c r="AF122" s="50"/>
      <c r="AG122" s="50"/>
      <c r="AH122" s="50"/>
      <c r="AI122" s="50"/>
      <c r="AJ122" s="50"/>
      <c r="AK122" s="50"/>
      <c r="AL122" s="50"/>
      <c r="AM122" s="53"/>
      <c r="AN122" s="29"/>
    </row>
    <row r="123" spans="1:40" s="1" customFormat="1" ht="52">
      <c r="A123" s="41"/>
      <c r="AE123" s="36" t="s">
        <v>608</v>
      </c>
      <c r="AF123" s="36" t="s">
        <v>609</v>
      </c>
      <c r="AG123" s="36" t="s">
        <v>608</v>
      </c>
      <c r="AH123" s="36" t="s">
        <v>609</v>
      </c>
      <c r="AI123" s="36" t="s">
        <v>608</v>
      </c>
      <c r="AJ123" s="36" t="s">
        <v>609</v>
      </c>
      <c r="AK123" s="36" t="s">
        <v>608</v>
      </c>
      <c r="AL123" s="36" t="s">
        <v>609</v>
      </c>
      <c r="AN123" s="15"/>
    </row>
    <row r="124" spans="1:40" s="1" customFormat="1" ht="26">
      <c r="A124" s="50">
        <f>IF(A123="",MAX($A$10:A123)+10,A123)</f>
        <v>140</v>
      </c>
      <c r="B124" s="26" t="s">
        <v>11</v>
      </c>
      <c r="C124" s="26"/>
      <c r="D124" s="26" t="s">
        <v>281</v>
      </c>
      <c r="E124" s="27"/>
      <c r="F124" s="26"/>
      <c r="G124" s="26" t="s">
        <v>110</v>
      </c>
      <c r="H124" s="26"/>
      <c r="I124" s="26" t="s">
        <v>324</v>
      </c>
      <c r="J124" s="50" t="s">
        <v>567</v>
      </c>
      <c r="K124" s="26" t="s">
        <v>47</v>
      </c>
      <c r="L124" s="26" t="s">
        <v>325</v>
      </c>
      <c r="M124" s="26"/>
      <c r="N124" s="26" t="s">
        <v>327</v>
      </c>
      <c r="O124" s="26"/>
      <c r="P124" s="26"/>
      <c r="Q124" s="30"/>
      <c r="R124" s="30"/>
      <c r="S124" s="30"/>
      <c r="T124" s="30"/>
      <c r="U124" s="30"/>
      <c r="V124" s="30"/>
      <c r="W124" s="30"/>
      <c r="X124" s="30"/>
      <c r="Y124" s="53"/>
      <c r="Z124" s="30"/>
      <c r="AA124" s="30"/>
      <c r="AB124" s="30"/>
      <c r="AC124" s="30"/>
      <c r="AD124" s="53"/>
      <c r="AE124" s="50"/>
      <c r="AF124" s="50"/>
      <c r="AG124" s="50"/>
      <c r="AH124" s="50"/>
      <c r="AI124" s="50"/>
      <c r="AJ124" s="50"/>
      <c r="AK124" s="50"/>
      <c r="AL124" s="50"/>
      <c r="AM124" s="53"/>
      <c r="AN124" s="29"/>
    </row>
    <row r="125" spans="1:40" s="1" customFormat="1" ht="52">
      <c r="A125" s="41"/>
      <c r="AE125" s="36" t="s">
        <v>608</v>
      </c>
      <c r="AF125" s="36" t="s">
        <v>609</v>
      </c>
      <c r="AG125" s="36" t="s">
        <v>608</v>
      </c>
      <c r="AH125" s="36" t="s">
        <v>609</v>
      </c>
      <c r="AI125" s="36" t="s">
        <v>608</v>
      </c>
      <c r="AJ125" s="36" t="s">
        <v>609</v>
      </c>
      <c r="AK125" s="36" t="s">
        <v>608</v>
      </c>
      <c r="AL125" s="36" t="s">
        <v>609</v>
      </c>
      <c r="AN125" s="15"/>
    </row>
    <row r="126" spans="1:40" s="1" customFormat="1" ht="26">
      <c r="A126" s="50">
        <f>IF(A125="",MAX($A$10:A125)+10,A125)</f>
        <v>150</v>
      </c>
      <c r="B126" s="26" t="s">
        <v>11</v>
      </c>
      <c r="C126" s="26"/>
      <c r="D126" s="26" t="s">
        <v>282</v>
      </c>
      <c r="E126" s="27"/>
      <c r="F126" s="26"/>
      <c r="G126" s="26" t="s">
        <v>115</v>
      </c>
      <c r="H126" s="26"/>
      <c r="I126" s="26" t="s">
        <v>324</v>
      </c>
      <c r="J126" s="50" t="s">
        <v>568</v>
      </c>
      <c r="K126" s="26" t="s">
        <v>47</v>
      </c>
      <c r="L126" s="26" t="s">
        <v>325</v>
      </c>
      <c r="M126" s="26"/>
      <c r="N126" s="26" t="s">
        <v>327</v>
      </c>
      <c r="O126" s="26"/>
      <c r="P126" s="26"/>
      <c r="Q126" s="30"/>
      <c r="R126" s="30"/>
      <c r="S126" s="30"/>
      <c r="T126" s="30"/>
      <c r="U126" s="30"/>
      <c r="V126" s="30"/>
      <c r="W126" s="30"/>
      <c r="X126" s="30"/>
      <c r="Y126" s="53"/>
      <c r="Z126" s="30"/>
      <c r="AA126" s="30"/>
      <c r="AB126" s="30"/>
      <c r="AC126" s="30"/>
      <c r="AD126" s="53"/>
      <c r="AE126" s="50"/>
      <c r="AF126" s="50"/>
      <c r="AG126" s="50"/>
      <c r="AH126" s="50"/>
      <c r="AI126" s="50"/>
      <c r="AJ126" s="50"/>
      <c r="AK126" s="50"/>
      <c r="AL126" s="50"/>
      <c r="AM126" s="53"/>
      <c r="AN126" s="29"/>
    </row>
    <row r="127" spans="1:40" s="1" customFormat="1" ht="52">
      <c r="A127" s="41"/>
      <c r="AE127" s="36" t="s">
        <v>608</v>
      </c>
      <c r="AF127" s="36" t="s">
        <v>609</v>
      </c>
      <c r="AG127" s="36" t="s">
        <v>608</v>
      </c>
      <c r="AH127" s="36" t="s">
        <v>609</v>
      </c>
      <c r="AI127" s="36" t="s">
        <v>608</v>
      </c>
      <c r="AJ127" s="36" t="s">
        <v>609</v>
      </c>
      <c r="AK127" s="36" t="s">
        <v>608</v>
      </c>
      <c r="AL127" s="36" t="s">
        <v>609</v>
      </c>
      <c r="AN127" s="15"/>
    </row>
    <row r="128" spans="1:40" s="1" customFormat="1" ht="26">
      <c r="A128" s="50">
        <f>IF(A127="",MAX($A$10:A127)+10,A127)</f>
        <v>160</v>
      </c>
      <c r="B128" s="26" t="s">
        <v>11</v>
      </c>
      <c r="C128" s="26"/>
      <c r="D128" s="26" t="s">
        <v>283</v>
      </c>
      <c r="E128" s="27"/>
      <c r="F128" s="26"/>
      <c r="G128" s="26" t="s">
        <v>120</v>
      </c>
      <c r="H128" s="26"/>
      <c r="I128" s="26" t="s">
        <v>324</v>
      </c>
      <c r="J128" s="50" t="s">
        <v>569</v>
      </c>
      <c r="K128" s="26" t="s">
        <v>47</v>
      </c>
      <c r="L128" s="26" t="s">
        <v>325</v>
      </c>
      <c r="M128" s="26"/>
      <c r="N128" s="26" t="s">
        <v>327</v>
      </c>
      <c r="O128" s="26"/>
      <c r="P128" s="26"/>
      <c r="Q128" s="30"/>
      <c r="R128" s="30"/>
      <c r="S128" s="30"/>
      <c r="T128" s="30"/>
      <c r="U128" s="30"/>
      <c r="V128" s="30"/>
      <c r="W128" s="30"/>
      <c r="X128" s="30"/>
      <c r="Y128" s="53"/>
      <c r="Z128" s="30"/>
      <c r="AA128" s="30"/>
      <c r="AB128" s="30"/>
      <c r="AC128" s="30"/>
      <c r="AD128" s="53"/>
      <c r="AE128" s="50"/>
      <c r="AF128" s="50"/>
      <c r="AG128" s="50"/>
      <c r="AH128" s="50"/>
      <c r="AI128" s="50"/>
      <c r="AJ128" s="50"/>
      <c r="AK128" s="50"/>
      <c r="AL128" s="50"/>
      <c r="AM128" s="53"/>
      <c r="AN128" s="29"/>
    </row>
    <row r="129" spans="1:40" s="1" customFormat="1" ht="52">
      <c r="A129" s="41"/>
      <c r="AE129" s="36" t="s">
        <v>608</v>
      </c>
      <c r="AF129" s="36" t="s">
        <v>609</v>
      </c>
      <c r="AG129" s="36" t="s">
        <v>608</v>
      </c>
      <c r="AH129" s="36" t="s">
        <v>609</v>
      </c>
      <c r="AI129" s="36" t="s">
        <v>608</v>
      </c>
      <c r="AJ129" s="36" t="s">
        <v>609</v>
      </c>
      <c r="AK129" s="36" t="s">
        <v>608</v>
      </c>
      <c r="AL129" s="36" t="s">
        <v>609</v>
      </c>
      <c r="AN129" s="15"/>
    </row>
    <row r="130" spans="1:40" s="1" customFormat="1">
      <c r="A130" s="50">
        <f>IF(A129="",MAX($A$10:A129)+10,A129)</f>
        <v>170</v>
      </c>
      <c r="B130" s="26" t="s">
        <v>11</v>
      </c>
      <c r="C130" s="26"/>
      <c r="D130" s="26" t="s">
        <v>284</v>
      </c>
      <c r="E130" s="27"/>
      <c r="F130" s="26"/>
      <c r="G130" s="26" t="s">
        <v>287</v>
      </c>
      <c r="H130" s="26"/>
      <c r="I130" s="26" t="s">
        <v>324</v>
      </c>
      <c r="J130" s="50" t="s">
        <v>570</v>
      </c>
      <c r="K130" s="26" t="s">
        <v>47</v>
      </c>
      <c r="L130" s="26" t="s">
        <v>325</v>
      </c>
      <c r="M130" s="26"/>
      <c r="N130" s="26" t="s">
        <v>327</v>
      </c>
      <c r="O130" s="26"/>
      <c r="P130" s="26"/>
      <c r="Q130" s="30"/>
      <c r="R130" s="30"/>
      <c r="S130" s="30"/>
      <c r="T130" s="30"/>
      <c r="U130" s="30"/>
      <c r="V130" s="30"/>
      <c r="W130" s="30"/>
      <c r="X130" s="30"/>
      <c r="Y130" s="53"/>
      <c r="Z130" s="30"/>
      <c r="AA130" s="30"/>
      <c r="AB130" s="30"/>
      <c r="AC130" s="30"/>
      <c r="AD130" s="53"/>
      <c r="AE130" s="50"/>
      <c r="AF130" s="50"/>
      <c r="AG130" s="50"/>
      <c r="AH130" s="50"/>
      <c r="AI130" s="50"/>
      <c r="AJ130" s="50"/>
      <c r="AK130" s="50"/>
      <c r="AL130" s="50"/>
      <c r="AM130" s="53"/>
      <c r="AN130" s="29"/>
    </row>
    <row r="131" spans="1:40" s="1" customFormat="1" ht="52">
      <c r="A131" s="41"/>
      <c r="AE131" s="36" t="s">
        <v>608</v>
      </c>
      <c r="AF131" s="36" t="s">
        <v>609</v>
      </c>
      <c r="AG131" s="36" t="s">
        <v>608</v>
      </c>
      <c r="AH131" s="36" t="s">
        <v>609</v>
      </c>
      <c r="AI131" s="36" t="s">
        <v>608</v>
      </c>
      <c r="AJ131" s="36" t="s">
        <v>609</v>
      </c>
      <c r="AK131" s="36" t="s">
        <v>608</v>
      </c>
      <c r="AL131" s="36" t="s">
        <v>609</v>
      </c>
      <c r="AN131" s="15"/>
    </row>
    <row r="132" spans="1:40" s="1" customFormat="1" ht="26">
      <c r="A132" s="50">
        <f>IF(A131="",MAX($A$10:A131)+10,A131)</f>
        <v>180</v>
      </c>
      <c r="B132" s="26" t="s">
        <v>11</v>
      </c>
      <c r="C132" s="26"/>
      <c r="D132" s="26" t="s">
        <v>285</v>
      </c>
      <c r="E132" s="27"/>
      <c r="F132" s="26"/>
      <c r="G132" s="26" t="s">
        <v>288</v>
      </c>
      <c r="H132" s="26"/>
      <c r="I132" s="26" t="s">
        <v>324</v>
      </c>
      <c r="J132" s="50" t="s">
        <v>571</v>
      </c>
      <c r="K132" s="26" t="s">
        <v>47</v>
      </c>
      <c r="L132" s="26" t="s">
        <v>325</v>
      </c>
      <c r="M132" s="26"/>
      <c r="N132" s="26" t="s">
        <v>327</v>
      </c>
      <c r="O132" s="26"/>
      <c r="P132" s="26"/>
      <c r="Q132" s="30"/>
      <c r="R132" s="30"/>
      <c r="S132" s="30"/>
      <c r="T132" s="30"/>
      <c r="U132" s="30"/>
      <c r="V132" s="30"/>
      <c r="W132" s="30"/>
      <c r="X132" s="30"/>
      <c r="Y132" s="53"/>
      <c r="Z132" s="30"/>
      <c r="AA132" s="30"/>
      <c r="AB132" s="30"/>
      <c r="AC132" s="30"/>
      <c r="AD132" s="53"/>
      <c r="AE132" s="50"/>
      <c r="AF132" s="50"/>
      <c r="AG132" s="50"/>
      <c r="AH132" s="50"/>
      <c r="AI132" s="50"/>
      <c r="AJ132" s="50"/>
      <c r="AK132" s="50"/>
      <c r="AL132" s="50"/>
      <c r="AM132" s="53"/>
      <c r="AN132" s="29"/>
    </row>
    <row r="133" spans="1:40" s="1" customFormat="1" ht="52">
      <c r="A133" s="41"/>
      <c r="AE133" s="36" t="s">
        <v>608</v>
      </c>
      <c r="AF133" s="36" t="s">
        <v>609</v>
      </c>
      <c r="AG133" s="36" t="s">
        <v>608</v>
      </c>
      <c r="AH133" s="36" t="s">
        <v>609</v>
      </c>
      <c r="AI133" s="36" t="s">
        <v>608</v>
      </c>
      <c r="AJ133" s="36" t="s">
        <v>609</v>
      </c>
      <c r="AK133" s="36" t="s">
        <v>608</v>
      </c>
      <c r="AL133" s="36" t="s">
        <v>609</v>
      </c>
      <c r="AN133" s="15"/>
    </row>
    <row r="134" spans="1:40" s="1" customFormat="1" ht="26">
      <c r="A134" s="50">
        <f>IF(A133="",MAX($A$10:A133)+10,A133)</f>
        <v>190</v>
      </c>
      <c r="B134" s="26" t="s">
        <v>11</v>
      </c>
      <c r="C134" s="26"/>
      <c r="D134" s="26" t="s">
        <v>286</v>
      </c>
      <c r="E134" s="27"/>
      <c r="F134" s="26"/>
      <c r="G134" s="26" t="s">
        <v>125</v>
      </c>
      <c r="H134" s="26"/>
      <c r="I134" s="26" t="s">
        <v>324</v>
      </c>
      <c r="J134" s="50" t="s">
        <v>572</v>
      </c>
      <c r="K134" s="26" t="s">
        <v>47</v>
      </c>
      <c r="L134" s="26" t="s">
        <v>325</v>
      </c>
      <c r="M134" s="26"/>
      <c r="N134" s="26" t="s">
        <v>327</v>
      </c>
      <c r="O134" s="26"/>
      <c r="P134" s="26"/>
      <c r="Q134" s="30"/>
      <c r="R134" s="30"/>
      <c r="S134" s="30"/>
      <c r="T134" s="30"/>
      <c r="U134" s="30"/>
      <c r="V134" s="30"/>
      <c r="W134" s="30"/>
      <c r="X134" s="30"/>
      <c r="Y134" s="53"/>
      <c r="Z134" s="30"/>
      <c r="AA134" s="30"/>
      <c r="AB134" s="30"/>
      <c r="AC134" s="30"/>
      <c r="AD134" s="53"/>
      <c r="AE134" s="50"/>
      <c r="AF134" s="50"/>
      <c r="AG134" s="50"/>
      <c r="AH134" s="50"/>
      <c r="AI134" s="50"/>
      <c r="AJ134" s="50"/>
      <c r="AK134" s="50"/>
      <c r="AL134" s="50"/>
      <c r="AM134" s="53"/>
      <c r="AN134" s="29"/>
    </row>
    <row r="135" spans="1:40" s="1" customFormat="1" ht="52">
      <c r="A135" s="41"/>
      <c r="AE135" s="36" t="s">
        <v>608</v>
      </c>
      <c r="AF135" s="36" t="s">
        <v>609</v>
      </c>
      <c r="AG135" s="36" t="s">
        <v>608</v>
      </c>
      <c r="AH135" s="36" t="s">
        <v>609</v>
      </c>
      <c r="AI135" s="36" t="s">
        <v>608</v>
      </c>
      <c r="AJ135" s="36" t="s">
        <v>609</v>
      </c>
      <c r="AK135" s="36" t="s">
        <v>608</v>
      </c>
      <c r="AL135" s="36" t="s">
        <v>609</v>
      </c>
      <c r="AN135" s="15"/>
    </row>
    <row r="136" spans="1:40" s="1" customFormat="1">
      <c r="A136" s="10">
        <f>IF(A135="",MAX($A$10:A135)+10,A135)</f>
        <v>200</v>
      </c>
      <c r="B136" s="11" t="s">
        <v>0</v>
      </c>
      <c r="C136" s="11"/>
      <c r="D136" s="11" t="s">
        <v>444</v>
      </c>
      <c r="E136" s="12"/>
      <c r="F136" s="11"/>
      <c r="G136" s="11"/>
      <c r="H136" s="11"/>
      <c r="I136" s="11" t="s">
        <v>14</v>
      </c>
      <c r="J136" s="11"/>
      <c r="K136" s="11" t="s">
        <v>401</v>
      </c>
      <c r="L136" s="11"/>
      <c r="M136" s="11" t="s">
        <v>402</v>
      </c>
      <c r="N136" s="11" t="s">
        <v>403</v>
      </c>
      <c r="O136" s="11"/>
      <c r="P136" s="11"/>
      <c r="Q136" s="18"/>
      <c r="R136" s="18"/>
      <c r="S136" s="18"/>
      <c r="T136" s="18"/>
      <c r="U136" s="18"/>
      <c r="V136" s="18"/>
      <c r="W136" s="18"/>
      <c r="X136" s="18"/>
      <c r="Y136" s="16"/>
      <c r="Z136" s="18"/>
      <c r="AA136" s="18"/>
      <c r="AB136" s="18"/>
      <c r="AC136" s="18"/>
      <c r="AD136" s="16"/>
      <c r="AE136" s="10"/>
      <c r="AF136" s="10" t="s">
        <v>404</v>
      </c>
      <c r="AG136" s="10" t="s">
        <v>405</v>
      </c>
      <c r="AH136" s="10"/>
      <c r="AI136" s="10" t="s">
        <v>406</v>
      </c>
      <c r="AJ136" s="10"/>
      <c r="AK136" s="10"/>
      <c r="AL136" s="10"/>
      <c r="AM136" s="16"/>
      <c r="AN136" s="14"/>
    </row>
    <row r="137" spans="1:40" s="1" customFormat="1">
      <c r="A137" s="10">
        <f>IF(A136="",MAX($A$10:A136)+10,A136)</f>
        <v>200</v>
      </c>
      <c r="B137" s="10"/>
      <c r="C137" s="10"/>
      <c r="D137" s="10" t="s">
        <v>27</v>
      </c>
      <c r="E137" s="31" t="s">
        <v>573</v>
      </c>
      <c r="F137" s="10" t="s">
        <v>28</v>
      </c>
      <c r="G137" s="10" t="s">
        <v>9</v>
      </c>
      <c r="H137" s="10"/>
      <c r="I137" s="10" t="s">
        <v>337</v>
      </c>
      <c r="J137" s="10"/>
      <c r="K137" s="10" t="s">
        <v>338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324</v>
      </c>
      <c r="AA137" s="10" t="s">
        <v>64</v>
      </c>
      <c r="AB137" s="10" t="s">
        <v>324</v>
      </c>
      <c r="AC137" s="10" t="s">
        <v>407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>
      <c r="A138" s="10">
        <f>IF(A137="",MAX($A$10:A137)+10,A137)</f>
        <v>200</v>
      </c>
      <c r="B138" s="10"/>
      <c r="C138" s="10"/>
      <c r="D138" s="10" t="s">
        <v>69</v>
      </c>
      <c r="E138" s="31" t="s">
        <v>542</v>
      </c>
      <c r="F138" s="10" t="s">
        <v>46</v>
      </c>
      <c r="G138" s="10" t="s">
        <v>9</v>
      </c>
      <c r="H138" s="10"/>
      <c r="I138" s="10" t="s">
        <v>337</v>
      </c>
      <c r="J138" s="10"/>
      <c r="K138" s="10" t="s">
        <v>338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324</v>
      </c>
      <c r="AA138" s="10" t="s">
        <v>64</v>
      </c>
      <c r="AB138" s="10" t="s">
        <v>64</v>
      </c>
      <c r="AC138" s="10" t="s">
        <v>64</v>
      </c>
      <c r="AE138" s="10"/>
      <c r="AF138" s="10" t="s">
        <v>339</v>
      </c>
      <c r="AG138" s="10" t="s">
        <v>339</v>
      </c>
      <c r="AH138" s="10"/>
      <c r="AI138" s="10"/>
      <c r="AJ138" s="10"/>
      <c r="AK138" s="10"/>
      <c r="AL138" s="10"/>
      <c r="AN138" s="14"/>
    </row>
    <row r="139" spans="1:40" s="1" customFormat="1">
      <c r="A139" s="10">
        <f>IF(A138="",MAX($A$10:A138)+10,A138)</f>
        <v>200</v>
      </c>
      <c r="B139" s="10"/>
      <c r="C139" s="10"/>
      <c r="D139" s="10" t="s">
        <v>68</v>
      </c>
      <c r="E139" s="3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/>
      <c r="AA139" s="10"/>
      <c r="AB139" s="10"/>
      <c r="AC139" s="10"/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ht="26">
      <c r="A140" s="52">
        <f>IF(A139="",MAX($A$10:A139)+10,A139)</f>
        <v>200</v>
      </c>
      <c r="B140" s="52"/>
      <c r="C140" s="52"/>
      <c r="D140" s="52" t="s">
        <v>142</v>
      </c>
      <c r="E140" s="52"/>
      <c r="F140" s="52"/>
      <c r="G140" s="52"/>
      <c r="H140" s="52"/>
      <c r="I140" s="52" t="s">
        <v>324</v>
      </c>
      <c r="J140" s="52"/>
      <c r="K140" s="52" t="s">
        <v>408</v>
      </c>
      <c r="L140" s="52" t="s">
        <v>409</v>
      </c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 t="s">
        <v>410</v>
      </c>
      <c r="AA140" s="52" t="s">
        <v>411</v>
      </c>
      <c r="AB140" s="52" t="s">
        <v>411</v>
      </c>
      <c r="AC140" s="52" t="s">
        <v>411</v>
      </c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</row>
    <row r="141" spans="1:40" s="1" customFormat="1" ht="130">
      <c r="A141" s="52">
        <f>IF(A140="",MAX($A$10:A140)+10,A140)</f>
        <v>200</v>
      </c>
      <c r="B141" s="10"/>
      <c r="C141" s="10"/>
      <c r="D141" s="10" t="s">
        <v>143</v>
      </c>
      <c r="E141" s="31"/>
      <c r="F141" s="10"/>
      <c r="G141" s="10"/>
      <c r="H141" s="10"/>
      <c r="I141" s="10" t="s">
        <v>344</v>
      </c>
      <c r="J141" s="10"/>
      <c r="K141" s="10" t="s">
        <v>345</v>
      </c>
      <c r="L141" s="10"/>
      <c r="M141" s="10"/>
      <c r="N141" s="10"/>
      <c r="O141" s="10" t="s">
        <v>299</v>
      </c>
      <c r="P141" s="10"/>
      <c r="Q141" s="10" t="s">
        <v>412</v>
      </c>
      <c r="R141" s="10"/>
      <c r="S141" s="10" t="s">
        <v>413</v>
      </c>
      <c r="T141" s="10"/>
      <c r="U141" s="10"/>
      <c r="V141" s="10"/>
      <c r="W141" s="10" t="s">
        <v>351</v>
      </c>
      <c r="X141" s="10" t="s">
        <v>352</v>
      </c>
      <c r="Z141" s="10"/>
      <c r="AA141" s="10"/>
      <c r="AB141" s="10"/>
      <c r="AC141" s="10"/>
      <c r="AE141" s="10"/>
      <c r="AF141" s="10" t="s">
        <v>353</v>
      </c>
      <c r="AG141" s="10" t="s">
        <v>353</v>
      </c>
      <c r="AH141" s="10"/>
      <c r="AI141" s="10" t="s">
        <v>353</v>
      </c>
      <c r="AJ141" s="10"/>
      <c r="AK141" s="10"/>
      <c r="AL141" s="10"/>
      <c r="AN141" s="14"/>
    </row>
    <row r="142" spans="1:40" s="1" customFormat="1" ht="117">
      <c r="A142" s="52">
        <f>IF(A141="",MAX($A$10:A141)+10,A141)</f>
        <v>200</v>
      </c>
      <c r="B142" s="10"/>
      <c r="C142" s="10"/>
      <c r="D142" s="10" t="s">
        <v>144</v>
      </c>
      <c r="E142" s="31"/>
      <c r="F142" s="10"/>
      <c r="G142" s="10"/>
      <c r="H142" s="10"/>
      <c r="I142" s="10" t="s">
        <v>344</v>
      </c>
      <c r="J142" s="10"/>
      <c r="K142" s="10" t="s">
        <v>345</v>
      </c>
      <c r="L142" s="10"/>
      <c r="M142" s="10"/>
      <c r="N142" s="10"/>
      <c r="O142" s="10" t="s">
        <v>299</v>
      </c>
      <c r="P142" s="10"/>
      <c r="Q142" s="10" t="s">
        <v>414</v>
      </c>
      <c r="R142" s="10"/>
      <c r="S142" s="10" t="s">
        <v>415</v>
      </c>
      <c r="T142" s="10"/>
      <c r="U142" s="10"/>
      <c r="V142" s="10"/>
      <c r="W142" s="10" t="s">
        <v>416</v>
      </c>
      <c r="X142" s="10" t="s">
        <v>417</v>
      </c>
      <c r="Z142" s="10"/>
      <c r="AA142" s="10"/>
      <c r="AB142" s="10"/>
      <c r="AC142" s="10"/>
      <c r="AE142" s="10"/>
      <c r="AF142" s="10" t="s">
        <v>354</v>
      </c>
      <c r="AG142" s="10" t="s">
        <v>354</v>
      </c>
      <c r="AH142" s="10"/>
      <c r="AI142" s="10" t="s">
        <v>354</v>
      </c>
      <c r="AJ142" s="10"/>
      <c r="AK142" s="10"/>
      <c r="AL142" s="10"/>
      <c r="AN142" s="14"/>
    </row>
    <row r="143" spans="1:40" s="1" customFormat="1" ht="104">
      <c r="A143" s="52">
        <f>IF(A142="",MAX($A$10:A142)+10,A142)</f>
        <v>200</v>
      </c>
      <c r="B143" s="10"/>
      <c r="C143" s="10"/>
      <c r="D143" s="10" t="s">
        <v>145</v>
      </c>
      <c r="E143" s="31"/>
      <c r="F143" s="10"/>
      <c r="G143" s="10"/>
      <c r="H143" s="10"/>
      <c r="I143" s="10" t="s">
        <v>344</v>
      </c>
      <c r="J143" s="10"/>
      <c r="K143" s="10" t="s">
        <v>345</v>
      </c>
      <c r="L143" s="10"/>
      <c r="M143" s="10"/>
      <c r="N143" s="10"/>
      <c r="O143" s="10" t="s">
        <v>299</v>
      </c>
      <c r="P143" s="10"/>
      <c r="Q143" s="10" t="s">
        <v>418</v>
      </c>
      <c r="R143" s="10"/>
      <c r="S143" s="10" t="s">
        <v>419</v>
      </c>
      <c r="T143" s="10"/>
      <c r="U143" s="10"/>
      <c r="V143" s="10"/>
      <c r="W143" s="10" t="s">
        <v>420</v>
      </c>
      <c r="X143" s="10" t="s">
        <v>421</v>
      </c>
      <c r="Z143" s="10"/>
      <c r="AA143" s="10"/>
      <c r="AB143" s="10"/>
      <c r="AC143" s="10"/>
      <c r="AE143" s="10"/>
      <c r="AF143" s="10" t="s">
        <v>355</v>
      </c>
      <c r="AG143" s="10" t="s">
        <v>355</v>
      </c>
      <c r="AH143" s="10"/>
      <c r="AI143" s="10" t="s">
        <v>355</v>
      </c>
      <c r="AJ143" s="10"/>
      <c r="AK143" s="10"/>
      <c r="AL143" s="10"/>
      <c r="AN143" s="14"/>
    </row>
    <row r="144" spans="1:40" s="1" customFormat="1" ht="91">
      <c r="A144" s="52">
        <f>IF(A143="",MAX($A$10:A143)+10,A143)</f>
        <v>200</v>
      </c>
      <c r="B144" s="10"/>
      <c r="C144" s="10"/>
      <c r="D144" s="10" t="s">
        <v>470</v>
      </c>
      <c r="E144" s="31"/>
      <c r="F144" s="10"/>
      <c r="G144" s="10"/>
      <c r="H144" s="10"/>
      <c r="I144" s="10" t="s">
        <v>344</v>
      </c>
      <c r="J144" s="10"/>
      <c r="K144" s="10" t="s">
        <v>345</v>
      </c>
      <c r="L144" s="10"/>
      <c r="M144" s="10"/>
      <c r="N144" s="10"/>
      <c r="O144" s="10" t="s">
        <v>299</v>
      </c>
      <c r="P144" s="10"/>
      <c r="Q144" s="10" t="s">
        <v>422</v>
      </c>
      <c r="R144" s="10"/>
      <c r="S144" s="10" t="s">
        <v>423</v>
      </c>
      <c r="T144" s="10"/>
      <c r="U144" s="10"/>
      <c r="V144" s="10"/>
      <c r="W144" s="10" t="s">
        <v>424</v>
      </c>
      <c r="X144" s="10" t="s">
        <v>425</v>
      </c>
      <c r="Z144" s="10"/>
      <c r="AA144" s="10"/>
      <c r="AB144" s="10"/>
      <c r="AC144" s="10"/>
      <c r="AE144" s="10"/>
      <c r="AF144" s="10" t="s">
        <v>356</v>
      </c>
      <c r="AG144" s="10" t="s">
        <v>356</v>
      </c>
      <c r="AH144" s="10"/>
      <c r="AI144" s="10" t="s">
        <v>356</v>
      </c>
      <c r="AJ144" s="10"/>
      <c r="AK144" s="10"/>
      <c r="AL144" s="10"/>
      <c r="AN144" s="14"/>
    </row>
    <row r="145" spans="1:40" s="1" customFormat="1">
      <c r="A145" s="52">
        <f>IF(A144="",MAX($A$10:A144)+10,A144)</f>
        <v>200</v>
      </c>
      <c r="B145" s="10"/>
      <c r="C145" s="10"/>
      <c r="D145" s="10" t="s">
        <v>146</v>
      </c>
      <c r="E145" s="31"/>
      <c r="F145" s="10"/>
      <c r="G145" s="10"/>
      <c r="H145" s="10"/>
      <c r="I145" s="10" t="s">
        <v>344</v>
      </c>
      <c r="J145" s="10"/>
      <c r="K145" s="10" t="s">
        <v>345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/>
      <c r="AA145" s="10"/>
      <c r="AB145" s="10"/>
      <c r="AC145" s="10"/>
      <c r="AE145" s="10"/>
      <c r="AF145" s="10" t="s">
        <v>357</v>
      </c>
      <c r="AG145" s="10"/>
      <c r="AH145" s="10"/>
      <c r="AI145" s="10"/>
      <c r="AJ145" s="10"/>
      <c r="AK145" s="10"/>
      <c r="AL145" s="10"/>
      <c r="AN145" s="14"/>
    </row>
    <row r="146" spans="1:40" s="1" customFormat="1">
      <c r="A146" s="10">
        <f>IF(A145="",MAX($A$10:A145)+10,A145)</f>
        <v>200</v>
      </c>
      <c r="B146" s="10"/>
      <c r="C146" s="10"/>
      <c r="D146" s="10" t="s">
        <v>155</v>
      </c>
      <c r="E146" s="31" t="s">
        <v>574</v>
      </c>
      <c r="F146" s="10" t="s">
        <v>230</v>
      </c>
      <c r="G146" s="10" t="s">
        <v>1</v>
      </c>
      <c r="H146" s="10"/>
      <c r="I146" s="10" t="s">
        <v>426</v>
      </c>
      <c r="J146" s="10"/>
      <c r="K146" s="10" t="s">
        <v>330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64</v>
      </c>
      <c r="AA146" s="10" t="s">
        <v>64</v>
      </c>
      <c r="AB146" s="10" t="s">
        <v>64</v>
      </c>
      <c r="AC146" s="10" t="s">
        <v>64</v>
      </c>
      <c r="AE146" s="10"/>
      <c r="AF146" s="10" t="s">
        <v>339</v>
      </c>
      <c r="AG146" s="10"/>
      <c r="AH146" s="10"/>
      <c r="AI146" s="10"/>
      <c r="AJ146" s="10"/>
      <c r="AK146" s="10"/>
      <c r="AL146" s="10"/>
      <c r="AN146" s="14"/>
    </row>
    <row r="147" spans="1:40" s="1" customFormat="1">
      <c r="A147" s="10">
        <f>IF(A146="",MAX($A$10:A146)+10,A146)</f>
        <v>200</v>
      </c>
      <c r="B147" s="10"/>
      <c r="C147" s="10"/>
      <c r="D147" s="10" t="s">
        <v>231</v>
      </c>
      <c r="E147" s="31" t="s">
        <v>575</v>
      </c>
      <c r="F147" s="10" t="s">
        <v>232</v>
      </c>
      <c r="G147" s="10" t="s">
        <v>1</v>
      </c>
      <c r="H147" s="10"/>
      <c r="I147" s="10" t="s">
        <v>427</v>
      </c>
      <c r="J147" s="10"/>
      <c r="K147" s="10" t="s">
        <v>330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64</v>
      </c>
      <c r="AA147" s="10" t="s">
        <v>64</v>
      </c>
      <c r="AB147" s="10" t="s">
        <v>64</v>
      </c>
      <c r="AC147" s="10" t="s">
        <v>64</v>
      </c>
      <c r="AE147" s="10"/>
      <c r="AF147" s="10" t="s">
        <v>339</v>
      </c>
      <c r="AG147" s="10"/>
      <c r="AH147" s="10"/>
      <c r="AI147" s="10"/>
      <c r="AJ147" s="10"/>
      <c r="AK147" s="10"/>
      <c r="AL147" s="10"/>
      <c r="AN147" s="14"/>
    </row>
    <row r="148" spans="1:40" s="1" customFormat="1">
      <c r="A148" s="10">
        <f>IF(A147="",MAX($A$10:A147)+10,A147)</f>
        <v>200</v>
      </c>
      <c r="B148" s="10"/>
      <c r="C148" s="10"/>
      <c r="D148" s="10" t="s">
        <v>156</v>
      </c>
      <c r="E148" s="31" t="s">
        <v>576</v>
      </c>
      <c r="F148" s="10" t="s">
        <v>233</v>
      </c>
      <c r="G148" s="10" t="s">
        <v>234</v>
      </c>
      <c r="H148" s="10"/>
      <c r="I148" s="10" t="s">
        <v>428</v>
      </c>
      <c r="J148" s="10"/>
      <c r="K148" s="10" t="s">
        <v>330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64</v>
      </c>
      <c r="AA148" s="10" t="s">
        <v>64</v>
      </c>
      <c r="AB148" s="10" t="s">
        <v>64</v>
      </c>
      <c r="AC148" s="10" t="s">
        <v>64</v>
      </c>
      <c r="AE148" s="10"/>
      <c r="AF148" s="10" t="s">
        <v>339</v>
      </c>
      <c r="AG148" s="10"/>
      <c r="AH148" s="10"/>
      <c r="AI148" s="10"/>
      <c r="AJ148" s="10"/>
      <c r="AK148" s="10"/>
      <c r="AL148" s="10"/>
      <c r="AN148" s="14"/>
    </row>
    <row r="149" spans="1:40" s="1" customFormat="1">
      <c r="A149" s="10">
        <f>IF(A148="",MAX($A$10:A148)+10,A148)</f>
        <v>200</v>
      </c>
      <c r="B149" s="10"/>
      <c r="C149" s="10"/>
      <c r="D149" s="10" t="s">
        <v>157</v>
      </c>
      <c r="E149" s="31" t="s">
        <v>577</v>
      </c>
      <c r="F149" s="10" t="s">
        <v>235</v>
      </c>
      <c r="G149" s="10" t="s">
        <v>1</v>
      </c>
      <c r="H149" s="10"/>
      <c r="I149" s="10" t="s">
        <v>429</v>
      </c>
      <c r="J149" s="10"/>
      <c r="K149" s="10" t="s">
        <v>330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64</v>
      </c>
      <c r="AA149" s="10" t="s">
        <v>64</v>
      </c>
      <c r="AB149" s="10" t="s">
        <v>64</v>
      </c>
      <c r="AC149" s="10" t="s">
        <v>64</v>
      </c>
      <c r="AE149" s="10"/>
      <c r="AF149" s="10" t="s">
        <v>339</v>
      </c>
      <c r="AG149" s="10"/>
      <c r="AH149" s="10"/>
      <c r="AI149" s="10"/>
      <c r="AJ149" s="10"/>
      <c r="AK149" s="10"/>
      <c r="AL149" s="10"/>
      <c r="AN149" s="14"/>
    </row>
    <row r="150" spans="1:40" s="1" customFormat="1">
      <c r="A150" s="10">
        <f>IF(A149="",MAX($A$10:A149)+10,A149)</f>
        <v>200</v>
      </c>
      <c r="B150" s="10"/>
      <c r="C150" s="10"/>
      <c r="D150" s="10" t="s">
        <v>86</v>
      </c>
      <c r="E150" s="31" t="s">
        <v>578</v>
      </c>
      <c r="F150" s="10" t="s">
        <v>85</v>
      </c>
      <c r="G150" s="10" t="s">
        <v>1</v>
      </c>
      <c r="H150" s="10"/>
      <c r="I150" s="10" t="s">
        <v>340</v>
      </c>
      <c r="J150" s="10"/>
      <c r="K150" s="10" t="s">
        <v>330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339</v>
      </c>
      <c r="AA150" s="10" t="s">
        <v>64</v>
      </c>
      <c r="AB150" s="10" t="s">
        <v>64</v>
      </c>
      <c r="AC150" s="10" t="s">
        <v>64</v>
      </c>
      <c r="AE150" s="10"/>
      <c r="AF150" s="10" t="s">
        <v>339</v>
      </c>
      <c r="AG150" s="10" t="s">
        <v>339</v>
      </c>
      <c r="AH150" s="10"/>
      <c r="AI150" s="10"/>
      <c r="AJ150" s="10"/>
      <c r="AK150" s="10"/>
      <c r="AL150" s="10"/>
      <c r="AN150" s="14"/>
    </row>
    <row r="151" spans="1:40" s="1" customFormat="1">
      <c r="A151" s="10">
        <f>IF(A150="",MAX($A$10:A150)+10,A150)</f>
        <v>200</v>
      </c>
      <c r="B151" s="10"/>
      <c r="C151" s="10"/>
      <c r="D151" s="10" t="s">
        <v>87</v>
      </c>
      <c r="E151" s="31" t="s">
        <v>579</v>
      </c>
      <c r="F151" s="10" t="s">
        <v>89</v>
      </c>
      <c r="G151" s="10" t="s">
        <v>1</v>
      </c>
      <c r="H151" s="10"/>
      <c r="I151" s="10" t="s">
        <v>340</v>
      </c>
      <c r="J151" s="10"/>
      <c r="K151" s="10" t="s">
        <v>330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339</v>
      </c>
      <c r="AA151" s="10" t="s">
        <v>64</v>
      </c>
      <c r="AB151" s="10" t="s">
        <v>64</v>
      </c>
      <c r="AC151" s="10" t="s">
        <v>64</v>
      </c>
      <c r="AE151" s="10"/>
      <c r="AF151" s="10" t="s">
        <v>339</v>
      </c>
      <c r="AG151" s="10" t="s">
        <v>339</v>
      </c>
      <c r="AH151" s="10"/>
      <c r="AI151" s="10"/>
      <c r="AJ151" s="10"/>
      <c r="AK151" s="10"/>
      <c r="AL151" s="10"/>
      <c r="AN151" s="14"/>
    </row>
    <row r="152" spans="1:40" s="1" customFormat="1">
      <c r="A152" s="10">
        <f>IF(A151="",MAX($A$10:A151)+10,A151)</f>
        <v>200</v>
      </c>
      <c r="B152" s="10"/>
      <c r="C152" s="10"/>
      <c r="D152" s="10" t="s">
        <v>94</v>
      </c>
      <c r="E152" s="31" t="s">
        <v>580</v>
      </c>
      <c r="F152" s="10" t="s">
        <v>90</v>
      </c>
      <c r="G152" s="10" t="s">
        <v>1</v>
      </c>
      <c r="H152" s="10"/>
      <c r="I152" s="10" t="s">
        <v>340</v>
      </c>
      <c r="J152" s="10"/>
      <c r="K152" s="10" t="s">
        <v>330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339</v>
      </c>
      <c r="AA152" s="10" t="s">
        <v>64</v>
      </c>
      <c r="AB152" s="10" t="s">
        <v>64</v>
      </c>
      <c r="AC152" s="10" t="s">
        <v>64</v>
      </c>
      <c r="AE152" s="10"/>
      <c r="AF152" s="10" t="s">
        <v>339</v>
      </c>
      <c r="AG152" s="10" t="s">
        <v>339</v>
      </c>
      <c r="AH152" s="10"/>
      <c r="AI152" s="10"/>
      <c r="AJ152" s="10"/>
      <c r="AK152" s="10"/>
      <c r="AL152" s="10"/>
      <c r="AN152" s="14"/>
    </row>
    <row r="153" spans="1:40" s="1" customFormat="1" ht="26">
      <c r="A153" s="10">
        <f>IF(A152="",MAX($A$10:A152)+10,A152)</f>
        <v>200</v>
      </c>
      <c r="B153" s="10"/>
      <c r="C153" s="10"/>
      <c r="D153" s="10" t="s">
        <v>95</v>
      </c>
      <c r="E153" s="31" t="s">
        <v>581</v>
      </c>
      <c r="F153" s="10" t="s">
        <v>91</v>
      </c>
      <c r="G153" s="10" t="s">
        <v>1</v>
      </c>
      <c r="H153" s="10"/>
      <c r="I153" s="10" t="s">
        <v>340</v>
      </c>
      <c r="J153" s="10"/>
      <c r="K153" s="10" t="s">
        <v>330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339</v>
      </c>
      <c r="AA153" s="10" t="s">
        <v>64</v>
      </c>
      <c r="AB153" s="10" t="s">
        <v>64</v>
      </c>
      <c r="AC153" s="10" t="s">
        <v>64</v>
      </c>
      <c r="AE153" s="10"/>
      <c r="AF153" s="10" t="s">
        <v>339</v>
      </c>
      <c r="AG153" s="10" t="s">
        <v>339</v>
      </c>
      <c r="AH153" s="10"/>
      <c r="AI153" s="10"/>
      <c r="AJ153" s="10"/>
      <c r="AK153" s="10"/>
      <c r="AL153" s="10"/>
      <c r="AN153" s="14"/>
    </row>
    <row r="154" spans="1:40" s="1" customFormat="1" ht="26">
      <c r="A154" s="10">
        <f>IF(A153="",MAX($A$10:A153)+10,A153)</f>
        <v>200</v>
      </c>
      <c r="B154" s="10"/>
      <c r="C154" s="10"/>
      <c r="D154" s="10" t="s">
        <v>96</v>
      </c>
      <c r="E154" s="31" t="s">
        <v>582</v>
      </c>
      <c r="F154" s="10" t="s">
        <v>92</v>
      </c>
      <c r="G154" s="10" t="s">
        <v>1</v>
      </c>
      <c r="H154" s="10"/>
      <c r="I154" s="10" t="s">
        <v>340</v>
      </c>
      <c r="J154" s="10"/>
      <c r="K154" s="10" t="s">
        <v>330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339</v>
      </c>
      <c r="AA154" s="10" t="s">
        <v>64</v>
      </c>
      <c r="AB154" s="10" t="s">
        <v>64</v>
      </c>
      <c r="AC154" s="10" t="s">
        <v>64</v>
      </c>
      <c r="AE154" s="10"/>
      <c r="AF154" s="10" t="s">
        <v>339</v>
      </c>
      <c r="AG154" s="10" t="s">
        <v>339</v>
      </c>
      <c r="AH154" s="10"/>
      <c r="AI154" s="10"/>
      <c r="AJ154" s="10"/>
      <c r="AK154" s="10"/>
      <c r="AL154" s="10"/>
      <c r="AN154" s="14"/>
    </row>
    <row r="155" spans="1:40" s="1" customFormat="1">
      <c r="A155" s="10">
        <f>IF(A154="",MAX($A$10:A154)+10,A154)</f>
        <v>200</v>
      </c>
      <c r="B155" s="10"/>
      <c r="C155" s="10"/>
      <c r="D155" s="10" t="s">
        <v>130</v>
      </c>
      <c r="E155" s="31" t="s">
        <v>583</v>
      </c>
      <c r="F155" s="10" t="s">
        <v>131</v>
      </c>
      <c r="G155" s="10" t="s">
        <v>1</v>
      </c>
      <c r="H155" s="10"/>
      <c r="I155" s="10" t="s">
        <v>340</v>
      </c>
      <c r="J155" s="10"/>
      <c r="K155" s="10" t="s">
        <v>330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339</v>
      </c>
      <c r="AA155" s="10" t="s">
        <v>64</v>
      </c>
      <c r="AB155" s="10" t="s">
        <v>64</v>
      </c>
      <c r="AC155" s="10" t="s">
        <v>64</v>
      </c>
      <c r="AE155" s="10"/>
      <c r="AF155" s="10" t="s">
        <v>339</v>
      </c>
      <c r="AG155" s="10" t="s">
        <v>339</v>
      </c>
      <c r="AH155" s="10"/>
      <c r="AI155" s="10"/>
      <c r="AJ155" s="10"/>
      <c r="AK155" s="10"/>
      <c r="AL155" s="10"/>
      <c r="AN155" s="14"/>
    </row>
    <row r="156" spans="1:40" s="1" customFormat="1">
      <c r="A156" s="10">
        <f>IF(A155="",MAX($A$10:A155)+10,A155)</f>
        <v>200</v>
      </c>
      <c r="B156" s="10"/>
      <c r="C156" s="10"/>
      <c r="D156" s="10" t="s">
        <v>135</v>
      </c>
      <c r="E156" s="31" t="s">
        <v>584</v>
      </c>
      <c r="F156" s="10" t="s">
        <v>134</v>
      </c>
      <c r="G156" s="10" t="s">
        <v>1</v>
      </c>
      <c r="H156" s="10"/>
      <c r="I156" s="10" t="s">
        <v>340</v>
      </c>
      <c r="J156" s="10"/>
      <c r="K156" s="10" t="s">
        <v>330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339</v>
      </c>
      <c r="AA156" s="10" t="s">
        <v>64</v>
      </c>
      <c r="AB156" s="10" t="s">
        <v>64</v>
      </c>
      <c r="AC156" s="10" t="s">
        <v>64</v>
      </c>
      <c r="AE156" s="10"/>
      <c r="AF156" s="10" t="s">
        <v>339</v>
      </c>
      <c r="AG156" s="10" t="s">
        <v>339</v>
      </c>
      <c r="AH156" s="10"/>
      <c r="AI156" s="10"/>
      <c r="AJ156" s="10"/>
      <c r="AK156" s="10"/>
      <c r="AL156" s="10"/>
      <c r="AN156" s="14"/>
    </row>
    <row r="157" spans="1:40" s="1" customFormat="1" ht="26">
      <c r="A157" s="10">
        <f>IF(A156="",MAX($A$10:A156)+10,A156)</f>
        <v>200</v>
      </c>
      <c r="B157" s="10"/>
      <c r="C157" s="10"/>
      <c r="D157" s="10" t="s">
        <v>88</v>
      </c>
      <c r="E157" s="31" t="s">
        <v>585</v>
      </c>
      <c r="F157" s="10" t="s">
        <v>93</v>
      </c>
      <c r="G157" s="10" t="s">
        <v>1</v>
      </c>
      <c r="H157" s="10"/>
      <c r="I157" s="10" t="s">
        <v>340</v>
      </c>
      <c r="J157" s="10"/>
      <c r="K157" s="10" t="s">
        <v>330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339</v>
      </c>
      <c r="AA157" s="10" t="s">
        <v>64</v>
      </c>
      <c r="AB157" s="10" t="s">
        <v>64</v>
      </c>
      <c r="AC157" s="10" t="s">
        <v>64</v>
      </c>
      <c r="AE157" s="10"/>
      <c r="AF157" s="10" t="s">
        <v>339</v>
      </c>
      <c r="AG157" s="10" t="s">
        <v>339</v>
      </c>
      <c r="AH157" s="10"/>
      <c r="AI157" s="10"/>
      <c r="AJ157" s="10"/>
      <c r="AK157" s="10"/>
      <c r="AL157" s="10"/>
      <c r="AN157" s="14"/>
    </row>
    <row r="158" spans="1:40" s="1" customFormat="1">
      <c r="A158" s="10">
        <f>IF(A157="",MAX($A$10:A157)+10,A157)</f>
        <v>200</v>
      </c>
      <c r="B158" s="10"/>
      <c r="C158" s="10"/>
      <c r="D158" s="10" t="s">
        <v>29</v>
      </c>
      <c r="E158" s="31" t="s">
        <v>539</v>
      </c>
      <c r="F158" s="10" t="s">
        <v>22</v>
      </c>
      <c r="G158" s="10" t="s">
        <v>9</v>
      </c>
      <c r="H158" s="10"/>
      <c r="I158" s="10" t="s">
        <v>358</v>
      </c>
      <c r="J158" s="10"/>
      <c r="K158" s="10" t="s">
        <v>330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339</v>
      </c>
      <c r="AA158" s="10" t="s">
        <v>64</v>
      </c>
      <c r="AB158" s="10" t="s">
        <v>64</v>
      </c>
      <c r="AC158" s="10" t="s">
        <v>64</v>
      </c>
      <c r="AE158" s="10"/>
      <c r="AF158" s="10" t="s">
        <v>339</v>
      </c>
      <c r="AG158" s="10" t="s">
        <v>339</v>
      </c>
      <c r="AH158" s="10"/>
      <c r="AI158" s="10"/>
      <c r="AJ158" s="10"/>
      <c r="AK158" s="10"/>
      <c r="AL158" s="10"/>
      <c r="AN158" s="14"/>
    </row>
    <row r="159" spans="1:40" s="1" customFormat="1">
      <c r="A159" s="10">
        <f>IF(A158="",MAX($A$10:A158)+10,A158)</f>
        <v>200</v>
      </c>
      <c r="B159" s="10"/>
      <c r="C159" s="10"/>
      <c r="D159" s="10" t="s">
        <v>23</v>
      </c>
      <c r="E159" s="31" t="s">
        <v>540</v>
      </c>
      <c r="F159" s="10" t="s">
        <v>25</v>
      </c>
      <c r="G159" s="10" t="s">
        <v>9</v>
      </c>
      <c r="H159" s="10"/>
      <c r="I159" s="10" t="s">
        <v>360</v>
      </c>
      <c r="J159" s="10"/>
      <c r="K159" s="10" t="s">
        <v>330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339</v>
      </c>
      <c r="AA159" s="10" t="s">
        <v>64</v>
      </c>
      <c r="AB159" s="10" t="s">
        <v>64</v>
      </c>
      <c r="AC159" s="10" t="s">
        <v>64</v>
      </c>
      <c r="AE159" s="10"/>
      <c r="AF159" s="10" t="s">
        <v>339</v>
      </c>
      <c r="AG159" s="10" t="s">
        <v>339</v>
      </c>
      <c r="AH159" s="10"/>
      <c r="AI159" s="10"/>
      <c r="AJ159" s="10"/>
      <c r="AK159" s="10"/>
      <c r="AL159" s="10"/>
      <c r="AN159" s="14"/>
    </row>
    <row r="160" spans="1:40" s="1" customFormat="1">
      <c r="A160" s="10">
        <f>IF(A159="",MAX($A$10:A159)+10,A159)</f>
        <v>200</v>
      </c>
      <c r="B160" s="10"/>
      <c r="C160" s="10"/>
      <c r="D160" s="10" t="s">
        <v>24</v>
      </c>
      <c r="E160" s="31" t="s">
        <v>541</v>
      </c>
      <c r="F160" s="10" t="s">
        <v>26</v>
      </c>
      <c r="G160" s="10" t="s">
        <v>9</v>
      </c>
      <c r="H160" s="10"/>
      <c r="I160" s="10" t="s">
        <v>361</v>
      </c>
      <c r="J160" s="10"/>
      <c r="K160" s="10" t="s">
        <v>330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339</v>
      </c>
      <c r="AA160" s="10" t="s">
        <v>64</v>
      </c>
      <c r="AB160" s="10" t="s">
        <v>64</v>
      </c>
      <c r="AC160" s="10" t="s">
        <v>64</v>
      </c>
      <c r="AE160" s="10"/>
      <c r="AF160" s="10" t="s">
        <v>339</v>
      </c>
      <c r="AG160" s="10" t="s">
        <v>339</v>
      </c>
      <c r="AH160" s="10"/>
      <c r="AI160" s="10"/>
      <c r="AJ160" s="10"/>
      <c r="AK160" s="10"/>
      <c r="AL160" s="10"/>
      <c r="AN160" s="14"/>
    </row>
    <row r="161" spans="1:40" s="1" customFormat="1">
      <c r="A161" s="10">
        <f>IF(A160="",MAX($A$10:A160)+10,A160)</f>
        <v>200</v>
      </c>
      <c r="B161" s="10"/>
      <c r="C161" s="10"/>
      <c r="D161" s="10" t="s">
        <v>52</v>
      </c>
      <c r="E161" s="31" t="s">
        <v>586</v>
      </c>
      <c r="F161" s="10" t="s">
        <v>45</v>
      </c>
      <c r="G161" s="10" t="s">
        <v>9</v>
      </c>
      <c r="H161" s="10"/>
      <c r="I161" s="10" t="s">
        <v>430</v>
      </c>
      <c r="J161" s="10"/>
      <c r="K161" s="10" t="s">
        <v>330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64</v>
      </c>
      <c r="AA161" s="10" t="s">
        <v>64</v>
      </c>
      <c r="AB161" s="10" t="s">
        <v>64</v>
      </c>
      <c r="AC161" s="10" t="s">
        <v>64</v>
      </c>
      <c r="AE161" s="10"/>
      <c r="AF161" s="10" t="s">
        <v>339</v>
      </c>
      <c r="AG161" s="10"/>
      <c r="AH161" s="10"/>
      <c r="AI161" s="10"/>
      <c r="AJ161" s="10"/>
      <c r="AK161" s="10"/>
      <c r="AL161" s="10"/>
      <c r="AN161" s="14"/>
    </row>
    <row r="162" spans="1:40" s="1" customFormat="1">
      <c r="A162" s="10">
        <f>IF(A161="",MAX($A$10:A161)+10,A161)</f>
        <v>200</v>
      </c>
      <c r="B162" s="10"/>
      <c r="C162" s="10"/>
      <c r="D162" s="10" t="s">
        <v>53</v>
      </c>
      <c r="E162" s="31" t="s">
        <v>587</v>
      </c>
      <c r="F162" s="10" t="s">
        <v>30</v>
      </c>
      <c r="G162" s="10" t="s">
        <v>9</v>
      </c>
      <c r="H162" s="10"/>
      <c r="I162" s="10" t="s">
        <v>431</v>
      </c>
      <c r="J162" s="10"/>
      <c r="K162" s="10" t="s">
        <v>330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64</v>
      </c>
      <c r="AA162" s="10" t="s">
        <v>64</v>
      </c>
      <c r="AB162" s="10" t="s">
        <v>64</v>
      </c>
      <c r="AC162" s="10" t="s">
        <v>64</v>
      </c>
      <c r="AE162" s="10"/>
      <c r="AF162" s="10" t="s">
        <v>339</v>
      </c>
      <c r="AG162" s="10"/>
      <c r="AH162" s="10"/>
      <c r="AI162" s="10"/>
      <c r="AJ162" s="10"/>
      <c r="AK162" s="10"/>
      <c r="AL162" s="10"/>
      <c r="AN162" s="14"/>
    </row>
    <row r="163" spans="1:40" s="1" customFormat="1">
      <c r="A163" s="10">
        <f>IF(A162="",MAX($A$10:A162)+10,A162)</f>
        <v>200</v>
      </c>
      <c r="B163" s="10"/>
      <c r="C163" s="10"/>
      <c r="D163" s="10" t="s">
        <v>65</v>
      </c>
      <c r="E163" s="31" t="s">
        <v>588</v>
      </c>
      <c r="F163" s="10" t="s">
        <v>10</v>
      </c>
      <c r="G163" s="10" t="s">
        <v>9</v>
      </c>
      <c r="H163" s="10"/>
      <c r="I163" s="10" t="s">
        <v>432</v>
      </c>
      <c r="J163" s="10"/>
      <c r="K163" s="10" t="s">
        <v>330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64</v>
      </c>
      <c r="AA163" s="10" t="s">
        <v>64</v>
      </c>
      <c r="AB163" s="10" t="s">
        <v>64</v>
      </c>
      <c r="AC163" s="10" t="s">
        <v>64</v>
      </c>
      <c r="AE163" s="10"/>
      <c r="AF163" s="10" t="s">
        <v>339</v>
      </c>
      <c r="AG163" s="10"/>
      <c r="AH163" s="10"/>
      <c r="AI163" s="10"/>
      <c r="AJ163" s="10"/>
      <c r="AK163" s="10"/>
      <c r="AL163" s="10"/>
      <c r="AN163" s="14"/>
    </row>
    <row r="164" spans="1:40" s="1" customFormat="1">
      <c r="A164" s="10">
        <f>IF(A163="",MAX($A$10:A163)+10,A163)</f>
        <v>200</v>
      </c>
      <c r="B164" s="10"/>
      <c r="C164" s="10"/>
      <c r="D164" s="10" t="s">
        <v>54</v>
      </c>
      <c r="E164" s="31" t="s">
        <v>589</v>
      </c>
      <c r="F164" s="10" t="s">
        <v>32</v>
      </c>
      <c r="G164" s="10" t="s">
        <v>9</v>
      </c>
      <c r="H164" s="10"/>
      <c r="I164" s="10" t="s">
        <v>433</v>
      </c>
      <c r="J164" s="10"/>
      <c r="K164" s="10" t="s">
        <v>330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64</v>
      </c>
      <c r="AA164" s="10" t="s">
        <v>64</v>
      </c>
      <c r="AB164" s="10" t="s">
        <v>64</v>
      </c>
      <c r="AC164" s="10" t="s">
        <v>64</v>
      </c>
      <c r="AE164" s="10"/>
      <c r="AF164" s="10" t="s">
        <v>339</v>
      </c>
      <c r="AG164" s="10"/>
      <c r="AH164" s="10"/>
      <c r="AI164" s="10"/>
      <c r="AJ164" s="10"/>
      <c r="AK164" s="10"/>
      <c r="AL164" s="10"/>
      <c r="AN164" s="14"/>
    </row>
    <row r="165" spans="1:40" s="1" customFormat="1">
      <c r="A165" s="10">
        <f>IF(A164="",MAX($A$10:A164)+10,A164)</f>
        <v>200</v>
      </c>
      <c r="B165" s="10"/>
      <c r="C165" s="10"/>
      <c r="D165" s="10" t="s">
        <v>59</v>
      </c>
      <c r="E165" s="31" t="s">
        <v>590</v>
      </c>
      <c r="F165" s="10" t="s">
        <v>60</v>
      </c>
      <c r="G165" s="10" t="s">
        <v>9</v>
      </c>
      <c r="H165" s="10"/>
      <c r="I165" s="10" t="s">
        <v>434</v>
      </c>
      <c r="J165" s="10"/>
      <c r="K165" s="10" t="s">
        <v>330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64</v>
      </c>
      <c r="AA165" s="10" t="s">
        <v>64</v>
      </c>
      <c r="AB165" s="10" t="s">
        <v>64</v>
      </c>
      <c r="AC165" s="10" t="s">
        <v>64</v>
      </c>
      <c r="AE165" s="10"/>
      <c r="AF165" s="10" t="s">
        <v>339</v>
      </c>
      <c r="AG165" s="10"/>
      <c r="AH165" s="10"/>
      <c r="AI165" s="10"/>
      <c r="AJ165" s="10"/>
      <c r="AK165" s="10"/>
      <c r="AL165" s="10"/>
      <c r="AN165" s="14"/>
    </row>
    <row r="166" spans="1:40" s="1" customFormat="1">
      <c r="A166" s="10">
        <f>IF(A165="",MAX($A$10:A165)+10,A165)</f>
        <v>200</v>
      </c>
      <c r="B166" s="10"/>
      <c r="C166" s="10"/>
      <c r="D166" s="10" t="s">
        <v>76</v>
      </c>
      <c r="E166" s="31" t="s">
        <v>591</v>
      </c>
      <c r="F166" s="10" t="s">
        <v>77</v>
      </c>
      <c r="G166" s="10"/>
      <c r="H166" s="10"/>
      <c r="I166" s="10" t="s">
        <v>435</v>
      </c>
      <c r="J166" s="10"/>
      <c r="K166" s="10" t="s">
        <v>330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407</v>
      </c>
      <c r="AA166" s="10" t="s">
        <v>407</v>
      </c>
      <c r="AB166" s="10" t="s">
        <v>407</v>
      </c>
      <c r="AC166" s="10" t="s">
        <v>407</v>
      </c>
      <c r="AE166" s="10"/>
      <c r="AF166" s="10" t="s">
        <v>339</v>
      </c>
      <c r="AG166" s="10" t="s">
        <v>339</v>
      </c>
      <c r="AH166" s="10"/>
      <c r="AI166" s="10" t="s">
        <v>339</v>
      </c>
      <c r="AJ166" s="10"/>
      <c r="AK166" s="10"/>
      <c r="AL166" s="10"/>
      <c r="AN166" s="14"/>
    </row>
    <row r="167" spans="1:40" s="1" customFormat="1">
      <c r="A167" s="10">
        <f>IF(A166="",MAX($A$10:A166)+10,A166)</f>
        <v>200</v>
      </c>
      <c r="B167" s="10"/>
      <c r="C167" s="10"/>
      <c r="D167" s="10" t="s">
        <v>55</v>
      </c>
      <c r="E167" s="31" t="s">
        <v>592</v>
      </c>
      <c r="F167" s="10" t="s">
        <v>67</v>
      </c>
      <c r="G167" s="10" t="s">
        <v>1</v>
      </c>
      <c r="H167" s="10"/>
      <c r="I167" s="10" t="s">
        <v>430</v>
      </c>
      <c r="J167" s="10"/>
      <c r="K167" s="10" t="s">
        <v>330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64</v>
      </c>
      <c r="AA167" s="10" t="s">
        <v>64</v>
      </c>
      <c r="AB167" s="10" t="s">
        <v>64</v>
      </c>
      <c r="AC167" s="10" t="s">
        <v>64</v>
      </c>
      <c r="AE167" s="10"/>
      <c r="AF167" s="10" t="s">
        <v>339</v>
      </c>
      <c r="AG167" s="10"/>
      <c r="AH167" s="10"/>
      <c r="AI167" s="10"/>
      <c r="AJ167" s="10"/>
      <c r="AK167" s="10"/>
      <c r="AL167" s="10"/>
      <c r="AN167" s="14"/>
    </row>
    <row r="168" spans="1:40" s="1" customFormat="1">
      <c r="A168" s="10">
        <f>IF(A167="",MAX($A$10:A167)+10,A167)</f>
        <v>200</v>
      </c>
      <c r="B168" s="10"/>
      <c r="C168" s="10"/>
      <c r="D168" s="10" t="s">
        <v>56</v>
      </c>
      <c r="E168" s="31" t="s">
        <v>593</v>
      </c>
      <c r="F168" s="10" t="s">
        <v>31</v>
      </c>
      <c r="G168" s="10" t="s">
        <v>9</v>
      </c>
      <c r="H168" s="10"/>
      <c r="I168" s="10" t="s">
        <v>431</v>
      </c>
      <c r="J168" s="10"/>
      <c r="K168" s="10" t="s">
        <v>330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64</v>
      </c>
      <c r="AA168" s="10" t="s">
        <v>64</v>
      </c>
      <c r="AB168" s="10" t="s">
        <v>64</v>
      </c>
      <c r="AC168" s="10" t="s">
        <v>64</v>
      </c>
      <c r="AE168" s="10"/>
      <c r="AF168" s="10" t="s">
        <v>339</v>
      </c>
      <c r="AG168" s="10"/>
      <c r="AH168" s="10"/>
      <c r="AI168" s="10"/>
      <c r="AJ168" s="10"/>
      <c r="AK168" s="10"/>
      <c r="AL168" s="10"/>
      <c r="AN168" s="14"/>
    </row>
    <row r="169" spans="1:40" s="1" customFormat="1">
      <c r="A169" s="10">
        <f>IF(A168="",MAX($A$10:A168)+10,A168)</f>
        <v>200</v>
      </c>
      <c r="B169" s="10"/>
      <c r="C169" s="10"/>
      <c r="D169" s="10" t="s">
        <v>57</v>
      </c>
      <c r="E169" s="31" t="s">
        <v>594</v>
      </c>
      <c r="F169" s="10" t="s">
        <v>33</v>
      </c>
      <c r="G169" s="10" t="s">
        <v>9</v>
      </c>
      <c r="H169" s="10"/>
      <c r="I169" s="10" t="s">
        <v>432</v>
      </c>
      <c r="J169" s="10"/>
      <c r="K169" s="10" t="s">
        <v>330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64</v>
      </c>
      <c r="AA169" s="10" t="s">
        <v>64</v>
      </c>
      <c r="AB169" s="10" t="s">
        <v>64</v>
      </c>
      <c r="AC169" s="10" t="s">
        <v>64</v>
      </c>
      <c r="AE169" s="10"/>
      <c r="AF169" s="10" t="s">
        <v>339</v>
      </c>
      <c r="AG169" s="10"/>
      <c r="AH169" s="10"/>
      <c r="AI169" s="10"/>
      <c r="AJ169" s="10"/>
      <c r="AK169" s="10"/>
      <c r="AL169" s="10"/>
      <c r="AN169" s="14"/>
    </row>
    <row r="170" spans="1:40" s="1" customFormat="1">
      <c r="A170" s="10">
        <f>IF(A169="",MAX($A$10:A169)+10,A169)</f>
        <v>200</v>
      </c>
      <c r="B170" s="10"/>
      <c r="C170" s="10"/>
      <c r="D170" s="10" t="s">
        <v>58</v>
      </c>
      <c r="E170" s="31" t="s">
        <v>595</v>
      </c>
      <c r="F170" s="10" t="s">
        <v>34</v>
      </c>
      <c r="G170" s="10" t="s">
        <v>9</v>
      </c>
      <c r="H170" s="10"/>
      <c r="I170" s="10" t="s">
        <v>433</v>
      </c>
      <c r="J170" s="10"/>
      <c r="K170" s="10" t="s">
        <v>330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64</v>
      </c>
      <c r="AA170" s="10" t="s">
        <v>64</v>
      </c>
      <c r="AB170" s="10" t="s">
        <v>64</v>
      </c>
      <c r="AC170" s="10" t="s">
        <v>64</v>
      </c>
      <c r="AE170" s="10"/>
      <c r="AF170" s="10" t="s">
        <v>339</v>
      </c>
      <c r="AG170" s="10"/>
      <c r="AH170" s="10"/>
      <c r="AI170" s="10"/>
      <c r="AJ170" s="10"/>
      <c r="AK170" s="10"/>
      <c r="AL170" s="10"/>
      <c r="AN170" s="14"/>
    </row>
    <row r="171" spans="1:40" s="1" customFormat="1">
      <c r="A171" s="10">
        <f>IF(A170="",MAX($A$10:A170)+10,A170)</f>
        <v>200</v>
      </c>
      <c r="B171" s="10"/>
      <c r="C171" s="10"/>
      <c r="D171" s="10" t="s">
        <v>61</v>
      </c>
      <c r="E171" s="31" t="s">
        <v>596</v>
      </c>
      <c r="F171" s="10" t="s">
        <v>62</v>
      </c>
      <c r="G171" s="10" t="s">
        <v>9</v>
      </c>
      <c r="H171" s="10"/>
      <c r="I171" s="10" t="s">
        <v>434</v>
      </c>
      <c r="J171" s="10"/>
      <c r="K171" s="10" t="s">
        <v>330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64</v>
      </c>
      <c r="AA171" s="10" t="s">
        <v>64</v>
      </c>
      <c r="AB171" s="10" t="s">
        <v>64</v>
      </c>
      <c r="AC171" s="10" t="s">
        <v>64</v>
      </c>
      <c r="AE171" s="10"/>
      <c r="AF171" s="10" t="s">
        <v>339</v>
      </c>
      <c r="AG171" s="10"/>
      <c r="AH171" s="10"/>
      <c r="AI171" s="10"/>
      <c r="AJ171" s="10"/>
      <c r="AK171" s="10"/>
      <c r="AL171" s="10"/>
      <c r="AN171" s="14"/>
    </row>
    <row r="172" spans="1:40" s="1" customFormat="1">
      <c r="A172" s="10">
        <f>IF(A171="",MAX($A$10:A171)+10,A171)</f>
        <v>200</v>
      </c>
      <c r="B172" s="10"/>
      <c r="C172" s="10"/>
      <c r="D172" s="10" t="s">
        <v>63</v>
      </c>
      <c r="E172" s="31" t="s">
        <v>597</v>
      </c>
      <c r="F172" s="10" t="s">
        <v>35</v>
      </c>
      <c r="G172" s="10" t="s">
        <v>9</v>
      </c>
      <c r="H172" s="10"/>
      <c r="I172" s="10" t="s">
        <v>436</v>
      </c>
      <c r="J172" s="10"/>
      <c r="K172" s="10" t="s">
        <v>330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64</v>
      </c>
      <c r="AA172" s="10" t="s">
        <v>64</v>
      </c>
      <c r="AB172" s="10" t="s">
        <v>64</v>
      </c>
      <c r="AC172" s="10" t="s">
        <v>64</v>
      </c>
      <c r="AE172" s="10"/>
      <c r="AF172" s="10" t="s">
        <v>339</v>
      </c>
      <c r="AG172" s="10"/>
      <c r="AH172" s="10"/>
      <c r="AI172" s="10"/>
      <c r="AJ172" s="10"/>
      <c r="AK172" s="10"/>
      <c r="AL172" s="10"/>
      <c r="AN172" s="14"/>
    </row>
    <row r="173" spans="1:40" s="1" customFormat="1">
      <c r="A173" s="10">
        <f>IF(A172="",MAX($A$10:A172)+10,A172)</f>
        <v>200</v>
      </c>
      <c r="B173" s="10"/>
      <c r="C173" s="10"/>
      <c r="D173" s="10" t="s">
        <v>70</v>
      </c>
      <c r="E173" s="31" t="s">
        <v>598</v>
      </c>
      <c r="F173" s="10" t="s">
        <v>36</v>
      </c>
      <c r="G173" s="10" t="s">
        <v>9</v>
      </c>
      <c r="H173" s="10"/>
      <c r="I173" s="10" t="s">
        <v>430</v>
      </c>
      <c r="J173" s="10"/>
      <c r="K173" s="10" t="s">
        <v>330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64</v>
      </c>
      <c r="AA173" s="10" t="s">
        <v>64</v>
      </c>
      <c r="AB173" s="10" t="s">
        <v>64</v>
      </c>
      <c r="AC173" s="10" t="s">
        <v>64</v>
      </c>
      <c r="AE173" s="10"/>
      <c r="AF173" s="10" t="s">
        <v>339</v>
      </c>
      <c r="AG173" s="10"/>
      <c r="AH173" s="10"/>
      <c r="AI173" s="10"/>
      <c r="AJ173" s="10"/>
      <c r="AK173" s="10"/>
      <c r="AL173" s="10"/>
      <c r="AN173" s="14"/>
    </row>
    <row r="174" spans="1:40" s="1" customFormat="1">
      <c r="A174" s="10">
        <f>IF(A173="",MAX($A$10:A173)+10,A173)</f>
        <v>200</v>
      </c>
      <c r="B174" s="10"/>
      <c r="C174" s="10"/>
      <c r="D174" s="10" t="s">
        <v>71</v>
      </c>
      <c r="E174" s="31" t="s">
        <v>599</v>
      </c>
      <c r="F174" s="10" t="s">
        <v>37</v>
      </c>
      <c r="G174" s="10" t="s">
        <v>9</v>
      </c>
      <c r="H174" s="10"/>
      <c r="I174" s="10" t="s">
        <v>431</v>
      </c>
      <c r="J174" s="10"/>
      <c r="K174" s="10" t="s">
        <v>330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64</v>
      </c>
      <c r="AA174" s="10" t="s">
        <v>64</v>
      </c>
      <c r="AB174" s="10" t="s">
        <v>64</v>
      </c>
      <c r="AC174" s="10" t="s">
        <v>64</v>
      </c>
      <c r="AE174" s="10"/>
      <c r="AF174" s="10" t="s">
        <v>339</v>
      </c>
      <c r="AG174" s="10"/>
      <c r="AH174" s="10"/>
      <c r="AI174" s="10"/>
      <c r="AJ174" s="10"/>
      <c r="AK174" s="10"/>
      <c r="AL174" s="10"/>
      <c r="AN174" s="14"/>
    </row>
    <row r="175" spans="1:40" s="1" customFormat="1">
      <c r="A175" s="10">
        <f>IF(A174="",MAX($A$10:A174)+10,A174)</f>
        <v>200</v>
      </c>
      <c r="B175" s="10"/>
      <c r="C175" s="10"/>
      <c r="D175" s="10" t="s">
        <v>72</v>
      </c>
      <c r="E175" s="31" t="s">
        <v>600</v>
      </c>
      <c r="F175" s="10" t="s">
        <v>38</v>
      </c>
      <c r="G175" s="10" t="s">
        <v>9</v>
      </c>
      <c r="H175" s="10"/>
      <c r="I175" s="10" t="s">
        <v>432</v>
      </c>
      <c r="J175" s="10"/>
      <c r="K175" s="10" t="s">
        <v>330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64</v>
      </c>
      <c r="AA175" s="10" t="s">
        <v>64</v>
      </c>
      <c r="AB175" s="10" t="s">
        <v>64</v>
      </c>
      <c r="AC175" s="10" t="s">
        <v>64</v>
      </c>
      <c r="AE175" s="10"/>
      <c r="AF175" s="10" t="s">
        <v>339</v>
      </c>
      <c r="AG175" s="10"/>
      <c r="AH175" s="10"/>
      <c r="AI175" s="10"/>
      <c r="AJ175" s="10"/>
      <c r="AK175" s="10"/>
      <c r="AL175" s="10"/>
      <c r="AN175" s="14"/>
    </row>
    <row r="176" spans="1:40" s="1" customFormat="1" ht="52">
      <c r="A176" s="41"/>
      <c r="AE176" s="36" t="s">
        <v>608</v>
      </c>
      <c r="AF176" s="36" t="s">
        <v>609</v>
      </c>
      <c r="AG176" s="36" t="s">
        <v>608</v>
      </c>
      <c r="AH176" s="36" t="s">
        <v>609</v>
      </c>
      <c r="AI176" s="36" t="s">
        <v>608</v>
      </c>
      <c r="AJ176" s="36" t="s">
        <v>609</v>
      </c>
      <c r="AK176" s="36" t="s">
        <v>608</v>
      </c>
      <c r="AL176" s="36" t="s">
        <v>609</v>
      </c>
      <c r="AN176" s="15"/>
    </row>
    <row r="177" spans="1:40" s="1" customFormat="1">
      <c r="A177" s="10">
        <f>IF(A176="",MAX($A$10:A176)+10,A176)</f>
        <v>210</v>
      </c>
      <c r="B177" s="11" t="s">
        <v>11</v>
      </c>
      <c r="C177" s="11"/>
      <c r="D177" s="11" t="s">
        <v>66</v>
      </c>
      <c r="E177" s="12"/>
      <c r="F177" s="11"/>
      <c r="G177" s="11"/>
      <c r="H177" s="11"/>
      <c r="I177" s="11" t="s">
        <v>324</v>
      </c>
      <c r="J177" s="11"/>
      <c r="K177" s="11" t="s">
        <v>47</v>
      </c>
      <c r="L177" s="11"/>
      <c r="M177" s="11" t="s">
        <v>437</v>
      </c>
      <c r="N177" s="11" t="s">
        <v>327</v>
      </c>
      <c r="O177" s="11"/>
      <c r="P177" s="11"/>
      <c r="Q177" s="18"/>
      <c r="R177" s="18"/>
      <c r="S177" s="18"/>
      <c r="T177" s="18"/>
      <c r="U177" s="18"/>
      <c r="V177" s="18"/>
      <c r="W177" s="18"/>
      <c r="X177" s="18"/>
      <c r="Y177" s="16"/>
      <c r="Z177" s="18"/>
      <c r="AA177" s="18"/>
      <c r="AB177" s="18"/>
      <c r="AC177" s="18"/>
      <c r="AD177" s="16"/>
      <c r="AE177" s="10"/>
      <c r="AF177" s="10"/>
      <c r="AG177" s="10"/>
      <c r="AH177" s="10"/>
      <c r="AI177" s="10"/>
      <c r="AJ177" s="10"/>
      <c r="AK177" s="10"/>
      <c r="AL177" s="10"/>
      <c r="AM177" s="16"/>
      <c r="AN177" s="14"/>
    </row>
    <row r="178" spans="1:40" s="1" customFormat="1">
      <c r="A178" s="10">
        <f>IF(A177="",MAX($A$10:A177)+10,A177)</f>
        <v>210</v>
      </c>
      <c r="B178" s="10"/>
      <c r="C178" s="10"/>
      <c r="D178" s="10" t="s">
        <v>39</v>
      </c>
      <c r="E178" s="31" t="s">
        <v>601</v>
      </c>
      <c r="F178" s="10" t="s">
        <v>41</v>
      </c>
      <c r="G178" s="10" t="s">
        <v>43</v>
      </c>
      <c r="H178" s="10"/>
      <c r="I178" s="10" t="s">
        <v>438</v>
      </c>
      <c r="J178" s="10"/>
      <c r="K178" s="10" t="s">
        <v>439</v>
      </c>
      <c r="L178" s="10"/>
      <c r="M178" s="10"/>
      <c r="N178" s="10"/>
      <c r="O178" s="10"/>
      <c r="P178" s="10"/>
      <c r="Q178" s="10"/>
      <c r="R178" s="10"/>
      <c r="S178" s="10"/>
      <c r="T178" s="10" t="s">
        <v>440</v>
      </c>
      <c r="U178" s="10"/>
      <c r="V178" s="10"/>
      <c r="W178" s="10"/>
      <c r="X178" s="10"/>
      <c r="Z178" s="10" t="s">
        <v>339</v>
      </c>
      <c r="AA178" s="10" t="s">
        <v>441</v>
      </c>
      <c r="AB178" s="10" t="s">
        <v>339</v>
      </c>
      <c r="AC178" s="10" t="s">
        <v>441</v>
      </c>
      <c r="AE178" s="10"/>
      <c r="AF178" s="10"/>
      <c r="AG178" s="10"/>
      <c r="AH178" s="10"/>
      <c r="AI178" s="10"/>
      <c r="AJ178" s="10"/>
      <c r="AK178" s="10"/>
      <c r="AL178" s="10"/>
      <c r="AN178" s="14"/>
    </row>
    <row r="179" spans="1:40" s="1" customFormat="1">
      <c r="A179" s="10">
        <f>IF(A178="",MAX($A$10:A178)+10,A178)</f>
        <v>210</v>
      </c>
      <c r="B179" s="10"/>
      <c r="C179" s="10"/>
      <c r="D179" s="10" t="s">
        <v>40</v>
      </c>
      <c r="E179" s="31" t="s">
        <v>602</v>
      </c>
      <c r="F179" s="10" t="s">
        <v>42</v>
      </c>
      <c r="G179" s="10" t="s">
        <v>44</v>
      </c>
      <c r="H179" s="10"/>
      <c r="I179" s="10" t="s">
        <v>438</v>
      </c>
      <c r="J179" s="10"/>
      <c r="K179" s="10" t="s">
        <v>439</v>
      </c>
      <c r="L179" s="10"/>
      <c r="M179" s="10"/>
      <c r="N179" s="10"/>
      <c r="O179" s="10"/>
      <c r="P179" s="10"/>
      <c r="Q179" s="10"/>
      <c r="R179" s="10"/>
      <c r="S179" s="10"/>
      <c r="T179" s="10" t="s">
        <v>442</v>
      </c>
      <c r="U179" s="10"/>
      <c r="V179" s="10"/>
      <c r="W179" s="10"/>
      <c r="X179" s="10"/>
      <c r="Z179" s="10" t="s">
        <v>339</v>
      </c>
      <c r="AA179" s="10" t="s">
        <v>441</v>
      </c>
      <c r="AB179" s="10" t="s">
        <v>339</v>
      </c>
      <c r="AC179" s="10" t="s">
        <v>441</v>
      </c>
      <c r="AE179" s="10"/>
      <c r="AF179" s="10"/>
      <c r="AG179" s="10"/>
      <c r="AH179" s="10"/>
      <c r="AI179" s="10"/>
      <c r="AJ179" s="10"/>
      <c r="AK179" s="10"/>
      <c r="AL179" s="10"/>
      <c r="AN179" s="14"/>
    </row>
    <row r="180" spans="1:40" s="1" customFormat="1">
      <c r="A180" s="10">
        <f>IF(A179="",MAX($A$10:A179)+10,A179)</f>
        <v>210</v>
      </c>
      <c r="B180" s="10"/>
      <c r="C180" s="10"/>
      <c r="D180" s="10" t="s">
        <v>473</v>
      </c>
      <c r="E180" s="31" t="s">
        <v>603</v>
      </c>
      <c r="F180" s="10" t="s">
        <v>15</v>
      </c>
      <c r="G180" s="10" t="s">
        <v>16</v>
      </c>
      <c r="H180" s="10"/>
      <c r="I180" s="10" t="s">
        <v>438</v>
      </c>
      <c r="J180" s="10"/>
      <c r="K180" s="10" t="s">
        <v>439</v>
      </c>
      <c r="L180" s="10"/>
      <c r="M180" s="10"/>
      <c r="N180" s="10"/>
      <c r="O180" s="10"/>
      <c r="P180" s="10"/>
      <c r="Q180" s="10" t="s">
        <v>443</v>
      </c>
      <c r="R180" s="10" t="s">
        <v>444</v>
      </c>
      <c r="S180" s="10"/>
      <c r="T180" s="10" t="s">
        <v>445</v>
      </c>
      <c r="U180" s="10"/>
      <c r="V180" s="10"/>
      <c r="W180" s="10"/>
      <c r="X180" s="10"/>
      <c r="Z180" s="10" t="s">
        <v>339</v>
      </c>
      <c r="AA180" s="10" t="s">
        <v>441</v>
      </c>
      <c r="AB180" s="10" t="s">
        <v>441</v>
      </c>
      <c r="AC180" s="10" t="s">
        <v>441</v>
      </c>
      <c r="AE180" s="10"/>
      <c r="AF180" s="10"/>
      <c r="AG180" s="10"/>
      <c r="AH180" s="10"/>
      <c r="AI180" s="10"/>
      <c r="AJ180" s="10"/>
      <c r="AK180" s="10"/>
      <c r="AL180" s="10"/>
      <c r="AN180" s="14"/>
    </row>
    <row r="181" spans="1:40" s="1" customFormat="1">
      <c r="A181" s="10">
        <f>IF(A180="",MAX($A$10:A180)+10,A180)</f>
        <v>210</v>
      </c>
      <c r="B181" s="10"/>
      <c r="C181" s="10"/>
      <c r="D181" s="10" t="s">
        <v>474</v>
      </c>
      <c r="E181" s="31" t="s">
        <v>604</v>
      </c>
      <c r="F181" s="10" t="s">
        <v>17</v>
      </c>
      <c r="G181" s="10" t="s">
        <v>18</v>
      </c>
      <c r="H181" s="10"/>
      <c r="I181" s="10" t="s">
        <v>438</v>
      </c>
      <c r="J181" s="10"/>
      <c r="K181" s="10" t="s">
        <v>439</v>
      </c>
      <c r="L181" s="10"/>
      <c r="M181" s="10"/>
      <c r="N181" s="10"/>
      <c r="O181" s="10"/>
      <c r="P181" s="10"/>
      <c r="Q181" s="10" t="s">
        <v>446</v>
      </c>
      <c r="R181" s="10" t="s">
        <v>444</v>
      </c>
      <c r="S181" s="10"/>
      <c r="T181" s="10" t="s">
        <v>447</v>
      </c>
      <c r="U181" s="10"/>
      <c r="V181" s="10"/>
      <c r="W181" s="10"/>
      <c r="X181" s="10"/>
      <c r="Z181" s="10" t="s">
        <v>339</v>
      </c>
      <c r="AA181" s="10" t="s">
        <v>441</v>
      </c>
      <c r="AB181" s="10" t="s">
        <v>441</v>
      </c>
      <c r="AC181" s="10" t="s">
        <v>441</v>
      </c>
      <c r="AE181" s="10"/>
      <c r="AF181" s="10"/>
      <c r="AG181" s="10"/>
      <c r="AH181" s="10"/>
      <c r="AI181" s="10"/>
      <c r="AJ181" s="10"/>
      <c r="AK181" s="10"/>
      <c r="AL181" s="10"/>
      <c r="AN181" s="14"/>
    </row>
    <row r="182" spans="1:40" s="1" customFormat="1">
      <c r="A182" s="10">
        <f>IF(A181="",MAX($A$10:A181)+10,A181)</f>
        <v>210</v>
      </c>
      <c r="B182" s="10"/>
      <c r="C182" s="10"/>
      <c r="D182" s="10" t="s">
        <v>475</v>
      </c>
      <c r="E182" s="31" t="s">
        <v>605</v>
      </c>
      <c r="F182" s="10" t="s">
        <v>19</v>
      </c>
      <c r="G182" s="10" t="s">
        <v>20</v>
      </c>
      <c r="H182" s="10"/>
      <c r="I182" s="10" t="s">
        <v>438</v>
      </c>
      <c r="J182" s="10"/>
      <c r="K182" s="10" t="s">
        <v>439</v>
      </c>
      <c r="L182" s="10"/>
      <c r="M182" s="10"/>
      <c r="N182" s="10"/>
      <c r="O182" s="10"/>
      <c r="P182" s="10"/>
      <c r="Q182" s="10" t="s">
        <v>448</v>
      </c>
      <c r="R182" s="10" t="s">
        <v>444</v>
      </c>
      <c r="S182" s="10"/>
      <c r="T182" s="10" t="s">
        <v>21</v>
      </c>
      <c r="U182" s="10"/>
      <c r="V182" s="10"/>
      <c r="W182" s="10"/>
      <c r="X182" s="10"/>
      <c r="Z182" s="10" t="s">
        <v>339</v>
      </c>
      <c r="AA182" s="10" t="s">
        <v>441</v>
      </c>
      <c r="AB182" s="10" t="s">
        <v>441</v>
      </c>
      <c r="AC182" s="10" t="s">
        <v>441</v>
      </c>
      <c r="AE182" s="10"/>
      <c r="AF182" s="10"/>
      <c r="AG182" s="10"/>
      <c r="AH182" s="10"/>
      <c r="AI182" s="10"/>
      <c r="AJ182" s="10"/>
      <c r="AK182" s="10"/>
      <c r="AL182" s="10"/>
      <c r="AN182" s="14"/>
    </row>
    <row r="183" spans="1:40" s="1" customFormat="1" ht="26">
      <c r="A183" s="10">
        <f>IF(A182="",MAX($A$10:A182)+10,A182)</f>
        <v>210</v>
      </c>
      <c r="B183" s="10"/>
      <c r="C183" s="10"/>
      <c r="D183" s="10" t="s">
        <v>449</v>
      </c>
      <c r="E183" s="31" t="s">
        <v>606</v>
      </c>
      <c r="F183" s="10" t="s">
        <v>149</v>
      </c>
      <c r="G183" s="10" t="s">
        <v>150</v>
      </c>
      <c r="H183" s="10"/>
      <c r="I183" s="10" t="s">
        <v>449</v>
      </c>
      <c r="J183" s="10"/>
      <c r="K183" s="10" t="s">
        <v>450</v>
      </c>
      <c r="L183" s="10"/>
      <c r="M183" s="10" t="s">
        <v>327</v>
      </c>
      <c r="N183" s="10"/>
      <c r="O183" s="10"/>
      <c r="P183" s="10"/>
      <c r="Q183" s="10" t="s">
        <v>477</v>
      </c>
      <c r="R183" s="10"/>
      <c r="S183" s="10"/>
      <c r="T183" s="10" t="s">
        <v>451</v>
      </c>
      <c r="U183" s="10"/>
      <c r="V183" s="10"/>
      <c r="W183" s="10"/>
      <c r="X183" s="10"/>
      <c r="Z183" s="10" t="s">
        <v>339</v>
      </c>
      <c r="AA183" s="10" t="s">
        <v>441</v>
      </c>
      <c r="AB183" s="10" t="s">
        <v>441</v>
      </c>
      <c r="AC183" s="10" t="s">
        <v>441</v>
      </c>
      <c r="AE183" s="10"/>
      <c r="AF183" s="10"/>
      <c r="AG183" s="10"/>
      <c r="AH183" s="10"/>
      <c r="AI183" s="10"/>
      <c r="AJ183" s="10"/>
      <c r="AK183" s="10"/>
      <c r="AL183" s="10"/>
      <c r="AN183" s="14"/>
    </row>
    <row r="184" spans="1:40" s="1" customFormat="1" ht="26">
      <c r="A184" s="10">
        <f>IF(A183="",MAX($A$10:A183)+10,A183)</f>
        <v>210</v>
      </c>
      <c r="B184" s="10"/>
      <c r="C184" s="10"/>
      <c r="D184" s="10" t="s">
        <v>48</v>
      </c>
      <c r="E184" s="31" t="s">
        <v>607</v>
      </c>
      <c r="F184" s="10" t="s">
        <v>147</v>
      </c>
      <c r="G184" s="10" t="s">
        <v>148</v>
      </c>
      <c r="H184" s="10"/>
      <c r="I184" s="10" t="s">
        <v>452</v>
      </c>
      <c r="J184" s="10"/>
      <c r="K184" s="10" t="s">
        <v>450</v>
      </c>
      <c r="L184" s="10"/>
      <c r="M184" s="10" t="s">
        <v>327</v>
      </c>
      <c r="N184" s="10"/>
      <c r="O184" s="10"/>
      <c r="P184" s="10"/>
      <c r="Q184" s="10" t="s">
        <v>478</v>
      </c>
      <c r="R184" s="10"/>
      <c r="S184" s="10"/>
      <c r="T184" s="10" t="s">
        <v>453</v>
      </c>
      <c r="U184" s="10"/>
      <c r="V184" s="10"/>
      <c r="W184" s="10"/>
      <c r="X184" s="10"/>
      <c r="Z184" s="10" t="s">
        <v>441</v>
      </c>
      <c r="AA184" s="10" t="s">
        <v>441</v>
      </c>
      <c r="AB184" s="10" t="s">
        <v>339</v>
      </c>
      <c r="AC184" s="10" t="s">
        <v>441</v>
      </c>
      <c r="AE184" s="10"/>
      <c r="AF184" s="10"/>
      <c r="AG184" s="10"/>
      <c r="AH184" s="10"/>
      <c r="AI184" s="10"/>
      <c r="AJ184" s="10"/>
      <c r="AK184" s="10"/>
      <c r="AL184" s="10"/>
      <c r="AN184" s="14"/>
    </row>
    <row r="185" spans="1:40" s="1" customFormat="1" ht="52">
      <c r="A185" s="41"/>
      <c r="AE185" s="36" t="s">
        <v>608</v>
      </c>
      <c r="AF185" s="36" t="s">
        <v>609</v>
      </c>
      <c r="AG185" s="36" t="s">
        <v>608</v>
      </c>
      <c r="AH185" s="36" t="s">
        <v>609</v>
      </c>
      <c r="AI185" s="36" t="s">
        <v>608</v>
      </c>
      <c r="AJ185" s="36" t="s">
        <v>609</v>
      </c>
      <c r="AK185" s="36" t="s">
        <v>608</v>
      </c>
      <c r="AL185" s="36" t="s">
        <v>609</v>
      </c>
      <c r="AN185" s="15"/>
    </row>
    <row r="186" spans="1:40" s="1" customFormat="1">
      <c r="A186" s="50">
        <f>IF(A185="",MAX($A$10:A185)+10,A185)</f>
        <v>220</v>
      </c>
      <c r="B186" s="26" t="s">
        <v>49</v>
      </c>
      <c r="C186" s="26"/>
      <c r="D186" s="26" t="s">
        <v>50</v>
      </c>
      <c r="E186" s="27"/>
      <c r="F186" s="26"/>
      <c r="G186" s="26"/>
      <c r="H186" s="26"/>
      <c r="I186" s="26" t="s">
        <v>324</v>
      </c>
      <c r="J186" s="26"/>
      <c r="K186" s="26" t="s">
        <v>47</v>
      </c>
      <c r="L186" s="26"/>
      <c r="M186" s="26" t="s">
        <v>51</v>
      </c>
      <c r="N186" s="26" t="s">
        <v>327</v>
      </c>
      <c r="O186" s="26"/>
      <c r="P186" s="26"/>
      <c r="Q186" s="30"/>
      <c r="R186" s="30"/>
      <c r="S186" s="30"/>
      <c r="T186" s="30"/>
      <c r="U186" s="30"/>
      <c r="V186" s="30"/>
      <c r="W186" s="30"/>
      <c r="X186" s="30"/>
      <c r="Y186" s="53"/>
      <c r="Z186" s="30"/>
      <c r="AA186" s="30"/>
      <c r="AB186" s="30"/>
      <c r="AC186" s="30"/>
      <c r="AD186" s="53"/>
      <c r="AE186" s="50"/>
      <c r="AF186" s="50"/>
      <c r="AG186" s="50"/>
      <c r="AH186" s="50"/>
      <c r="AI186" s="50"/>
      <c r="AJ186" s="50"/>
      <c r="AK186" s="50"/>
      <c r="AL186" s="50"/>
      <c r="AM186" s="53"/>
      <c r="AN186" s="29"/>
    </row>
    <row r="187" spans="1:40" s="1" customFormat="1">
      <c r="A187" s="2"/>
      <c r="B187" s="3"/>
      <c r="C187" s="3"/>
      <c r="D187" s="4" t="s">
        <v>476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19"/>
    </row>
    <row r="188" spans="1:40" s="1" customFormat="1">
      <c r="A188" s="41"/>
      <c r="AN188" s="15"/>
    </row>
    <row r="189" spans="1:40" s="1" customFormat="1">
      <c r="A189" s="41"/>
      <c r="AN189" s="15"/>
    </row>
    <row r="190" spans="1:40" s="1" customFormat="1">
      <c r="A190" s="41"/>
      <c r="AN190" s="15"/>
    </row>
    <row r="191" spans="1:40" s="1" customFormat="1">
      <c r="A191" s="41"/>
      <c r="AN191" s="15"/>
    </row>
    <row r="192" spans="1:40" s="1" customFormat="1">
      <c r="A192" s="41"/>
      <c r="AN192" s="15"/>
    </row>
    <row r="193" spans="1:40" s="1" customFormat="1">
      <c r="A193" s="41"/>
      <c r="AN193" s="15"/>
    </row>
    <row r="194" spans="1:40" s="1" customFormat="1">
      <c r="A194" s="41"/>
      <c r="AN194" s="15"/>
    </row>
    <row r="195" spans="1:40" s="1" customFormat="1">
      <c r="A195" s="41"/>
      <c r="AN195" s="15"/>
    </row>
    <row r="196" spans="1:40" s="1" customFormat="1">
      <c r="A196" s="41"/>
      <c r="AN196" s="15"/>
    </row>
    <row r="197" spans="1:40" s="1" customFormat="1">
      <c r="A197" s="41"/>
      <c r="AN197" s="15"/>
    </row>
    <row r="198" spans="1:40" s="1" customFormat="1">
      <c r="A198" s="41"/>
      <c r="AN198" s="15"/>
    </row>
    <row r="199" spans="1:40" s="1" customFormat="1">
      <c r="A199" s="41"/>
      <c r="AN199" s="15"/>
    </row>
    <row r="200" spans="1:40" s="1" customFormat="1">
      <c r="A200" s="41"/>
      <c r="AN200" s="15"/>
    </row>
    <row r="201" spans="1:40" s="1" customFormat="1">
      <c r="A201" s="41"/>
      <c r="AN201" s="15"/>
    </row>
    <row r="202" spans="1:40" s="1" customFormat="1">
      <c r="A202" s="41"/>
      <c r="AN202" s="15"/>
    </row>
    <row r="203" spans="1:40" s="1" customFormat="1">
      <c r="A203" s="41"/>
      <c r="AN203" s="15"/>
    </row>
    <row r="204" spans="1:40" s="1" customFormat="1">
      <c r="A204" s="41"/>
      <c r="AN204" s="15"/>
    </row>
    <row r="205" spans="1:40" s="1" customFormat="1">
      <c r="A205" s="41"/>
      <c r="AN205" s="15"/>
    </row>
    <row r="206" spans="1:40" s="1" customFormat="1">
      <c r="A206" s="41"/>
      <c r="AN206" s="15"/>
    </row>
    <row r="207" spans="1:40" s="1" customFormat="1">
      <c r="A207" s="41"/>
      <c r="AN207" s="15"/>
    </row>
    <row r="208" spans="1:40" s="1" customFormat="1">
      <c r="A208" s="41"/>
      <c r="AN208" s="15"/>
    </row>
    <row r="209" spans="1:40" s="1" customFormat="1">
      <c r="A209" s="41"/>
      <c r="AN209" s="15"/>
    </row>
    <row r="210" spans="1:40" s="1" customFormat="1">
      <c r="A210" s="41"/>
      <c r="AN210" s="15"/>
    </row>
    <row r="211" spans="1:40" s="1" customFormat="1">
      <c r="A211" s="41"/>
      <c r="AN211" s="15"/>
    </row>
    <row r="212" spans="1:40" s="1" customFormat="1">
      <c r="A212" s="41"/>
      <c r="AN212" s="15"/>
    </row>
    <row r="213" spans="1:40" s="1" customFormat="1">
      <c r="A213" s="41"/>
      <c r="AN213" s="15"/>
    </row>
    <row r="214" spans="1:40" s="1" customFormat="1">
      <c r="A214" s="41"/>
      <c r="AN214" s="15"/>
    </row>
    <row r="215" spans="1:40" s="1" customFormat="1">
      <c r="A215" s="41"/>
      <c r="AN215" s="15"/>
    </row>
    <row r="216" spans="1:40" s="1" customFormat="1">
      <c r="A216" s="41"/>
      <c r="AN216" s="15"/>
    </row>
    <row r="217" spans="1:40" s="1" customFormat="1">
      <c r="A217" s="41"/>
      <c r="AN217" s="15"/>
    </row>
    <row r="218" spans="1:40" s="1" customFormat="1">
      <c r="A218" s="41"/>
      <c r="AN218" s="15"/>
    </row>
    <row r="219" spans="1:40" s="1" customFormat="1">
      <c r="A219" s="41"/>
      <c r="AN219" s="15"/>
    </row>
    <row r="220" spans="1:40" s="1" customFormat="1">
      <c r="A220" s="41"/>
      <c r="AN220" s="15"/>
    </row>
    <row r="221" spans="1:40" s="1" customFormat="1">
      <c r="A221" s="41"/>
      <c r="AN221" s="15"/>
    </row>
    <row r="222" spans="1:40" s="1" customFormat="1">
      <c r="A222" s="41"/>
      <c r="AN222" s="15"/>
    </row>
    <row r="223" spans="1:40" s="1" customFormat="1">
      <c r="A223" s="41"/>
      <c r="AN223" s="15"/>
    </row>
    <row r="224" spans="1:40" s="1" customFormat="1">
      <c r="A224" s="41"/>
      <c r="AN224" s="15"/>
    </row>
    <row r="225" spans="1:40" s="1" customFormat="1">
      <c r="A225" s="41"/>
      <c r="AN225" s="15"/>
    </row>
    <row r="226" spans="1:40" s="1" customFormat="1">
      <c r="A226" s="41"/>
      <c r="AN226" s="15"/>
    </row>
    <row r="227" spans="1:40" s="1" customFormat="1">
      <c r="A227" s="4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hyperlinks>
    <hyperlink ref="D140" r:id="rId1" display="core_itm_p@Tab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6" t="s">
        <v>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0" t="s">
        <v>4</v>
      </c>
      <c r="B3" s="60"/>
      <c r="C3" s="60"/>
      <c r="D3" s="60"/>
      <c r="E3" s="60"/>
      <c r="F3" s="60"/>
      <c r="G3" s="61"/>
      <c r="H3" s="59" t="s">
        <v>5</v>
      </c>
      <c r="I3" s="60"/>
      <c r="J3" s="60"/>
      <c r="K3" s="60"/>
      <c r="L3" s="60"/>
      <c r="M3" s="60"/>
      <c r="N3" s="61"/>
      <c r="O3" s="59" t="s">
        <v>6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4" t="s">
        <v>7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87"/>
      <c r="I4" s="88"/>
      <c r="J4" s="88"/>
      <c r="K4" s="88"/>
      <c r="L4" s="88"/>
      <c r="M4" s="88"/>
      <c r="N4" s="89"/>
      <c r="O4" s="87" t="s">
        <v>8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94" t="s">
        <v>610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611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2026-03-27T05:43:28Z</dcterms:modified>
  <cp:category/>
</cp:coreProperties>
</file>