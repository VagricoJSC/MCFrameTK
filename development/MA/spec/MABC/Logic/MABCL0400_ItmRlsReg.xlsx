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10F157E6-00A7-4C88-BBD1-59BBE8F486F3}" xr6:coauthVersionLast="47" xr6:coauthVersionMax="47" xr10:uidLastSave="{00000000-0000-0000-0000-000000000000}"/>
  <bookViews>
    <workbookView xWindow="1710" yWindow="1710" windowWidth="21600" windowHeight="11265" tabRatio="807" firstSheet="5" activeTab="11" xr2:uid="{00000000-000D-0000-FFFF-FFFF00000000}"/>
  </bookViews>
  <sheets>
    <sheet name="LogicCommon" sheetId="10" r:id="rId1"/>
    <sheet name="ItmRls_UpdChk01" sheetId="18" r:id="rId2"/>
    <sheet name="ItmRls_Upd01" sheetId="15" r:id="rId3"/>
    <sheet name="ItmRls_DelChk01" sheetId="21" r:id="rId4"/>
    <sheet name="ItmRls_Del01" sheetId="17" r:id="rId5"/>
    <sheet name="ItmRls_UpdChk02" sheetId="23" r:id="rId6"/>
    <sheet name="ItmRls_Upd02" sheetId="24" r:id="rId7"/>
    <sheet name="Srch01" sheetId="1" r:id="rId8"/>
    <sheet name="Upd01" sheetId="11" r:id="rId9"/>
    <sheet name="Del01" sheetId="14" r:id="rId10"/>
    <sheet name="Upd02" sheetId="22" r:id="rId11"/>
    <sheet name="来歴" sheetId="13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4" l="1"/>
  <c r="H4" i="24"/>
  <c r="L3" i="24"/>
  <c r="H3" i="24"/>
  <c r="F3" i="24"/>
  <c r="D3" i="24"/>
  <c r="L2" i="24"/>
  <c r="H2" i="24"/>
  <c r="F2" i="24"/>
  <c r="L4" i="23"/>
  <c r="N2" i="23" s="1"/>
  <c r="H4" i="23"/>
  <c r="L3" i="23"/>
  <c r="H3" i="23"/>
  <c r="F3" i="23"/>
  <c r="D3" i="23"/>
  <c r="L2" i="23"/>
  <c r="H2" i="23"/>
  <c r="F2" i="23"/>
  <c r="L4" i="22"/>
  <c r="H4" i="22"/>
  <c r="L3" i="22"/>
  <c r="H3" i="22"/>
  <c r="F3" i="22"/>
  <c r="D3" i="22"/>
  <c r="L2" i="22"/>
  <c r="H2" i="22"/>
  <c r="F2" i="22"/>
  <c r="H3" i="1" l="1"/>
  <c r="H2" i="1"/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<sst xmlns="http://schemas.openxmlformats.org/spreadsheetml/2006/main" count="1915" uniqueCount="512">
  <si>
    <t>*</t>
  </si>
  <si>
    <t>詳細 :</t>
  </si>
  <si>
    <t>検索</t>
    <rPh sb="0" eb="2">
      <t>ケンサク</t>
    </rPh>
    <phoneticPr fontId="1"/>
  </si>
  <si>
    <t>ロジック共通定義</t>
    <rPh sb="4" eb="6">
      <t>キョウツウ</t>
    </rPh>
    <rPh sb="6" eb="8">
      <t>テイギ</t>
    </rPh>
    <phoneticPr fontId="1"/>
  </si>
  <si>
    <t>詳細 :</t>
    <rPh sb="0" eb="2">
      <t>ショウサイ</t>
    </rPh>
    <phoneticPr fontId="1"/>
  </si>
  <si>
    <t>SuperLogicID :</t>
    <phoneticPr fontId="1"/>
  </si>
  <si>
    <t>概要 :</t>
    <phoneticPr fontId="1"/>
  </si>
  <si>
    <t>MC</t>
  </si>
  <si>
    <t>Version :</t>
  </si>
  <si>
    <t>LogicID :</t>
    <phoneticPr fontId="1"/>
  </si>
  <si>
    <t>LogicClass :</t>
    <phoneticPr fontId="1"/>
  </si>
  <si>
    <t>LogicName :</t>
    <phoneticPr fontId="1"/>
  </si>
  <si>
    <t>ModuleID :</t>
    <phoneticPr fontId="1"/>
  </si>
  <si>
    <t>SubModuleID :</t>
    <phoneticPr fontId="1"/>
  </si>
  <si>
    <t>ins_ts</t>
  </si>
  <si>
    <t>upd_ts</t>
  </si>
  <si>
    <t>TargetName</t>
    <phoneticPr fontId="1"/>
  </si>
  <si>
    <t>#</t>
    <phoneticPr fontId="1"/>
  </si>
  <si>
    <t>#</t>
    <phoneticPr fontId="1"/>
  </si>
  <si>
    <t>Srch01_Cnd</t>
    <phoneticPr fontId="1"/>
  </si>
  <si>
    <t>R</t>
    <phoneticPr fontId="1"/>
  </si>
  <si>
    <t>L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</si>
  <si>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</si>
  <si>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</si>
  <si>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</si>
  <si>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</si>
  <si>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</si>
  <si>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</si>
  <si>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</si>
  <si>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ReportID :</t>
    <phoneticPr fontId="1"/>
  </si>
  <si>
    <t>L</t>
    <phoneticPr fontId="1"/>
  </si>
  <si>
    <t>#</t>
    <phoneticPr fontId="1"/>
  </si>
  <si>
    <t>U</t>
    <phoneticPr fontId="1"/>
  </si>
  <si>
    <t>o</t>
    <phoneticPr fontId="1"/>
  </si>
  <si>
    <t>SELECT.c0</t>
    <phoneticPr fontId="1"/>
  </si>
  <si>
    <t>ins_usr_nm</t>
    <phoneticPr fontId="1"/>
  </si>
  <si>
    <t>upd_usr_nm</t>
    <phoneticPr fontId="1"/>
  </si>
  <si>
    <t>U</t>
    <phoneticPr fontId="1"/>
  </si>
  <si>
    <t>o</t>
    <phoneticPr fontId="1"/>
  </si>
  <si>
    <t>Pj.ID :</t>
    <phoneticPr fontId="1"/>
  </si>
  <si>
    <t>SuperClassPj.ID :</t>
    <phoneticPr fontId="1"/>
  </si>
  <si>
    <t>memo1</t>
  </si>
  <si>
    <t>memo1</t>
    <phoneticPr fontId="1"/>
  </si>
  <si>
    <t>#MA.MST_MEMO1</t>
  </si>
  <si>
    <t>#MA.MST_MEMO1</t>
    <phoneticPr fontId="1"/>
  </si>
  <si>
    <t>memo3</t>
  </si>
  <si>
    <t>memo3</t>
    <phoneticPr fontId="1"/>
  </si>
  <si>
    <t>#MA.MST_MEMO3</t>
  </si>
  <si>
    <t>#MA.MST_MEMO3</t>
    <phoneticPr fontId="1"/>
  </si>
  <si>
    <t>memo2</t>
  </si>
  <si>
    <t>#MA.MST_MEMO2</t>
  </si>
  <si>
    <t>#MA.SYS_TS</t>
    <phoneticPr fontId="1"/>
  </si>
  <si>
    <t>#MA.FLG</t>
  </si>
  <si>
    <t>#MA.FLG</t>
    <phoneticPr fontId="1"/>
  </si>
  <si>
    <t>ins_func_id</t>
    <phoneticPr fontId="1"/>
  </si>
  <si>
    <t>upd_func_id</t>
    <phoneticPr fontId="1"/>
  </si>
  <si>
    <t>#MA.SRV_REQ_NO</t>
  </si>
  <si>
    <t>#MA.FUNC_ID</t>
    <phoneticPr fontId="1"/>
  </si>
  <si>
    <t>ins_func_nm</t>
    <phoneticPr fontId="1"/>
  </si>
  <si>
    <t>#MA.FUNC_NM</t>
    <phoneticPr fontId="1"/>
  </si>
  <si>
    <t>upd_func_nm</t>
    <phoneticPr fontId="1"/>
  </si>
  <si>
    <t>upd_srv_req_no</t>
    <phoneticPr fontId="1"/>
  </si>
  <si>
    <t>登録</t>
    <rPh sb="0" eb="2">
      <t>トウロク</t>
    </rPh>
    <phoneticPr fontId="1"/>
  </si>
  <si>
    <t>L</t>
  </si>
  <si>
    <t>o</t>
  </si>
  <si>
    <t>TargetName</t>
  </si>
  <si>
    <t>UPDATE.updMaster1</t>
    <phoneticPr fontId="20"/>
  </si>
  <si>
    <t>Del01_Dtl1</t>
    <phoneticPr fontId="1"/>
  </si>
  <si>
    <t>upd_cntr</t>
    <phoneticPr fontId="1"/>
  </si>
  <si>
    <t>#MA.UPD_CNT</t>
    <phoneticPr fontId="1"/>
  </si>
  <si>
    <t>upd_cntr</t>
  </si>
  <si>
    <t>#MA.UPD_CNT</t>
  </si>
  <si>
    <t>UPDATE.updMaster</t>
    <phoneticPr fontId="1"/>
  </si>
  <si>
    <t>MAIN.chkMaster</t>
    <phoneticPr fontId="20"/>
  </si>
  <si>
    <t>$share$</t>
  </si>
  <si>
    <t>@</t>
  </si>
  <si>
    <t>upd_cntr</t>
    <phoneticPr fontId="20"/>
  </si>
  <si>
    <t>#MA.UPD_CNT</t>
    <phoneticPr fontId="20"/>
  </si>
  <si>
    <t>CALL_OPE01.chk01</t>
    <phoneticPr fontId="1"/>
  </si>
  <si>
    <t>CALL_OPE01.upd01</t>
    <phoneticPr fontId="1"/>
  </si>
  <si>
    <t>CALL_OPE01.chk01</t>
    <phoneticPr fontId="20"/>
  </si>
  <si>
    <t>K</t>
    <phoneticPr fontId="1"/>
  </si>
  <si>
    <t>NULL_VAL</t>
    <phoneticPr fontId="1"/>
  </si>
  <si>
    <t>REQUIRED</t>
    <phoneticPr fontId="1"/>
  </si>
  <si>
    <t>Del01</t>
  </si>
  <si>
    <t>Upd01</t>
  </si>
  <si>
    <t>Srch01</t>
  </si>
  <si>
    <t>MA</t>
  </si>
  <si>
    <t>itm_cd</t>
  </si>
  <si>
    <t>itm_cd</t>
    <phoneticPr fontId="1"/>
  </si>
  <si>
    <t>itm_sub1</t>
  </si>
  <si>
    <t>itm_sub1</t>
    <phoneticPr fontId="1"/>
  </si>
  <si>
    <t>itm_sub2</t>
  </si>
  <si>
    <t>itm_sub2</t>
    <phoneticPr fontId="1"/>
  </si>
  <si>
    <t>itm_sub3</t>
  </si>
  <si>
    <t>itm_sub3</t>
    <phoneticPr fontId="1"/>
  </si>
  <si>
    <t>itm_nm</t>
  </si>
  <si>
    <t>itm_nm</t>
    <phoneticPr fontId="1"/>
  </si>
  <si>
    <t>itm_typ</t>
  </si>
  <si>
    <t>itm_typ_nm</t>
  </si>
  <si>
    <t>itm_typ_d_cd</t>
  </si>
  <si>
    <t>itm_typ_d_nm</t>
  </si>
  <si>
    <t>#MA.ITM_TYP</t>
  </si>
  <si>
    <t>#MA.ITM_TYP_NM</t>
  </si>
  <si>
    <t>#MA.ITM_TYP_D_CD</t>
  </si>
  <si>
    <t>#MA.ITM_TYP_D_NM</t>
  </si>
  <si>
    <t>#MA.ITM_CD</t>
  </si>
  <si>
    <t>#MA.ITM_CD</t>
    <phoneticPr fontId="1"/>
  </si>
  <si>
    <t>#MA.ITM_SUB1</t>
  </si>
  <si>
    <t>#MA.ITM_SUB1</t>
    <phoneticPr fontId="1"/>
  </si>
  <si>
    <t>#MA.ITM_SUB2</t>
  </si>
  <si>
    <t>#MA.ITM_SUB2</t>
    <phoneticPr fontId="1"/>
  </si>
  <si>
    <t>#MA.ITM_SUB3</t>
  </si>
  <si>
    <t>#MA.ITM_SUB3</t>
    <phoneticPr fontId="1"/>
  </si>
  <si>
    <t>#MA.ITM_NM</t>
  </si>
  <si>
    <t>#MA.ITM_NM</t>
    <phoneticPr fontId="1"/>
  </si>
  <si>
    <t>itm_grp_cd1</t>
  </si>
  <si>
    <t>#MA.ITM_GRP_CD</t>
  </si>
  <si>
    <t>itm_grp_nm1</t>
  </si>
  <si>
    <t>#MA.ITM_GRP_NM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</si>
  <si>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</si>
  <si>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</si>
  <si>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</si>
  <si>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</si>
  <si>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</si>
  <si>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</si>
  <si>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</si>
  <si>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</si>
  <si>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</si>
  <si>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</si>
  <si>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</si>
  <si>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</si>
  <si>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</si>
  <si>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</si>
  <si>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</si>
  <si>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</si>
  <si>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</si>
  <si>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</si>
  <si>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K</t>
    <phoneticPr fontId="1"/>
  </si>
  <si>
    <t>CONST</t>
    <phoneticPr fontId="1"/>
  </si>
  <si>
    <t>#MA.FCM_USR_ID</t>
  </si>
  <si>
    <t>#MA.FCM_USR_NM</t>
  </si>
  <si>
    <t>ItmRls_UpdChk01</t>
  </si>
  <si>
    <t>ItmRls_UpdChk01_Dtl</t>
  </si>
  <si>
    <t>ItmRls_Upd01</t>
  </si>
  <si>
    <t>ItmRls_Upd01_Dtl</t>
  </si>
  <si>
    <t>ItmRls_DelChk01</t>
  </si>
  <si>
    <t>ItmRls_DelChk01_Dtl</t>
  </si>
  <si>
    <t>ItmRls_Del01</t>
  </si>
  <si>
    <t>ItmRls_Del01_Dtl</t>
  </si>
  <si>
    <t>MABCL0400</t>
  </si>
  <si>
    <t>OPE.MA.MABCL0400.ItmRls_UpdChk01</t>
  </si>
  <si>
    <t>OPE.MA.MABCL0400.ItmRls_Upd01</t>
  </si>
  <si>
    <t>OPE.MA.MABCL0400.ItmRls_DelChk01</t>
  </si>
  <si>
    <t>OPE.MA.MABCL0400.ItmRls_Del01</t>
  </si>
  <si>
    <t>品目リリース登録</t>
  </si>
  <si>
    <t>MABC</t>
    <phoneticPr fontId="1"/>
  </si>
  <si>
    <t>release_flg_on</t>
    <phoneticPr fontId="1"/>
  </si>
  <si>
    <t>release_flg_off</t>
    <phoneticPr fontId="1"/>
  </si>
  <si>
    <t>memo1_c</t>
  </si>
  <si>
    <t>memo2_c</t>
  </si>
  <si>
    <t>memo3_c</t>
  </si>
  <si>
    <t>DBC.MA.MAM_ITM_</t>
    <phoneticPr fontId="1"/>
  </si>
  <si>
    <t>release_flg</t>
    <phoneticPr fontId="1"/>
  </si>
  <si>
    <t>sls_flg</t>
  </si>
  <si>
    <t>sls_input_flg</t>
  </si>
  <si>
    <t>mfg_flg</t>
  </si>
  <si>
    <t>mfg_input_flg</t>
  </si>
  <si>
    <t>purc_flg</t>
  </si>
  <si>
    <t>purc_input_flg</t>
  </si>
  <si>
    <t>insp_flg</t>
  </si>
  <si>
    <t>insp_input_flg</t>
  </si>
  <si>
    <t>#MA.MONEY</t>
    <phoneticPr fontId="1"/>
  </si>
  <si>
    <t>purc_upri</t>
    <phoneticPr fontId="1"/>
  </si>
  <si>
    <t>release_usr_cd</t>
  </si>
  <si>
    <t>release_usr_nm</t>
  </si>
  <si>
    <t>release_tm</t>
  </si>
  <si>
    <t>#MA.USR_CD</t>
  </si>
  <si>
    <t>#MA.USR_NM</t>
  </si>
  <si>
    <t>#MA.TM</t>
  </si>
  <si>
    <t>取消</t>
    <rPh sb="0" eb="2">
      <t>トリケシ</t>
    </rPh>
    <phoneticPr fontId="1"/>
  </si>
  <si>
    <t>mfg_tar_out_flg</t>
    <phoneticPr fontId="1"/>
  </si>
  <si>
    <t>mfg_tar_flg</t>
    <phoneticPr fontId="1"/>
  </si>
  <si>
    <t>mfg_no_input_flg</t>
    <phoneticPr fontId="1"/>
  </si>
  <si>
    <t>mfg_input_flg</t>
    <phoneticPr fontId="1"/>
  </si>
  <si>
    <t>purc_tar_out_flg</t>
    <phoneticPr fontId="1"/>
  </si>
  <si>
    <t>purc_tar_flg</t>
    <phoneticPr fontId="1"/>
  </si>
  <si>
    <t>purc_no_input_flg</t>
    <phoneticPr fontId="1"/>
  </si>
  <si>
    <t>purc_input_flg</t>
    <phoneticPr fontId="1"/>
  </si>
  <si>
    <t>insp_tar_out_flg</t>
    <phoneticPr fontId="1"/>
  </si>
  <si>
    <t>insp_tar_flg</t>
    <phoneticPr fontId="1"/>
  </si>
  <si>
    <t>insp_no_input_flg</t>
    <phoneticPr fontId="1"/>
  </si>
  <si>
    <t>insp_input_flg</t>
    <phoneticPr fontId="1"/>
  </si>
  <si>
    <t>sls_tar_out_flg</t>
    <phoneticPr fontId="1"/>
  </si>
  <si>
    <t>sls_tar_flg</t>
    <phoneticPr fontId="1"/>
  </si>
  <si>
    <t>sls_no_input_flg</t>
    <phoneticPr fontId="1"/>
  </si>
  <si>
    <t>sls_input_flg</t>
    <phoneticPr fontId="1"/>
  </si>
  <si>
    <t>DBC.MA.MAM_ITM_COM</t>
  </si>
  <si>
    <t>DBC.MA.MAM_ITM_COM</t>
    <phoneticPr fontId="20"/>
  </si>
  <si>
    <t>MAIN.chkMaster</t>
  </si>
  <si>
    <t>CALL_OPE01.upd01</t>
  </si>
  <si>
    <t>MABCL_ItmRlsReg</t>
    <phoneticPr fontId="1"/>
  </si>
  <si>
    <t>cst_upri</t>
  </si>
  <si>
    <t>itm_upri</t>
  </si>
  <si>
    <t>std_upri</t>
  </si>
  <si>
    <t>prov_upri</t>
  </si>
  <si>
    <t>proc_upri</t>
  </si>
  <si>
    <t>co_cd</t>
  </si>
  <si>
    <t>#MA.CO_CD</t>
  </si>
  <si>
    <t>release_usr_cd</t>
    <phoneticPr fontId="20"/>
  </si>
  <si>
    <t>release_tm</t>
    <phoneticPr fontId="20"/>
  </si>
  <si>
    <t>release_flg</t>
    <phoneticPr fontId="20"/>
  </si>
  <si>
    <t>#MA.FLG</t>
    <phoneticPr fontId="20"/>
  </si>
  <si>
    <t>#MA.USR_CD</t>
    <phoneticPr fontId="20"/>
  </si>
  <si>
    <t>#MA.TM</t>
    <phoneticPr fontId="20"/>
  </si>
  <si>
    <t>K</t>
  </si>
  <si>
    <t>LIST_IN</t>
  </si>
  <si>
    <t>LIST_IN_BASE</t>
  </si>
  <si>
    <t>LIST_LOGIC</t>
  </si>
  <si>
    <t>DBC.MA.MAM_ITM_COM</t>
    <phoneticPr fontId="20"/>
  </si>
  <si>
    <t>ship_unit_cd</t>
  </si>
  <si>
    <t>#MA.UNIT_CD</t>
  </si>
  <si>
    <t>mfg_unit_cd</t>
  </si>
  <si>
    <t>purc_unit_cd</t>
  </si>
  <si>
    <t>pckg_unit_cd</t>
  </si>
  <si>
    <t>LIST_OUT</t>
  </si>
  <si>
    <t>LIST_OUT_BASE</t>
  </si>
  <si>
    <t>Upd01_Dtl1</t>
    <phoneticPr fontId="1"/>
  </si>
  <si>
    <t>stk_mng_typ</t>
  </si>
  <si>
    <t>#MA.STK_MNG_TYP</t>
  </si>
  <si>
    <t>asset_mng_typ</t>
  </si>
  <si>
    <t>#MA.ASSET_MNG_TYP</t>
  </si>
  <si>
    <t>ItmRls_UpdChk02</t>
    <phoneticPr fontId="20"/>
  </si>
  <si>
    <t>ItmRls_UpdChk02_Dtl</t>
    <phoneticPr fontId="20"/>
  </si>
  <si>
    <t>Upd02_Dtl1</t>
    <phoneticPr fontId="1"/>
  </si>
  <si>
    <t>Upd02_Cnd</t>
    <phoneticPr fontId="1"/>
  </si>
  <si>
    <t>term</t>
    <phoneticPr fontId="20"/>
  </si>
  <si>
    <t>ItmRls_Upd02</t>
    <phoneticPr fontId="20"/>
  </si>
  <si>
    <t>ItmRls_UpdChk02_Cnd</t>
    <phoneticPr fontId="20"/>
  </si>
  <si>
    <t>R</t>
    <phoneticPr fontId="20"/>
  </si>
  <si>
    <t>ItmRls_Upd02_Dtl</t>
    <phoneticPr fontId="20"/>
  </si>
  <si>
    <t>ItmRls_Upd02_Cnd</t>
    <phoneticPr fontId="20"/>
  </si>
  <si>
    <t>OPE.MA.MABCL0400.ItmRls_UpdChk02</t>
    <phoneticPr fontId="20"/>
  </si>
  <si>
    <t>OPE.MA.MABCL0400.ItmRls_Upd02</t>
    <phoneticPr fontId="20"/>
  </si>
  <si>
    <t>#MA.YM</t>
    <phoneticPr fontId="20"/>
  </si>
  <si>
    <t>品目マスタのリリース情報を登録する前のチェックを行う</t>
    <phoneticPr fontId="20"/>
  </si>
  <si>
    <t>登録前チェック</t>
    <rPh sb="0" eb="2">
      <t>トウロク</t>
    </rPh>
    <rPh sb="2" eb="3">
      <t>マエ</t>
    </rPh>
    <phoneticPr fontId="20"/>
  </si>
  <si>
    <t>品目マスタのリリース情報を登録する</t>
  </si>
  <si>
    <t>登録処理</t>
    <rPh sb="0" eb="2">
      <t>トウロク</t>
    </rPh>
    <rPh sb="2" eb="4">
      <t>ショリ</t>
    </rPh>
    <phoneticPr fontId="1"/>
  </si>
  <si>
    <t>取消前チェック</t>
    <rPh sb="0" eb="2">
      <t>トリケシ</t>
    </rPh>
    <rPh sb="2" eb="3">
      <t>マエ</t>
    </rPh>
    <phoneticPr fontId="20"/>
  </si>
  <si>
    <t>品目マスタのリリース情報を取り消す前のチェックを行う</t>
    <rPh sb="13" eb="14">
      <t>ト</t>
    </rPh>
    <rPh sb="15" eb="16">
      <t>ケ</t>
    </rPh>
    <phoneticPr fontId="20"/>
  </si>
  <si>
    <t>品目マスタのリリース情報を取り消す</t>
    <rPh sb="13" eb="14">
      <t>ト</t>
    </rPh>
    <rPh sb="15" eb="16">
      <t>ケ</t>
    </rPh>
    <phoneticPr fontId="20"/>
  </si>
  <si>
    <t>取消処理</t>
    <rPh sb="0" eb="2">
      <t>トリケシ</t>
    </rPh>
    <rPh sb="2" eb="4">
      <t>ショリ</t>
    </rPh>
    <phoneticPr fontId="1"/>
  </si>
  <si>
    <t>品目マスタのリリース情報を原価管理に反映する前のチェックを行う</t>
  </si>
  <si>
    <t>登録前チェック（原価管理）</t>
    <rPh sb="0" eb="2">
      <t>トウロク</t>
    </rPh>
    <rPh sb="2" eb="3">
      <t>マエ</t>
    </rPh>
    <rPh sb="8" eb="10">
      <t>ゲンカ</t>
    </rPh>
    <rPh sb="10" eb="12">
      <t>カンリ</t>
    </rPh>
    <phoneticPr fontId="20"/>
  </si>
  <si>
    <t>品目マスタのリリース情報を原価管理に反映する前のチェックを行う</t>
    <phoneticPr fontId="20"/>
  </si>
  <si>
    <t>登録処理（原価管理）</t>
    <rPh sb="0" eb="2">
      <t>トウロク</t>
    </rPh>
    <rPh sb="2" eb="4">
      <t>ショリ</t>
    </rPh>
    <rPh sb="5" eb="7">
      <t>ゲンカ</t>
    </rPh>
    <rPh sb="7" eb="9">
      <t>カンリ</t>
    </rPh>
    <phoneticPr fontId="1"/>
  </si>
  <si>
    <t>検索処理を行う</t>
    <rPh sb="0" eb="2">
      <t>ケンサク</t>
    </rPh>
    <rPh sb="2" eb="4">
      <t>ショリ</t>
    </rPh>
    <rPh sb="5" eb="6">
      <t>オコナ</t>
    </rPh>
    <phoneticPr fontId="1"/>
  </si>
  <si>
    <t>登録処理を行う</t>
    <rPh sb="0" eb="2">
      <t>トウロク</t>
    </rPh>
    <rPh sb="2" eb="4">
      <t>ショリ</t>
    </rPh>
    <rPh sb="5" eb="6">
      <t>オコナ</t>
    </rPh>
    <phoneticPr fontId="1"/>
  </si>
  <si>
    <t>取消処理を行う</t>
    <rPh sb="0" eb="2">
      <t>トリケシ</t>
    </rPh>
    <rPh sb="2" eb="4">
      <t>ショリ</t>
    </rPh>
    <rPh sb="5" eb="6">
      <t>オコナ</t>
    </rPh>
    <phoneticPr fontId="20"/>
  </si>
  <si>
    <t>登録処理（原価管理）を行う</t>
    <rPh sb="0" eb="2">
      <t>トウロク</t>
    </rPh>
    <rPh sb="2" eb="4">
      <t>ショリ</t>
    </rPh>
    <rPh sb="5" eb="7">
      <t>ゲンカ</t>
    </rPh>
    <rPh sb="7" eb="9">
      <t>カンリ</t>
    </rPh>
    <rPh sb="11" eb="12">
      <t>オコナ</t>
    </rPh>
    <phoneticPr fontId="20"/>
  </si>
  <si>
    <t>登録（原価管理）</t>
    <rPh sb="0" eb="2">
      <t>トウロク</t>
    </rPh>
    <rPh sb="3" eb="5">
      <t>ゲンカ</t>
    </rPh>
    <rPh sb="5" eb="7">
      <t>カンリ</t>
    </rPh>
    <phoneticPr fontId="1"/>
  </si>
  <si>
    <t>ID</t>
    <phoneticPr fontId="1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</si>
  <si>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</si>
  <si>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</si>
  <si>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</si>
  <si>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</si>
  <si>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</si>
  <si>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</si>
  <si>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 xml:space="preserve">Ope.Name : </t>
    <phoneticPr fontId="1"/>
  </si>
  <si>
    <t>ACType :</t>
    <phoneticPr fontId="1"/>
  </si>
  <si>
    <t>品目ＣＤ</t>
    <phoneticPr fontId="1"/>
  </si>
  <si>
    <t>E</t>
    <phoneticPr fontId="1"/>
  </si>
  <si>
    <t>E</t>
    <phoneticPr fontId="20"/>
  </si>
  <si>
    <t>枝番１</t>
    <phoneticPr fontId="20"/>
  </si>
  <si>
    <t>枝番２</t>
    <phoneticPr fontId="1"/>
  </si>
  <si>
    <t>枝番３</t>
    <phoneticPr fontId="1"/>
  </si>
  <si>
    <t>MA.MAUAL0010.ItmSub3</t>
    <phoneticPr fontId="20"/>
  </si>
  <si>
    <t>MAC_ITM_IS_SRCH_TYP.COMM;itm_cd;itm_sub1;itm_sub2;true;true</t>
    <phoneticPr fontId="20"/>
  </si>
  <si>
    <t>itm_is_srch_typ;itm_cd;itm_sub1;itm_sub2;release_flg_on;release_flg_off</t>
    <phoneticPr fontId="1"/>
  </si>
  <si>
    <t>ship_unit_cd;mfg_unit_cd;purc_unit_cd;pckg_unit_cd</t>
    <phoneticPr fontId="20"/>
  </si>
  <si>
    <t>出荷単位ＣＤ</t>
    <phoneticPr fontId="1"/>
  </si>
  <si>
    <t>製造単位ＣＤ</t>
    <phoneticPr fontId="1"/>
  </si>
  <si>
    <t>発注単位ＣＤ</t>
    <phoneticPr fontId="1"/>
  </si>
  <si>
    <t>梱包単位ＣＤ</t>
    <phoneticPr fontId="1"/>
  </si>
  <si>
    <t>メモ１</t>
    <phoneticPr fontId="20"/>
  </si>
  <si>
    <t>メモ２</t>
    <phoneticPr fontId="1"/>
  </si>
  <si>
    <t>メモ３</t>
    <phoneticPr fontId="1"/>
  </si>
  <si>
    <t>リリース</t>
    <phoneticPr fontId="20"/>
  </si>
  <si>
    <t>リリース担当者ＣＤ</t>
    <phoneticPr fontId="20"/>
  </si>
  <si>
    <t>リリース日時</t>
    <phoneticPr fontId="20"/>
  </si>
  <si>
    <t>会社ＣＤ</t>
    <phoneticPr fontId="1"/>
  </si>
  <si>
    <t>更新カウンタ</t>
    <phoneticPr fontId="20"/>
  </si>
  <si>
    <t>super/share</t>
    <phoneticPr fontId="1"/>
  </si>
  <si>
    <t>MA.MABCL0400.ItmRls_UpdChk01.ItmRls_UpdChk01_Dtl</t>
    <phoneticPr fontId="1"/>
  </si>
  <si>
    <t>L</t>
    <phoneticPr fontId="20"/>
  </si>
  <si>
    <t>更新カウンタ</t>
    <phoneticPr fontId="1"/>
  </si>
  <si>
    <t>メモ１</t>
    <phoneticPr fontId="1"/>
  </si>
  <si>
    <t>MA.MABCL0400.ItmRls_DelChk01.ItmRls_DelChk01_Dtl</t>
    <phoneticPr fontId="1"/>
  </si>
  <si>
    <t>itm_is_srch_typ;itm_cd;itm_sub1;itm_sub2;release_flg_on;release_flg_off</t>
    <phoneticPr fontId="20"/>
  </si>
  <si>
    <t>期</t>
    <phoneticPr fontId="20"/>
  </si>
  <si>
    <t>MA.MAUAL0010.Term</t>
    <phoneticPr fontId="20"/>
  </si>
  <si>
    <t>MA.MABCL0400.ItmRls_UpdChk02.ItmRls_UpdChk02_Dtl</t>
    <phoneticPr fontId="20"/>
  </si>
  <si>
    <t>MA.MABCL0400.ItmRls_UpdChk02.ItmRls_UpdChk02_Cnd</t>
    <phoneticPr fontId="20"/>
  </si>
  <si>
    <t>品目区分</t>
    <phoneticPr fontId="4"/>
  </si>
  <si>
    <t>品目区分詳細ＣＤ</t>
    <phoneticPr fontId="4"/>
  </si>
  <si>
    <t>品目区分詳細名</t>
    <phoneticPr fontId="4"/>
  </si>
  <si>
    <t>枝番１</t>
    <phoneticPr fontId="1"/>
  </si>
  <si>
    <t>品名</t>
    <phoneticPr fontId="1"/>
  </si>
  <si>
    <t>リリース.オン</t>
    <phoneticPr fontId="1"/>
  </si>
  <si>
    <t>リリース.オフ</t>
    <phoneticPr fontId="1"/>
  </si>
  <si>
    <t>メモ１(共通）</t>
    <phoneticPr fontId="3"/>
  </si>
  <si>
    <t>メモ２(共通）</t>
    <phoneticPr fontId="1"/>
  </si>
  <si>
    <t>メモ３(共通）</t>
    <phoneticPr fontId="1"/>
  </si>
  <si>
    <t>販売.対象外</t>
    <phoneticPr fontId="1"/>
  </si>
  <si>
    <t>販売.対象</t>
    <phoneticPr fontId="1"/>
  </si>
  <si>
    <t>販売.未設定</t>
    <phoneticPr fontId="2"/>
  </si>
  <si>
    <t>販売.設定済</t>
    <phoneticPr fontId="2"/>
  </si>
  <si>
    <t>製造.対象外</t>
    <phoneticPr fontId="2"/>
  </si>
  <si>
    <t>製造.対象</t>
    <phoneticPr fontId="2"/>
  </si>
  <si>
    <t>製造.未設定</t>
    <phoneticPr fontId="2"/>
  </si>
  <si>
    <t>製造.設定済</t>
    <phoneticPr fontId="2"/>
  </si>
  <si>
    <t>購買.対象外</t>
    <phoneticPr fontId="2"/>
  </si>
  <si>
    <t>購買.対象</t>
    <phoneticPr fontId="2"/>
  </si>
  <si>
    <t>購買.未設定</t>
    <phoneticPr fontId="2"/>
  </si>
  <si>
    <t>購買.設定済</t>
    <phoneticPr fontId="2"/>
  </si>
  <si>
    <t>検査.対象外</t>
    <phoneticPr fontId="2"/>
  </si>
  <si>
    <t>検査.対象</t>
    <phoneticPr fontId="2"/>
  </si>
  <si>
    <t>検査.未設定</t>
    <phoneticPr fontId="2"/>
  </si>
  <si>
    <t>検査.設定済</t>
    <phoneticPr fontId="2"/>
  </si>
  <si>
    <t>品目分類ＣＤ１</t>
    <phoneticPr fontId="1"/>
  </si>
  <si>
    <t>品目分類名１</t>
    <phoneticPr fontId="1"/>
  </si>
  <si>
    <t>品目分類ＣＤ２</t>
    <phoneticPr fontId="1"/>
  </si>
  <si>
    <t>品目分類名２</t>
    <phoneticPr fontId="1"/>
  </si>
  <si>
    <t>品目分類ＣＤ３</t>
    <phoneticPr fontId="1"/>
  </si>
  <si>
    <t>品目分類名３</t>
    <phoneticPr fontId="1"/>
  </si>
  <si>
    <t>品目分類ＣＤ４</t>
    <phoneticPr fontId="1"/>
  </si>
  <si>
    <t>品目分類名４</t>
    <phoneticPr fontId="1"/>
  </si>
  <si>
    <t>品目分類ＣＤ５</t>
    <phoneticPr fontId="1"/>
  </si>
  <si>
    <t>品目分類名５</t>
    <phoneticPr fontId="1"/>
  </si>
  <si>
    <t>品目分類ＣＤ６</t>
    <phoneticPr fontId="1"/>
  </si>
  <si>
    <t>品目分類名６</t>
    <phoneticPr fontId="1"/>
  </si>
  <si>
    <t>品目分類ＣＤ７</t>
    <phoneticPr fontId="1"/>
  </si>
  <si>
    <t>品目分類名７</t>
    <phoneticPr fontId="1"/>
  </si>
  <si>
    <t>品目分類ＣＤ８</t>
    <phoneticPr fontId="1"/>
  </si>
  <si>
    <t>品目分類名８</t>
    <phoneticPr fontId="1"/>
  </si>
  <si>
    <t>品目分類ＣＤ９</t>
    <phoneticPr fontId="1"/>
  </si>
  <si>
    <t>品目分類名９</t>
    <phoneticPr fontId="1"/>
  </si>
  <si>
    <t>品目分類ＣＤ１０</t>
    <phoneticPr fontId="1"/>
  </si>
  <si>
    <t>品目分類名１０</t>
    <phoneticPr fontId="1"/>
  </si>
  <si>
    <t>リリース</t>
    <phoneticPr fontId="1"/>
  </si>
  <si>
    <t>MAC_ITM_TYP</t>
    <phoneticPr fontId="1"/>
  </si>
  <si>
    <t>品目区分名</t>
    <phoneticPr fontId="4"/>
  </si>
  <si>
    <t>販売対象</t>
    <phoneticPr fontId="2"/>
  </si>
  <si>
    <t>販売設定済</t>
    <phoneticPr fontId="2"/>
  </si>
  <si>
    <t>製造対象</t>
    <phoneticPr fontId="2"/>
  </si>
  <si>
    <t>製造設定済</t>
    <phoneticPr fontId="2"/>
  </si>
  <si>
    <t>購買対象</t>
    <phoneticPr fontId="2"/>
  </si>
  <si>
    <t>購買設定済</t>
    <phoneticPr fontId="2"/>
  </si>
  <si>
    <t>購買単価</t>
    <phoneticPr fontId="2"/>
  </si>
  <si>
    <t>得意先販売単価</t>
    <phoneticPr fontId="1"/>
  </si>
  <si>
    <t>品目販売単価</t>
    <phoneticPr fontId="1"/>
  </si>
  <si>
    <t>標準販売単価</t>
    <phoneticPr fontId="1"/>
  </si>
  <si>
    <t>支給単価</t>
    <phoneticPr fontId="1"/>
  </si>
  <si>
    <t>加工単価</t>
    <phoneticPr fontId="1"/>
  </si>
  <si>
    <t>検査対象</t>
    <phoneticPr fontId="2"/>
  </si>
  <si>
    <t>検査設定済</t>
    <phoneticPr fontId="2"/>
  </si>
  <si>
    <t>メモ１（共通）</t>
    <phoneticPr fontId="1"/>
  </si>
  <si>
    <t>メモ２（共通）</t>
    <phoneticPr fontId="1"/>
  </si>
  <si>
    <t>メモ３（共通）</t>
    <phoneticPr fontId="1"/>
  </si>
  <si>
    <t>リリース担当者ＣＤ</t>
    <phoneticPr fontId="1"/>
  </si>
  <si>
    <t>リリース担当者名</t>
    <phoneticPr fontId="1"/>
  </si>
  <si>
    <t>リリース日時</t>
    <phoneticPr fontId="1"/>
  </si>
  <si>
    <t>登録ユーザＩＤ</t>
    <phoneticPr fontId="1"/>
  </si>
  <si>
    <t>登録ユーザ名</t>
    <phoneticPr fontId="1"/>
  </si>
  <si>
    <t>登録日時</t>
    <phoneticPr fontId="1"/>
  </si>
  <si>
    <t>登録機能ＩＤ</t>
    <phoneticPr fontId="1"/>
  </si>
  <si>
    <t>登録機能名</t>
    <phoneticPr fontId="1"/>
  </si>
  <si>
    <t>更新ユーザＩＤ</t>
    <phoneticPr fontId="1"/>
  </si>
  <si>
    <t>更新ユーザ名</t>
    <phoneticPr fontId="1"/>
  </si>
  <si>
    <t>更新日時</t>
    <phoneticPr fontId="1"/>
  </si>
  <si>
    <t>更新機能ＩＤ</t>
    <phoneticPr fontId="1"/>
  </si>
  <si>
    <t>更新機能名</t>
    <phoneticPr fontId="1"/>
  </si>
  <si>
    <t>更新リクエストＮＯ</t>
    <phoneticPr fontId="1"/>
  </si>
  <si>
    <t>在庫管理区分</t>
    <phoneticPr fontId="9"/>
  </si>
  <si>
    <t>資産管理区分</t>
    <phoneticPr fontId="9"/>
  </si>
  <si>
    <t>memo2</t>
    <phoneticPr fontId="1"/>
  </si>
  <si>
    <t>#MA.MST_MEMO2</t>
    <phoneticPr fontId="1"/>
  </si>
  <si>
    <t>Srch01_Rslt1</t>
    <phoneticPr fontId="1"/>
  </si>
  <si>
    <t>ins_usr_id</t>
    <phoneticPr fontId="1"/>
  </si>
  <si>
    <t>upd_usr_id</t>
    <phoneticPr fontId="1"/>
  </si>
  <si>
    <t>#MA.SYS_TS</t>
    <phoneticPr fontId="1"/>
  </si>
  <si>
    <t>MA.MABCL0400.ItmRls_Upd01.ItmRls_Upd01_Dtl</t>
    <phoneticPr fontId="1"/>
  </si>
  <si>
    <t>ItmRls_UpdChk01_Dtl</t>
    <phoneticPr fontId="1"/>
  </si>
  <si>
    <t>ItmRls_Upd01_Dtl</t>
    <phoneticPr fontId="1"/>
  </si>
  <si>
    <t>MA.MABCL0400.ItmRls_Del01.ItmRls_Del01_Dtl</t>
    <phoneticPr fontId="1"/>
  </si>
  <si>
    <t>ItmRls_DelChk01_Dtl</t>
    <phoneticPr fontId="1"/>
  </si>
  <si>
    <t>ItmRls_Del01_Dtl</t>
    <phoneticPr fontId="1"/>
  </si>
  <si>
    <t>MA.MABCL0400.ItmRls_Upd02.ItmRls_Upd02_Dtl</t>
    <phoneticPr fontId="20"/>
  </si>
  <si>
    <t>MA.MABCL0400.ItmRls_Upd02.ItmRls_Upd02_Cnd</t>
    <phoneticPr fontId="20"/>
  </si>
  <si>
    <t>Upd02</t>
    <phoneticPr fontId="20"/>
  </si>
  <si>
    <t>000000</t>
    <phoneticPr fontId="1"/>
  </si>
  <si>
    <t>tgt_dt</t>
    <phoneticPr fontId="20"/>
  </si>
  <si>
    <t>#MA.DT</t>
    <phoneticPr fontId="1"/>
  </si>
  <si>
    <t>MA.MAUDL5010</t>
    <phoneticPr fontId="1"/>
  </si>
  <si>
    <t>"mcframe.serverMAUD.MAUDL6010.MAUDL_RLUpdater"</t>
    <phoneticPr fontId="1"/>
  </si>
  <si>
    <t>"mcframe.serverMAUD.MAUDL6010.MAUDL_RLSearcher"</t>
    <phoneticPr fontId="1"/>
  </si>
  <si>
    <t>対象日</t>
    <phoneticPr fontId="20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</si>
  <si>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</si>
  <si>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</si>
  <si>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</si>
  <si>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</si>
  <si>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</si>
  <si>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</si>
  <si>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</si>
  <si>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</si>
  <si>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</si>
  <si>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</si>
  <si>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</si>
  <si>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</si>
  <si>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ブロック備考
Block Remarks</t>
    <phoneticPr fontId="1"/>
  </si>
  <si>
    <t>項目備考
Field Remarks</t>
    <phoneticPr fontId="1"/>
  </si>
  <si>
    <t>Item cd.</t>
  </si>
  <si>
    <t>Branch No. 1</t>
  </si>
  <si>
    <t>Branch No. 2</t>
  </si>
  <si>
    <t>Branch No. 3</t>
  </si>
  <si>
    <t>Shipping unit cd.</t>
  </si>
  <si>
    <t>Mfg. unit cd.</t>
  </si>
  <si>
    <t>PO unit cd.</t>
  </si>
  <si>
    <t>Packing unit cd.</t>
  </si>
  <si>
    <t>Memo 1</t>
  </si>
  <si>
    <t>Memo 2</t>
  </si>
  <si>
    <t>Memo 3</t>
  </si>
  <si>
    <t>Release</t>
  </si>
  <si>
    <t>Release PIC name cd.</t>
  </si>
  <si>
    <t>Release date and time</t>
  </si>
  <si>
    <t>Company cd.</t>
  </si>
  <si>
    <t>Update counter</t>
  </si>
  <si>
    <t>Term</t>
  </si>
  <si>
    <t>Date</t>
  </si>
  <si>
    <t>項目名
Field Name</t>
    <phoneticPr fontId="1"/>
  </si>
  <si>
    <t>型
Type</t>
    <phoneticPr fontId="1"/>
  </si>
  <si>
    <t>Item type</t>
  </si>
  <si>
    <t>Item type details cd.</t>
  </si>
  <si>
    <t>Item type details name</t>
  </si>
  <si>
    <t>Item name</t>
  </si>
  <si>
    <t>Release. On</t>
  </si>
  <si>
    <t>Release. Off</t>
  </si>
  <si>
    <t>Memo 1 (Common)</t>
  </si>
  <si>
    <t>Memo 2 (Common)</t>
  </si>
  <si>
    <t>Memo 3 (Common)</t>
  </si>
  <si>
    <t>Not for sales</t>
  </si>
  <si>
    <t>For sales</t>
  </si>
  <si>
    <t>Sales. not set</t>
  </si>
  <si>
    <t>Sales. configured</t>
  </si>
  <si>
    <t>Not for mfg.</t>
  </si>
  <si>
    <t>For mfg.</t>
  </si>
  <si>
    <t>Manufacture not configured</t>
  </si>
  <si>
    <t>Mfg. configured</t>
  </si>
  <si>
    <t>Not for purchasing</t>
  </si>
  <si>
    <t>For purchasing</t>
  </si>
  <si>
    <t>Purchasing. not set</t>
  </si>
  <si>
    <t>Purchasing configured</t>
  </si>
  <si>
    <t>Not for inspection</t>
  </si>
  <si>
    <t>For inspection</t>
  </si>
  <si>
    <t>Inspection not configured</t>
  </si>
  <si>
    <t>Inspection configured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</si>
  <si>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</si>
  <si>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</si>
  <si>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</si>
  <si>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</si>
  <si>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</si>
  <si>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</si>
  <si>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</si>
  <si>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</si>
  <si>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</si>
  <si>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</si>
  <si>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</si>
  <si>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</si>
  <si>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</si>
  <si>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</si>
  <si>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</si>
  <si>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</si>
  <si>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</si>
  <si>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</si>
  <si>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</si>
  <si>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</si>
  <si>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Item type name</t>
  </si>
  <si>
    <t>Sales configured</t>
  </si>
  <si>
    <t>Purchase configured</t>
  </si>
  <si>
    <t>Purchase unit price</t>
  </si>
  <si>
    <t>Customer sales unit price</t>
  </si>
  <si>
    <t>Item sales unit price</t>
  </si>
  <si>
    <t>Standard sales unit price</t>
  </si>
  <si>
    <t>Supply unit price</t>
  </si>
  <si>
    <t>Subcontracting unit price</t>
  </si>
  <si>
    <t>Release PIC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</si>
  <si>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</si>
  <si>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</si>
  <si>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</si>
  <si>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</si>
  <si>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</si>
  <si>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</si>
  <si>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</si>
  <si>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</si>
  <si>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</si>
  <si>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</si>
  <si>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</si>
  <si>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Inventory management type</t>
  </si>
  <si>
    <t>Asset management type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</si>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</sst>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6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6">
    <xf numFmtId="0" fontId="0" fillId="0" borderId="0">
      <alignment vertical="top" wrapText="1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2" borderId="4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" fillId="7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23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23" borderId="1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3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45">
    <xf numFmtId="0" fontId="0" fillId="0" borderId="0" xfId="0">
      <alignment vertical="top" wrapText="1"/>
    </xf>
    <xf numFmtId="0" fontId="22" fillId="0" borderId="13" xfId="0" applyFont="1" applyBorder="1" applyAlignment="1">
      <alignment vertical="center"/>
    </xf>
    <xf numFmtId="0" fontId="22" fillId="0" borderId="13" xfId="0" applyFont="1" applyBorder="1" applyAlignment="1">
      <alignment horizontal="left" vertical="top"/>
    </xf>
    <xf numFmtId="0" fontId="22" fillId="0" borderId="13" xfId="0" applyFont="1" applyBorder="1" applyAlignment="1">
      <alignment vertical="top"/>
    </xf>
    <xf numFmtId="0" fontId="22" fillId="0" borderId="0" xfId="0" applyFont="1" applyAlignment="1">
      <alignment vertical="top"/>
    </xf>
    <xf numFmtId="0" fontId="22" fillId="0" borderId="0" xfId="0" applyFont="1" applyAlignment="1">
      <alignment vertical="center"/>
    </xf>
    <xf numFmtId="0" fontId="22" fillId="0" borderId="14" xfId="0" applyFont="1" applyBorder="1" applyAlignment="1">
      <alignment vertical="top"/>
    </xf>
    <xf numFmtId="0" fontId="22" fillId="0" borderId="15" xfId="0" applyFont="1" applyBorder="1" applyAlignment="1">
      <alignment vertical="top"/>
    </xf>
    <xf numFmtId="20" fontId="22" fillId="24" borderId="15" xfId="0" applyNumberFormat="1" applyFont="1" applyFill="1" applyBorder="1" applyAlignment="1">
      <alignment horizontal="left" vertical="top"/>
    </xf>
    <xf numFmtId="0" fontId="22" fillId="24" borderId="15" xfId="0" applyFont="1" applyFill="1" applyBorder="1" applyAlignment="1">
      <alignment vertical="top"/>
    </xf>
    <xf numFmtId="0" fontId="22" fillId="24" borderId="15" xfId="0" quotePrefix="1" applyFont="1" applyFill="1" applyBorder="1" applyAlignment="1">
      <alignment vertical="top"/>
    </xf>
    <xf numFmtId="0" fontId="22" fillId="0" borderId="0" xfId="0" applyFont="1">
      <alignment vertical="top" wrapText="1"/>
    </xf>
    <xf numFmtId="0" fontId="22" fillId="24" borderId="15" xfId="0" applyFont="1" applyFill="1" applyBorder="1" applyAlignment="1">
      <alignment horizontal="left" vertical="top"/>
    </xf>
    <xf numFmtId="0" fontId="22" fillId="25" borderId="15" xfId="0" applyFont="1" applyFill="1" applyBorder="1" applyAlignment="1">
      <alignment vertical="top"/>
    </xf>
    <xf numFmtId="0" fontId="22" fillId="0" borderId="0" xfId="0" applyFont="1" applyAlignment="1"/>
    <xf numFmtId="0" fontId="22" fillId="0" borderId="18" xfId="0" applyFont="1" applyBorder="1" applyAlignment="1">
      <alignment vertical="top"/>
    </xf>
    <xf numFmtId="0" fontId="22" fillId="25" borderId="2" xfId="0" applyFont="1" applyFill="1" applyBorder="1" applyAlignment="1">
      <alignment vertical="top"/>
    </xf>
    <xf numFmtId="0" fontId="22" fillId="25" borderId="2" xfId="0" applyFont="1" applyFill="1" applyBorder="1" applyAlignment="1">
      <alignment horizontal="left" vertical="top"/>
    </xf>
    <xf numFmtId="0" fontId="22" fillId="25" borderId="19" xfId="0" applyFont="1" applyFill="1" applyBorder="1" applyAlignment="1">
      <alignment vertical="top"/>
    </xf>
    <xf numFmtId="0" fontId="22" fillId="0" borderId="13" xfId="0" applyFont="1" applyBorder="1">
      <alignment vertical="top" wrapText="1"/>
    </xf>
    <xf numFmtId="0" fontId="22" fillId="0" borderId="17" xfId="0" applyFont="1" applyBorder="1">
      <alignment vertical="top" wrapText="1"/>
    </xf>
    <xf numFmtId="0" fontId="22" fillId="0" borderId="14" xfId="0" applyFont="1" applyBorder="1" applyAlignment="1">
      <alignment vertical="center"/>
    </xf>
    <xf numFmtId="0" fontId="22" fillId="0" borderId="14" xfId="0" applyFont="1" applyBorder="1" applyAlignment="1">
      <alignment horizontal="left" vertical="top"/>
    </xf>
    <xf numFmtId="0" fontId="22" fillId="0" borderId="16" xfId="0" applyFont="1" applyBorder="1" applyAlignment="1">
      <alignment vertical="top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horizontal="left" vertical="top"/>
    </xf>
    <xf numFmtId="0" fontId="22" fillId="0" borderId="17" xfId="0" applyFont="1" applyBorder="1" applyAlignment="1">
      <alignment vertical="top"/>
    </xf>
    <xf numFmtId="0" fontId="22" fillId="0" borderId="0" xfId="0" applyFont="1" applyAlignment="1" applyProtection="1">
      <alignment vertical="center"/>
      <protection locked="0"/>
    </xf>
    <xf numFmtId="0" fontId="22" fillId="24" borderId="15" xfId="0" applyFont="1" applyFill="1" applyBorder="1" applyAlignment="1">
      <alignment vertical="center"/>
    </xf>
    <xf numFmtId="0" fontId="22" fillId="0" borderId="0" xfId="0" applyFont="1" applyAlignment="1" applyProtection="1">
      <alignment vertical="top"/>
      <protection locked="0"/>
    </xf>
    <xf numFmtId="0" fontId="22" fillId="24" borderId="14" xfId="0" applyFont="1" applyFill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alignment vertical="top"/>
      <protection locked="0"/>
    </xf>
    <xf numFmtId="0" fontId="22" fillId="24" borderId="15" xfId="0" applyFont="1" applyFill="1" applyBorder="1" applyAlignment="1" applyProtection="1">
      <alignment vertical="top"/>
      <protection locked="0"/>
    </xf>
    <xf numFmtId="0" fontId="22" fillId="0" borderId="15" xfId="0" applyFont="1" applyBorder="1" applyAlignment="1" applyProtection="1">
      <alignment vertical="top"/>
      <protection locked="0"/>
    </xf>
    <xf numFmtId="0" fontId="22" fillId="24" borderId="15" xfId="0" applyFont="1" applyFill="1" applyBorder="1" applyAlignment="1"/>
    <xf numFmtId="0" fontId="22" fillId="0" borderId="22" xfId="0" applyFont="1" applyBorder="1" applyAlignment="1" applyProtection="1">
      <protection locked="0"/>
    </xf>
    <xf numFmtId="0" fontId="22" fillId="0" borderId="19" xfId="0" applyFont="1" applyBorder="1" applyAlignment="1" applyProtection="1">
      <protection locked="0"/>
    </xf>
    <xf numFmtId="0" fontId="22" fillId="24" borderId="22" xfId="0" applyFont="1" applyFill="1" applyBorder="1" applyAlignment="1">
      <alignment vertical="top"/>
    </xf>
    <xf numFmtId="0" fontId="22" fillId="24" borderId="19" xfId="0" applyFont="1" applyFill="1" applyBorder="1" applyAlignment="1">
      <alignment vertical="top"/>
    </xf>
    <xf numFmtId="0" fontId="22" fillId="24" borderId="22" xfId="0" applyFont="1" applyFill="1" applyBorder="1" applyAlignment="1" applyProtection="1">
      <alignment vertical="top"/>
      <protection locked="0"/>
    </xf>
    <xf numFmtId="0" fontId="22" fillId="24" borderId="2" xfId="0" applyFont="1" applyFill="1" applyBorder="1" applyAlignment="1" applyProtection="1">
      <alignment vertical="top"/>
      <protection locked="0"/>
    </xf>
    <xf numFmtId="0" fontId="22" fillId="0" borderId="2" xfId="0" applyFont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protection locked="0"/>
    </xf>
    <xf numFmtId="0" fontId="22" fillId="0" borderId="2" xfId="0" applyFont="1" applyBorder="1" applyAlignment="1" applyProtection="1">
      <protection locked="0"/>
    </xf>
    <xf numFmtId="0" fontId="22" fillId="0" borderId="19" xfId="0" applyFont="1" applyBorder="1" applyAlignment="1"/>
    <xf numFmtId="0" fontId="22" fillId="24" borderId="19" xfId="0" applyFont="1" applyFill="1" applyBorder="1" applyAlignment="1"/>
    <xf numFmtId="0" fontId="22" fillId="0" borderId="22" xfId="0" applyFont="1" applyBorder="1" applyAlignment="1"/>
    <xf numFmtId="0" fontId="22" fillId="0" borderId="2" xfId="0" applyFont="1" applyBorder="1" applyAlignment="1"/>
    <xf numFmtId="0" fontId="22" fillId="24" borderId="15" xfId="0" applyFont="1" applyFill="1" applyBorder="1" applyAlignment="1" applyProtection="1">
      <protection locked="0"/>
    </xf>
    <xf numFmtId="0" fontId="22" fillId="24" borderId="15" xfId="0" applyFont="1" applyFill="1" applyBorder="1">
      <alignment vertical="top" wrapText="1"/>
    </xf>
    <xf numFmtId="0" fontId="22" fillId="25" borderId="15" xfId="0" applyFont="1" applyFill="1" applyBorder="1">
      <alignment vertical="top" wrapText="1"/>
    </xf>
    <xf numFmtId="0" fontId="22" fillId="0" borderId="19" xfId="0" applyFont="1" applyBorder="1" applyAlignment="1" applyProtection="1">
      <alignment vertical="top"/>
      <protection locked="0"/>
    </xf>
    <xf numFmtId="0" fontId="22" fillId="24" borderId="21" xfId="0" applyFont="1" applyFill="1" applyBorder="1" applyAlignment="1" applyProtection="1">
      <alignment vertical="top"/>
      <protection locked="0"/>
    </xf>
    <xf numFmtId="0" fontId="22" fillId="24" borderId="0" xfId="0" applyFont="1" applyFill="1" applyAlignment="1" applyProtection="1">
      <alignment vertical="top"/>
      <protection locked="0"/>
    </xf>
    <xf numFmtId="0" fontId="22" fillId="0" borderId="18" xfId="0" applyFont="1" applyBorder="1">
      <alignment vertical="top" wrapText="1"/>
    </xf>
    <xf numFmtId="0" fontId="22" fillId="0" borderId="22" xfId="0" applyFont="1" applyBorder="1" applyAlignment="1" applyProtection="1">
      <alignment vertical="top"/>
      <protection locked="0"/>
    </xf>
    <xf numFmtId="0" fontId="22" fillId="0" borderId="22" xfId="0" applyFont="1" applyBorder="1" applyAlignment="1">
      <alignment vertical="top"/>
    </xf>
    <xf numFmtId="0" fontId="22" fillId="0" borderId="19" xfId="0" applyFont="1" applyBorder="1" applyAlignment="1">
      <alignment vertical="top"/>
    </xf>
    <xf numFmtId="0" fontId="22" fillId="0" borderId="17" xfId="0" applyFont="1" applyBorder="1" applyAlignment="1"/>
    <xf numFmtId="0" fontId="22" fillId="0" borderId="23" xfId="0" applyFont="1" applyBorder="1" applyAlignment="1"/>
    <xf numFmtId="0" fontId="22" fillId="0" borderId="13" xfId="0" applyFont="1" applyBorder="1" applyAlignment="1"/>
    <xf numFmtId="0" fontId="22" fillId="24" borderId="20" xfId="0" applyFont="1" applyFill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alignment vertical="center"/>
      <protection locked="0"/>
    </xf>
    <xf numFmtId="0" fontId="22" fillId="0" borderId="14" xfId="0" applyFont="1" applyBorder="1" applyAlignment="1" applyProtection="1">
      <alignment horizontal="left" vertical="top"/>
      <protection locked="0"/>
    </xf>
    <xf numFmtId="0" fontId="22" fillId="0" borderId="16" xfId="0" applyFont="1" applyBorder="1" applyAlignment="1" applyProtection="1">
      <alignment vertical="top"/>
      <protection locked="0"/>
    </xf>
    <xf numFmtId="0" fontId="25" fillId="0" borderId="0" xfId="0" applyFont="1">
      <alignment vertical="top"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2" fillId="0" borderId="15" xfId="0" quotePrefix="1" applyFont="1" applyBorder="1" applyAlignment="1">
      <alignment vertical="top"/>
    </xf>
    <xf numFmtId="0" fontId="22" fillId="0" borderId="42" xfId="0" applyFont="1" applyBorder="1" applyAlignment="1"/>
    <xf numFmtId="0" fontId="22" fillId="25" borderId="22" xfId="0" applyFont="1" applyFill="1" applyBorder="1" applyAlignment="1" applyProtection="1">
      <protection locked="0"/>
    </xf>
    <xf numFmtId="0" fontId="22" fillId="25" borderId="19" xfId="0" applyFont="1" applyFill="1" applyBorder="1" applyAlignment="1"/>
    <xf numFmtId="0" fontId="22" fillId="25" borderId="19" xfId="0" applyFont="1" applyFill="1" applyBorder="1" applyAlignment="1" applyProtection="1">
      <protection locked="0"/>
    </xf>
    <xf numFmtId="0" fontId="22" fillId="24" borderId="13" xfId="0" applyFont="1" applyFill="1" applyBorder="1" applyAlignment="1">
      <alignment vertical="top"/>
    </xf>
    <xf numFmtId="0" fontId="22" fillId="24" borderId="20" xfId="0" applyFont="1" applyFill="1" applyBorder="1" applyAlignment="1">
      <alignment vertical="top"/>
    </xf>
    <xf numFmtId="0" fontId="22" fillId="24" borderId="14" xfId="0" applyFont="1" applyFill="1" applyBorder="1" applyAlignment="1">
      <alignment vertical="top"/>
    </xf>
    <xf numFmtId="0" fontId="22" fillId="26" borderId="15" xfId="0" applyFont="1" applyFill="1" applyBorder="1" applyAlignment="1">
      <alignment vertical="top"/>
    </xf>
    <xf numFmtId="0" fontId="22" fillId="24" borderId="21" xfId="0" applyFont="1" applyFill="1" applyBorder="1" applyAlignment="1">
      <alignment vertical="top"/>
    </xf>
    <xf numFmtId="0" fontId="22" fillId="24" borderId="0" xfId="0" applyFont="1" applyFill="1" applyAlignment="1">
      <alignment vertical="top"/>
    </xf>
    <xf numFmtId="0" fontId="22" fillId="26" borderId="0" xfId="0" applyFont="1" applyFill="1">
      <alignment vertical="top" wrapText="1"/>
    </xf>
    <xf numFmtId="0" fontId="22" fillId="0" borderId="15" xfId="0" applyFont="1" applyBorder="1" applyAlignment="1">
      <alignment vertical="center"/>
    </xf>
    <xf numFmtId="0" fontId="22" fillId="24" borderId="23" xfId="0" applyFont="1" applyFill="1" applyBorder="1" applyAlignment="1">
      <alignment vertical="top"/>
    </xf>
    <xf numFmtId="0" fontId="22" fillId="0" borderId="2" xfId="0" applyFont="1" applyBorder="1" applyAlignment="1">
      <alignment vertical="top"/>
    </xf>
    <xf numFmtId="0" fontId="22" fillId="0" borderId="23" xfId="0" applyFont="1" applyBorder="1" applyAlignment="1">
      <alignment vertical="top"/>
    </xf>
    <xf numFmtId="0" fontId="22" fillId="0" borderId="14" xfId="0" applyFont="1" applyBorder="1">
      <alignment vertical="top" wrapText="1"/>
    </xf>
    <xf numFmtId="0" fontId="22" fillId="0" borderId="15" xfId="0" applyFont="1" applyBorder="1">
      <alignment vertical="top" wrapText="1"/>
    </xf>
    <xf numFmtId="0" fontId="22" fillId="0" borderId="15" xfId="0" applyFont="1" applyBorder="1" applyProtection="1">
      <alignment vertical="top" wrapText="1"/>
      <protection locked="0"/>
    </xf>
    <xf numFmtId="0" fontId="22" fillId="24" borderId="22" xfId="0" applyFont="1" applyFill="1" applyBorder="1">
      <alignment vertical="top" wrapText="1"/>
    </xf>
    <xf numFmtId="0" fontId="22" fillId="24" borderId="19" xfId="0" applyFont="1" applyFill="1" applyBorder="1">
      <alignment vertical="top" wrapText="1"/>
    </xf>
    <xf numFmtId="0" fontId="22" fillId="0" borderId="13" xfId="0" applyFont="1" applyBorder="1" applyAlignment="1" applyProtection="1">
      <alignment vertical="top"/>
      <protection locked="0"/>
    </xf>
    <xf numFmtId="0" fontId="22" fillId="0" borderId="17" xfId="0" applyFont="1" applyBorder="1" applyAlignment="1" applyProtection="1">
      <alignment vertical="top"/>
      <protection locked="0"/>
    </xf>
    <xf numFmtId="0" fontId="22" fillId="0" borderId="22" xfId="0" applyFont="1" applyBorder="1" applyProtection="1">
      <alignment vertical="top" wrapText="1"/>
      <protection locked="0"/>
    </xf>
    <xf numFmtId="0" fontId="22" fillId="0" borderId="22" xfId="0" applyFont="1" applyBorder="1">
      <alignment vertical="top" wrapText="1"/>
    </xf>
    <xf numFmtId="0" fontId="22" fillId="0" borderId="19" xfId="0" applyFont="1" applyBorder="1">
      <alignment vertical="top" wrapText="1"/>
    </xf>
    <xf numFmtId="0" fontId="24" fillId="0" borderId="36" xfId="0" applyFont="1" applyBorder="1" applyAlignment="1">
      <alignment horizontal="left" vertical="center" wrapText="1"/>
    </xf>
    <xf numFmtId="0" fontId="24" fillId="0" borderId="37" xfId="0" applyFont="1" applyBorder="1" applyAlignment="1">
      <alignment horizontal="left" vertical="center" wrapText="1"/>
    </xf>
    <xf numFmtId="0" fontId="24" fillId="0" borderId="38" xfId="0" applyFont="1" applyBorder="1" applyAlignment="1">
      <alignment horizontal="left" vertical="center" wrapText="1"/>
    </xf>
    <xf numFmtId="0" fontId="24" fillId="0" borderId="37" xfId="0" applyFont="1" applyBorder="1" applyAlignment="1">
      <alignment vertical="center" wrapText="1"/>
    </xf>
    <xf numFmtId="0" fontId="24" fillId="0" borderId="38" xfId="0" applyFont="1" applyBorder="1" applyAlignment="1">
      <alignment vertical="center" wrapText="1"/>
    </xf>
    <xf numFmtId="0" fontId="24" fillId="0" borderId="36" xfId="0" applyFont="1" applyBorder="1" applyAlignment="1">
      <alignment vertical="center" wrapText="1"/>
    </xf>
    <xf numFmtId="0" fontId="24" fillId="0" borderId="39" xfId="0" applyFont="1" applyBorder="1" applyAlignment="1">
      <alignment vertical="center" wrapText="1"/>
    </xf>
    <xf numFmtId="0" fontId="25" fillId="25" borderId="40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0" borderId="22" xfId="0" applyFont="1" applyBorder="1" applyAlignment="1">
      <alignment horizontal="left" vertical="center" wrapText="1"/>
    </xf>
    <xf numFmtId="0" fontId="24" fillId="0" borderId="2" xfId="0" applyFont="1" applyBorder="1" applyAlignment="1">
      <alignment vertical="center" wrapText="1"/>
    </xf>
    <xf numFmtId="0" fontId="24" fillId="0" borderId="19" xfId="0" applyFont="1" applyBorder="1" applyAlignment="1">
      <alignment vertical="center" wrapText="1"/>
    </xf>
    <xf numFmtId="0" fontId="24" fillId="0" borderId="22" xfId="0" applyFont="1" applyBorder="1" applyAlignment="1">
      <alignment vertical="center" wrapText="1"/>
    </xf>
    <xf numFmtId="0" fontId="24" fillId="0" borderId="33" xfId="0" applyFont="1" applyBorder="1" applyAlignment="1">
      <alignment vertical="center" wrapText="1"/>
    </xf>
    <xf numFmtId="177" fontId="24" fillId="0" borderId="41" xfId="0" applyNumberFormat="1" applyFont="1" applyBorder="1" applyAlignment="1">
      <alignment horizontal="center" vertical="center"/>
    </xf>
    <xf numFmtId="177" fontId="24" fillId="0" borderId="37" xfId="0" applyNumberFormat="1" applyFont="1" applyBorder="1" applyAlignment="1">
      <alignment horizontal="center" vertical="center"/>
    </xf>
    <xf numFmtId="177" fontId="24" fillId="0" borderId="38" xfId="0" applyNumberFormat="1" applyFont="1" applyBorder="1" applyAlignment="1">
      <alignment horizontal="center" vertical="center"/>
    </xf>
    <xf numFmtId="177" fontId="24" fillId="0" borderId="32" xfId="0" applyNumberFormat="1" applyFont="1" applyBorder="1" applyAlignment="1">
      <alignment horizontal="center" vertical="center"/>
    </xf>
    <xf numFmtId="177" fontId="24" fillId="0" borderId="2" xfId="0" applyNumberFormat="1" applyFont="1" applyBorder="1" applyAlignment="1">
      <alignment horizontal="center" vertical="center"/>
    </xf>
    <xf numFmtId="177" fontId="24" fillId="0" borderId="19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left" vertical="center" wrapText="1"/>
    </xf>
    <xf numFmtId="0" fontId="24" fillId="0" borderId="19" xfId="0" applyFont="1" applyBorder="1" applyAlignment="1">
      <alignment horizontal="left" vertical="center" wrapText="1"/>
    </xf>
    <xf numFmtId="0" fontId="24" fillId="0" borderId="22" xfId="0" applyFont="1" applyBorder="1" applyAlignment="1">
      <alignment horizontal="left" vertical="center"/>
    </xf>
    <xf numFmtId="0" fontId="24" fillId="0" borderId="2" xfId="0" applyFont="1" applyBorder="1" applyAlignment="1">
      <alignment horizontal="left" vertical="center"/>
    </xf>
    <xf numFmtId="0" fontId="24" fillId="0" borderId="19" xfId="0" applyFont="1" applyBorder="1" applyAlignment="1">
      <alignment horizontal="left" vertical="center"/>
    </xf>
    <xf numFmtId="0" fontId="24" fillId="0" borderId="22" xfId="0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0" fontId="24" fillId="0" borderId="33" xfId="0" applyFont="1" applyBorder="1" applyAlignment="1">
      <alignment vertical="center"/>
    </xf>
    <xf numFmtId="0" fontId="24" fillId="0" borderId="34" xfId="0" applyFont="1" applyBorder="1" applyAlignment="1">
      <alignment horizontal="left" vertical="center" wrapText="1"/>
    </xf>
    <xf numFmtId="0" fontId="24" fillId="0" borderId="25" xfId="0" applyFont="1" applyBorder="1" applyAlignment="1">
      <alignment horizontal="left" vertical="center" wrapText="1"/>
    </xf>
    <xf numFmtId="0" fontId="24" fillId="0" borderId="26" xfId="0" applyFont="1" applyBorder="1" applyAlignment="1">
      <alignment horizontal="left" vertical="center" wrapText="1"/>
    </xf>
    <xf numFmtId="0" fontId="24" fillId="0" borderId="25" xfId="0" applyFont="1" applyBorder="1" applyAlignment="1">
      <alignment vertical="center" wrapText="1"/>
    </xf>
    <xf numFmtId="0" fontId="24" fillId="0" borderId="26" xfId="0" applyFont="1" applyBorder="1" applyAlignment="1">
      <alignment vertical="center" wrapText="1"/>
    </xf>
    <xf numFmtId="0" fontId="24" fillId="0" borderId="34" xfId="0" applyFont="1" applyBorder="1" applyAlignment="1">
      <alignment vertical="center" wrapText="1"/>
    </xf>
    <xf numFmtId="0" fontId="24" fillId="0" borderId="35" xfId="0" applyFont="1" applyBorder="1" applyAlignment="1">
      <alignment vertical="center" wrapText="1"/>
    </xf>
    <xf numFmtId="177" fontId="24" fillId="0" borderId="24" xfId="0" applyNumberFormat="1" applyFont="1" applyBorder="1" applyAlignment="1">
      <alignment horizontal="center" vertical="center"/>
    </xf>
    <xf numFmtId="177" fontId="24" fillId="0" borderId="25" xfId="0" applyNumberFormat="1" applyFont="1" applyBorder="1" applyAlignment="1">
      <alignment horizontal="center" vertical="center"/>
    </xf>
    <xf numFmtId="177" fontId="24" fillId="0" borderId="26" xfId="0" applyNumberFormat="1" applyFont="1" applyBorder="1" applyAlignment="1">
      <alignment horizontal="center" vertical="center"/>
    </xf>
    <xf numFmtId="0" fontId="23" fillId="25" borderId="27" xfId="0" applyFont="1" applyFill="1" applyBorder="1" applyAlignment="1">
      <alignment horizontal="center" vertical="center"/>
    </xf>
    <xf numFmtId="0" fontId="24" fillId="0" borderId="3" xfId="0" applyFont="1" applyBorder="1" applyAlignment="1">
      <alignment vertical="center"/>
    </xf>
    <xf numFmtId="0" fontId="24" fillId="0" borderId="28" xfId="0" applyFont="1" applyBorder="1" applyAlignment="1">
      <alignment vertical="center"/>
    </xf>
    <xf numFmtId="0" fontId="25" fillId="25" borderId="29" xfId="0" applyFont="1" applyFill="1" applyBorder="1" applyAlignment="1">
      <alignment horizontal="center" vertical="center"/>
    </xf>
    <xf numFmtId="0" fontId="25" fillId="25" borderId="1" xfId="0" applyFont="1" applyFill="1" applyBorder="1" applyAlignment="1">
      <alignment horizontal="center" vertical="center"/>
    </xf>
    <xf numFmtId="0" fontId="25" fillId="25" borderId="30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0" fontId="22" fillId="25" borderId="22" xfId="0" applyFont="1" applyFill="1" applyBorder="1" applyAlignment="1" applyProtection="1">
      <protection locked="0"/>
    </xf>
    <xf numFmtId="0" fontId="22" fillId="25" borderId="19" xfId="0" applyFont="1" applyFill="1" applyBorder="1" applyAlignment="1"/>
    <xf numFmtId="0" fontId="22" fillId="25" borderId="22" xfId="0" applyFont="1" applyFill="1" applyBorder="1" applyAlignment="1"/>
    <xf numFmtId="0" fontId="22" fillId="25" borderId="19" xfId="0" applyFont="1" applyFill="1" applyBorder="1" applyAlignment="1" applyProtection="1">
      <protection locked="0"/>
    </xf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71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purc_tar_out_flg@purc" TargetMode="External"/><Relationship Id="rId2" Type="http://schemas.openxmlformats.org/officeDocument/2006/relationships/hyperlink" Target="mailto:mfg_tar_out_flg@mfg" TargetMode="External"/><Relationship Id="rId1" Type="http://schemas.openxmlformats.org/officeDocument/2006/relationships/hyperlink" Target="mailto:sls_tar_out_flg@sls" TargetMode="External"/><Relationship Id="rId5" Type="http://schemas.openxmlformats.org/officeDocument/2006/relationships/printerSettings" Target="../printerSettings/printerSettings8.bin"/><Relationship Id="rId4" Type="http://schemas.openxmlformats.org/officeDocument/2006/relationships/hyperlink" Target="mailto:insp_tar_out_flg@insp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87</v>
      </c>
      <c r="D2" s="7" t="s">
        <v>9</v>
      </c>
      <c r="E2" s="9" t="s">
        <v>150</v>
      </c>
      <c r="F2" s="7" t="s">
        <v>39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156</v>
      </c>
      <c r="D3" s="7" t="s">
        <v>10</v>
      </c>
      <c r="E3" s="9" t="s">
        <v>201</v>
      </c>
      <c r="F3" s="7" t="s">
        <v>40</v>
      </c>
      <c r="G3" s="9"/>
      <c r="H3" s="7"/>
      <c r="I3" s="9"/>
    </row>
    <row r="4" spans="1:12" x14ac:dyDescent="0.2">
      <c r="A4" s="3"/>
      <c r="B4" s="7"/>
      <c r="C4" s="68"/>
      <c r="D4" s="7" t="s">
        <v>11</v>
      </c>
      <c r="E4" s="13" t="s">
        <v>155</v>
      </c>
      <c r="F4" s="7" t="s">
        <v>5</v>
      </c>
      <c r="G4" s="9" t="s">
        <v>404</v>
      </c>
      <c r="H4" s="14"/>
      <c r="I4" s="15"/>
    </row>
    <row r="5" spans="1:12" x14ac:dyDescent="0.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W3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1.6328125" style="27" bestFit="1" customWidth="1"/>
    <col min="19" max="19" width="20.453125" style="27" bestFit="1" customWidth="1"/>
    <col min="20" max="20" width="30.81640625" style="27" customWidth="1"/>
    <col min="21" max="21" width="9" style="27"/>
    <col min="22" max="22" width="15.81640625" style="27" customWidth="1"/>
    <col min="23" max="16384" width="9" style="27"/>
  </cols>
  <sheetData>
    <row r="1" spans="1:23" s="11" customFormat="1" x14ac:dyDescent="0.2">
      <c r="A1" s="73" t="s">
        <v>263</v>
      </c>
      <c r="B1" s="73" t="s">
        <v>263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  <c r="W1" s="27"/>
    </row>
    <row r="2" spans="1:23" s="11" customFormat="1" ht="40" customHeight="1" x14ac:dyDescent="0.2">
      <c r="A2" s="74" t="s">
        <v>263</v>
      </c>
      <c r="B2" s="75"/>
      <c r="C2" s="75"/>
      <c r="D2" s="84" t="s">
        <v>408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MABCL0400</v>
      </c>
      <c r="I2" s="7" t="s">
        <v>264</v>
      </c>
      <c r="J2" s="9" t="s">
        <v>142</v>
      </c>
      <c r="K2" s="7" t="s">
        <v>39</v>
      </c>
      <c r="L2" s="76" t="str">
        <f>IF(LogicCommon!G2="","",LogicCommon!G2)</f>
        <v>MC</v>
      </c>
      <c r="M2" s="5" t="s">
        <v>265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  <c r="V2" s="27"/>
      <c r="W2" s="27"/>
    </row>
    <row r="3" spans="1:23" s="11" customFormat="1" x14ac:dyDescent="0.2">
      <c r="A3" s="77" t="s">
        <v>263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MABCL_ItmRlsReg</v>
      </c>
      <c r="I3" s="7" t="s">
        <v>266</v>
      </c>
      <c r="J3" s="9" t="s">
        <v>75</v>
      </c>
      <c r="K3" s="7" t="s">
        <v>40</v>
      </c>
      <c r="L3" s="76" t="str">
        <f>IF(LogicCommon!G3="","",LogicCommon!G3)</f>
        <v/>
      </c>
      <c r="M3" s="56" t="s">
        <v>29</v>
      </c>
      <c r="N3" s="7"/>
      <c r="O3" s="7" t="s">
        <v>267</v>
      </c>
      <c r="P3" s="9" t="s">
        <v>268</v>
      </c>
      <c r="Q3" s="4"/>
      <c r="R3" s="27"/>
      <c r="S3" s="27"/>
      <c r="T3" s="27"/>
      <c r="U3" s="27"/>
      <c r="V3" s="27"/>
      <c r="W3" s="27"/>
    </row>
    <row r="4" spans="1:23" s="11" customFormat="1" x14ac:dyDescent="0.2">
      <c r="A4" s="77" t="s">
        <v>263</v>
      </c>
      <c r="B4" s="78"/>
      <c r="C4" s="78"/>
      <c r="D4" s="4"/>
      <c r="E4" s="7" t="s">
        <v>8</v>
      </c>
      <c r="F4" s="10" t="s">
        <v>401</v>
      </c>
      <c r="G4" s="7" t="s">
        <v>11</v>
      </c>
      <c r="H4" s="76" t="str">
        <f>IF(LogicCommon!E4="","",LogicCommon!E4)</f>
        <v>品目リリース登録</v>
      </c>
      <c r="I4" s="7" t="s">
        <v>269</v>
      </c>
      <c r="J4" s="9" t="s">
        <v>246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  <c r="R4" s="27"/>
      <c r="S4" s="27"/>
      <c r="T4" s="27"/>
      <c r="U4" s="27"/>
      <c r="V4" s="27"/>
      <c r="W4" s="27"/>
    </row>
    <row r="5" spans="1:23" s="11" customFormat="1" x14ac:dyDescent="0.2">
      <c r="A5" s="81" t="s">
        <v>263</v>
      </c>
      <c r="B5" s="73"/>
      <c r="C5" s="73"/>
      <c r="D5" s="26"/>
      <c r="E5" s="7" t="s">
        <v>270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27"/>
      <c r="S5" s="27"/>
      <c r="T5" s="27"/>
      <c r="U5" s="27"/>
      <c r="V5" s="27"/>
      <c r="W5" s="27"/>
    </row>
    <row r="6" spans="1:23" s="11" customFormat="1" x14ac:dyDescent="0.2">
      <c r="A6" s="77" t="s">
        <v>263</v>
      </c>
      <c r="B6" s="78"/>
      <c r="C6" s="78"/>
      <c r="D6" s="4" t="s">
        <v>6</v>
      </c>
      <c r="E6" s="16" t="s">
        <v>245</v>
      </c>
      <c r="F6" s="16"/>
      <c r="G6" s="16"/>
      <c r="H6" s="16"/>
      <c r="I6" s="16"/>
      <c r="J6" s="16"/>
      <c r="K6" s="16"/>
      <c r="L6" s="83"/>
      <c r="M6" s="19"/>
      <c r="N6" s="19"/>
      <c r="O6" s="19"/>
      <c r="P6" s="19"/>
      <c r="Q6" s="19"/>
      <c r="R6" s="3"/>
      <c r="S6" s="3" t="s">
        <v>262</v>
      </c>
      <c r="T6" s="4"/>
      <c r="U6" s="29"/>
      <c r="V6" s="29"/>
      <c r="W6" s="27"/>
    </row>
    <row r="7" spans="1:23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81</v>
      </c>
      <c r="L7" s="32" t="s">
        <v>81</v>
      </c>
      <c r="M7" s="32" t="s">
        <v>215</v>
      </c>
      <c r="N7" s="32" t="s">
        <v>215</v>
      </c>
      <c r="O7" s="32" t="s">
        <v>215</v>
      </c>
      <c r="P7" s="32" t="s">
        <v>215</v>
      </c>
      <c r="Q7" s="32" t="s">
        <v>215</v>
      </c>
      <c r="R7" s="33" t="s">
        <v>64</v>
      </c>
      <c r="S7" s="32"/>
      <c r="T7" s="29"/>
      <c r="U7" s="29"/>
      <c r="V7" s="29"/>
      <c r="W7" s="29"/>
    </row>
    <row r="8" spans="1:23" s="11" customFormat="1" ht="60" customHeight="1" x14ac:dyDescent="0.2">
      <c r="A8" s="49" t="s">
        <v>17</v>
      </c>
      <c r="B8" s="87"/>
      <c r="C8" s="88"/>
      <c r="D8" s="85" t="s">
        <v>409</v>
      </c>
      <c r="E8" s="85" t="s">
        <v>410</v>
      </c>
      <c r="F8" s="83"/>
      <c r="G8" s="85" t="s">
        <v>293</v>
      </c>
      <c r="H8" s="85" t="s">
        <v>411</v>
      </c>
      <c r="I8" s="83"/>
      <c r="J8" s="3"/>
      <c r="K8" s="9" t="s">
        <v>82</v>
      </c>
      <c r="L8" s="9" t="s">
        <v>83</v>
      </c>
      <c r="M8" s="9" t="s">
        <v>218</v>
      </c>
      <c r="N8" s="9" t="s">
        <v>216</v>
      </c>
      <c r="O8" s="9" t="s">
        <v>217</v>
      </c>
      <c r="P8" s="9" t="s">
        <v>225</v>
      </c>
      <c r="Q8" s="9" t="s">
        <v>226</v>
      </c>
      <c r="R8" s="33" t="s">
        <v>65</v>
      </c>
      <c r="S8" s="9"/>
      <c r="T8" s="89"/>
      <c r="U8" s="90"/>
      <c r="V8" s="91" t="s">
        <v>420</v>
      </c>
      <c r="W8" s="51"/>
    </row>
    <row r="9" spans="1:23" s="11" customFormat="1" ht="60" customHeight="1" x14ac:dyDescent="0.2">
      <c r="A9" s="9" t="s">
        <v>17</v>
      </c>
      <c r="B9" s="37"/>
      <c r="C9" s="38"/>
      <c r="D9" s="85" t="s">
        <v>412</v>
      </c>
      <c r="E9" s="92" t="s">
        <v>413</v>
      </c>
      <c r="F9" s="85" t="s">
        <v>414</v>
      </c>
      <c r="G9" s="85" t="s">
        <v>415</v>
      </c>
      <c r="H9" s="85" t="s">
        <v>416</v>
      </c>
      <c r="I9" s="93" t="s">
        <v>417</v>
      </c>
      <c r="J9" s="85" t="s">
        <v>418</v>
      </c>
      <c r="K9" s="33"/>
      <c r="L9" s="33"/>
      <c r="M9" s="33"/>
      <c r="N9" s="33"/>
      <c r="O9" s="33"/>
      <c r="P9" s="33"/>
      <c r="Q9" s="33"/>
      <c r="R9" s="33"/>
      <c r="S9" s="33"/>
      <c r="T9" s="91" t="s">
        <v>419</v>
      </c>
      <c r="U9" s="51"/>
      <c r="V9" s="91" t="s">
        <v>421</v>
      </c>
      <c r="W9" s="51"/>
    </row>
    <row r="10" spans="1:23" s="11" customFormat="1" ht="39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33"/>
      <c r="Q10" s="33"/>
      <c r="R10" s="86" t="s">
        <v>417</v>
      </c>
      <c r="S10" s="86" t="s">
        <v>418</v>
      </c>
      <c r="T10" s="42"/>
      <c r="U10" s="42"/>
      <c r="V10" s="43"/>
      <c r="W10" s="36"/>
    </row>
    <row r="11" spans="1:23" s="11" customFormat="1" x14ac:dyDescent="0.2">
      <c r="A11" s="9">
        <v>10</v>
      </c>
      <c r="B11" s="37" t="s">
        <v>0</v>
      </c>
      <c r="C11" s="38"/>
      <c r="D11" s="28" t="s">
        <v>143</v>
      </c>
      <c r="E11" s="34" t="s">
        <v>63</v>
      </c>
      <c r="F11" s="44"/>
      <c r="G11" s="28"/>
      <c r="H11" s="45"/>
      <c r="I11" s="46"/>
      <c r="J11" s="47"/>
      <c r="K11" s="48"/>
      <c r="L11" s="48"/>
      <c r="M11" s="48"/>
      <c r="N11" s="48"/>
      <c r="O11" s="48"/>
      <c r="P11" s="48"/>
      <c r="Q11" s="48"/>
      <c r="R11" s="48"/>
      <c r="S11" s="48"/>
      <c r="T11" s="35"/>
      <c r="U11" s="36"/>
      <c r="V11" s="70"/>
      <c r="W11" s="72"/>
    </row>
    <row r="12" spans="1:23" s="11" customFormat="1" x14ac:dyDescent="0.2">
      <c r="A12" s="9">
        <v>10</v>
      </c>
      <c r="B12" s="9"/>
      <c r="C12" s="9"/>
      <c r="D12" s="9" t="s">
        <v>88</v>
      </c>
      <c r="E12" s="49" t="s">
        <v>106</v>
      </c>
      <c r="F12" s="49"/>
      <c r="G12" s="50" t="s">
        <v>422</v>
      </c>
      <c r="H12" s="50" t="s">
        <v>271</v>
      </c>
      <c r="I12" s="9" t="s">
        <v>272</v>
      </c>
      <c r="J12" s="9"/>
      <c r="K12" s="9"/>
      <c r="L12" s="9" t="s">
        <v>273</v>
      </c>
      <c r="M12" s="9"/>
      <c r="N12" s="9"/>
      <c r="O12" s="9"/>
      <c r="P12" s="9"/>
      <c r="Q12" s="9"/>
      <c r="R12" s="9"/>
      <c r="S12" s="9"/>
      <c r="T12" s="41"/>
      <c r="U12" s="51"/>
      <c r="V12" s="141"/>
      <c r="W12" s="142"/>
    </row>
    <row r="13" spans="1:23" s="11" customFormat="1" x14ac:dyDescent="0.2">
      <c r="A13" s="9">
        <v>10</v>
      </c>
      <c r="B13" s="9"/>
      <c r="C13" s="9"/>
      <c r="D13" s="9" t="s">
        <v>90</v>
      </c>
      <c r="E13" s="49" t="s">
        <v>108</v>
      </c>
      <c r="F13" s="49"/>
      <c r="G13" s="50" t="s">
        <v>423</v>
      </c>
      <c r="H13" s="50" t="s">
        <v>274</v>
      </c>
      <c r="I13" s="9" t="s">
        <v>272</v>
      </c>
      <c r="J13" s="9"/>
      <c r="K13" s="9" t="s">
        <v>273</v>
      </c>
      <c r="L13" s="9"/>
      <c r="M13" s="9"/>
      <c r="N13" s="9"/>
      <c r="O13" s="9"/>
      <c r="P13" s="9"/>
      <c r="Q13" s="9"/>
      <c r="R13" s="9"/>
      <c r="S13" s="9"/>
      <c r="T13" s="41"/>
      <c r="U13" s="51"/>
      <c r="V13" s="141"/>
      <c r="W13" s="142"/>
    </row>
    <row r="14" spans="1:23" s="11" customFormat="1" x14ac:dyDescent="0.2">
      <c r="A14" s="9">
        <v>10</v>
      </c>
      <c r="B14" s="9"/>
      <c r="C14" s="9"/>
      <c r="D14" s="9" t="s">
        <v>92</v>
      </c>
      <c r="E14" s="49" t="s">
        <v>110</v>
      </c>
      <c r="F14" s="49"/>
      <c r="G14" s="50" t="s">
        <v>424</v>
      </c>
      <c r="H14" s="50" t="s">
        <v>275</v>
      </c>
      <c r="I14" s="9" t="s">
        <v>272</v>
      </c>
      <c r="J14" s="9"/>
      <c r="K14" s="9" t="s">
        <v>273</v>
      </c>
      <c r="L14" s="9"/>
      <c r="M14" s="9"/>
      <c r="N14" s="9"/>
      <c r="O14" s="9"/>
      <c r="P14" s="9"/>
      <c r="Q14" s="9"/>
      <c r="R14" s="9"/>
      <c r="S14" s="9"/>
      <c r="T14" s="41"/>
      <c r="U14" s="51"/>
      <c r="V14" s="141"/>
      <c r="W14" s="142"/>
    </row>
    <row r="15" spans="1:23" s="11" customFormat="1" x14ac:dyDescent="0.2">
      <c r="A15" s="9">
        <v>10</v>
      </c>
      <c r="B15" s="9"/>
      <c r="C15" s="9"/>
      <c r="D15" s="9" t="s">
        <v>94</v>
      </c>
      <c r="E15" s="49" t="s">
        <v>112</v>
      </c>
      <c r="F15" s="49"/>
      <c r="G15" s="50" t="s">
        <v>425</v>
      </c>
      <c r="H15" s="50" t="s">
        <v>276</v>
      </c>
      <c r="I15" s="9" t="s">
        <v>272</v>
      </c>
      <c r="J15" s="9"/>
      <c r="K15" s="9" t="s">
        <v>273</v>
      </c>
      <c r="L15" s="9"/>
      <c r="M15" s="9" t="s">
        <v>277</v>
      </c>
      <c r="N15" s="9" t="s">
        <v>278</v>
      </c>
      <c r="O15" s="9" t="s">
        <v>279</v>
      </c>
      <c r="P15" s="9" t="s">
        <v>280</v>
      </c>
      <c r="Q15" s="9" t="s">
        <v>280</v>
      </c>
      <c r="R15" s="9"/>
      <c r="S15" s="9"/>
      <c r="T15" s="41"/>
      <c r="U15" s="51"/>
      <c r="V15" s="141"/>
      <c r="W15" s="142"/>
    </row>
    <row r="16" spans="1:23" s="11" customFormat="1" x14ac:dyDescent="0.2">
      <c r="A16" s="9">
        <v>10</v>
      </c>
      <c r="B16" s="9"/>
      <c r="C16" s="9"/>
      <c r="D16" s="9" t="s">
        <v>220</v>
      </c>
      <c r="E16" s="49" t="s">
        <v>221</v>
      </c>
      <c r="F16" s="49"/>
      <c r="G16" s="50" t="s">
        <v>426</v>
      </c>
      <c r="H16" s="50" t="s">
        <v>281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41"/>
      <c r="U16" s="51"/>
      <c r="V16" s="141"/>
      <c r="W16" s="142"/>
    </row>
    <row r="17" spans="1:23" s="11" customFormat="1" x14ac:dyDescent="0.2">
      <c r="A17" s="9">
        <v>10</v>
      </c>
      <c r="B17" s="9"/>
      <c r="C17" s="9"/>
      <c r="D17" s="9" t="s">
        <v>222</v>
      </c>
      <c r="E17" s="49" t="s">
        <v>221</v>
      </c>
      <c r="F17" s="49"/>
      <c r="G17" s="50" t="s">
        <v>427</v>
      </c>
      <c r="H17" s="50" t="s">
        <v>282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41"/>
      <c r="U17" s="51"/>
      <c r="V17" s="141"/>
      <c r="W17" s="142"/>
    </row>
    <row r="18" spans="1:23" s="11" customFormat="1" x14ac:dyDescent="0.2">
      <c r="A18" s="9">
        <v>10</v>
      </c>
      <c r="B18" s="9"/>
      <c r="C18" s="9"/>
      <c r="D18" s="9" t="s">
        <v>223</v>
      </c>
      <c r="E18" s="49" t="s">
        <v>221</v>
      </c>
      <c r="F18" s="49"/>
      <c r="G18" s="50" t="s">
        <v>428</v>
      </c>
      <c r="H18" s="50" t="s">
        <v>283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41"/>
      <c r="U18" s="51"/>
      <c r="V18" s="141"/>
      <c r="W18" s="142"/>
    </row>
    <row r="19" spans="1:23" s="11" customFormat="1" x14ac:dyDescent="0.2">
      <c r="A19" s="9">
        <v>10</v>
      </c>
      <c r="B19" s="9"/>
      <c r="C19" s="9"/>
      <c r="D19" s="9" t="s">
        <v>224</v>
      </c>
      <c r="E19" s="49" t="s">
        <v>221</v>
      </c>
      <c r="F19" s="49"/>
      <c r="G19" s="50" t="s">
        <v>429</v>
      </c>
      <c r="H19" s="50" t="s">
        <v>284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41"/>
      <c r="U19" s="51"/>
      <c r="V19" s="141"/>
      <c r="W19" s="142"/>
    </row>
    <row r="20" spans="1:23" s="11" customFormat="1" x14ac:dyDescent="0.2">
      <c r="A20" s="9">
        <v>10</v>
      </c>
      <c r="B20" s="9"/>
      <c r="C20" s="9"/>
      <c r="D20" s="9" t="s">
        <v>41</v>
      </c>
      <c r="E20" s="49" t="s">
        <v>43</v>
      </c>
      <c r="F20" s="49"/>
      <c r="G20" s="50" t="s">
        <v>430</v>
      </c>
      <c r="H20" s="50" t="s">
        <v>285</v>
      </c>
      <c r="I20" s="9" t="s">
        <v>272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41"/>
      <c r="U20" s="51"/>
      <c r="V20" s="141"/>
      <c r="W20" s="142"/>
    </row>
    <row r="21" spans="1:23" s="11" customFormat="1" x14ac:dyDescent="0.2">
      <c r="A21" s="9">
        <v>10</v>
      </c>
      <c r="B21" s="9"/>
      <c r="C21" s="9"/>
      <c r="D21" s="9" t="s">
        <v>49</v>
      </c>
      <c r="E21" s="49" t="s">
        <v>50</v>
      </c>
      <c r="F21" s="49"/>
      <c r="G21" s="50" t="s">
        <v>431</v>
      </c>
      <c r="H21" s="50" t="s">
        <v>286</v>
      </c>
      <c r="I21" s="9" t="s">
        <v>272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41"/>
      <c r="U21" s="51"/>
      <c r="V21" s="141"/>
      <c r="W21" s="142"/>
    </row>
    <row r="22" spans="1:23" s="11" customFormat="1" x14ac:dyDescent="0.2">
      <c r="A22" s="9">
        <v>10</v>
      </c>
      <c r="B22" s="9"/>
      <c r="C22" s="9"/>
      <c r="D22" s="9" t="s">
        <v>45</v>
      </c>
      <c r="E22" s="49" t="s">
        <v>47</v>
      </c>
      <c r="F22" s="49"/>
      <c r="G22" s="50" t="s">
        <v>432</v>
      </c>
      <c r="H22" s="50" t="s">
        <v>287</v>
      </c>
      <c r="I22" s="9" t="s">
        <v>272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41"/>
      <c r="U22" s="51"/>
      <c r="V22" s="141"/>
      <c r="W22" s="142"/>
    </row>
    <row r="23" spans="1:23" s="11" customFormat="1" x14ac:dyDescent="0.2">
      <c r="A23" s="9">
        <v>10</v>
      </c>
      <c r="B23" s="9"/>
      <c r="C23" s="9"/>
      <c r="D23" s="9" t="s">
        <v>211</v>
      </c>
      <c r="E23" s="49" t="s">
        <v>212</v>
      </c>
      <c r="F23" s="49"/>
      <c r="G23" s="50" t="s">
        <v>433</v>
      </c>
      <c r="H23" s="50" t="s">
        <v>288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41"/>
      <c r="U23" s="51"/>
      <c r="V23" s="141"/>
      <c r="W23" s="142"/>
    </row>
    <row r="24" spans="1:23" s="11" customFormat="1" x14ac:dyDescent="0.2">
      <c r="A24" s="9">
        <v>10</v>
      </c>
      <c r="B24" s="9"/>
      <c r="C24" s="9"/>
      <c r="D24" s="9" t="s">
        <v>209</v>
      </c>
      <c r="E24" s="49" t="s">
        <v>213</v>
      </c>
      <c r="F24" s="49"/>
      <c r="G24" s="50" t="s">
        <v>434</v>
      </c>
      <c r="H24" s="50" t="s">
        <v>289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41"/>
      <c r="U24" s="51"/>
      <c r="V24" s="141"/>
      <c r="W24" s="142"/>
    </row>
    <row r="25" spans="1:23" s="11" customFormat="1" x14ac:dyDescent="0.2">
      <c r="A25" s="9">
        <v>10</v>
      </c>
      <c r="B25" s="9"/>
      <c r="C25" s="9"/>
      <c r="D25" s="9" t="s">
        <v>210</v>
      </c>
      <c r="E25" s="49" t="s">
        <v>214</v>
      </c>
      <c r="F25" s="49"/>
      <c r="G25" s="50" t="s">
        <v>435</v>
      </c>
      <c r="H25" s="50" t="s">
        <v>290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41"/>
      <c r="U25" s="51"/>
      <c r="V25" s="141"/>
      <c r="W25" s="142"/>
    </row>
    <row r="26" spans="1:23" s="11" customFormat="1" x14ac:dyDescent="0.2">
      <c r="A26" s="9">
        <v>10</v>
      </c>
      <c r="B26" s="9"/>
      <c r="C26" s="9"/>
      <c r="D26" s="9" t="s">
        <v>207</v>
      </c>
      <c r="E26" s="49" t="s">
        <v>208</v>
      </c>
      <c r="F26" s="49"/>
      <c r="G26" s="50" t="s">
        <v>436</v>
      </c>
      <c r="H26" s="50" t="s">
        <v>291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41"/>
      <c r="U26" s="51"/>
      <c r="V26" s="141"/>
      <c r="W26" s="142"/>
    </row>
    <row r="27" spans="1:23" s="11" customFormat="1" x14ac:dyDescent="0.2">
      <c r="A27" s="9">
        <v>10</v>
      </c>
      <c r="B27" s="9"/>
      <c r="C27" s="9"/>
      <c r="D27" s="9" t="s">
        <v>76</v>
      </c>
      <c r="E27" s="49" t="s">
        <v>77</v>
      </c>
      <c r="F27" s="49"/>
      <c r="G27" s="50" t="s">
        <v>437</v>
      </c>
      <c r="H27" s="50" t="s">
        <v>292</v>
      </c>
      <c r="I27" s="9" t="s">
        <v>272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41"/>
      <c r="U27" s="51"/>
      <c r="V27" s="141"/>
      <c r="W27" s="142"/>
    </row>
    <row r="28" spans="1:23" s="11" customFormat="1" x14ac:dyDescent="0.2">
      <c r="A28" s="52"/>
      <c r="B28" s="53"/>
      <c r="C28" s="53"/>
      <c r="D28" s="27" t="s">
        <v>1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4"/>
      <c r="U28" s="6"/>
      <c r="V28" s="6"/>
      <c r="W28" s="23"/>
    </row>
    <row r="29" spans="1:23" s="11" customFormat="1" x14ac:dyDescent="0.2">
      <c r="A29" s="77"/>
      <c r="W29" s="54"/>
    </row>
    <row r="30" spans="1:23" s="11" customFormat="1" x14ac:dyDescent="0.2">
      <c r="A30" s="77"/>
      <c r="W30" s="54"/>
    </row>
    <row r="31" spans="1:23" s="11" customFormat="1" x14ac:dyDescent="0.2">
      <c r="A31" s="77"/>
      <c r="W31" s="54"/>
    </row>
    <row r="32" spans="1:23" s="11" customFormat="1" x14ac:dyDescent="0.2">
      <c r="A32" s="77"/>
      <c r="W32" s="54"/>
    </row>
    <row r="33" spans="1:23" s="11" customFormat="1" x14ac:dyDescent="0.2">
      <c r="A33" s="77"/>
      <c r="W33" s="54"/>
    </row>
    <row r="34" spans="1:23" s="11" customFormat="1" x14ac:dyDescent="0.2">
      <c r="A34" s="77"/>
      <c r="W34" s="54"/>
    </row>
    <row r="35" spans="1:23" s="11" customFormat="1" x14ac:dyDescent="0.2">
      <c r="A35" s="77"/>
      <c r="W35" s="54"/>
    </row>
    <row r="36" spans="1:23" s="11" customFormat="1" x14ac:dyDescent="0.2">
      <c r="A36" s="77"/>
      <c r="W36" s="54"/>
    </row>
    <row r="37" spans="1:23" s="11" customFormat="1" x14ac:dyDescent="0.2">
      <c r="A37" s="81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20"/>
    </row>
  </sheetData>
  <dataConsolidate/>
  <mergeCells count="16">
    <mergeCell ref="V20:W20"/>
    <mergeCell ref="V21:W21"/>
    <mergeCell ref="V27:W27"/>
    <mergeCell ref="V26:W26"/>
    <mergeCell ref="V12:W12"/>
    <mergeCell ref="V13:W13"/>
    <mergeCell ref="V14:W14"/>
    <mergeCell ref="V15:W15"/>
    <mergeCell ref="V22:W22"/>
    <mergeCell ref="V24:W24"/>
    <mergeCell ref="V25:W25"/>
    <mergeCell ref="V23:W23"/>
    <mergeCell ref="V16:W16"/>
    <mergeCell ref="V17:W17"/>
    <mergeCell ref="V18:W18"/>
    <mergeCell ref="V19:W19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2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26.81640625" style="29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3" t="s">
        <v>263</v>
      </c>
      <c r="B1" s="73" t="s">
        <v>263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4" t="s">
        <v>263</v>
      </c>
      <c r="B2" s="75"/>
      <c r="C2" s="75"/>
      <c r="D2" s="84" t="s">
        <v>408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MABCL0400</v>
      </c>
      <c r="I2" s="7" t="s">
        <v>264</v>
      </c>
      <c r="J2" s="9" t="s">
        <v>144</v>
      </c>
      <c r="K2" s="7" t="s">
        <v>39</v>
      </c>
      <c r="L2" s="76" t="str">
        <f>IF(LogicCommon!G2="","",LogicCommon!G2)</f>
        <v>MC</v>
      </c>
      <c r="M2" s="5" t="s">
        <v>265</v>
      </c>
      <c r="N2" s="28" t="s">
        <v>405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7" t="s">
        <v>263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MABCL_ItmRlsReg</v>
      </c>
      <c r="I3" s="7" t="s">
        <v>266</v>
      </c>
      <c r="J3" s="9" t="s">
        <v>28</v>
      </c>
      <c r="K3" s="7" t="s">
        <v>40</v>
      </c>
      <c r="L3" s="76" t="str">
        <f>IF(LogicCommon!G3="","",LogicCommon!G3)</f>
        <v/>
      </c>
      <c r="M3" s="56" t="s">
        <v>29</v>
      </c>
      <c r="N3" s="7"/>
      <c r="O3" s="7" t="s">
        <v>267</v>
      </c>
      <c r="P3" s="9" t="s">
        <v>268</v>
      </c>
      <c r="Q3" s="4"/>
      <c r="R3" s="27"/>
      <c r="S3" s="27"/>
      <c r="T3" s="27"/>
      <c r="U3" s="27"/>
      <c r="V3" s="27"/>
    </row>
    <row r="4" spans="1:22" s="11" customFormat="1" x14ac:dyDescent="0.2">
      <c r="A4" s="77" t="s">
        <v>263</v>
      </c>
      <c r="B4" s="78"/>
      <c r="C4" s="78"/>
      <c r="D4" s="4"/>
      <c r="E4" s="7" t="s">
        <v>8</v>
      </c>
      <c r="F4" s="10" t="s">
        <v>401</v>
      </c>
      <c r="G4" s="7" t="s">
        <v>11</v>
      </c>
      <c r="H4" s="76" t="str">
        <f>IF(LogicCommon!E4="","",LogicCommon!E4)</f>
        <v>品目リリース登録</v>
      </c>
      <c r="I4" s="7" t="s">
        <v>269</v>
      </c>
      <c r="J4" s="9" t="s">
        <v>248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1" t="s">
        <v>263</v>
      </c>
      <c r="B5" s="73"/>
      <c r="C5" s="73"/>
      <c r="D5" s="26"/>
      <c r="E5" s="7" t="s">
        <v>270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7" t="s">
        <v>263</v>
      </c>
      <c r="B6" s="78"/>
      <c r="C6" s="78"/>
      <c r="D6" s="4" t="s">
        <v>6</v>
      </c>
      <c r="E6" s="16" t="s">
        <v>247</v>
      </c>
      <c r="F6" s="16"/>
      <c r="G6" s="16"/>
      <c r="H6" s="16"/>
      <c r="I6" s="16"/>
      <c r="J6" s="16"/>
      <c r="K6" s="16"/>
      <c r="L6" s="83" t="s">
        <v>262</v>
      </c>
      <c r="M6" s="19"/>
      <c r="N6" s="19" t="s">
        <v>262</v>
      </c>
      <c r="O6" s="19"/>
      <c r="P6" s="19" t="s">
        <v>262</v>
      </c>
      <c r="Q6" s="19"/>
      <c r="R6" s="3" t="s">
        <v>262</v>
      </c>
      <c r="S6" s="4"/>
      <c r="T6" s="29"/>
      <c r="U6" s="29"/>
      <c r="V6" s="27"/>
    </row>
    <row r="7" spans="1:22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72</v>
      </c>
      <c r="M7" s="33" t="s">
        <v>64</v>
      </c>
      <c r="N7" s="32" t="s">
        <v>73</v>
      </c>
      <c r="O7" s="33" t="s">
        <v>64</v>
      </c>
      <c r="P7" s="32"/>
      <c r="Q7" s="33" t="s">
        <v>64</v>
      </c>
      <c r="R7" s="32"/>
      <c r="S7" s="29"/>
      <c r="T7" s="29"/>
      <c r="U7" s="29"/>
      <c r="V7" s="29"/>
    </row>
    <row r="8" spans="1:22" s="11" customFormat="1" ht="60" customHeight="1" x14ac:dyDescent="0.2">
      <c r="A8" s="49" t="s">
        <v>17</v>
      </c>
      <c r="B8" s="87"/>
      <c r="C8" s="88"/>
      <c r="D8" s="85" t="s">
        <v>409</v>
      </c>
      <c r="E8" s="85" t="s">
        <v>410</v>
      </c>
      <c r="F8" s="83"/>
      <c r="G8" s="85" t="s">
        <v>293</v>
      </c>
      <c r="H8" s="85" t="s">
        <v>411</v>
      </c>
      <c r="I8" s="83"/>
      <c r="J8" s="3"/>
      <c r="K8" s="33" t="s">
        <v>16</v>
      </c>
      <c r="L8" s="9" t="s">
        <v>198</v>
      </c>
      <c r="M8" s="33" t="s">
        <v>65</v>
      </c>
      <c r="N8" s="9" t="s">
        <v>198</v>
      </c>
      <c r="O8" s="33" t="s">
        <v>65</v>
      </c>
      <c r="P8" s="9"/>
      <c r="Q8" s="33" t="s">
        <v>65</v>
      </c>
      <c r="R8" s="9"/>
      <c r="S8" s="89"/>
      <c r="T8" s="90"/>
      <c r="U8" s="91" t="s">
        <v>420</v>
      </c>
      <c r="V8" s="51"/>
    </row>
    <row r="9" spans="1:22" s="11" customFormat="1" ht="60" customHeight="1" x14ac:dyDescent="0.2">
      <c r="A9" s="9" t="s">
        <v>17</v>
      </c>
      <c r="B9" s="37"/>
      <c r="C9" s="38"/>
      <c r="D9" s="85" t="s">
        <v>412</v>
      </c>
      <c r="E9" s="92" t="s">
        <v>413</v>
      </c>
      <c r="F9" s="85" t="s">
        <v>414</v>
      </c>
      <c r="G9" s="85" t="s">
        <v>415</v>
      </c>
      <c r="H9" s="85" t="s">
        <v>416</v>
      </c>
      <c r="I9" s="93" t="s">
        <v>417</v>
      </c>
      <c r="J9" s="85" t="s">
        <v>418</v>
      </c>
      <c r="K9" s="33"/>
      <c r="L9" s="33"/>
      <c r="M9" s="33"/>
      <c r="N9" s="33"/>
      <c r="O9" s="33"/>
      <c r="P9" s="33"/>
      <c r="Q9" s="33"/>
      <c r="R9" s="33"/>
      <c r="S9" s="91" t="s">
        <v>419</v>
      </c>
      <c r="T9" s="51"/>
      <c r="U9" s="91" t="s">
        <v>421</v>
      </c>
      <c r="V9" s="51"/>
    </row>
    <row r="10" spans="1:22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6" t="s">
        <v>417</v>
      </c>
      <c r="L10" s="86" t="s">
        <v>418</v>
      </c>
      <c r="M10" s="86" t="s">
        <v>417</v>
      </c>
      <c r="N10" s="86" t="s">
        <v>418</v>
      </c>
      <c r="O10" s="86" t="s">
        <v>417</v>
      </c>
      <c r="P10" s="86" t="s">
        <v>418</v>
      </c>
      <c r="Q10" s="86" t="s">
        <v>417</v>
      </c>
      <c r="R10" s="86" t="s">
        <v>418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145</v>
      </c>
      <c r="E11" s="34" t="s">
        <v>21</v>
      </c>
      <c r="F11" s="44"/>
      <c r="G11" s="28" t="s">
        <v>74</v>
      </c>
      <c r="H11" s="45" t="s">
        <v>294</v>
      </c>
      <c r="I11" s="46"/>
      <c r="J11" s="47"/>
      <c r="K11" s="48" t="s">
        <v>21</v>
      </c>
      <c r="L11" s="48"/>
      <c r="M11" s="48" t="s">
        <v>295</v>
      </c>
      <c r="N11" s="48"/>
      <c r="O11" s="48"/>
      <c r="P11" s="48"/>
      <c r="Q11" s="48"/>
      <c r="R11" s="48"/>
      <c r="S11" s="35"/>
      <c r="T11" s="36"/>
      <c r="U11" s="70"/>
      <c r="V11" s="72"/>
    </row>
    <row r="12" spans="1:22" s="11" customFormat="1" x14ac:dyDescent="0.2">
      <c r="A12" s="9">
        <v>10</v>
      </c>
      <c r="B12" s="9"/>
      <c r="C12" s="9"/>
      <c r="D12" s="9" t="s">
        <v>88</v>
      </c>
      <c r="E12" s="49" t="s">
        <v>106</v>
      </c>
      <c r="F12" s="49"/>
      <c r="G12" s="50" t="s">
        <v>422</v>
      </c>
      <c r="H12" s="50" t="s">
        <v>271</v>
      </c>
      <c r="I12" s="9" t="s">
        <v>272</v>
      </c>
      <c r="J12" s="9"/>
      <c r="K12" s="9" t="s">
        <v>272</v>
      </c>
      <c r="L12" s="9"/>
      <c r="M12" s="9" t="s">
        <v>273</v>
      </c>
      <c r="N12" s="9"/>
      <c r="O12" s="9"/>
      <c r="P12" s="9"/>
      <c r="Q12" s="9"/>
      <c r="R12" s="9"/>
      <c r="S12" s="41"/>
      <c r="T12" s="51"/>
      <c r="U12" s="141"/>
      <c r="V12" s="142"/>
    </row>
    <row r="13" spans="1:22" s="11" customFormat="1" x14ac:dyDescent="0.2">
      <c r="A13" s="9">
        <v>10</v>
      </c>
      <c r="B13" s="9"/>
      <c r="C13" s="9"/>
      <c r="D13" s="9" t="s">
        <v>90</v>
      </c>
      <c r="E13" s="49" t="s">
        <v>108</v>
      </c>
      <c r="F13" s="49"/>
      <c r="G13" s="50" t="s">
        <v>423</v>
      </c>
      <c r="H13" s="50" t="s">
        <v>274</v>
      </c>
      <c r="I13" s="9" t="s">
        <v>272</v>
      </c>
      <c r="J13" s="9"/>
      <c r="K13" s="9" t="s">
        <v>272</v>
      </c>
      <c r="L13" s="9"/>
      <c r="M13" s="9" t="s">
        <v>273</v>
      </c>
      <c r="N13" s="9"/>
      <c r="O13" s="9"/>
      <c r="P13" s="9"/>
      <c r="Q13" s="9"/>
      <c r="R13" s="9"/>
      <c r="S13" s="41"/>
      <c r="T13" s="51"/>
      <c r="U13" s="141"/>
      <c r="V13" s="142"/>
    </row>
    <row r="14" spans="1:22" s="11" customFormat="1" x14ac:dyDescent="0.2">
      <c r="A14" s="9">
        <v>10</v>
      </c>
      <c r="B14" s="9"/>
      <c r="C14" s="9"/>
      <c r="D14" s="9" t="s">
        <v>92</v>
      </c>
      <c r="E14" s="49" t="s">
        <v>110</v>
      </c>
      <c r="F14" s="49"/>
      <c r="G14" s="50" t="s">
        <v>424</v>
      </c>
      <c r="H14" s="50" t="s">
        <v>275</v>
      </c>
      <c r="I14" s="9" t="s">
        <v>272</v>
      </c>
      <c r="J14" s="9"/>
      <c r="K14" s="9" t="s">
        <v>272</v>
      </c>
      <c r="L14" s="9"/>
      <c r="M14" s="9" t="s">
        <v>273</v>
      </c>
      <c r="N14" s="9"/>
      <c r="O14" s="9"/>
      <c r="P14" s="9"/>
      <c r="Q14" s="9"/>
      <c r="R14" s="9"/>
      <c r="S14" s="41"/>
      <c r="T14" s="51"/>
      <c r="U14" s="141"/>
      <c r="V14" s="142"/>
    </row>
    <row r="15" spans="1:22" s="11" customFormat="1" x14ac:dyDescent="0.2">
      <c r="A15" s="9">
        <v>10</v>
      </c>
      <c r="B15" s="9"/>
      <c r="C15" s="9"/>
      <c r="D15" s="9" t="s">
        <v>94</v>
      </c>
      <c r="E15" s="49" t="s">
        <v>112</v>
      </c>
      <c r="F15" s="49"/>
      <c r="G15" s="50" t="s">
        <v>425</v>
      </c>
      <c r="H15" s="50" t="s">
        <v>276</v>
      </c>
      <c r="I15" s="9" t="s">
        <v>272</v>
      </c>
      <c r="J15" s="9"/>
      <c r="K15" s="9" t="s">
        <v>272</v>
      </c>
      <c r="L15" s="9"/>
      <c r="M15" s="9" t="s">
        <v>273</v>
      </c>
      <c r="N15" s="9"/>
      <c r="O15" s="9"/>
      <c r="P15" s="9"/>
      <c r="Q15" s="9"/>
      <c r="R15" s="9"/>
      <c r="S15" s="41"/>
      <c r="T15" s="51"/>
      <c r="U15" s="141"/>
      <c r="V15" s="142"/>
    </row>
    <row r="16" spans="1:22" s="11" customFormat="1" x14ac:dyDescent="0.2">
      <c r="A16" s="9">
        <v>10</v>
      </c>
      <c r="B16" s="9"/>
      <c r="C16" s="9"/>
      <c r="D16" s="9" t="s">
        <v>41</v>
      </c>
      <c r="E16" s="49" t="s">
        <v>43</v>
      </c>
      <c r="F16" s="49"/>
      <c r="G16" s="50" t="s">
        <v>430</v>
      </c>
      <c r="H16" s="50" t="s">
        <v>285</v>
      </c>
      <c r="I16" s="9" t="s">
        <v>272</v>
      </c>
      <c r="J16" s="9"/>
      <c r="K16" s="9" t="s">
        <v>272</v>
      </c>
      <c r="L16" s="9"/>
      <c r="M16" s="9"/>
      <c r="N16" s="9"/>
      <c r="O16" s="9"/>
      <c r="P16" s="9"/>
      <c r="Q16" s="9"/>
      <c r="R16" s="9"/>
      <c r="S16" s="41"/>
      <c r="T16" s="51"/>
      <c r="U16" s="141"/>
      <c r="V16" s="142"/>
    </row>
    <row r="17" spans="1:22" s="11" customFormat="1" x14ac:dyDescent="0.2">
      <c r="A17" s="9">
        <v>10</v>
      </c>
      <c r="B17" s="9"/>
      <c r="C17" s="9"/>
      <c r="D17" s="9" t="s">
        <v>49</v>
      </c>
      <c r="E17" s="49" t="s">
        <v>50</v>
      </c>
      <c r="F17" s="49"/>
      <c r="G17" s="50" t="s">
        <v>431</v>
      </c>
      <c r="H17" s="50" t="s">
        <v>286</v>
      </c>
      <c r="I17" s="9" t="s">
        <v>272</v>
      </c>
      <c r="J17" s="9"/>
      <c r="K17" s="9" t="s">
        <v>272</v>
      </c>
      <c r="L17" s="9"/>
      <c r="M17" s="9"/>
      <c r="N17" s="9"/>
      <c r="O17" s="9"/>
      <c r="P17" s="9"/>
      <c r="Q17" s="9"/>
      <c r="R17" s="9"/>
      <c r="S17" s="41"/>
      <c r="T17" s="51"/>
      <c r="U17" s="141"/>
      <c r="V17" s="142"/>
    </row>
    <row r="18" spans="1:22" s="11" customFormat="1" x14ac:dyDescent="0.2">
      <c r="A18" s="9">
        <v>10</v>
      </c>
      <c r="B18" s="9"/>
      <c r="C18" s="9"/>
      <c r="D18" s="9" t="s">
        <v>45</v>
      </c>
      <c r="E18" s="49" t="s">
        <v>47</v>
      </c>
      <c r="F18" s="49"/>
      <c r="G18" s="50" t="s">
        <v>432</v>
      </c>
      <c r="H18" s="50" t="s">
        <v>287</v>
      </c>
      <c r="I18" s="9" t="s">
        <v>272</v>
      </c>
      <c r="J18" s="9"/>
      <c r="K18" s="9" t="s">
        <v>272</v>
      </c>
      <c r="L18" s="9"/>
      <c r="M18" s="9"/>
      <c r="N18" s="9"/>
      <c r="O18" s="9"/>
      <c r="P18" s="9"/>
      <c r="Q18" s="9"/>
      <c r="R18" s="9"/>
      <c r="S18" s="41"/>
      <c r="T18" s="51"/>
      <c r="U18" s="141"/>
      <c r="V18" s="142"/>
    </row>
    <row r="19" spans="1:22" s="11" customFormat="1" x14ac:dyDescent="0.2">
      <c r="A19" s="9">
        <v>10</v>
      </c>
      <c r="B19" s="9"/>
      <c r="C19" s="9"/>
      <c r="D19" s="9" t="s">
        <v>211</v>
      </c>
      <c r="E19" s="49" t="s">
        <v>212</v>
      </c>
      <c r="F19" s="49"/>
      <c r="G19" s="50" t="s">
        <v>433</v>
      </c>
      <c r="H19" s="50" t="s">
        <v>288</v>
      </c>
      <c r="I19" s="9" t="s">
        <v>272</v>
      </c>
      <c r="J19" s="9"/>
      <c r="K19" s="9" t="s">
        <v>272</v>
      </c>
      <c r="L19" s="9"/>
      <c r="M19" s="9"/>
      <c r="N19" s="9"/>
      <c r="O19" s="9"/>
      <c r="P19" s="9"/>
      <c r="Q19" s="9"/>
      <c r="R19" s="9"/>
      <c r="S19" s="41"/>
      <c r="T19" s="51"/>
      <c r="U19" s="141"/>
      <c r="V19" s="142"/>
    </row>
    <row r="20" spans="1:22" s="11" customFormat="1" x14ac:dyDescent="0.2">
      <c r="A20" s="9">
        <v>10</v>
      </c>
      <c r="B20" s="9"/>
      <c r="C20" s="9"/>
      <c r="D20" s="9" t="s">
        <v>209</v>
      </c>
      <c r="E20" s="49" t="s">
        <v>213</v>
      </c>
      <c r="F20" s="49"/>
      <c r="G20" s="50" t="s">
        <v>434</v>
      </c>
      <c r="H20" s="50" t="s">
        <v>289</v>
      </c>
      <c r="I20" s="9" t="s">
        <v>272</v>
      </c>
      <c r="J20" s="9"/>
      <c r="K20" s="9" t="s">
        <v>272</v>
      </c>
      <c r="L20" s="9"/>
      <c r="M20" s="9"/>
      <c r="N20" s="9"/>
      <c r="O20" s="9"/>
      <c r="P20" s="9"/>
      <c r="Q20" s="9"/>
      <c r="R20" s="9"/>
      <c r="S20" s="41"/>
      <c r="T20" s="51"/>
      <c r="U20" s="141"/>
      <c r="V20" s="142"/>
    </row>
    <row r="21" spans="1:22" s="11" customFormat="1" x14ac:dyDescent="0.2">
      <c r="A21" s="9">
        <v>10</v>
      </c>
      <c r="B21" s="9"/>
      <c r="C21" s="9"/>
      <c r="D21" s="9" t="s">
        <v>210</v>
      </c>
      <c r="E21" s="49" t="s">
        <v>214</v>
      </c>
      <c r="F21" s="49"/>
      <c r="G21" s="50" t="s">
        <v>435</v>
      </c>
      <c r="H21" s="50" t="s">
        <v>290</v>
      </c>
      <c r="I21" s="9" t="s">
        <v>272</v>
      </c>
      <c r="J21" s="9"/>
      <c r="K21" s="9" t="s">
        <v>272</v>
      </c>
      <c r="L21" s="9"/>
      <c r="M21" s="9"/>
      <c r="N21" s="9"/>
      <c r="O21" s="9"/>
      <c r="P21" s="9"/>
      <c r="Q21" s="9"/>
      <c r="R21" s="9"/>
      <c r="S21" s="41"/>
      <c r="T21" s="51"/>
      <c r="U21" s="141"/>
      <c r="V21" s="142"/>
    </row>
    <row r="22" spans="1:22" s="11" customFormat="1" x14ac:dyDescent="0.2">
      <c r="A22" s="9">
        <v>10</v>
      </c>
      <c r="B22" s="9"/>
      <c r="C22" s="9"/>
      <c r="D22" s="9" t="s">
        <v>207</v>
      </c>
      <c r="E22" s="49" t="s">
        <v>208</v>
      </c>
      <c r="F22" s="49"/>
      <c r="G22" s="50" t="s">
        <v>436</v>
      </c>
      <c r="H22" s="50" t="s">
        <v>291</v>
      </c>
      <c r="I22" s="9" t="s">
        <v>272</v>
      </c>
      <c r="J22" s="9"/>
      <c r="K22" s="9" t="s">
        <v>272</v>
      </c>
      <c r="L22" s="9"/>
      <c r="M22" s="9"/>
      <c r="N22" s="9"/>
      <c r="O22" s="9"/>
      <c r="P22" s="9"/>
      <c r="Q22" s="9"/>
      <c r="R22" s="9"/>
      <c r="S22" s="41"/>
      <c r="T22" s="51"/>
      <c r="U22" s="141"/>
      <c r="V22" s="142"/>
    </row>
    <row r="23" spans="1:22" s="11" customFormat="1" x14ac:dyDescent="0.2">
      <c r="A23" s="9">
        <v>10</v>
      </c>
      <c r="B23" s="9"/>
      <c r="C23" s="9"/>
      <c r="D23" s="9" t="s">
        <v>70</v>
      </c>
      <c r="E23" s="49" t="s">
        <v>71</v>
      </c>
      <c r="F23" s="49"/>
      <c r="G23" s="50" t="s">
        <v>437</v>
      </c>
      <c r="H23" s="50" t="s">
        <v>296</v>
      </c>
      <c r="I23" s="9" t="s">
        <v>272</v>
      </c>
      <c r="J23" s="9"/>
      <c r="K23" s="9" t="s">
        <v>272</v>
      </c>
      <c r="L23" s="9"/>
      <c r="M23" s="9"/>
      <c r="N23" s="9"/>
      <c r="O23" s="9"/>
      <c r="P23" s="9"/>
      <c r="Q23" s="9"/>
      <c r="R23" s="9"/>
      <c r="S23" s="41"/>
      <c r="T23" s="51"/>
      <c r="U23" s="141"/>
      <c r="V23" s="142"/>
    </row>
    <row r="24" spans="1:22" s="11" customFormat="1" x14ac:dyDescent="0.2">
      <c r="A24" s="52"/>
      <c r="B24" s="53"/>
      <c r="C24" s="53"/>
      <c r="D24" s="27" t="s">
        <v>1</v>
      </c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4"/>
      <c r="T24" s="4"/>
      <c r="U24" s="6"/>
      <c r="V24" s="23"/>
    </row>
    <row r="25" spans="1:22" s="11" customFormat="1" x14ac:dyDescent="0.2">
      <c r="A25" s="77"/>
      <c r="V25" s="54"/>
    </row>
    <row r="26" spans="1:22" s="11" customFormat="1" x14ac:dyDescent="0.2">
      <c r="A26" s="77"/>
      <c r="V26" s="54"/>
    </row>
    <row r="27" spans="1:22" s="11" customFormat="1" x14ac:dyDescent="0.2">
      <c r="A27" s="77"/>
      <c r="V27" s="54"/>
    </row>
    <row r="28" spans="1:22" s="11" customFormat="1" x14ac:dyDescent="0.2">
      <c r="A28" s="81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20"/>
    </row>
  </sheetData>
  <dataConsolidate/>
  <mergeCells count="12">
    <mergeCell ref="U17:V17"/>
    <mergeCell ref="U23:V23"/>
    <mergeCell ref="U16:V16"/>
    <mergeCell ref="U22:V22"/>
    <mergeCell ref="U12:V12"/>
    <mergeCell ref="U13:V13"/>
    <mergeCell ref="U14:V14"/>
    <mergeCell ref="U15:V15"/>
    <mergeCell ref="U18:V18"/>
    <mergeCell ref="U19:V19"/>
    <mergeCell ref="U20:V20"/>
    <mergeCell ref="U21:V21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R3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4.90625" style="29" customWidth="1"/>
    <col min="17" max="17" width="17.6328125" style="27" customWidth="1"/>
    <col min="18" max="18" width="20.453125" style="27" bestFit="1" customWidth="1"/>
    <col min="19" max="19" width="9" style="27"/>
    <col min="20" max="20" width="13.90625" style="27" bestFit="1" customWidth="1"/>
    <col min="21" max="16384" width="9" style="27"/>
  </cols>
  <sheetData>
    <row r="1" spans="1:18" s="11" customFormat="1" x14ac:dyDescent="0.2">
      <c r="A1" s="73" t="s">
        <v>263</v>
      </c>
      <c r="B1" s="73" t="s">
        <v>263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4" t="s">
        <v>263</v>
      </c>
      <c r="B2" s="75"/>
      <c r="C2" s="75"/>
      <c r="D2" s="84" t="s">
        <v>408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MABCL0400</v>
      </c>
      <c r="I2" s="7" t="s">
        <v>264</v>
      </c>
      <c r="J2" s="9" t="s">
        <v>146</v>
      </c>
      <c r="K2" s="7" t="s">
        <v>39</v>
      </c>
      <c r="L2" s="76" t="str">
        <f>IF(LogicCommon!G2="","",LogicCommon!G2)</f>
        <v>MC</v>
      </c>
      <c r="M2" s="5" t="s">
        <v>265</v>
      </c>
      <c r="N2" s="28" t="str">
        <f>L4 &amp; ".Checker"</f>
        <v>MA.MAUDL5010.Checker</v>
      </c>
      <c r="O2" s="7"/>
      <c r="P2" s="7"/>
      <c r="Q2" s="4"/>
      <c r="R2" s="27"/>
    </row>
    <row r="3" spans="1:18" s="11" customFormat="1" x14ac:dyDescent="0.2">
      <c r="A3" s="77" t="s">
        <v>263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MABCL_ItmRlsReg</v>
      </c>
      <c r="I3" s="7" t="s">
        <v>266</v>
      </c>
      <c r="J3" s="9" t="s">
        <v>75</v>
      </c>
      <c r="K3" s="7" t="s">
        <v>40</v>
      </c>
      <c r="L3" s="76" t="str">
        <f>IF(LogicCommon!G3="","",LogicCommon!G3)</f>
        <v/>
      </c>
      <c r="M3" s="56" t="s">
        <v>29</v>
      </c>
      <c r="N3" s="7"/>
      <c r="O3" s="7" t="s">
        <v>267</v>
      </c>
      <c r="P3" s="9" t="s">
        <v>268</v>
      </c>
      <c r="Q3" s="4"/>
      <c r="R3" s="27"/>
    </row>
    <row r="4" spans="1:18" s="11" customFormat="1" x14ac:dyDescent="0.2">
      <c r="A4" s="77" t="s">
        <v>263</v>
      </c>
      <c r="B4" s="78"/>
      <c r="C4" s="78"/>
      <c r="D4" s="4"/>
      <c r="E4" s="7" t="s">
        <v>8</v>
      </c>
      <c r="F4" s="10" t="s">
        <v>401</v>
      </c>
      <c r="G4" s="7" t="s">
        <v>11</v>
      </c>
      <c r="H4" s="76" t="str">
        <f>IF(LogicCommon!E4="","",LogicCommon!E4)</f>
        <v>品目リリース登録</v>
      </c>
      <c r="I4" s="7" t="s">
        <v>269</v>
      </c>
      <c r="J4" s="9" t="s">
        <v>249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  <c r="R4" s="27"/>
    </row>
    <row r="5" spans="1:18" s="11" customFormat="1" x14ac:dyDescent="0.2">
      <c r="A5" s="81" t="s">
        <v>263</v>
      </c>
      <c r="B5" s="73"/>
      <c r="C5" s="73"/>
      <c r="D5" s="26"/>
      <c r="E5" s="7" t="s">
        <v>270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7" t="s">
        <v>263</v>
      </c>
      <c r="B6" s="78"/>
      <c r="C6" s="78"/>
      <c r="D6" s="4" t="s">
        <v>6</v>
      </c>
      <c r="E6" s="16" t="s">
        <v>250</v>
      </c>
      <c r="F6" s="16"/>
      <c r="G6" s="16"/>
      <c r="H6" s="16"/>
      <c r="I6" s="16"/>
      <c r="J6" s="16"/>
      <c r="K6" s="16"/>
      <c r="L6" s="83"/>
      <c r="M6" s="19"/>
      <c r="N6" s="19" t="s">
        <v>262</v>
      </c>
      <c r="O6" s="19"/>
      <c r="P6" s="19"/>
      <c r="Q6" s="19"/>
      <c r="R6" s="27"/>
    </row>
    <row r="7" spans="1:18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81</v>
      </c>
      <c r="L7" s="32" t="s">
        <v>81</v>
      </c>
      <c r="M7" s="33" t="s">
        <v>64</v>
      </c>
      <c r="N7" s="32"/>
      <c r="O7" s="29"/>
      <c r="P7" s="29"/>
      <c r="Q7" s="29"/>
      <c r="R7" s="29"/>
    </row>
    <row r="8" spans="1:18" s="11" customFormat="1" ht="60" customHeight="1" x14ac:dyDescent="0.2">
      <c r="A8" s="49" t="s">
        <v>17</v>
      </c>
      <c r="B8" s="87"/>
      <c r="C8" s="88"/>
      <c r="D8" s="85" t="s">
        <v>409</v>
      </c>
      <c r="E8" s="85" t="s">
        <v>410</v>
      </c>
      <c r="F8" s="83"/>
      <c r="G8" s="85" t="s">
        <v>293</v>
      </c>
      <c r="H8" s="85" t="s">
        <v>411</v>
      </c>
      <c r="I8" s="83"/>
      <c r="J8" s="3"/>
      <c r="K8" s="9" t="s">
        <v>82</v>
      </c>
      <c r="L8" s="9" t="s">
        <v>83</v>
      </c>
      <c r="M8" s="33" t="s">
        <v>65</v>
      </c>
      <c r="N8" s="9"/>
      <c r="O8" s="89"/>
      <c r="P8" s="90"/>
      <c r="Q8" s="91" t="s">
        <v>420</v>
      </c>
      <c r="R8" s="51"/>
    </row>
    <row r="9" spans="1:18" s="11" customFormat="1" ht="60" customHeight="1" x14ac:dyDescent="0.2">
      <c r="A9" s="9" t="s">
        <v>17</v>
      </c>
      <c r="B9" s="37"/>
      <c r="C9" s="38"/>
      <c r="D9" s="85" t="s">
        <v>412</v>
      </c>
      <c r="E9" s="92" t="s">
        <v>413</v>
      </c>
      <c r="F9" s="85" t="s">
        <v>414</v>
      </c>
      <c r="G9" s="85" t="s">
        <v>415</v>
      </c>
      <c r="H9" s="85" t="s">
        <v>416</v>
      </c>
      <c r="I9" s="93" t="s">
        <v>417</v>
      </c>
      <c r="J9" s="85" t="s">
        <v>418</v>
      </c>
      <c r="K9" s="33"/>
      <c r="L9" s="33"/>
      <c r="M9" s="33"/>
      <c r="N9" s="33"/>
      <c r="O9" s="91" t="s">
        <v>419</v>
      </c>
      <c r="P9" s="51"/>
      <c r="Q9" s="91" t="s">
        <v>421</v>
      </c>
      <c r="R9" s="51"/>
    </row>
    <row r="10" spans="1:18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86" t="s">
        <v>417</v>
      </c>
      <c r="N10" s="86" t="s">
        <v>418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147</v>
      </c>
      <c r="E11" s="34" t="s">
        <v>63</v>
      </c>
      <c r="F11" s="44"/>
      <c r="G11" s="28"/>
      <c r="H11" s="45"/>
      <c r="I11" s="46"/>
      <c r="J11" s="47"/>
      <c r="K11" s="48"/>
      <c r="L11" s="48"/>
      <c r="M11" s="48"/>
      <c r="N11" s="48"/>
      <c r="O11" s="35"/>
      <c r="P11" s="36"/>
      <c r="Q11" s="70"/>
      <c r="R11" s="72"/>
    </row>
    <row r="12" spans="1:18" s="11" customFormat="1" x14ac:dyDescent="0.2">
      <c r="A12" s="9">
        <v>10</v>
      </c>
      <c r="B12" s="9"/>
      <c r="C12" s="9"/>
      <c r="D12" s="9" t="s">
        <v>88</v>
      </c>
      <c r="E12" s="49" t="s">
        <v>106</v>
      </c>
      <c r="F12" s="49"/>
      <c r="G12" s="50" t="s">
        <v>422</v>
      </c>
      <c r="H12" s="50" t="s">
        <v>271</v>
      </c>
      <c r="I12" s="9" t="s">
        <v>272</v>
      </c>
      <c r="J12" s="9"/>
      <c r="K12" s="9"/>
      <c r="L12" s="9" t="s">
        <v>273</v>
      </c>
      <c r="M12" s="9"/>
      <c r="N12" s="9"/>
      <c r="O12" s="41"/>
      <c r="P12" s="51"/>
      <c r="Q12" s="141"/>
      <c r="R12" s="142"/>
    </row>
    <row r="13" spans="1:18" s="11" customFormat="1" x14ac:dyDescent="0.2">
      <c r="A13" s="9">
        <v>10</v>
      </c>
      <c r="B13" s="9"/>
      <c r="C13" s="9"/>
      <c r="D13" s="9" t="s">
        <v>90</v>
      </c>
      <c r="E13" s="49" t="s">
        <v>108</v>
      </c>
      <c r="F13" s="49"/>
      <c r="G13" s="50" t="s">
        <v>423</v>
      </c>
      <c r="H13" s="50" t="s">
        <v>274</v>
      </c>
      <c r="I13" s="9" t="s">
        <v>272</v>
      </c>
      <c r="J13" s="9"/>
      <c r="K13" s="9"/>
      <c r="L13" s="9" t="s">
        <v>273</v>
      </c>
      <c r="M13" s="9"/>
      <c r="N13" s="9"/>
      <c r="O13" s="41"/>
      <c r="P13" s="51"/>
      <c r="Q13" s="141"/>
      <c r="R13" s="142"/>
    </row>
    <row r="14" spans="1:18" s="11" customFormat="1" x14ac:dyDescent="0.2">
      <c r="A14" s="9">
        <v>10</v>
      </c>
      <c r="B14" s="9"/>
      <c r="C14" s="9"/>
      <c r="D14" s="9" t="s">
        <v>92</v>
      </c>
      <c r="E14" s="49" t="s">
        <v>110</v>
      </c>
      <c r="F14" s="49"/>
      <c r="G14" s="50" t="s">
        <v>424</v>
      </c>
      <c r="H14" s="50" t="s">
        <v>275</v>
      </c>
      <c r="I14" s="9" t="s">
        <v>272</v>
      </c>
      <c r="J14" s="9"/>
      <c r="K14" s="9"/>
      <c r="L14" s="9" t="s">
        <v>273</v>
      </c>
      <c r="M14" s="9"/>
      <c r="N14" s="9"/>
      <c r="O14" s="41"/>
      <c r="P14" s="51"/>
      <c r="Q14" s="141"/>
      <c r="R14" s="142"/>
    </row>
    <row r="15" spans="1:18" s="11" customFormat="1" x14ac:dyDescent="0.2">
      <c r="A15" s="9">
        <v>10</v>
      </c>
      <c r="B15" s="9"/>
      <c r="C15" s="9"/>
      <c r="D15" s="9" t="s">
        <v>94</v>
      </c>
      <c r="E15" s="49" t="s">
        <v>112</v>
      </c>
      <c r="F15" s="49"/>
      <c r="G15" s="50" t="s">
        <v>425</v>
      </c>
      <c r="H15" s="50" t="s">
        <v>276</v>
      </c>
      <c r="I15" s="9" t="s">
        <v>272</v>
      </c>
      <c r="J15" s="9"/>
      <c r="K15" s="9"/>
      <c r="L15" s="9" t="s">
        <v>273</v>
      </c>
      <c r="M15" s="9"/>
      <c r="N15" s="9"/>
      <c r="O15" s="41"/>
      <c r="P15" s="51"/>
      <c r="Q15" s="141"/>
      <c r="R15" s="142"/>
    </row>
    <row r="16" spans="1:18" s="11" customFormat="1" x14ac:dyDescent="0.2">
      <c r="A16" s="9">
        <v>10</v>
      </c>
      <c r="B16" s="9"/>
      <c r="C16" s="9"/>
      <c r="D16" s="9" t="s">
        <v>41</v>
      </c>
      <c r="E16" s="49" t="s">
        <v>43</v>
      </c>
      <c r="F16" s="49"/>
      <c r="G16" s="50" t="s">
        <v>430</v>
      </c>
      <c r="H16" s="50" t="s">
        <v>297</v>
      </c>
      <c r="I16" s="9" t="s">
        <v>272</v>
      </c>
      <c r="J16" s="9"/>
      <c r="K16" s="9"/>
      <c r="L16" s="9"/>
      <c r="M16" s="9"/>
      <c r="N16" s="9"/>
      <c r="O16" s="41"/>
      <c r="P16" s="51"/>
      <c r="Q16" s="141"/>
      <c r="R16" s="142"/>
    </row>
    <row r="17" spans="1:18" s="11" customFormat="1" x14ac:dyDescent="0.2">
      <c r="A17" s="9">
        <v>10</v>
      </c>
      <c r="B17" s="9"/>
      <c r="C17" s="9"/>
      <c r="D17" s="9" t="s">
        <v>49</v>
      </c>
      <c r="E17" s="49" t="s">
        <v>50</v>
      </c>
      <c r="F17" s="49"/>
      <c r="G17" s="50" t="s">
        <v>431</v>
      </c>
      <c r="H17" s="50" t="s">
        <v>286</v>
      </c>
      <c r="I17" s="9" t="s">
        <v>272</v>
      </c>
      <c r="J17" s="9"/>
      <c r="K17" s="9"/>
      <c r="L17" s="9"/>
      <c r="M17" s="9"/>
      <c r="N17" s="9"/>
      <c r="O17" s="41"/>
      <c r="P17" s="51"/>
      <c r="Q17" s="141"/>
      <c r="R17" s="142"/>
    </row>
    <row r="18" spans="1:18" s="11" customFormat="1" x14ac:dyDescent="0.2">
      <c r="A18" s="9">
        <v>10</v>
      </c>
      <c r="B18" s="9"/>
      <c r="C18" s="9"/>
      <c r="D18" s="9" t="s">
        <v>45</v>
      </c>
      <c r="E18" s="49" t="s">
        <v>47</v>
      </c>
      <c r="F18" s="49"/>
      <c r="G18" s="50" t="s">
        <v>432</v>
      </c>
      <c r="H18" s="50" t="s">
        <v>287</v>
      </c>
      <c r="I18" s="9" t="s">
        <v>272</v>
      </c>
      <c r="J18" s="9"/>
      <c r="K18" s="9"/>
      <c r="L18" s="9"/>
      <c r="M18" s="9"/>
      <c r="N18" s="9"/>
      <c r="O18" s="41"/>
      <c r="P18" s="51"/>
      <c r="Q18" s="141"/>
      <c r="R18" s="142"/>
    </row>
    <row r="19" spans="1:18" s="11" customFormat="1" x14ac:dyDescent="0.2">
      <c r="A19" s="9">
        <v>10</v>
      </c>
      <c r="B19" s="9"/>
      <c r="C19" s="9"/>
      <c r="D19" s="9" t="s">
        <v>211</v>
      </c>
      <c r="E19" s="49" t="s">
        <v>212</v>
      </c>
      <c r="F19" s="49"/>
      <c r="G19" s="50" t="s">
        <v>433</v>
      </c>
      <c r="H19" s="50" t="s">
        <v>288</v>
      </c>
      <c r="I19" s="9"/>
      <c r="J19" s="9"/>
      <c r="K19" s="9"/>
      <c r="L19" s="9"/>
      <c r="M19" s="9"/>
      <c r="N19" s="9"/>
      <c r="O19" s="41"/>
      <c r="P19" s="51"/>
      <c r="Q19" s="141"/>
      <c r="R19" s="142"/>
    </row>
    <row r="20" spans="1:18" s="11" customFormat="1" x14ac:dyDescent="0.2">
      <c r="A20" s="9">
        <v>10</v>
      </c>
      <c r="B20" s="9"/>
      <c r="C20" s="9"/>
      <c r="D20" s="9" t="s">
        <v>209</v>
      </c>
      <c r="E20" s="49" t="s">
        <v>213</v>
      </c>
      <c r="F20" s="49"/>
      <c r="G20" s="50" t="s">
        <v>434</v>
      </c>
      <c r="H20" s="50" t="s">
        <v>289</v>
      </c>
      <c r="I20" s="9"/>
      <c r="J20" s="9"/>
      <c r="K20" s="9"/>
      <c r="L20" s="9"/>
      <c r="M20" s="9"/>
      <c r="N20" s="9"/>
      <c r="O20" s="41"/>
      <c r="P20" s="51"/>
      <c r="Q20" s="141"/>
      <c r="R20" s="142"/>
    </row>
    <row r="21" spans="1:18" s="11" customFormat="1" x14ac:dyDescent="0.2">
      <c r="A21" s="9">
        <v>10</v>
      </c>
      <c r="B21" s="9"/>
      <c r="C21" s="9"/>
      <c r="D21" s="9" t="s">
        <v>210</v>
      </c>
      <c r="E21" s="49" t="s">
        <v>214</v>
      </c>
      <c r="F21" s="49"/>
      <c r="G21" s="50" t="s">
        <v>435</v>
      </c>
      <c r="H21" s="50" t="s">
        <v>290</v>
      </c>
      <c r="I21" s="9"/>
      <c r="J21" s="9"/>
      <c r="K21" s="9"/>
      <c r="L21" s="9"/>
      <c r="M21" s="9"/>
      <c r="N21" s="9"/>
      <c r="O21" s="41"/>
      <c r="P21" s="51"/>
      <c r="Q21" s="141"/>
      <c r="R21" s="142"/>
    </row>
    <row r="22" spans="1:18" s="11" customFormat="1" x14ac:dyDescent="0.2">
      <c r="A22" s="9">
        <v>10</v>
      </c>
      <c r="B22" s="9"/>
      <c r="C22" s="9"/>
      <c r="D22" s="9" t="s">
        <v>207</v>
      </c>
      <c r="E22" s="49" t="s">
        <v>208</v>
      </c>
      <c r="F22" s="49"/>
      <c r="G22" s="50" t="s">
        <v>436</v>
      </c>
      <c r="H22" s="50" t="s">
        <v>291</v>
      </c>
      <c r="I22" s="9"/>
      <c r="J22" s="9"/>
      <c r="K22" s="9"/>
      <c r="L22" s="9"/>
      <c r="M22" s="9"/>
      <c r="N22" s="9"/>
      <c r="O22" s="41"/>
      <c r="P22" s="51"/>
      <c r="Q22" s="141"/>
      <c r="R22" s="142"/>
    </row>
    <row r="23" spans="1:18" s="11" customFormat="1" x14ac:dyDescent="0.2">
      <c r="A23" s="9">
        <v>10</v>
      </c>
      <c r="B23" s="9"/>
      <c r="C23" s="9"/>
      <c r="D23" s="9" t="s">
        <v>70</v>
      </c>
      <c r="E23" s="49" t="s">
        <v>71</v>
      </c>
      <c r="F23" s="49"/>
      <c r="G23" s="50" t="s">
        <v>437</v>
      </c>
      <c r="H23" s="50" t="s">
        <v>292</v>
      </c>
      <c r="I23" s="9" t="s">
        <v>272</v>
      </c>
      <c r="J23" s="9"/>
      <c r="K23" s="9"/>
      <c r="L23" s="9"/>
      <c r="M23" s="9"/>
      <c r="N23" s="9"/>
      <c r="O23" s="41"/>
      <c r="P23" s="51"/>
      <c r="Q23" s="141"/>
      <c r="R23" s="142"/>
    </row>
    <row r="24" spans="1:18" s="11" customFormat="1" x14ac:dyDescent="0.2">
      <c r="A24" s="52"/>
      <c r="B24" s="53"/>
      <c r="C24" s="53"/>
      <c r="D24" s="27" t="s">
        <v>1</v>
      </c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4"/>
      <c r="P24" s="4"/>
      <c r="Q24" s="6"/>
      <c r="R24" s="23"/>
    </row>
    <row r="25" spans="1:18" s="11" customFormat="1" x14ac:dyDescent="0.2">
      <c r="A25" s="77"/>
      <c r="R25" s="54"/>
    </row>
    <row r="26" spans="1:18" s="11" customFormat="1" x14ac:dyDescent="0.2">
      <c r="A26" s="77"/>
      <c r="R26" s="54"/>
    </row>
    <row r="27" spans="1:18" s="11" customFormat="1" x14ac:dyDescent="0.2">
      <c r="A27" s="77"/>
      <c r="R27" s="54"/>
    </row>
    <row r="28" spans="1:18" s="11" customFormat="1" x14ac:dyDescent="0.2">
      <c r="A28" s="77"/>
      <c r="R28" s="54"/>
    </row>
    <row r="29" spans="1:18" s="11" customFormat="1" x14ac:dyDescent="0.2">
      <c r="A29" s="77"/>
      <c r="R29" s="54"/>
    </row>
    <row r="30" spans="1:18" s="11" customFormat="1" x14ac:dyDescent="0.2">
      <c r="A30" s="77"/>
      <c r="R30" s="54"/>
    </row>
    <row r="31" spans="1:18" s="11" customFormat="1" x14ac:dyDescent="0.2">
      <c r="A31" s="77"/>
      <c r="R31" s="54"/>
    </row>
    <row r="32" spans="1:18" s="11" customFormat="1" x14ac:dyDescent="0.2">
      <c r="A32" s="77"/>
      <c r="R32" s="54"/>
    </row>
    <row r="33" spans="1:18" s="11" customFormat="1" x14ac:dyDescent="0.2">
      <c r="A33" s="81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20"/>
    </row>
  </sheetData>
  <dataConsolidate/>
  <mergeCells count="12">
    <mergeCell ref="Q23:R23"/>
    <mergeCell ref="Q12:R12"/>
    <mergeCell ref="Q13:R13"/>
    <mergeCell ref="Q14:R14"/>
    <mergeCell ref="Q15:R15"/>
    <mergeCell ref="Q16:R16"/>
    <mergeCell ref="Q17:R17"/>
    <mergeCell ref="Q22:R22"/>
    <mergeCell ref="Q18:R18"/>
    <mergeCell ref="Q19:R19"/>
    <mergeCell ref="Q20:R20"/>
    <mergeCell ref="Q21:R21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3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3" t="s">
        <v>263</v>
      </c>
      <c r="B1" s="73" t="s">
        <v>263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4" t="s">
        <v>263</v>
      </c>
      <c r="B2" s="75"/>
      <c r="C2" s="75"/>
      <c r="D2" s="84" t="s">
        <v>408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MABCL0400</v>
      </c>
      <c r="I2" s="7" t="s">
        <v>264</v>
      </c>
      <c r="J2" s="9" t="s">
        <v>148</v>
      </c>
      <c r="K2" s="7" t="s">
        <v>39</v>
      </c>
      <c r="L2" s="76" t="str">
        <f>IF(LogicCommon!G2="","",LogicCommon!G2)</f>
        <v>MC</v>
      </c>
      <c r="M2" s="5" t="s">
        <v>265</v>
      </c>
      <c r="N2" s="28" t="s">
        <v>405</v>
      </c>
      <c r="O2" s="7"/>
      <c r="P2" s="7"/>
      <c r="Q2" s="4"/>
      <c r="R2" s="27"/>
    </row>
    <row r="3" spans="1:18" s="11" customFormat="1" x14ac:dyDescent="0.2">
      <c r="A3" s="77" t="s">
        <v>263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MABCL_ItmRlsReg</v>
      </c>
      <c r="I3" s="7" t="s">
        <v>266</v>
      </c>
      <c r="J3" s="9" t="s">
        <v>28</v>
      </c>
      <c r="K3" s="7" t="s">
        <v>40</v>
      </c>
      <c r="L3" s="76" t="str">
        <f>IF(LogicCommon!G3="","",LogicCommon!G3)</f>
        <v/>
      </c>
      <c r="M3" s="56" t="s">
        <v>29</v>
      </c>
      <c r="N3" s="7"/>
      <c r="O3" s="7" t="s">
        <v>267</v>
      </c>
      <c r="P3" s="9" t="s">
        <v>268</v>
      </c>
      <c r="Q3" s="4"/>
      <c r="R3" s="27"/>
    </row>
    <row r="4" spans="1:18" s="11" customFormat="1" x14ac:dyDescent="0.2">
      <c r="A4" s="77" t="s">
        <v>263</v>
      </c>
      <c r="B4" s="78"/>
      <c r="C4" s="78"/>
      <c r="D4" s="4"/>
      <c r="E4" s="7" t="s">
        <v>8</v>
      </c>
      <c r="F4" s="10" t="s">
        <v>401</v>
      </c>
      <c r="G4" s="7" t="s">
        <v>11</v>
      </c>
      <c r="H4" s="76" t="str">
        <f>IF(LogicCommon!E4="","",LogicCommon!E4)</f>
        <v>品目リリース登録</v>
      </c>
      <c r="I4" s="7" t="s">
        <v>269</v>
      </c>
      <c r="J4" s="9" t="s">
        <v>252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  <c r="R4" s="27"/>
    </row>
    <row r="5" spans="1:18" s="11" customFormat="1" x14ac:dyDescent="0.2">
      <c r="A5" s="81" t="s">
        <v>263</v>
      </c>
      <c r="B5" s="73"/>
      <c r="C5" s="73"/>
      <c r="D5" s="26"/>
      <c r="E5" s="7" t="s">
        <v>270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7" t="s">
        <v>263</v>
      </c>
      <c r="B6" s="78"/>
      <c r="C6" s="78"/>
      <c r="D6" s="4" t="s">
        <v>6</v>
      </c>
      <c r="E6" s="16" t="s">
        <v>251</v>
      </c>
      <c r="F6" s="16"/>
      <c r="G6" s="16"/>
      <c r="H6" s="16"/>
      <c r="I6" s="16"/>
      <c r="J6" s="16"/>
      <c r="K6" s="16"/>
      <c r="L6" s="83" t="s">
        <v>262</v>
      </c>
      <c r="M6" s="19"/>
      <c r="N6" s="19" t="s">
        <v>262</v>
      </c>
      <c r="O6" s="19"/>
      <c r="P6" s="19"/>
      <c r="Q6" s="19"/>
      <c r="R6" s="27"/>
    </row>
    <row r="7" spans="1:18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66</v>
      </c>
      <c r="M7" s="33" t="s">
        <v>33</v>
      </c>
      <c r="N7" s="32" t="s">
        <v>199</v>
      </c>
      <c r="O7" s="29"/>
      <c r="P7" s="29"/>
      <c r="Q7" s="29"/>
      <c r="R7" s="29"/>
    </row>
    <row r="8" spans="1:18" s="11" customFormat="1" ht="60" customHeight="1" x14ac:dyDescent="0.2">
      <c r="A8" s="49" t="s">
        <v>17</v>
      </c>
      <c r="B8" s="87"/>
      <c r="C8" s="88"/>
      <c r="D8" s="85" t="s">
        <v>409</v>
      </c>
      <c r="E8" s="85" t="s">
        <v>410</v>
      </c>
      <c r="F8" s="83"/>
      <c r="G8" s="85" t="s">
        <v>293</v>
      </c>
      <c r="H8" s="85" t="s">
        <v>411</v>
      </c>
      <c r="I8" s="83"/>
      <c r="J8" s="3"/>
      <c r="K8" s="33" t="s">
        <v>16</v>
      </c>
      <c r="L8" s="9" t="s">
        <v>219</v>
      </c>
      <c r="M8" s="33" t="s">
        <v>16</v>
      </c>
      <c r="N8" s="9" t="s">
        <v>197</v>
      </c>
      <c r="O8" s="89"/>
      <c r="P8" s="90"/>
      <c r="Q8" s="91" t="s">
        <v>420</v>
      </c>
      <c r="R8" s="51"/>
    </row>
    <row r="9" spans="1:18" s="11" customFormat="1" ht="60" customHeight="1" x14ac:dyDescent="0.2">
      <c r="A9" s="9" t="s">
        <v>17</v>
      </c>
      <c r="B9" s="37"/>
      <c r="C9" s="38"/>
      <c r="D9" s="85" t="s">
        <v>412</v>
      </c>
      <c r="E9" s="92" t="s">
        <v>413</v>
      </c>
      <c r="F9" s="85" t="s">
        <v>414</v>
      </c>
      <c r="G9" s="85" t="s">
        <v>415</v>
      </c>
      <c r="H9" s="85" t="s">
        <v>416</v>
      </c>
      <c r="I9" s="93" t="s">
        <v>417</v>
      </c>
      <c r="J9" s="85" t="s">
        <v>418</v>
      </c>
      <c r="K9" s="33"/>
      <c r="L9" s="33"/>
      <c r="M9" s="33"/>
      <c r="N9" s="33"/>
      <c r="O9" s="91" t="s">
        <v>419</v>
      </c>
      <c r="P9" s="51"/>
      <c r="Q9" s="91" t="s">
        <v>421</v>
      </c>
      <c r="R9" s="51"/>
    </row>
    <row r="10" spans="1:18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6" t="s">
        <v>417</v>
      </c>
      <c r="L10" s="86" t="s">
        <v>418</v>
      </c>
      <c r="M10" s="86" t="s">
        <v>417</v>
      </c>
      <c r="N10" s="86" t="s">
        <v>418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149</v>
      </c>
      <c r="E11" s="34" t="s">
        <v>63</v>
      </c>
      <c r="F11" s="44"/>
      <c r="G11" s="28" t="s">
        <v>74</v>
      </c>
      <c r="H11" s="45" t="s">
        <v>298</v>
      </c>
      <c r="I11" s="46"/>
      <c r="J11" s="47"/>
      <c r="K11" s="48" t="s">
        <v>295</v>
      </c>
      <c r="L11" s="48"/>
      <c r="M11" s="48" t="s">
        <v>295</v>
      </c>
      <c r="N11" s="48"/>
      <c r="O11" s="35"/>
      <c r="P11" s="36"/>
      <c r="Q11" s="70"/>
      <c r="R11" s="72"/>
    </row>
    <row r="12" spans="1:18" s="11" customFormat="1" x14ac:dyDescent="0.2">
      <c r="A12" s="9">
        <v>10</v>
      </c>
      <c r="B12" s="9"/>
      <c r="C12" s="9"/>
      <c r="D12" s="9" t="s">
        <v>88</v>
      </c>
      <c r="E12" s="49" t="s">
        <v>106</v>
      </c>
      <c r="F12" s="49"/>
      <c r="G12" s="50" t="s">
        <v>422</v>
      </c>
      <c r="H12" s="50" t="s">
        <v>271</v>
      </c>
      <c r="I12" s="9" t="s">
        <v>272</v>
      </c>
      <c r="J12" s="9"/>
      <c r="K12" s="9" t="s">
        <v>273</v>
      </c>
      <c r="L12" s="9"/>
      <c r="M12" s="9" t="s">
        <v>273</v>
      </c>
      <c r="N12" s="9"/>
      <c r="O12" s="41"/>
      <c r="P12" s="51"/>
      <c r="Q12" s="141"/>
      <c r="R12" s="142"/>
    </row>
    <row r="13" spans="1:18" s="11" customFormat="1" x14ac:dyDescent="0.2">
      <c r="A13" s="9">
        <v>10</v>
      </c>
      <c r="B13" s="9"/>
      <c r="C13" s="9"/>
      <c r="D13" s="9" t="s">
        <v>90</v>
      </c>
      <c r="E13" s="49" t="s">
        <v>108</v>
      </c>
      <c r="F13" s="49"/>
      <c r="G13" s="50" t="s">
        <v>423</v>
      </c>
      <c r="H13" s="50" t="s">
        <v>274</v>
      </c>
      <c r="I13" s="9" t="s">
        <v>272</v>
      </c>
      <c r="J13" s="9"/>
      <c r="K13" s="9" t="s">
        <v>273</v>
      </c>
      <c r="L13" s="9"/>
      <c r="M13" s="9" t="s">
        <v>273</v>
      </c>
      <c r="N13" s="9"/>
      <c r="O13" s="41"/>
      <c r="P13" s="51"/>
      <c r="Q13" s="141"/>
      <c r="R13" s="142"/>
    </row>
    <row r="14" spans="1:18" s="11" customFormat="1" x14ac:dyDescent="0.2">
      <c r="A14" s="9">
        <v>10</v>
      </c>
      <c r="B14" s="9"/>
      <c r="C14" s="9"/>
      <c r="D14" s="9" t="s">
        <v>92</v>
      </c>
      <c r="E14" s="49" t="s">
        <v>110</v>
      </c>
      <c r="F14" s="49"/>
      <c r="G14" s="50" t="s">
        <v>424</v>
      </c>
      <c r="H14" s="50" t="s">
        <v>275</v>
      </c>
      <c r="I14" s="9" t="s">
        <v>272</v>
      </c>
      <c r="J14" s="9"/>
      <c r="K14" s="9" t="s">
        <v>273</v>
      </c>
      <c r="L14" s="9"/>
      <c r="M14" s="9" t="s">
        <v>273</v>
      </c>
      <c r="N14" s="9"/>
      <c r="O14" s="41"/>
      <c r="P14" s="51"/>
      <c r="Q14" s="141"/>
      <c r="R14" s="142"/>
    </row>
    <row r="15" spans="1:18" s="11" customFormat="1" x14ac:dyDescent="0.2">
      <c r="A15" s="9">
        <v>10</v>
      </c>
      <c r="B15" s="9"/>
      <c r="C15" s="9"/>
      <c r="D15" s="9" t="s">
        <v>94</v>
      </c>
      <c r="E15" s="49" t="s">
        <v>112</v>
      </c>
      <c r="F15" s="49"/>
      <c r="G15" s="50" t="s">
        <v>425</v>
      </c>
      <c r="H15" s="50" t="s">
        <v>276</v>
      </c>
      <c r="I15" s="9" t="s">
        <v>272</v>
      </c>
      <c r="J15" s="9"/>
      <c r="K15" s="9" t="s">
        <v>273</v>
      </c>
      <c r="L15" s="9"/>
      <c r="M15" s="9" t="s">
        <v>273</v>
      </c>
      <c r="N15" s="9"/>
      <c r="O15" s="41"/>
      <c r="P15" s="51"/>
      <c r="Q15" s="141"/>
      <c r="R15" s="142"/>
    </row>
    <row r="16" spans="1:18" s="11" customFormat="1" x14ac:dyDescent="0.2">
      <c r="A16" s="9">
        <v>10</v>
      </c>
      <c r="B16" s="9"/>
      <c r="C16" s="9"/>
      <c r="D16" s="9" t="s">
        <v>41</v>
      </c>
      <c r="E16" s="49" t="s">
        <v>43</v>
      </c>
      <c r="F16" s="49"/>
      <c r="G16" s="50" t="s">
        <v>430</v>
      </c>
      <c r="H16" s="50" t="s">
        <v>297</v>
      </c>
      <c r="I16" s="9" t="s">
        <v>272</v>
      </c>
      <c r="J16" s="9"/>
      <c r="K16" s="9" t="s">
        <v>273</v>
      </c>
      <c r="L16" s="9"/>
      <c r="M16" s="9"/>
      <c r="N16" s="9"/>
      <c r="O16" s="41"/>
      <c r="P16" s="51"/>
      <c r="Q16" s="141"/>
      <c r="R16" s="142"/>
    </row>
    <row r="17" spans="1:18" s="11" customFormat="1" x14ac:dyDescent="0.2">
      <c r="A17" s="9">
        <v>10</v>
      </c>
      <c r="B17" s="9"/>
      <c r="C17" s="9"/>
      <c r="D17" s="9" t="s">
        <v>49</v>
      </c>
      <c r="E17" s="49" t="s">
        <v>50</v>
      </c>
      <c r="F17" s="49"/>
      <c r="G17" s="50" t="s">
        <v>431</v>
      </c>
      <c r="H17" s="50" t="s">
        <v>286</v>
      </c>
      <c r="I17" s="9" t="s">
        <v>272</v>
      </c>
      <c r="J17" s="9"/>
      <c r="K17" s="9" t="s">
        <v>273</v>
      </c>
      <c r="L17" s="9"/>
      <c r="M17" s="9"/>
      <c r="N17" s="9"/>
      <c r="O17" s="41"/>
      <c r="P17" s="51"/>
      <c r="Q17" s="141"/>
      <c r="R17" s="142"/>
    </row>
    <row r="18" spans="1:18" s="11" customFormat="1" x14ac:dyDescent="0.2">
      <c r="A18" s="9">
        <v>10</v>
      </c>
      <c r="B18" s="9"/>
      <c r="C18" s="9"/>
      <c r="D18" s="9" t="s">
        <v>45</v>
      </c>
      <c r="E18" s="49" t="s">
        <v>47</v>
      </c>
      <c r="F18" s="49"/>
      <c r="G18" s="50" t="s">
        <v>432</v>
      </c>
      <c r="H18" s="50" t="s">
        <v>287</v>
      </c>
      <c r="I18" s="9" t="s">
        <v>272</v>
      </c>
      <c r="J18" s="9"/>
      <c r="K18" s="9" t="s">
        <v>273</v>
      </c>
      <c r="L18" s="9"/>
      <c r="M18" s="9"/>
      <c r="N18" s="9"/>
      <c r="O18" s="41"/>
      <c r="P18" s="51"/>
      <c r="Q18" s="141"/>
      <c r="R18" s="142"/>
    </row>
    <row r="19" spans="1:18" s="11" customFormat="1" x14ac:dyDescent="0.2">
      <c r="A19" s="9">
        <v>10</v>
      </c>
      <c r="B19" s="9"/>
      <c r="C19" s="9"/>
      <c r="D19" s="9" t="s">
        <v>211</v>
      </c>
      <c r="E19" s="49" t="s">
        <v>212</v>
      </c>
      <c r="F19" s="49"/>
      <c r="G19" s="50" t="s">
        <v>433</v>
      </c>
      <c r="H19" s="50" t="s">
        <v>288</v>
      </c>
      <c r="I19" s="9" t="s">
        <v>272</v>
      </c>
      <c r="J19" s="9"/>
      <c r="K19" s="9" t="s">
        <v>272</v>
      </c>
      <c r="L19" s="9"/>
      <c r="M19" s="9"/>
      <c r="N19" s="9"/>
      <c r="O19" s="41"/>
      <c r="P19" s="51"/>
      <c r="Q19" s="141"/>
      <c r="R19" s="142"/>
    </row>
    <row r="20" spans="1:18" s="11" customFormat="1" x14ac:dyDescent="0.2">
      <c r="A20" s="9">
        <v>10</v>
      </c>
      <c r="B20" s="9"/>
      <c r="C20" s="9"/>
      <c r="D20" s="9" t="s">
        <v>209</v>
      </c>
      <c r="E20" s="49" t="s">
        <v>213</v>
      </c>
      <c r="F20" s="49"/>
      <c r="G20" s="50" t="s">
        <v>434</v>
      </c>
      <c r="H20" s="50" t="s">
        <v>289</v>
      </c>
      <c r="I20" s="9" t="s">
        <v>272</v>
      </c>
      <c r="J20" s="9"/>
      <c r="K20" s="9" t="s">
        <v>272</v>
      </c>
      <c r="L20" s="9"/>
      <c r="M20" s="9"/>
      <c r="N20" s="9"/>
      <c r="O20" s="41"/>
      <c r="P20" s="51"/>
      <c r="Q20" s="141"/>
      <c r="R20" s="142"/>
    </row>
    <row r="21" spans="1:18" s="11" customFormat="1" x14ac:dyDescent="0.2">
      <c r="A21" s="9">
        <v>10</v>
      </c>
      <c r="B21" s="9"/>
      <c r="C21" s="9"/>
      <c r="D21" s="9" t="s">
        <v>210</v>
      </c>
      <c r="E21" s="49" t="s">
        <v>214</v>
      </c>
      <c r="F21" s="49"/>
      <c r="G21" s="50" t="s">
        <v>435</v>
      </c>
      <c r="H21" s="50" t="s">
        <v>290</v>
      </c>
      <c r="I21" s="9" t="s">
        <v>272</v>
      </c>
      <c r="J21" s="9"/>
      <c r="K21" s="9" t="s">
        <v>272</v>
      </c>
      <c r="L21" s="9"/>
      <c r="M21" s="9"/>
      <c r="N21" s="9"/>
      <c r="O21" s="41"/>
      <c r="P21" s="51"/>
      <c r="Q21" s="141"/>
      <c r="R21" s="142"/>
    </row>
    <row r="22" spans="1:18" s="11" customFormat="1" x14ac:dyDescent="0.2">
      <c r="A22" s="9">
        <v>10</v>
      </c>
      <c r="B22" s="9"/>
      <c r="C22" s="9"/>
      <c r="D22" s="9" t="s">
        <v>207</v>
      </c>
      <c r="E22" s="49" t="s">
        <v>208</v>
      </c>
      <c r="F22" s="49"/>
      <c r="G22" s="50" t="s">
        <v>436</v>
      </c>
      <c r="H22" s="50" t="s">
        <v>291</v>
      </c>
      <c r="I22" s="9" t="s">
        <v>272</v>
      </c>
      <c r="J22" s="9"/>
      <c r="K22" s="9" t="s">
        <v>272</v>
      </c>
      <c r="L22" s="9"/>
      <c r="M22" s="9"/>
      <c r="N22" s="9"/>
      <c r="O22" s="41"/>
      <c r="P22" s="51"/>
      <c r="Q22" s="141"/>
      <c r="R22" s="142"/>
    </row>
    <row r="23" spans="1:18" s="11" customFormat="1" x14ac:dyDescent="0.2">
      <c r="A23" s="9">
        <v>10</v>
      </c>
      <c r="B23" s="9"/>
      <c r="C23" s="9"/>
      <c r="D23" s="9" t="s">
        <v>70</v>
      </c>
      <c r="E23" s="49" t="s">
        <v>71</v>
      </c>
      <c r="F23" s="49"/>
      <c r="G23" s="50" t="s">
        <v>437</v>
      </c>
      <c r="H23" s="50" t="s">
        <v>296</v>
      </c>
      <c r="I23" s="9" t="s">
        <v>272</v>
      </c>
      <c r="J23" s="9"/>
      <c r="K23" s="9" t="s">
        <v>272</v>
      </c>
      <c r="L23" s="9"/>
      <c r="M23" s="9"/>
      <c r="N23" s="9"/>
      <c r="O23" s="43"/>
      <c r="P23" s="36"/>
      <c r="Q23" s="70"/>
      <c r="R23" s="72"/>
    </row>
    <row r="24" spans="1:18" s="11" customFormat="1" x14ac:dyDescent="0.2">
      <c r="A24" s="52"/>
      <c r="B24" s="53"/>
      <c r="C24" s="53"/>
      <c r="D24" s="27" t="s">
        <v>1</v>
      </c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4"/>
      <c r="P24" s="4"/>
      <c r="Q24" s="6"/>
      <c r="R24" s="23"/>
    </row>
    <row r="25" spans="1:18" s="11" customFormat="1" x14ac:dyDescent="0.2">
      <c r="A25" s="77"/>
      <c r="R25" s="54"/>
    </row>
    <row r="26" spans="1:18" s="11" customFormat="1" x14ac:dyDescent="0.2">
      <c r="A26" s="77"/>
      <c r="R26" s="54"/>
    </row>
    <row r="27" spans="1:18" s="11" customFormat="1" x14ac:dyDescent="0.2">
      <c r="A27" s="77"/>
      <c r="R27" s="54"/>
    </row>
    <row r="28" spans="1:18" s="11" customFormat="1" x14ac:dyDescent="0.2">
      <c r="A28" s="77"/>
      <c r="R28" s="54"/>
    </row>
    <row r="29" spans="1:18" s="11" customFormat="1" x14ac:dyDescent="0.2">
      <c r="A29" s="77"/>
      <c r="R29" s="54"/>
    </row>
    <row r="30" spans="1:18" s="11" customFormat="1" x14ac:dyDescent="0.2">
      <c r="A30" s="77"/>
      <c r="R30" s="54"/>
    </row>
    <row r="31" spans="1:18" s="11" customFormat="1" x14ac:dyDescent="0.2">
      <c r="A31" s="77"/>
      <c r="R31" s="54"/>
    </row>
    <row r="32" spans="1:18" s="11" customFormat="1" x14ac:dyDescent="0.2">
      <c r="A32" s="77"/>
      <c r="R32" s="54"/>
    </row>
    <row r="33" spans="1:18" s="11" customFormat="1" x14ac:dyDescent="0.2">
      <c r="A33" s="77"/>
      <c r="R33" s="54"/>
    </row>
    <row r="34" spans="1:18" s="11" customFormat="1" x14ac:dyDescent="0.2">
      <c r="A34" s="77"/>
      <c r="R34" s="54"/>
    </row>
    <row r="35" spans="1:18" s="11" customFormat="1" x14ac:dyDescent="0.2">
      <c r="A35" s="81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20"/>
    </row>
  </sheetData>
  <dataConsolidate/>
  <mergeCells count="11">
    <mergeCell ref="Q12:R12"/>
    <mergeCell ref="Q13:R13"/>
    <mergeCell ref="Q14:R14"/>
    <mergeCell ref="Q15:R15"/>
    <mergeCell ref="Q16:R16"/>
    <mergeCell ref="Q17:R17"/>
    <mergeCell ref="Q18:R18"/>
    <mergeCell ref="Q22:R22"/>
    <mergeCell ref="Q19:R19"/>
    <mergeCell ref="Q20:R20"/>
    <mergeCell ref="Q21:R21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2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9.90625" style="29" customWidth="1"/>
    <col min="14" max="14" width="50.6328125" style="29" customWidth="1"/>
    <col min="15" max="15" width="24" style="29" customWidth="1"/>
    <col min="16" max="16" width="14.90625" style="29" customWidth="1"/>
    <col min="17" max="17" width="9.453125" style="27" bestFit="1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 x14ac:dyDescent="0.2">
      <c r="A1" s="73" t="s">
        <v>263</v>
      </c>
      <c r="B1" s="73" t="s">
        <v>263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 x14ac:dyDescent="0.2">
      <c r="A2" s="74" t="s">
        <v>263</v>
      </c>
      <c r="B2" s="75"/>
      <c r="C2" s="75"/>
      <c r="D2" s="84" t="s">
        <v>408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MABCL0400</v>
      </c>
      <c r="I2" s="7" t="s">
        <v>264</v>
      </c>
      <c r="J2" s="9" t="s">
        <v>232</v>
      </c>
      <c r="K2" s="7" t="s">
        <v>39</v>
      </c>
      <c r="L2" s="76" t="str">
        <f>IF(LogicCommon!G2="","",LogicCommon!G2)</f>
        <v>MC</v>
      </c>
      <c r="M2" s="5" t="s">
        <v>265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 x14ac:dyDescent="0.2">
      <c r="A3" s="77" t="s">
        <v>263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MABCL_ItmRlsReg</v>
      </c>
      <c r="I3" s="7" t="s">
        <v>266</v>
      </c>
      <c r="J3" s="9" t="s">
        <v>75</v>
      </c>
      <c r="K3" s="7" t="s">
        <v>40</v>
      </c>
      <c r="L3" s="76" t="str">
        <f>IF(LogicCommon!G3="","",LogicCommon!G3)</f>
        <v/>
      </c>
      <c r="M3" s="56" t="s">
        <v>29</v>
      </c>
      <c r="N3" s="7"/>
      <c r="O3" s="7" t="s">
        <v>267</v>
      </c>
      <c r="P3" s="9" t="s">
        <v>268</v>
      </c>
      <c r="Q3" s="4"/>
      <c r="R3" s="27"/>
      <c r="S3" s="27"/>
      <c r="T3" s="27"/>
      <c r="U3" s="27"/>
    </row>
    <row r="4" spans="1:21" s="11" customFormat="1" x14ac:dyDescent="0.2">
      <c r="A4" s="77" t="s">
        <v>263</v>
      </c>
      <c r="B4" s="78"/>
      <c r="C4" s="78"/>
      <c r="D4" s="4"/>
      <c r="E4" s="7" t="s">
        <v>8</v>
      </c>
      <c r="F4" s="10" t="s">
        <v>401</v>
      </c>
      <c r="G4" s="7" t="s">
        <v>11</v>
      </c>
      <c r="H4" s="76" t="str">
        <f>IF(LogicCommon!E4="","",LogicCommon!E4)</f>
        <v>品目リリース登録</v>
      </c>
      <c r="I4" s="7" t="s">
        <v>269</v>
      </c>
      <c r="J4" s="9" t="s">
        <v>254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  <c r="R4" s="27"/>
      <c r="S4" s="27"/>
      <c r="T4" s="27"/>
      <c r="U4" s="27"/>
    </row>
    <row r="5" spans="1:21" s="11" customFormat="1" x14ac:dyDescent="0.2">
      <c r="A5" s="81" t="s">
        <v>263</v>
      </c>
      <c r="B5" s="73"/>
      <c r="C5" s="73"/>
      <c r="D5" s="26"/>
      <c r="E5" s="7" t="s">
        <v>270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 x14ac:dyDescent="0.2">
      <c r="A6" s="77" t="s">
        <v>263</v>
      </c>
      <c r="B6" s="78"/>
      <c r="C6" s="78"/>
      <c r="D6" s="4" t="s">
        <v>6</v>
      </c>
      <c r="E6" s="16" t="s">
        <v>255</v>
      </c>
      <c r="F6" s="16"/>
      <c r="G6" s="16"/>
      <c r="H6" s="16"/>
      <c r="I6" s="16"/>
      <c r="J6" s="16"/>
      <c r="K6" s="16"/>
      <c r="L6" s="83"/>
      <c r="M6" s="19"/>
      <c r="N6" s="19"/>
      <c r="O6" s="19"/>
      <c r="P6" s="19"/>
      <c r="Q6" s="19" t="s">
        <v>262</v>
      </c>
      <c r="R6" s="4"/>
      <c r="S6" s="29"/>
      <c r="T6" s="29"/>
      <c r="U6" s="27"/>
    </row>
    <row r="7" spans="1:21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81</v>
      </c>
      <c r="L7" s="32" t="s">
        <v>81</v>
      </c>
      <c r="M7" s="32" t="s">
        <v>215</v>
      </c>
      <c r="N7" s="32" t="s">
        <v>215</v>
      </c>
      <c r="O7" s="32" t="s">
        <v>215</v>
      </c>
      <c r="P7" s="33" t="s">
        <v>64</v>
      </c>
      <c r="Q7" s="32"/>
      <c r="R7" s="29"/>
      <c r="S7" s="29"/>
      <c r="T7" s="29"/>
      <c r="U7" s="29"/>
    </row>
    <row r="8" spans="1:21" s="11" customFormat="1" ht="60" customHeight="1" x14ac:dyDescent="0.2">
      <c r="A8" s="49" t="s">
        <v>17</v>
      </c>
      <c r="B8" s="87"/>
      <c r="C8" s="88"/>
      <c r="D8" s="85" t="s">
        <v>409</v>
      </c>
      <c r="E8" s="85" t="s">
        <v>410</v>
      </c>
      <c r="F8" s="83"/>
      <c r="G8" s="85" t="s">
        <v>293</v>
      </c>
      <c r="H8" s="85" t="s">
        <v>411</v>
      </c>
      <c r="I8" s="83"/>
      <c r="J8" s="3"/>
      <c r="K8" s="9" t="s">
        <v>82</v>
      </c>
      <c r="L8" s="9" t="s">
        <v>83</v>
      </c>
      <c r="M8" s="9" t="s">
        <v>218</v>
      </c>
      <c r="N8" s="9" t="s">
        <v>216</v>
      </c>
      <c r="O8" s="9" t="s">
        <v>217</v>
      </c>
      <c r="P8" s="33" t="s">
        <v>65</v>
      </c>
      <c r="Q8" s="9"/>
      <c r="R8" s="89"/>
      <c r="S8" s="90"/>
      <c r="T8" s="91" t="s">
        <v>420</v>
      </c>
      <c r="U8" s="51"/>
    </row>
    <row r="9" spans="1:21" s="11" customFormat="1" ht="60" customHeight="1" x14ac:dyDescent="0.2">
      <c r="A9" s="9" t="s">
        <v>17</v>
      </c>
      <c r="B9" s="37"/>
      <c r="C9" s="38"/>
      <c r="D9" s="85" t="s">
        <v>412</v>
      </c>
      <c r="E9" s="92" t="s">
        <v>413</v>
      </c>
      <c r="F9" s="85" t="s">
        <v>414</v>
      </c>
      <c r="G9" s="85" t="s">
        <v>415</v>
      </c>
      <c r="H9" s="85" t="s">
        <v>416</v>
      </c>
      <c r="I9" s="93" t="s">
        <v>417</v>
      </c>
      <c r="J9" s="85" t="s">
        <v>418</v>
      </c>
      <c r="K9" s="33"/>
      <c r="L9" s="33"/>
      <c r="M9" s="33"/>
      <c r="N9" s="33"/>
      <c r="O9" s="33"/>
      <c r="P9" s="33"/>
      <c r="Q9" s="33"/>
      <c r="R9" s="91" t="s">
        <v>419</v>
      </c>
      <c r="S9" s="51"/>
      <c r="T9" s="91" t="s">
        <v>421</v>
      </c>
      <c r="U9" s="51"/>
    </row>
    <row r="10" spans="1:21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86" t="s">
        <v>417</v>
      </c>
      <c r="Q10" s="86" t="s">
        <v>418</v>
      </c>
      <c r="R10" s="42"/>
      <c r="S10" s="42"/>
      <c r="T10" s="43"/>
      <c r="U10" s="36"/>
    </row>
    <row r="11" spans="1:21" s="11" customFormat="1" x14ac:dyDescent="0.2">
      <c r="A11" s="9">
        <v>10</v>
      </c>
      <c r="B11" s="37" t="s">
        <v>0</v>
      </c>
      <c r="C11" s="38"/>
      <c r="D11" s="28" t="s">
        <v>233</v>
      </c>
      <c r="E11" s="34" t="s">
        <v>63</v>
      </c>
      <c r="F11" s="44"/>
      <c r="G11" s="28"/>
      <c r="H11" s="45"/>
      <c r="I11" s="46"/>
      <c r="J11" s="47"/>
      <c r="K11" s="48"/>
      <c r="L11" s="48"/>
      <c r="M11" s="48"/>
      <c r="N11" s="48"/>
      <c r="O11" s="48"/>
      <c r="P11" s="48"/>
      <c r="Q11" s="48"/>
      <c r="R11" s="35"/>
      <c r="S11" s="36"/>
      <c r="T11" s="70"/>
      <c r="U11" s="72"/>
    </row>
    <row r="12" spans="1:21" s="11" customFormat="1" x14ac:dyDescent="0.2">
      <c r="A12" s="9">
        <v>10</v>
      </c>
      <c r="B12" s="9"/>
      <c r="C12" s="9"/>
      <c r="D12" s="9" t="s">
        <v>88</v>
      </c>
      <c r="E12" s="49" t="s">
        <v>106</v>
      </c>
      <c r="F12" s="49"/>
      <c r="G12" s="50" t="s">
        <v>422</v>
      </c>
      <c r="H12" s="50" t="s">
        <v>271</v>
      </c>
      <c r="I12" s="9" t="s">
        <v>272</v>
      </c>
      <c r="J12" s="9"/>
      <c r="K12" s="9"/>
      <c r="L12" s="9" t="s">
        <v>273</v>
      </c>
      <c r="M12" s="9"/>
      <c r="N12" s="9"/>
      <c r="O12" s="9"/>
      <c r="P12" s="9"/>
      <c r="Q12" s="9"/>
      <c r="R12" s="41"/>
      <c r="S12" s="51"/>
      <c r="T12" s="141"/>
      <c r="U12" s="142"/>
    </row>
    <row r="13" spans="1:21" s="11" customFormat="1" x14ac:dyDescent="0.2">
      <c r="A13" s="9">
        <v>10</v>
      </c>
      <c r="B13" s="9"/>
      <c r="C13" s="9"/>
      <c r="D13" s="9" t="s">
        <v>90</v>
      </c>
      <c r="E13" s="49" t="s">
        <v>108</v>
      </c>
      <c r="F13" s="49"/>
      <c r="G13" s="50" t="s">
        <v>423</v>
      </c>
      <c r="H13" s="50" t="s">
        <v>274</v>
      </c>
      <c r="I13" s="9" t="s">
        <v>272</v>
      </c>
      <c r="J13" s="9"/>
      <c r="K13" s="9" t="s">
        <v>273</v>
      </c>
      <c r="L13" s="9"/>
      <c r="M13" s="9"/>
      <c r="N13" s="9"/>
      <c r="O13" s="9"/>
      <c r="P13" s="9"/>
      <c r="Q13" s="9"/>
      <c r="R13" s="41"/>
      <c r="S13" s="51"/>
      <c r="T13" s="141"/>
      <c r="U13" s="142"/>
    </row>
    <row r="14" spans="1:21" s="11" customFormat="1" x14ac:dyDescent="0.2">
      <c r="A14" s="9">
        <v>10</v>
      </c>
      <c r="B14" s="9"/>
      <c r="C14" s="9"/>
      <c r="D14" s="9" t="s">
        <v>92</v>
      </c>
      <c r="E14" s="49" t="s">
        <v>110</v>
      </c>
      <c r="F14" s="49"/>
      <c r="G14" s="50" t="s">
        <v>424</v>
      </c>
      <c r="H14" s="50" t="s">
        <v>275</v>
      </c>
      <c r="I14" s="9" t="s">
        <v>272</v>
      </c>
      <c r="J14" s="9"/>
      <c r="K14" s="9" t="s">
        <v>273</v>
      </c>
      <c r="L14" s="9"/>
      <c r="M14" s="9"/>
      <c r="N14" s="9"/>
      <c r="O14" s="9"/>
      <c r="P14" s="9"/>
      <c r="Q14" s="9"/>
      <c r="R14" s="41"/>
      <c r="S14" s="51"/>
      <c r="T14" s="141"/>
      <c r="U14" s="142"/>
    </row>
    <row r="15" spans="1:21" s="11" customFormat="1" x14ac:dyDescent="0.2">
      <c r="A15" s="9">
        <v>10</v>
      </c>
      <c r="B15" s="9"/>
      <c r="C15" s="9"/>
      <c r="D15" s="9" t="s">
        <v>94</v>
      </c>
      <c r="E15" s="49" t="s">
        <v>112</v>
      </c>
      <c r="F15" s="49"/>
      <c r="G15" s="50" t="s">
        <v>425</v>
      </c>
      <c r="H15" s="50" t="s">
        <v>276</v>
      </c>
      <c r="I15" s="9" t="s">
        <v>272</v>
      </c>
      <c r="J15" s="9"/>
      <c r="K15" s="9" t="s">
        <v>273</v>
      </c>
      <c r="L15" s="9"/>
      <c r="M15" s="9" t="s">
        <v>277</v>
      </c>
      <c r="N15" s="9" t="s">
        <v>278</v>
      </c>
      <c r="O15" s="9" t="s">
        <v>299</v>
      </c>
      <c r="P15" s="9"/>
      <c r="Q15" s="9"/>
      <c r="R15" s="41"/>
      <c r="S15" s="51"/>
      <c r="T15" s="141"/>
      <c r="U15" s="142"/>
    </row>
    <row r="16" spans="1:21" s="11" customFormat="1" ht="52" x14ac:dyDescent="0.2">
      <c r="A16" s="77"/>
      <c r="P16" s="11" t="s">
        <v>417</v>
      </c>
      <c r="Q16" s="11" t="s">
        <v>418</v>
      </c>
      <c r="U16" s="54"/>
    </row>
    <row r="17" spans="1:21" s="11" customFormat="1" x14ac:dyDescent="0.2">
      <c r="A17" s="9">
        <v>20</v>
      </c>
      <c r="B17" s="37" t="s">
        <v>0</v>
      </c>
      <c r="C17" s="38"/>
      <c r="D17" s="28" t="s">
        <v>238</v>
      </c>
      <c r="E17" s="34" t="s">
        <v>239</v>
      </c>
      <c r="F17" s="69"/>
      <c r="G17" s="28"/>
      <c r="H17" s="45"/>
      <c r="I17" s="59"/>
      <c r="J17" s="58"/>
      <c r="K17" s="48"/>
      <c r="L17" s="48"/>
      <c r="M17" s="48"/>
      <c r="N17" s="48"/>
      <c r="O17" s="48"/>
      <c r="P17" s="48"/>
      <c r="Q17" s="48"/>
      <c r="R17" s="35"/>
      <c r="S17" s="36"/>
      <c r="T17" s="70"/>
      <c r="U17" s="72"/>
    </row>
    <row r="18" spans="1:21" s="11" customFormat="1" x14ac:dyDescent="0.2">
      <c r="A18" s="9">
        <v>20</v>
      </c>
      <c r="B18" s="9"/>
      <c r="C18" s="9"/>
      <c r="D18" s="9" t="s">
        <v>236</v>
      </c>
      <c r="E18" s="49" t="s">
        <v>244</v>
      </c>
      <c r="F18" s="49"/>
      <c r="G18" s="50" t="s">
        <v>438</v>
      </c>
      <c r="H18" s="50" t="s">
        <v>300</v>
      </c>
      <c r="I18" s="9" t="s">
        <v>272</v>
      </c>
      <c r="J18" s="9"/>
      <c r="K18" s="9"/>
      <c r="L18" s="9" t="s">
        <v>273</v>
      </c>
      <c r="M18" s="9" t="s">
        <v>301</v>
      </c>
      <c r="N18" s="9"/>
      <c r="O18" s="9"/>
      <c r="P18" s="9"/>
      <c r="Q18" s="9"/>
      <c r="R18" s="41"/>
      <c r="S18" s="51"/>
      <c r="T18" s="141"/>
      <c r="U18" s="142"/>
    </row>
    <row r="19" spans="1:21" s="11" customFormat="1" x14ac:dyDescent="0.2">
      <c r="A19" s="9">
        <v>20</v>
      </c>
      <c r="B19" s="9"/>
      <c r="C19" s="9"/>
      <c r="D19" s="9" t="s">
        <v>402</v>
      </c>
      <c r="E19" s="49" t="s">
        <v>403</v>
      </c>
      <c r="F19" s="49"/>
      <c r="G19" s="50" t="s">
        <v>439</v>
      </c>
      <c r="H19" s="50" t="s">
        <v>407</v>
      </c>
      <c r="I19" s="9" t="s">
        <v>272</v>
      </c>
      <c r="J19" s="9"/>
      <c r="K19" s="9"/>
      <c r="L19" s="9"/>
      <c r="M19" s="9"/>
      <c r="N19" s="9"/>
      <c r="O19" s="9"/>
      <c r="P19" s="9"/>
      <c r="Q19" s="9"/>
      <c r="R19" s="41"/>
      <c r="S19" s="51"/>
      <c r="T19" s="141"/>
      <c r="U19" s="142"/>
    </row>
    <row r="20" spans="1:21" s="11" customFormat="1" x14ac:dyDescent="0.2">
      <c r="A20" s="52"/>
      <c r="B20" s="53"/>
      <c r="C20" s="53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4"/>
      <c r="S20" s="4"/>
      <c r="T20" s="6"/>
      <c r="U20" s="23"/>
    </row>
    <row r="21" spans="1:21" s="11" customFormat="1" x14ac:dyDescent="0.2">
      <c r="A21" s="77"/>
      <c r="U21" s="54"/>
    </row>
    <row r="22" spans="1:21" s="11" customFormat="1" x14ac:dyDescent="0.2">
      <c r="A22" s="77"/>
      <c r="U22" s="54"/>
    </row>
    <row r="23" spans="1:21" s="11" customFormat="1" x14ac:dyDescent="0.2">
      <c r="A23" s="77"/>
      <c r="U23" s="54"/>
    </row>
    <row r="24" spans="1:21" s="11" customFormat="1" x14ac:dyDescent="0.2">
      <c r="A24" s="77"/>
      <c r="U24" s="54"/>
    </row>
    <row r="25" spans="1:21" s="11" customFormat="1" x14ac:dyDescent="0.2">
      <c r="A25" s="77"/>
      <c r="U25" s="54"/>
    </row>
    <row r="26" spans="1:21" s="11" customFormat="1" x14ac:dyDescent="0.2">
      <c r="A26" s="77"/>
      <c r="U26" s="54"/>
    </row>
    <row r="27" spans="1:21" s="11" customFormat="1" x14ac:dyDescent="0.2">
      <c r="A27" s="77"/>
      <c r="U27" s="54"/>
    </row>
    <row r="28" spans="1:21" s="11" customFormat="1" x14ac:dyDescent="0.2">
      <c r="A28" s="77"/>
      <c r="U28" s="54"/>
    </row>
    <row r="29" spans="1:21" s="11" customFormat="1" x14ac:dyDescent="0.2">
      <c r="A29" s="81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20"/>
    </row>
  </sheetData>
  <dataConsolidate/>
  <mergeCells count="6">
    <mergeCell ref="T19:U19"/>
    <mergeCell ref="T12:U12"/>
    <mergeCell ref="T13:U13"/>
    <mergeCell ref="T14:U14"/>
    <mergeCell ref="T15:U15"/>
    <mergeCell ref="T18:U18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V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3.906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3" t="s">
        <v>263</v>
      </c>
      <c r="B1" s="73" t="s">
        <v>263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4" t="s">
        <v>263</v>
      </c>
      <c r="B2" s="75"/>
      <c r="C2" s="75"/>
      <c r="D2" s="84" t="s">
        <v>408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MABCL0400</v>
      </c>
      <c r="I2" s="7" t="s">
        <v>264</v>
      </c>
      <c r="J2" s="9" t="s">
        <v>237</v>
      </c>
      <c r="K2" s="7" t="s">
        <v>39</v>
      </c>
      <c r="L2" s="76" t="str">
        <f>IF(LogicCommon!G2="","",LogicCommon!G2)</f>
        <v>MC</v>
      </c>
      <c r="M2" s="5" t="s">
        <v>265</v>
      </c>
      <c r="N2" s="28" t="s">
        <v>405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7" t="s">
        <v>263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MABCL_ItmRlsReg</v>
      </c>
      <c r="I3" s="7" t="s">
        <v>266</v>
      </c>
      <c r="J3" s="9" t="s">
        <v>28</v>
      </c>
      <c r="K3" s="7" t="s">
        <v>40</v>
      </c>
      <c r="L3" s="76" t="str">
        <f>IF(LogicCommon!G3="","",LogicCommon!G3)</f>
        <v/>
      </c>
      <c r="M3" s="56" t="s">
        <v>29</v>
      </c>
      <c r="N3" s="7"/>
      <c r="O3" s="7" t="s">
        <v>267</v>
      </c>
      <c r="P3" s="9" t="s">
        <v>268</v>
      </c>
      <c r="Q3" s="4"/>
      <c r="R3" s="27"/>
      <c r="S3" s="27"/>
      <c r="T3" s="27"/>
      <c r="U3" s="27"/>
      <c r="V3" s="27"/>
    </row>
    <row r="4" spans="1:22" s="11" customFormat="1" x14ac:dyDescent="0.2">
      <c r="A4" s="77" t="s">
        <v>263</v>
      </c>
      <c r="B4" s="78"/>
      <c r="C4" s="78"/>
      <c r="D4" s="4"/>
      <c r="E4" s="7" t="s">
        <v>8</v>
      </c>
      <c r="F4" s="10" t="s">
        <v>401</v>
      </c>
      <c r="G4" s="7" t="s">
        <v>11</v>
      </c>
      <c r="H4" s="76" t="str">
        <f>IF(LogicCommon!E4="","",LogicCommon!E4)</f>
        <v>品目リリース登録</v>
      </c>
      <c r="I4" s="7" t="s">
        <v>269</v>
      </c>
      <c r="J4" s="9" t="s">
        <v>256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1" t="s">
        <v>263</v>
      </c>
      <c r="B5" s="73"/>
      <c r="C5" s="73"/>
      <c r="D5" s="26"/>
      <c r="E5" s="7" t="s">
        <v>270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7" t="s">
        <v>263</v>
      </c>
      <c r="B6" s="78"/>
      <c r="C6" s="78"/>
      <c r="D6" s="4" t="s">
        <v>6</v>
      </c>
      <c r="E6" s="16" t="s">
        <v>253</v>
      </c>
      <c r="F6" s="16"/>
      <c r="G6" s="16"/>
      <c r="H6" s="16"/>
      <c r="I6" s="16"/>
      <c r="J6" s="16"/>
      <c r="K6" s="16"/>
      <c r="L6" s="83" t="s">
        <v>262</v>
      </c>
      <c r="M6" s="19"/>
      <c r="N6" s="19" t="s">
        <v>262</v>
      </c>
      <c r="O6" s="19"/>
      <c r="P6" s="19" t="s">
        <v>262</v>
      </c>
      <c r="Q6" s="19"/>
      <c r="R6" s="3" t="s">
        <v>262</v>
      </c>
      <c r="S6" s="4"/>
      <c r="T6" s="29"/>
      <c r="U6" s="29"/>
      <c r="V6" s="27"/>
    </row>
    <row r="7" spans="1:22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/>
      <c r="M7" s="33" t="s">
        <v>64</v>
      </c>
      <c r="N7" s="32"/>
      <c r="O7" s="33" t="s">
        <v>64</v>
      </c>
      <c r="P7" s="32"/>
      <c r="Q7" s="33" t="s">
        <v>64</v>
      </c>
      <c r="R7" s="32"/>
      <c r="S7" s="29"/>
      <c r="T7" s="29"/>
      <c r="U7" s="29"/>
      <c r="V7" s="29"/>
    </row>
    <row r="8" spans="1:22" s="11" customFormat="1" ht="60" customHeight="1" x14ac:dyDescent="0.2">
      <c r="A8" s="49" t="s">
        <v>17</v>
      </c>
      <c r="B8" s="87"/>
      <c r="C8" s="88"/>
      <c r="D8" s="85" t="s">
        <v>409</v>
      </c>
      <c r="E8" s="85" t="s">
        <v>410</v>
      </c>
      <c r="F8" s="83"/>
      <c r="G8" s="85" t="s">
        <v>293</v>
      </c>
      <c r="H8" s="85" t="s">
        <v>411</v>
      </c>
      <c r="I8" s="83"/>
      <c r="J8" s="3"/>
      <c r="K8" s="33" t="s">
        <v>16</v>
      </c>
      <c r="L8" s="9"/>
      <c r="M8" s="33" t="s">
        <v>65</v>
      </c>
      <c r="N8" s="9"/>
      <c r="O8" s="33" t="s">
        <v>65</v>
      </c>
      <c r="P8" s="9"/>
      <c r="Q8" s="33" t="s">
        <v>65</v>
      </c>
      <c r="R8" s="9"/>
      <c r="S8" s="89"/>
      <c r="T8" s="90"/>
      <c r="U8" s="91" t="s">
        <v>420</v>
      </c>
      <c r="V8" s="51"/>
    </row>
    <row r="9" spans="1:22" s="11" customFormat="1" ht="60" customHeight="1" x14ac:dyDescent="0.2">
      <c r="A9" s="9" t="s">
        <v>17</v>
      </c>
      <c r="B9" s="37"/>
      <c r="C9" s="38"/>
      <c r="D9" s="85" t="s">
        <v>412</v>
      </c>
      <c r="E9" s="92" t="s">
        <v>413</v>
      </c>
      <c r="F9" s="85" t="s">
        <v>414</v>
      </c>
      <c r="G9" s="85" t="s">
        <v>415</v>
      </c>
      <c r="H9" s="85" t="s">
        <v>416</v>
      </c>
      <c r="I9" s="93" t="s">
        <v>417</v>
      </c>
      <c r="J9" s="85" t="s">
        <v>418</v>
      </c>
      <c r="K9" s="33"/>
      <c r="L9" s="33"/>
      <c r="M9" s="33"/>
      <c r="N9" s="33"/>
      <c r="O9" s="33"/>
      <c r="P9" s="33"/>
      <c r="Q9" s="33"/>
      <c r="R9" s="33"/>
      <c r="S9" s="91" t="s">
        <v>419</v>
      </c>
      <c r="T9" s="51"/>
      <c r="U9" s="91" t="s">
        <v>421</v>
      </c>
      <c r="V9" s="51"/>
    </row>
    <row r="10" spans="1:22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6" t="s">
        <v>417</v>
      </c>
      <c r="L10" s="86" t="s">
        <v>418</v>
      </c>
      <c r="M10" s="86" t="s">
        <v>417</v>
      </c>
      <c r="N10" s="86" t="s">
        <v>418</v>
      </c>
      <c r="O10" s="86" t="s">
        <v>417</v>
      </c>
      <c r="P10" s="86" t="s">
        <v>418</v>
      </c>
      <c r="Q10" s="86" t="s">
        <v>417</v>
      </c>
      <c r="R10" s="86" t="s">
        <v>418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240</v>
      </c>
      <c r="E11" s="34" t="s">
        <v>21</v>
      </c>
      <c r="F11" s="44"/>
      <c r="G11" s="28" t="s">
        <v>74</v>
      </c>
      <c r="H11" s="45" t="s">
        <v>302</v>
      </c>
      <c r="I11" s="46"/>
      <c r="J11" s="47"/>
      <c r="K11" s="48"/>
      <c r="L11" s="48"/>
      <c r="M11" s="48"/>
      <c r="N11" s="48"/>
      <c r="O11" s="48"/>
      <c r="P11" s="48"/>
      <c r="Q11" s="48"/>
      <c r="R11" s="48"/>
      <c r="S11" s="35"/>
      <c r="T11" s="36"/>
      <c r="U11" s="70"/>
      <c r="V11" s="72"/>
    </row>
    <row r="12" spans="1:22" s="11" customFormat="1" x14ac:dyDescent="0.2">
      <c r="A12" s="9">
        <v>10</v>
      </c>
      <c r="B12" s="9"/>
      <c r="C12" s="9"/>
      <c r="D12" s="9" t="s">
        <v>88</v>
      </c>
      <c r="E12" s="49" t="s">
        <v>106</v>
      </c>
      <c r="F12" s="49"/>
      <c r="G12" s="50" t="s">
        <v>422</v>
      </c>
      <c r="H12" s="50" t="s">
        <v>271</v>
      </c>
      <c r="I12" s="9" t="s">
        <v>272</v>
      </c>
      <c r="J12" s="9"/>
      <c r="K12" s="9"/>
      <c r="L12" s="9"/>
      <c r="M12" s="9"/>
      <c r="N12" s="9"/>
      <c r="O12" s="9"/>
      <c r="P12" s="9"/>
      <c r="Q12" s="9"/>
      <c r="R12" s="9"/>
      <c r="S12" s="41"/>
      <c r="T12" s="51"/>
      <c r="U12" s="141"/>
      <c r="V12" s="142"/>
    </row>
    <row r="13" spans="1:22" s="11" customFormat="1" x14ac:dyDescent="0.2">
      <c r="A13" s="9">
        <v>10</v>
      </c>
      <c r="B13" s="9"/>
      <c r="C13" s="9"/>
      <c r="D13" s="9" t="s">
        <v>90</v>
      </c>
      <c r="E13" s="49" t="s">
        <v>108</v>
      </c>
      <c r="F13" s="49"/>
      <c r="G13" s="50" t="s">
        <v>423</v>
      </c>
      <c r="H13" s="50" t="s">
        <v>274</v>
      </c>
      <c r="I13" s="9" t="s">
        <v>272</v>
      </c>
      <c r="J13" s="9"/>
      <c r="K13" s="9"/>
      <c r="L13" s="9"/>
      <c r="M13" s="9"/>
      <c r="N13" s="9"/>
      <c r="O13" s="9"/>
      <c r="P13" s="9"/>
      <c r="Q13" s="9"/>
      <c r="R13" s="9"/>
      <c r="S13" s="41"/>
      <c r="T13" s="51"/>
      <c r="U13" s="141"/>
      <c r="V13" s="142"/>
    </row>
    <row r="14" spans="1:22" s="11" customFormat="1" x14ac:dyDescent="0.2">
      <c r="A14" s="9">
        <v>10</v>
      </c>
      <c r="B14" s="9"/>
      <c r="C14" s="9"/>
      <c r="D14" s="9" t="s">
        <v>92</v>
      </c>
      <c r="E14" s="49" t="s">
        <v>110</v>
      </c>
      <c r="F14" s="49"/>
      <c r="G14" s="50" t="s">
        <v>424</v>
      </c>
      <c r="H14" s="50" t="s">
        <v>275</v>
      </c>
      <c r="I14" s="9" t="s">
        <v>272</v>
      </c>
      <c r="J14" s="9"/>
      <c r="K14" s="9"/>
      <c r="L14" s="9"/>
      <c r="M14" s="9"/>
      <c r="N14" s="9"/>
      <c r="O14" s="9"/>
      <c r="P14" s="9"/>
      <c r="Q14" s="9"/>
      <c r="R14" s="9"/>
      <c r="S14" s="41"/>
      <c r="T14" s="51"/>
      <c r="U14" s="141"/>
      <c r="V14" s="142"/>
    </row>
    <row r="15" spans="1:22" s="11" customFormat="1" x14ac:dyDescent="0.2">
      <c r="A15" s="9">
        <v>10</v>
      </c>
      <c r="B15" s="9"/>
      <c r="C15" s="9"/>
      <c r="D15" s="9" t="s">
        <v>94</v>
      </c>
      <c r="E15" s="49" t="s">
        <v>112</v>
      </c>
      <c r="F15" s="49"/>
      <c r="G15" s="50" t="s">
        <v>425</v>
      </c>
      <c r="H15" s="50" t="s">
        <v>276</v>
      </c>
      <c r="I15" s="9" t="s">
        <v>272</v>
      </c>
      <c r="J15" s="9"/>
      <c r="K15" s="9"/>
      <c r="L15" s="9"/>
      <c r="M15" s="9"/>
      <c r="N15" s="9"/>
      <c r="O15" s="9"/>
      <c r="P15" s="9"/>
      <c r="Q15" s="9"/>
      <c r="R15" s="9"/>
      <c r="S15" s="41"/>
      <c r="T15" s="51"/>
      <c r="U15" s="141"/>
      <c r="V15" s="142"/>
    </row>
    <row r="16" spans="1:22" s="11" customFormat="1" ht="52" x14ac:dyDescent="0.2">
      <c r="A16" s="77"/>
      <c r="K16" s="11" t="s">
        <v>417</v>
      </c>
      <c r="L16" s="11" t="s">
        <v>418</v>
      </c>
      <c r="M16" s="11" t="s">
        <v>417</v>
      </c>
      <c r="N16" s="11" t="s">
        <v>418</v>
      </c>
      <c r="O16" s="11" t="s">
        <v>417</v>
      </c>
      <c r="P16" s="11" t="s">
        <v>418</v>
      </c>
      <c r="Q16" s="11" t="s">
        <v>417</v>
      </c>
      <c r="R16" s="11" t="s">
        <v>418</v>
      </c>
      <c r="V16" s="54"/>
    </row>
    <row r="17" spans="1:22" s="11" customFormat="1" x14ac:dyDescent="0.2">
      <c r="A17" s="9">
        <v>20</v>
      </c>
      <c r="B17" s="37" t="s">
        <v>0</v>
      </c>
      <c r="C17" s="38"/>
      <c r="D17" s="28" t="s">
        <v>241</v>
      </c>
      <c r="E17" s="34" t="s">
        <v>20</v>
      </c>
      <c r="F17" s="69"/>
      <c r="G17" s="28" t="s">
        <v>74</v>
      </c>
      <c r="H17" s="45" t="s">
        <v>303</v>
      </c>
      <c r="I17" s="59"/>
      <c r="J17" s="58"/>
      <c r="K17" s="48"/>
      <c r="L17" s="48"/>
      <c r="M17" s="48"/>
      <c r="N17" s="48"/>
      <c r="O17" s="48"/>
      <c r="P17" s="48"/>
      <c r="Q17" s="48"/>
      <c r="R17" s="48"/>
      <c r="S17" s="35"/>
      <c r="T17" s="36"/>
      <c r="U17" s="70"/>
      <c r="V17" s="72"/>
    </row>
    <row r="18" spans="1:22" s="11" customFormat="1" x14ac:dyDescent="0.2">
      <c r="A18" s="9">
        <v>20</v>
      </c>
      <c r="B18" s="9"/>
      <c r="C18" s="9"/>
      <c r="D18" s="9" t="s">
        <v>236</v>
      </c>
      <c r="E18" s="49" t="s">
        <v>244</v>
      </c>
      <c r="F18" s="49"/>
      <c r="G18" s="50" t="s">
        <v>438</v>
      </c>
      <c r="H18" s="50" t="s">
        <v>300</v>
      </c>
      <c r="I18" s="9" t="s">
        <v>272</v>
      </c>
      <c r="J18" s="9"/>
      <c r="K18" s="9"/>
      <c r="L18" s="9"/>
      <c r="M18" s="9"/>
      <c r="N18" s="9"/>
      <c r="O18" s="9"/>
      <c r="P18" s="9"/>
      <c r="Q18" s="9"/>
      <c r="R18" s="9"/>
      <c r="S18" s="41"/>
      <c r="T18" s="51"/>
      <c r="U18" s="141"/>
      <c r="V18" s="142"/>
    </row>
    <row r="19" spans="1:22" s="11" customFormat="1" x14ac:dyDescent="0.2">
      <c r="A19" s="9">
        <v>20</v>
      </c>
      <c r="B19" s="9"/>
      <c r="C19" s="9"/>
      <c r="D19" s="9" t="s">
        <v>402</v>
      </c>
      <c r="E19" s="49" t="s">
        <v>403</v>
      </c>
      <c r="F19" s="49"/>
      <c r="G19" s="50" t="s">
        <v>439</v>
      </c>
      <c r="H19" s="50" t="s">
        <v>407</v>
      </c>
      <c r="I19" s="9" t="s">
        <v>272</v>
      </c>
      <c r="J19" s="9"/>
      <c r="K19" s="9"/>
      <c r="L19" s="9"/>
      <c r="M19" s="9"/>
      <c r="N19" s="9"/>
      <c r="O19" s="9"/>
      <c r="P19" s="9"/>
      <c r="Q19" s="9"/>
      <c r="R19" s="9"/>
      <c r="S19" s="41"/>
      <c r="T19" s="51"/>
      <c r="U19" s="141"/>
      <c r="V19" s="142"/>
    </row>
    <row r="20" spans="1:22" s="11" customFormat="1" x14ac:dyDescent="0.2">
      <c r="A20" s="52"/>
      <c r="B20" s="53"/>
      <c r="C20" s="53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4"/>
      <c r="T20" s="4"/>
      <c r="U20" s="6"/>
      <c r="V20" s="23"/>
    </row>
    <row r="21" spans="1:22" s="11" customFormat="1" x14ac:dyDescent="0.2">
      <c r="A21" s="77"/>
      <c r="V21" s="54"/>
    </row>
    <row r="22" spans="1:22" s="11" customFormat="1" x14ac:dyDescent="0.2">
      <c r="A22" s="77"/>
      <c r="V22" s="54"/>
    </row>
    <row r="23" spans="1:22" s="11" customFormat="1" x14ac:dyDescent="0.2">
      <c r="A23" s="77"/>
      <c r="V23" s="54"/>
    </row>
    <row r="24" spans="1:22" s="11" customFormat="1" x14ac:dyDescent="0.2">
      <c r="A24" s="81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20"/>
    </row>
  </sheetData>
  <dataConsolidate/>
  <mergeCells count="6">
    <mergeCell ref="U19:V19"/>
    <mergeCell ref="U12:V12"/>
    <mergeCell ref="U13:V13"/>
    <mergeCell ref="U14:V14"/>
    <mergeCell ref="U15:V15"/>
    <mergeCell ref="U18:V18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>
    <pageSetUpPr fitToPage="1"/>
  </sheetPr>
  <dimension ref="A1:T1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 x14ac:dyDescent="0.2">
      <c r="A1" s="73" t="s">
        <v>263</v>
      </c>
      <c r="B1" s="73" t="s">
        <v>263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 x14ac:dyDescent="0.2">
      <c r="A2" s="74" t="s">
        <v>263</v>
      </c>
      <c r="B2" s="75"/>
      <c r="C2" s="75"/>
      <c r="D2" s="84" t="s">
        <v>408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MABCL0400</v>
      </c>
      <c r="I2" s="7" t="s">
        <v>264</v>
      </c>
      <c r="J2" s="9" t="s">
        <v>86</v>
      </c>
      <c r="K2" s="7" t="s">
        <v>39</v>
      </c>
      <c r="L2" s="76" t="str">
        <f>IF(LogicCommon!G2="","",LogicCommon!G2)</f>
        <v>MC</v>
      </c>
      <c r="M2" s="5" t="s">
        <v>265</v>
      </c>
      <c r="N2" s="28" t="s">
        <v>406</v>
      </c>
      <c r="O2" s="7"/>
      <c r="P2" s="7"/>
      <c r="Q2" s="4"/>
      <c r="R2" s="4"/>
      <c r="S2" s="4"/>
    </row>
    <row r="3" spans="1:19" s="11" customFormat="1" x14ac:dyDescent="0.2">
      <c r="A3" s="77" t="s">
        <v>263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MABCL_ItmRlsReg</v>
      </c>
      <c r="I3" s="7" t="s">
        <v>266</v>
      </c>
      <c r="J3" s="9" t="s">
        <v>28</v>
      </c>
      <c r="K3" s="7" t="s">
        <v>40</v>
      </c>
      <c r="L3" s="76" t="str">
        <f>IF(LogicCommon!G3="","",LogicCommon!G3)</f>
        <v/>
      </c>
      <c r="M3" s="56" t="s">
        <v>29</v>
      </c>
      <c r="N3" s="7"/>
      <c r="O3" s="7" t="s">
        <v>267</v>
      </c>
      <c r="P3" s="9" t="s">
        <v>268</v>
      </c>
      <c r="Q3" s="4"/>
      <c r="R3" s="4"/>
      <c r="S3" s="4"/>
    </row>
    <row r="4" spans="1:19" s="11" customFormat="1" x14ac:dyDescent="0.2">
      <c r="A4" s="77" t="s">
        <v>263</v>
      </c>
      <c r="B4" s="78"/>
      <c r="C4" s="78"/>
      <c r="D4" s="4"/>
      <c r="E4" s="7" t="s">
        <v>8</v>
      </c>
      <c r="F4" s="10" t="s">
        <v>401</v>
      </c>
      <c r="G4" s="7" t="s">
        <v>11</v>
      </c>
      <c r="H4" s="76" t="str">
        <f>IF(LogicCommon!E4="","",LogicCommon!E4)</f>
        <v>品目リリース登録</v>
      </c>
      <c r="I4" s="7" t="s">
        <v>269</v>
      </c>
      <c r="J4" s="9" t="s">
        <v>2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  <c r="R4" s="4"/>
      <c r="S4" s="4"/>
    </row>
    <row r="5" spans="1:19" s="11" customFormat="1" x14ac:dyDescent="0.2">
      <c r="A5" s="81" t="s">
        <v>263</v>
      </c>
      <c r="B5" s="73"/>
      <c r="C5" s="73"/>
      <c r="D5" s="26"/>
      <c r="E5" s="7" t="s">
        <v>270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4"/>
      <c r="S5" s="4"/>
    </row>
    <row r="6" spans="1:19" s="11" customFormat="1" x14ac:dyDescent="0.2">
      <c r="A6" s="77" t="s">
        <v>263</v>
      </c>
      <c r="B6" s="78"/>
      <c r="C6" s="78"/>
      <c r="D6" s="4" t="s">
        <v>6</v>
      </c>
      <c r="E6" s="16" t="s">
        <v>257</v>
      </c>
      <c r="F6" s="16"/>
      <c r="G6" s="16"/>
      <c r="H6" s="16"/>
      <c r="I6" s="16"/>
      <c r="J6" s="16"/>
      <c r="K6" s="16"/>
      <c r="L6" s="83"/>
      <c r="M6" s="19" t="s">
        <v>262</v>
      </c>
      <c r="N6" s="19"/>
      <c r="O6" s="19" t="s">
        <v>262</v>
      </c>
      <c r="P6" s="19"/>
      <c r="Q6" s="19"/>
      <c r="R6" s="4"/>
      <c r="S6" s="4"/>
    </row>
    <row r="7" spans="1:19" s="11" customFormat="1" x14ac:dyDescent="0.2">
      <c r="A7" s="30" t="s">
        <v>31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138</v>
      </c>
      <c r="L7" s="33" t="s">
        <v>33</v>
      </c>
      <c r="M7" s="32" t="s">
        <v>34</v>
      </c>
      <c r="N7" s="33" t="s">
        <v>33</v>
      </c>
      <c r="O7" s="32"/>
      <c r="P7" s="29"/>
      <c r="Q7" s="29"/>
      <c r="R7" s="29"/>
      <c r="S7" s="29"/>
    </row>
    <row r="8" spans="1:19" s="11" customFormat="1" ht="60" customHeight="1" x14ac:dyDescent="0.2">
      <c r="A8" s="49" t="s">
        <v>17</v>
      </c>
      <c r="B8" s="87"/>
      <c r="C8" s="88"/>
      <c r="D8" s="85" t="s">
        <v>409</v>
      </c>
      <c r="E8" s="85" t="s">
        <v>410</v>
      </c>
      <c r="F8" s="83"/>
      <c r="G8" s="85" t="s">
        <v>293</v>
      </c>
      <c r="H8" s="85" t="s">
        <v>411</v>
      </c>
      <c r="I8" s="83"/>
      <c r="J8" s="3"/>
      <c r="K8" s="9" t="s">
        <v>139</v>
      </c>
      <c r="L8" s="33" t="s">
        <v>16</v>
      </c>
      <c r="M8" s="9" t="s">
        <v>162</v>
      </c>
      <c r="N8" s="33" t="s">
        <v>16</v>
      </c>
      <c r="O8" s="9"/>
      <c r="P8" s="89"/>
      <c r="Q8" s="90"/>
      <c r="R8" s="91" t="s">
        <v>420</v>
      </c>
      <c r="S8" s="51"/>
    </row>
    <row r="9" spans="1:19" s="11" customFormat="1" ht="60" customHeight="1" x14ac:dyDescent="0.2">
      <c r="A9" s="9" t="s">
        <v>17</v>
      </c>
      <c r="B9" s="37"/>
      <c r="C9" s="38"/>
      <c r="D9" s="85" t="s">
        <v>440</v>
      </c>
      <c r="E9" s="92" t="s">
        <v>441</v>
      </c>
      <c r="F9" s="85" t="s">
        <v>414</v>
      </c>
      <c r="G9" s="85" t="s">
        <v>415</v>
      </c>
      <c r="H9" s="85" t="s">
        <v>416</v>
      </c>
      <c r="I9" s="93" t="s">
        <v>417</v>
      </c>
      <c r="J9" s="85" t="s">
        <v>418</v>
      </c>
      <c r="K9" s="7"/>
      <c r="L9" s="33"/>
      <c r="M9" s="33"/>
      <c r="N9" s="33"/>
      <c r="O9" s="33"/>
      <c r="P9" s="91" t="s">
        <v>419</v>
      </c>
      <c r="Q9" s="51"/>
      <c r="R9" s="91" t="s">
        <v>421</v>
      </c>
      <c r="S9" s="51"/>
    </row>
    <row r="10" spans="1:19" s="11" customFormat="1" ht="39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42"/>
      <c r="L10" s="86" t="s">
        <v>417</v>
      </c>
      <c r="M10" s="86" t="s">
        <v>418</v>
      </c>
      <c r="N10" s="86" t="s">
        <v>417</v>
      </c>
      <c r="O10" s="86" t="s">
        <v>418</v>
      </c>
      <c r="P10" s="42"/>
      <c r="Q10" s="42"/>
      <c r="R10" s="43"/>
      <c r="S10" s="36"/>
    </row>
    <row r="11" spans="1:19" s="11" customFormat="1" x14ac:dyDescent="0.2">
      <c r="A11" s="9">
        <v>10</v>
      </c>
      <c r="B11" s="37" t="s">
        <v>0</v>
      </c>
      <c r="C11" s="38"/>
      <c r="D11" s="28" t="s">
        <v>19</v>
      </c>
      <c r="E11" s="34" t="s">
        <v>20</v>
      </c>
      <c r="F11" s="44"/>
      <c r="G11" s="28"/>
      <c r="H11" s="45"/>
      <c r="I11" s="46"/>
      <c r="J11" s="47"/>
      <c r="K11" s="47"/>
      <c r="L11" s="48"/>
      <c r="M11" s="48"/>
      <c r="N11" s="48"/>
      <c r="O11" s="48"/>
      <c r="P11" s="35"/>
      <c r="Q11" s="36"/>
      <c r="R11" s="70"/>
      <c r="S11" s="72"/>
    </row>
    <row r="12" spans="1:19" s="11" customFormat="1" x14ac:dyDescent="0.2">
      <c r="A12" s="9">
        <v>10</v>
      </c>
      <c r="B12" s="9"/>
      <c r="C12" s="9"/>
      <c r="D12" s="9" t="s">
        <v>98</v>
      </c>
      <c r="E12" s="49" t="s">
        <v>102</v>
      </c>
      <c r="F12" s="49"/>
      <c r="G12" s="50" t="s">
        <v>442</v>
      </c>
      <c r="H12" s="50" t="s">
        <v>304</v>
      </c>
      <c r="I12" s="9" t="s">
        <v>272</v>
      </c>
      <c r="J12" s="9"/>
      <c r="K12" s="9"/>
      <c r="L12" s="9"/>
      <c r="M12" s="9"/>
      <c r="N12" s="9"/>
      <c r="O12" s="9"/>
      <c r="P12" s="55"/>
      <c r="Q12" s="51"/>
      <c r="R12" s="141"/>
      <c r="S12" s="142"/>
    </row>
    <row r="13" spans="1:19" s="11" customFormat="1" x14ac:dyDescent="0.2">
      <c r="A13" s="9">
        <v>10</v>
      </c>
      <c r="B13" s="9"/>
      <c r="C13" s="9"/>
      <c r="D13" s="9" t="s">
        <v>100</v>
      </c>
      <c r="E13" s="49" t="s">
        <v>104</v>
      </c>
      <c r="F13" s="49"/>
      <c r="G13" s="50" t="s">
        <v>443</v>
      </c>
      <c r="H13" s="50" t="s">
        <v>305</v>
      </c>
      <c r="I13" s="9" t="s">
        <v>272</v>
      </c>
      <c r="J13" s="9"/>
      <c r="K13" s="9"/>
      <c r="L13" s="9"/>
      <c r="M13" s="9"/>
      <c r="N13" s="9"/>
      <c r="O13" s="9"/>
      <c r="P13" s="55"/>
      <c r="Q13" s="51"/>
      <c r="R13" s="141"/>
      <c r="S13" s="142"/>
    </row>
    <row r="14" spans="1:19" s="11" customFormat="1" x14ac:dyDescent="0.2">
      <c r="A14" s="9">
        <v>10</v>
      </c>
      <c r="B14" s="9"/>
      <c r="C14" s="9"/>
      <c r="D14" s="9" t="s">
        <v>101</v>
      </c>
      <c r="E14" s="49" t="s">
        <v>105</v>
      </c>
      <c r="F14" s="49"/>
      <c r="G14" s="50" t="s">
        <v>444</v>
      </c>
      <c r="H14" s="50" t="s">
        <v>306</v>
      </c>
      <c r="I14" s="9" t="s">
        <v>272</v>
      </c>
      <c r="J14" s="9"/>
      <c r="K14" s="9"/>
      <c r="L14" s="9"/>
      <c r="M14" s="9"/>
      <c r="N14" s="9"/>
      <c r="O14" s="9"/>
      <c r="P14" s="55"/>
      <c r="Q14" s="51"/>
      <c r="R14" s="141"/>
      <c r="S14" s="142"/>
    </row>
    <row r="15" spans="1:19" s="11" customFormat="1" x14ac:dyDescent="0.2">
      <c r="A15" s="9">
        <v>10</v>
      </c>
      <c r="B15" s="9"/>
      <c r="C15" s="9"/>
      <c r="D15" s="9" t="s">
        <v>89</v>
      </c>
      <c r="E15" s="49" t="s">
        <v>107</v>
      </c>
      <c r="F15" s="49"/>
      <c r="G15" s="50" t="s">
        <v>422</v>
      </c>
      <c r="H15" s="50" t="s">
        <v>271</v>
      </c>
      <c r="I15" s="9" t="s">
        <v>272</v>
      </c>
      <c r="J15" s="9"/>
      <c r="K15" s="9"/>
      <c r="L15" s="9"/>
      <c r="M15" s="9"/>
      <c r="N15" s="9"/>
      <c r="O15" s="9"/>
      <c r="P15" s="55"/>
      <c r="Q15" s="51"/>
      <c r="R15" s="141"/>
      <c r="S15" s="142"/>
    </row>
    <row r="16" spans="1:19" s="11" customFormat="1" x14ac:dyDescent="0.2">
      <c r="A16" s="9">
        <v>10</v>
      </c>
      <c r="B16" s="9"/>
      <c r="C16" s="9"/>
      <c r="D16" s="9" t="s">
        <v>91</v>
      </c>
      <c r="E16" s="49" t="s">
        <v>109</v>
      </c>
      <c r="F16" s="49"/>
      <c r="G16" s="50" t="s">
        <v>423</v>
      </c>
      <c r="H16" s="50" t="s">
        <v>307</v>
      </c>
      <c r="I16" s="9" t="s">
        <v>272</v>
      </c>
      <c r="J16" s="9"/>
      <c r="K16" s="9"/>
      <c r="L16" s="9"/>
      <c r="M16" s="9"/>
      <c r="N16" s="9"/>
      <c r="O16" s="9"/>
      <c r="P16" s="55"/>
      <c r="Q16" s="51"/>
      <c r="R16" s="70"/>
      <c r="S16" s="71"/>
    </row>
    <row r="17" spans="1:19" s="11" customFormat="1" x14ac:dyDescent="0.2">
      <c r="A17" s="9">
        <v>10</v>
      </c>
      <c r="B17" s="9"/>
      <c r="C17" s="9"/>
      <c r="D17" s="9" t="s">
        <v>93</v>
      </c>
      <c r="E17" s="49" t="s">
        <v>111</v>
      </c>
      <c r="F17" s="49"/>
      <c r="G17" s="50" t="s">
        <v>424</v>
      </c>
      <c r="H17" s="50" t="s">
        <v>275</v>
      </c>
      <c r="I17" s="9" t="s">
        <v>272</v>
      </c>
      <c r="J17" s="9"/>
      <c r="K17" s="9"/>
      <c r="L17" s="9"/>
      <c r="M17" s="9"/>
      <c r="N17" s="9"/>
      <c r="O17" s="9"/>
      <c r="P17" s="55"/>
      <c r="Q17" s="51"/>
      <c r="R17" s="141"/>
      <c r="S17" s="142"/>
    </row>
    <row r="18" spans="1:19" s="11" customFormat="1" x14ac:dyDescent="0.2">
      <c r="A18" s="9">
        <v>10</v>
      </c>
      <c r="B18" s="9"/>
      <c r="C18" s="9"/>
      <c r="D18" s="9" t="s">
        <v>95</v>
      </c>
      <c r="E18" s="49" t="s">
        <v>113</v>
      </c>
      <c r="F18" s="49"/>
      <c r="G18" s="50" t="s">
        <v>425</v>
      </c>
      <c r="H18" s="50" t="s">
        <v>276</v>
      </c>
      <c r="I18" s="9" t="s">
        <v>272</v>
      </c>
      <c r="J18" s="9"/>
      <c r="K18" s="9"/>
      <c r="L18" s="9"/>
      <c r="M18" s="9"/>
      <c r="N18" s="9"/>
      <c r="O18" s="9"/>
      <c r="P18" s="55"/>
      <c r="Q18" s="51"/>
      <c r="R18" s="141"/>
      <c r="S18" s="142"/>
    </row>
    <row r="19" spans="1:19" s="11" customFormat="1" x14ac:dyDescent="0.2">
      <c r="A19" s="9">
        <v>10</v>
      </c>
      <c r="B19" s="9"/>
      <c r="C19" s="9"/>
      <c r="D19" s="9" t="s">
        <v>97</v>
      </c>
      <c r="E19" s="49" t="s">
        <v>115</v>
      </c>
      <c r="F19" s="49"/>
      <c r="G19" s="50" t="s">
        <v>445</v>
      </c>
      <c r="H19" s="50" t="s">
        <v>308</v>
      </c>
      <c r="I19" s="9" t="s">
        <v>272</v>
      </c>
      <c r="J19" s="9"/>
      <c r="K19" s="9"/>
      <c r="L19" s="9"/>
      <c r="M19" s="9"/>
      <c r="N19" s="9"/>
      <c r="O19" s="9"/>
      <c r="P19" s="55"/>
      <c r="Q19" s="51"/>
      <c r="R19" s="141"/>
      <c r="S19" s="142"/>
    </row>
    <row r="20" spans="1:19" s="11" customFormat="1" x14ac:dyDescent="0.2">
      <c r="A20" s="9">
        <v>10</v>
      </c>
      <c r="B20" s="9"/>
      <c r="C20" s="9"/>
      <c r="D20" s="9" t="s">
        <v>157</v>
      </c>
      <c r="E20" s="49" t="s">
        <v>52</v>
      </c>
      <c r="F20" s="49"/>
      <c r="G20" s="50" t="s">
        <v>446</v>
      </c>
      <c r="H20" s="50" t="s">
        <v>309</v>
      </c>
      <c r="I20" s="9" t="s">
        <v>272</v>
      </c>
      <c r="J20" s="9"/>
      <c r="K20" s="9"/>
      <c r="L20" s="9"/>
      <c r="M20" s="9"/>
      <c r="N20" s="9"/>
      <c r="O20" s="9"/>
      <c r="P20" s="55"/>
      <c r="Q20" s="51"/>
      <c r="R20" s="141"/>
      <c r="S20" s="142"/>
    </row>
    <row r="21" spans="1:19" s="11" customFormat="1" x14ac:dyDescent="0.2">
      <c r="A21" s="9">
        <v>10</v>
      </c>
      <c r="B21" s="9"/>
      <c r="C21" s="9"/>
      <c r="D21" s="9" t="s">
        <v>158</v>
      </c>
      <c r="E21" s="49" t="s">
        <v>52</v>
      </c>
      <c r="F21" s="49"/>
      <c r="G21" s="50" t="s">
        <v>447</v>
      </c>
      <c r="H21" s="50" t="s">
        <v>310</v>
      </c>
      <c r="I21" s="9" t="s">
        <v>272</v>
      </c>
      <c r="J21" s="9"/>
      <c r="K21" s="9"/>
      <c r="L21" s="9"/>
      <c r="M21" s="9"/>
      <c r="N21" s="9"/>
      <c r="O21" s="9"/>
      <c r="P21" s="56"/>
      <c r="Q21" s="57"/>
      <c r="R21" s="143"/>
      <c r="S21" s="142"/>
    </row>
    <row r="22" spans="1:19" s="11" customFormat="1" x14ac:dyDescent="0.2">
      <c r="A22" s="9">
        <v>10</v>
      </c>
      <c r="B22" s="9"/>
      <c r="C22" s="9"/>
      <c r="D22" s="9" t="s">
        <v>159</v>
      </c>
      <c r="E22" s="49" t="s">
        <v>43</v>
      </c>
      <c r="F22" s="49"/>
      <c r="G22" s="50" t="s">
        <v>448</v>
      </c>
      <c r="H22" s="50" t="s">
        <v>311</v>
      </c>
      <c r="I22" s="9" t="s">
        <v>272</v>
      </c>
      <c r="J22" s="9"/>
      <c r="K22" s="9"/>
      <c r="L22" s="9"/>
      <c r="M22" s="9"/>
      <c r="N22" s="9"/>
      <c r="O22" s="9"/>
      <c r="P22" s="56"/>
      <c r="Q22" s="57"/>
      <c r="R22" s="143"/>
      <c r="S22" s="142"/>
    </row>
    <row r="23" spans="1:19" s="11" customFormat="1" x14ac:dyDescent="0.2">
      <c r="A23" s="9">
        <v>10</v>
      </c>
      <c r="B23" s="9"/>
      <c r="C23" s="9"/>
      <c r="D23" s="9" t="s">
        <v>160</v>
      </c>
      <c r="E23" s="49" t="s">
        <v>50</v>
      </c>
      <c r="F23" s="49"/>
      <c r="G23" s="50" t="s">
        <v>449</v>
      </c>
      <c r="H23" s="50" t="s">
        <v>312</v>
      </c>
      <c r="I23" s="9" t="s">
        <v>272</v>
      </c>
      <c r="J23" s="9"/>
      <c r="K23" s="9"/>
      <c r="L23" s="9"/>
      <c r="M23" s="9"/>
      <c r="N23" s="9"/>
      <c r="O23" s="9"/>
      <c r="P23" s="55"/>
      <c r="Q23" s="51"/>
      <c r="R23" s="141"/>
      <c r="S23" s="142"/>
    </row>
    <row r="24" spans="1:19" s="11" customFormat="1" x14ac:dyDescent="0.2">
      <c r="A24" s="9">
        <v>10</v>
      </c>
      <c r="B24" s="9"/>
      <c r="C24" s="9"/>
      <c r="D24" s="9" t="s">
        <v>161</v>
      </c>
      <c r="E24" s="49" t="s">
        <v>47</v>
      </c>
      <c r="F24" s="49"/>
      <c r="G24" s="50" t="s">
        <v>450</v>
      </c>
      <c r="H24" s="50" t="s">
        <v>313</v>
      </c>
      <c r="I24" s="9" t="s">
        <v>272</v>
      </c>
      <c r="J24" s="9"/>
      <c r="K24" s="9"/>
      <c r="L24" s="9"/>
      <c r="M24" s="9"/>
      <c r="N24" s="9"/>
      <c r="O24" s="9"/>
      <c r="P24" s="56"/>
      <c r="Q24" s="57"/>
      <c r="R24" s="143"/>
      <c r="S24" s="142"/>
    </row>
    <row r="25" spans="1:19" s="11" customFormat="1" x14ac:dyDescent="0.2">
      <c r="A25" s="9">
        <v>10</v>
      </c>
      <c r="B25" s="9"/>
      <c r="C25" s="9"/>
      <c r="D25" s="9" t="s">
        <v>42</v>
      </c>
      <c r="E25" s="49" t="s">
        <v>44</v>
      </c>
      <c r="F25" s="49"/>
      <c r="G25" s="50" t="s">
        <v>430</v>
      </c>
      <c r="H25" s="50" t="s">
        <v>297</v>
      </c>
      <c r="I25" s="9" t="s">
        <v>272</v>
      </c>
      <c r="J25" s="9"/>
      <c r="K25" s="9"/>
      <c r="L25" s="9"/>
      <c r="M25" s="9"/>
      <c r="N25" s="9"/>
      <c r="O25" s="9"/>
      <c r="P25" s="55"/>
      <c r="Q25" s="51"/>
      <c r="R25" s="141"/>
      <c r="S25" s="142"/>
    </row>
    <row r="26" spans="1:19" s="11" customFormat="1" x14ac:dyDescent="0.2">
      <c r="A26" s="9">
        <v>10</v>
      </c>
      <c r="B26" s="9"/>
      <c r="C26" s="9"/>
      <c r="D26" s="9" t="s">
        <v>386</v>
      </c>
      <c r="E26" s="49" t="s">
        <v>387</v>
      </c>
      <c r="F26" s="49"/>
      <c r="G26" s="50" t="s">
        <v>431</v>
      </c>
      <c r="H26" s="50" t="s">
        <v>286</v>
      </c>
      <c r="I26" s="9" t="s">
        <v>272</v>
      </c>
      <c r="J26" s="9"/>
      <c r="K26" s="9"/>
      <c r="L26" s="9"/>
      <c r="M26" s="9"/>
      <c r="N26" s="9"/>
      <c r="O26" s="9"/>
      <c r="P26" s="56"/>
      <c r="Q26" s="57"/>
      <c r="R26" s="143"/>
      <c r="S26" s="142"/>
    </row>
    <row r="27" spans="1:19" s="11" customFormat="1" x14ac:dyDescent="0.2">
      <c r="A27" s="9">
        <v>10</v>
      </c>
      <c r="B27" s="9"/>
      <c r="C27" s="9"/>
      <c r="D27" s="9" t="s">
        <v>46</v>
      </c>
      <c r="E27" s="49" t="s">
        <v>48</v>
      </c>
      <c r="F27" s="49"/>
      <c r="G27" s="50" t="s">
        <v>432</v>
      </c>
      <c r="H27" s="50" t="s">
        <v>287</v>
      </c>
      <c r="I27" s="9" t="s">
        <v>272</v>
      </c>
      <c r="J27" s="9"/>
      <c r="K27" s="9"/>
      <c r="L27" s="9"/>
      <c r="M27" s="9"/>
      <c r="N27" s="9"/>
      <c r="O27" s="9"/>
      <c r="P27" s="56"/>
      <c r="Q27" s="57"/>
      <c r="R27" s="143"/>
      <c r="S27" s="142"/>
    </row>
    <row r="28" spans="1:19" s="11" customFormat="1" x14ac:dyDescent="0.2">
      <c r="A28" s="9">
        <v>10</v>
      </c>
      <c r="B28" s="9"/>
      <c r="C28" s="9"/>
      <c r="D28" s="9" t="s">
        <v>193</v>
      </c>
      <c r="E28" s="49" t="s">
        <v>52</v>
      </c>
      <c r="F28" s="49"/>
      <c r="G28" s="50" t="s">
        <v>451</v>
      </c>
      <c r="H28" s="50" t="s">
        <v>314</v>
      </c>
      <c r="I28" s="9" t="s">
        <v>272</v>
      </c>
      <c r="J28" s="9"/>
      <c r="K28" s="9"/>
      <c r="L28" s="9"/>
      <c r="M28" s="9"/>
      <c r="N28" s="9"/>
      <c r="O28" s="9"/>
      <c r="P28" s="55"/>
      <c r="Q28" s="51"/>
      <c r="R28" s="141"/>
      <c r="S28" s="142"/>
    </row>
    <row r="29" spans="1:19" s="11" customFormat="1" x14ac:dyDescent="0.2">
      <c r="A29" s="9">
        <v>10</v>
      </c>
      <c r="B29" s="9"/>
      <c r="C29" s="9"/>
      <c r="D29" s="9" t="s">
        <v>194</v>
      </c>
      <c r="E29" s="49" t="s">
        <v>52</v>
      </c>
      <c r="F29" s="49"/>
      <c r="G29" s="50" t="s">
        <v>452</v>
      </c>
      <c r="H29" s="50" t="s">
        <v>315</v>
      </c>
      <c r="I29" s="9" t="s">
        <v>272</v>
      </c>
      <c r="J29" s="9"/>
      <c r="K29" s="9"/>
      <c r="L29" s="9"/>
      <c r="M29" s="9"/>
      <c r="N29" s="9"/>
      <c r="O29" s="9"/>
      <c r="P29" s="56"/>
      <c r="Q29" s="57"/>
      <c r="R29" s="143"/>
      <c r="S29" s="142"/>
    </row>
    <row r="30" spans="1:19" s="11" customFormat="1" x14ac:dyDescent="0.2">
      <c r="A30" s="9">
        <v>10</v>
      </c>
      <c r="B30" s="9"/>
      <c r="C30" s="9"/>
      <c r="D30" s="9" t="s">
        <v>195</v>
      </c>
      <c r="E30" s="49" t="s">
        <v>52</v>
      </c>
      <c r="F30" s="49"/>
      <c r="G30" s="50" t="s">
        <v>453</v>
      </c>
      <c r="H30" s="50" t="s">
        <v>316</v>
      </c>
      <c r="I30" s="9" t="s">
        <v>272</v>
      </c>
      <c r="J30" s="9"/>
      <c r="K30" s="9"/>
      <c r="L30" s="9"/>
      <c r="M30" s="9"/>
      <c r="N30" s="9"/>
      <c r="O30" s="9"/>
      <c r="P30" s="55"/>
      <c r="Q30" s="51"/>
      <c r="R30" s="141"/>
      <c r="S30" s="142"/>
    </row>
    <row r="31" spans="1:19" s="11" customFormat="1" x14ac:dyDescent="0.2">
      <c r="A31" s="9">
        <v>10</v>
      </c>
      <c r="B31" s="9"/>
      <c r="C31" s="9"/>
      <c r="D31" s="9" t="s">
        <v>196</v>
      </c>
      <c r="E31" s="49" t="s">
        <v>52</v>
      </c>
      <c r="F31" s="49"/>
      <c r="G31" s="50" t="s">
        <v>454</v>
      </c>
      <c r="H31" s="50" t="s">
        <v>317</v>
      </c>
      <c r="I31" s="9" t="s">
        <v>272</v>
      </c>
      <c r="J31" s="9"/>
      <c r="K31" s="9"/>
      <c r="L31" s="9"/>
      <c r="M31" s="9"/>
      <c r="N31" s="9"/>
      <c r="O31" s="9"/>
      <c r="P31" s="56"/>
      <c r="Q31" s="57"/>
      <c r="R31" s="143"/>
      <c r="S31" s="142"/>
    </row>
    <row r="32" spans="1:19" s="11" customFormat="1" x14ac:dyDescent="0.2">
      <c r="A32" s="9">
        <v>10</v>
      </c>
      <c r="B32" s="9"/>
      <c r="C32" s="9"/>
      <c r="D32" s="9" t="s">
        <v>181</v>
      </c>
      <c r="E32" s="49" t="s">
        <v>52</v>
      </c>
      <c r="F32" s="49"/>
      <c r="G32" s="50" t="s">
        <v>455</v>
      </c>
      <c r="H32" s="50" t="s">
        <v>318</v>
      </c>
      <c r="I32" s="9" t="s">
        <v>272</v>
      </c>
      <c r="J32" s="9"/>
      <c r="K32" s="9"/>
      <c r="L32" s="9"/>
      <c r="M32" s="9"/>
      <c r="N32" s="9"/>
      <c r="O32" s="9"/>
      <c r="P32" s="55"/>
      <c r="Q32" s="51"/>
      <c r="R32" s="141"/>
      <c r="S32" s="142"/>
    </row>
    <row r="33" spans="1:19" s="11" customFormat="1" x14ac:dyDescent="0.2">
      <c r="A33" s="9">
        <v>10</v>
      </c>
      <c r="B33" s="9"/>
      <c r="C33" s="9"/>
      <c r="D33" s="9" t="s">
        <v>182</v>
      </c>
      <c r="E33" s="49" t="s">
        <v>52</v>
      </c>
      <c r="F33" s="49"/>
      <c r="G33" s="50" t="s">
        <v>456</v>
      </c>
      <c r="H33" s="50" t="s">
        <v>319</v>
      </c>
      <c r="I33" s="9" t="s">
        <v>272</v>
      </c>
      <c r="J33" s="9"/>
      <c r="K33" s="9"/>
      <c r="L33" s="9"/>
      <c r="M33" s="9"/>
      <c r="N33" s="9"/>
      <c r="O33" s="9"/>
      <c r="P33" s="56"/>
      <c r="Q33" s="57"/>
      <c r="R33" s="143"/>
      <c r="S33" s="142"/>
    </row>
    <row r="34" spans="1:19" s="11" customFormat="1" x14ac:dyDescent="0.2">
      <c r="A34" s="9">
        <v>10</v>
      </c>
      <c r="B34" s="9"/>
      <c r="C34" s="9"/>
      <c r="D34" s="9" t="s">
        <v>183</v>
      </c>
      <c r="E34" s="49" t="s">
        <v>52</v>
      </c>
      <c r="F34" s="49"/>
      <c r="G34" s="50" t="s">
        <v>457</v>
      </c>
      <c r="H34" s="50" t="s">
        <v>320</v>
      </c>
      <c r="I34" s="9" t="s">
        <v>272</v>
      </c>
      <c r="J34" s="9"/>
      <c r="K34" s="9"/>
      <c r="L34" s="9"/>
      <c r="M34" s="9"/>
      <c r="N34" s="9"/>
      <c r="O34" s="9"/>
      <c r="P34" s="55"/>
      <c r="Q34" s="51"/>
      <c r="R34" s="141"/>
      <c r="S34" s="142"/>
    </row>
    <row r="35" spans="1:19" s="11" customFormat="1" x14ac:dyDescent="0.2">
      <c r="A35" s="9">
        <v>10</v>
      </c>
      <c r="B35" s="9"/>
      <c r="C35" s="9"/>
      <c r="D35" s="9" t="s">
        <v>184</v>
      </c>
      <c r="E35" s="49" t="s">
        <v>52</v>
      </c>
      <c r="F35" s="49"/>
      <c r="G35" s="50" t="s">
        <v>458</v>
      </c>
      <c r="H35" s="50" t="s">
        <v>321</v>
      </c>
      <c r="I35" s="9" t="s">
        <v>272</v>
      </c>
      <c r="J35" s="9"/>
      <c r="K35" s="9"/>
      <c r="L35" s="9"/>
      <c r="M35" s="9"/>
      <c r="N35" s="9"/>
      <c r="O35" s="9"/>
      <c r="P35" s="55"/>
      <c r="Q35" s="51"/>
      <c r="R35" s="141"/>
      <c r="S35" s="142"/>
    </row>
    <row r="36" spans="1:19" s="11" customFormat="1" x14ac:dyDescent="0.2">
      <c r="A36" s="9">
        <v>10</v>
      </c>
      <c r="B36" s="9"/>
      <c r="C36" s="9"/>
      <c r="D36" s="9" t="s">
        <v>185</v>
      </c>
      <c r="E36" s="49" t="s">
        <v>52</v>
      </c>
      <c r="F36" s="49"/>
      <c r="G36" s="50" t="s">
        <v>459</v>
      </c>
      <c r="H36" s="50" t="s">
        <v>322</v>
      </c>
      <c r="I36" s="9" t="s">
        <v>272</v>
      </c>
      <c r="J36" s="9"/>
      <c r="K36" s="9"/>
      <c r="L36" s="9"/>
      <c r="M36" s="9"/>
      <c r="N36" s="9"/>
      <c r="O36" s="9"/>
      <c r="P36" s="56"/>
      <c r="Q36" s="57"/>
      <c r="R36" s="143"/>
      <c r="S36" s="142"/>
    </row>
    <row r="37" spans="1:19" s="11" customFormat="1" x14ac:dyDescent="0.2">
      <c r="A37" s="9">
        <v>10</v>
      </c>
      <c r="B37" s="9"/>
      <c r="C37" s="9"/>
      <c r="D37" s="9" t="s">
        <v>186</v>
      </c>
      <c r="E37" s="49" t="s">
        <v>52</v>
      </c>
      <c r="F37" s="49"/>
      <c r="G37" s="50" t="s">
        <v>460</v>
      </c>
      <c r="H37" s="50" t="s">
        <v>323</v>
      </c>
      <c r="I37" s="9" t="s">
        <v>272</v>
      </c>
      <c r="J37" s="9"/>
      <c r="K37" s="9"/>
      <c r="L37" s="9"/>
      <c r="M37" s="9"/>
      <c r="N37" s="9"/>
      <c r="O37" s="9"/>
      <c r="P37" s="55"/>
      <c r="Q37" s="51"/>
      <c r="R37" s="141"/>
      <c r="S37" s="142"/>
    </row>
    <row r="38" spans="1:19" s="11" customFormat="1" x14ac:dyDescent="0.2">
      <c r="A38" s="9">
        <v>10</v>
      </c>
      <c r="B38" s="9"/>
      <c r="C38" s="9"/>
      <c r="D38" s="9" t="s">
        <v>187</v>
      </c>
      <c r="E38" s="49" t="s">
        <v>52</v>
      </c>
      <c r="F38" s="49"/>
      <c r="G38" s="50" t="s">
        <v>461</v>
      </c>
      <c r="H38" s="50" t="s">
        <v>324</v>
      </c>
      <c r="I38" s="9" t="s">
        <v>272</v>
      </c>
      <c r="J38" s="9"/>
      <c r="K38" s="9"/>
      <c r="L38" s="9"/>
      <c r="M38" s="9"/>
      <c r="N38" s="9"/>
      <c r="O38" s="9"/>
      <c r="P38" s="56"/>
      <c r="Q38" s="57"/>
      <c r="R38" s="143"/>
      <c r="S38" s="142"/>
    </row>
    <row r="39" spans="1:19" s="11" customFormat="1" x14ac:dyDescent="0.2">
      <c r="A39" s="9">
        <v>10</v>
      </c>
      <c r="B39" s="9"/>
      <c r="C39" s="9"/>
      <c r="D39" s="9" t="s">
        <v>188</v>
      </c>
      <c r="E39" s="49" t="s">
        <v>52</v>
      </c>
      <c r="F39" s="49"/>
      <c r="G39" s="50" t="s">
        <v>462</v>
      </c>
      <c r="H39" s="50" t="s">
        <v>325</v>
      </c>
      <c r="I39" s="9" t="s">
        <v>272</v>
      </c>
      <c r="J39" s="9"/>
      <c r="K39" s="9"/>
      <c r="L39" s="9"/>
      <c r="M39" s="9"/>
      <c r="N39" s="9"/>
      <c r="O39" s="9"/>
      <c r="P39" s="55"/>
      <c r="Q39" s="51"/>
      <c r="R39" s="141"/>
      <c r="S39" s="142"/>
    </row>
    <row r="40" spans="1:19" s="11" customFormat="1" x14ac:dyDescent="0.2">
      <c r="A40" s="9">
        <v>10</v>
      </c>
      <c r="B40" s="9"/>
      <c r="C40" s="9"/>
      <c r="D40" s="9" t="s">
        <v>189</v>
      </c>
      <c r="E40" s="49" t="s">
        <v>52</v>
      </c>
      <c r="F40" s="49"/>
      <c r="G40" s="50" t="s">
        <v>463</v>
      </c>
      <c r="H40" s="50" t="s">
        <v>326</v>
      </c>
      <c r="I40" s="9" t="s">
        <v>272</v>
      </c>
      <c r="J40" s="9"/>
      <c r="K40" s="9"/>
      <c r="L40" s="9"/>
      <c r="M40" s="9"/>
      <c r="N40" s="9"/>
      <c r="O40" s="9"/>
      <c r="P40" s="56"/>
      <c r="Q40" s="57"/>
      <c r="R40" s="143"/>
      <c r="S40" s="142"/>
    </row>
    <row r="41" spans="1:19" s="11" customFormat="1" x14ac:dyDescent="0.2">
      <c r="A41" s="9">
        <v>10</v>
      </c>
      <c r="B41" s="9"/>
      <c r="C41" s="9"/>
      <c r="D41" s="9" t="s">
        <v>190</v>
      </c>
      <c r="E41" s="49" t="s">
        <v>52</v>
      </c>
      <c r="F41" s="49"/>
      <c r="G41" s="50" t="s">
        <v>464</v>
      </c>
      <c r="H41" s="50" t="s">
        <v>327</v>
      </c>
      <c r="I41" s="9" t="s">
        <v>272</v>
      </c>
      <c r="J41" s="9"/>
      <c r="K41" s="9"/>
      <c r="L41" s="9"/>
      <c r="M41" s="9"/>
      <c r="N41" s="9"/>
      <c r="O41" s="9"/>
      <c r="P41" s="55"/>
      <c r="Q41" s="51"/>
      <c r="R41" s="141"/>
      <c r="S41" s="142"/>
    </row>
    <row r="42" spans="1:19" s="11" customFormat="1" x14ac:dyDescent="0.2">
      <c r="A42" s="9">
        <v>10</v>
      </c>
      <c r="B42" s="9"/>
      <c r="C42" s="9"/>
      <c r="D42" s="9" t="s">
        <v>191</v>
      </c>
      <c r="E42" s="49" t="s">
        <v>52</v>
      </c>
      <c r="F42" s="49"/>
      <c r="G42" s="50" t="s">
        <v>465</v>
      </c>
      <c r="H42" s="50" t="s">
        <v>328</v>
      </c>
      <c r="I42" s="9" t="s">
        <v>272</v>
      </c>
      <c r="J42" s="9"/>
      <c r="K42" s="9"/>
      <c r="L42" s="9"/>
      <c r="M42" s="9"/>
      <c r="N42" s="9"/>
      <c r="O42" s="9"/>
      <c r="P42" s="55"/>
      <c r="Q42" s="51"/>
      <c r="R42" s="141"/>
      <c r="S42" s="142"/>
    </row>
    <row r="43" spans="1:19" s="11" customFormat="1" x14ac:dyDescent="0.2">
      <c r="A43" s="9">
        <v>10</v>
      </c>
      <c r="B43" s="9"/>
      <c r="C43" s="9"/>
      <c r="D43" s="9" t="s">
        <v>192</v>
      </c>
      <c r="E43" s="49" t="s">
        <v>52</v>
      </c>
      <c r="F43" s="49"/>
      <c r="G43" s="50" t="s">
        <v>466</v>
      </c>
      <c r="H43" s="50" t="s">
        <v>329</v>
      </c>
      <c r="I43" s="9" t="s">
        <v>272</v>
      </c>
      <c r="J43" s="9"/>
      <c r="K43" s="9"/>
      <c r="L43" s="9"/>
      <c r="M43" s="9"/>
      <c r="N43" s="9"/>
      <c r="O43" s="9"/>
      <c r="P43" s="56"/>
      <c r="Q43" s="57"/>
      <c r="R43" s="143"/>
      <c r="S43" s="142"/>
    </row>
    <row r="44" spans="1:19" s="11" customFormat="1" x14ac:dyDescent="0.2">
      <c r="A44" s="9">
        <v>10</v>
      </c>
      <c r="B44" s="9"/>
      <c r="C44" s="9"/>
      <c r="D44" s="9" t="s">
        <v>116</v>
      </c>
      <c r="E44" s="49" t="s">
        <v>117</v>
      </c>
      <c r="F44" s="49"/>
      <c r="G44" s="50" t="s">
        <v>467</v>
      </c>
      <c r="H44" s="50" t="s">
        <v>330</v>
      </c>
      <c r="I44" s="9" t="s">
        <v>272</v>
      </c>
      <c r="J44" s="9"/>
      <c r="K44" s="9"/>
      <c r="L44" s="9"/>
      <c r="M44" s="9"/>
      <c r="N44" s="9"/>
      <c r="O44" s="9"/>
      <c r="P44" s="56"/>
      <c r="Q44" s="57"/>
      <c r="R44" s="143"/>
      <c r="S44" s="142"/>
    </row>
    <row r="45" spans="1:19" s="11" customFormat="1" x14ac:dyDescent="0.2">
      <c r="A45" s="9">
        <v>10</v>
      </c>
      <c r="B45" s="9"/>
      <c r="C45" s="9"/>
      <c r="D45" s="9" t="s">
        <v>118</v>
      </c>
      <c r="E45" s="49" t="s">
        <v>119</v>
      </c>
      <c r="F45" s="49"/>
      <c r="G45" s="50" t="s">
        <v>468</v>
      </c>
      <c r="H45" s="50" t="s">
        <v>331</v>
      </c>
      <c r="I45" s="9" t="s">
        <v>272</v>
      </c>
      <c r="J45" s="9"/>
      <c r="K45" s="9"/>
      <c r="L45" s="9"/>
      <c r="M45" s="9"/>
      <c r="N45" s="9"/>
      <c r="O45" s="9"/>
      <c r="P45" s="56"/>
      <c r="Q45" s="57"/>
      <c r="R45" s="143"/>
      <c r="S45" s="142"/>
    </row>
    <row r="46" spans="1:19" s="11" customFormat="1" x14ac:dyDescent="0.2">
      <c r="A46" s="9">
        <v>10</v>
      </c>
      <c r="B46" s="9"/>
      <c r="C46" s="9"/>
      <c r="D46" s="9" t="s">
        <v>120</v>
      </c>
      <c r="E46" s="49" t="s">
        <v>117</v>
      </c>
      <c r="F46" s="49"/>
      <c r="G46" s="50" t="s">
        <v>469</v>
      </c>
      <c r="H46" s="50" t="s">
        <v>332</v>
      </c>
      <c r="I46" s="9" t="s">
        <v>272</v>
      </c>
      <c r="J46" s="9"/>
      <c r="K46" s="9"/>
      <c r="L46" s="9"/>
      <c r="M46" s="9"/>
      <c r="N46" s="9"/>
      <c r="O46" s="9"/>
      <c r="P46" s="56"/>
      <c r="Q46" s="57"/>
      <c r="R46" s="143"/>
      <c r="S46" s="142"/>
    </row>
    <row r="47" spans="1:19" s="11" customFormat="1" x14ac:dyDescent="0.2">
      <c r="A47" s="9">
        <v>10</v>
      </c>
      <c r="B47" s="9"/>
      <c r="C47" s="9"/>
      <c r="D47" s="9" t="s">
        <v>121</v>
      </c>
      <c r="E47" s="49" t="s">
        <v>119</v>
      </c>
      <c r="F47" s="49"/>
      <c r="G47" s="50" t="s">
        <v>470</v>
      </c>
      <c r="H47" s="50" t="s">
        <v>333</v>
      </c>
      <c r="I47" s="9" t="s">
        <v>272</v>
      </c>
      <c r="J47" s="9"/>
      <c r="K47" s="9"/>
      <c r="L47" s="9"/>
      <c r="M47" s="9"/>
      <c r="N47" s="9"/>
      <c r="O47" s="9"/>
      <c r="P47" s="56"/>
      <c r="Q47" s="57"/>
      <c r="R47" s="143"/>
      <c r="S47" s="142"/>
    </row>
    <row r="48" spans="1:19" s="11" customFormat="1" x14ac:dyDescent="0.2">
      <c r="A48" s="9">
        <v>10</v>
      </c>
      <c r="B48" s="9"/>
      <c r="C48" s="9"/>
      <c r="D48" s="9" t="s">
        <v>122</v>
      </c>
      <c r="E48" s="49" t="s">
        <v>117</v>
      </c>
      <c r="F48" s="49"/>
      <c r="G48" s="50" t="s">
        <v>471</v>
      </c>
      <c r="H48" s="50" t="s">
        <v>334</v>
      </c>
      <c r="I48" s="9" t="s">
        <v>272</v>
      </c>
      <c r="J48" s="9"/>
      <c r="K48" s="9"/>
      <c r="L48" s="9"/>
      <c r="M48" s="9"/>
      <c r="N48" s="9"/>
      <c r="O48" s="9"/>
      <c r="P48" s="56"/>
      <c r="Q48" s="57"/>
      <c r="R48" s="143"/>
      <c r="S48" s="142"/>
    </row>
    <row r="49" spans="1:19" s="11" customFormat="1" x14ac:dyDescent="0.2">
      <c r="A49" s="9">
        <v>10</v>
      </c>
      <c r="B49" s="9"/>
      <c r="C49" s="9"/>
      <c r="D49" s="9" t="s">
        <v>123</v>
      </c>
      <c r="E49" s="49" t="s">
        <v>119</v>
      </c>
      <c r="F49" s="49"/>
      <c r="G49" s="50" t="s">
        <v>472</v>
      </c>
      <c r="H49" s="50" t="s">
        <v>335</v>
      </c>
      <c r="I49" s="9" t="s">
        <v>272</v>
      </c>
      <c r="J49" s="9"/>
      <c r="K49" s="9"/>
      <c r="L49" s="9"/>
      <c r="M49" s="9"/>
      <c r="N49" s="9"/>
      <c r="O49" s="9"/>
      <c r="P49" s="56"/>
      <c r="Q49" s="57"/>
      <c r="R49" s="143"/>
      <c r="S49" s="142"/>
    </row>
    <row r="50" spans="1:19" s="11" customFormat="1" x14ac:dyDescent="0.2">
      <c r="A50" s="9">
        <v>10</v>
      </c>
      <c r="B50" s="9"/>
      <c r="C50" s="9"/>
      <c r="D50" s="9" t="s">
        <v>124</v>
      </c>
      <c r="E50" s="49" t="s">
        <v>117</v>
      </c>
      <c r="F50" s="49"/>
      <c r="G50" s="50" t="s">
        <v>473</v>
      </c>
      <c r="H50" s="50" t="s">
        <v>336</v>
      </c>
      <c r="I50" s="9" t="s">
        <v>272</v>
      </c>
      <c r="J50" s="9"/>
      <c r="K50" s="9"/>
      <c r="L50" s="9"/>
      <c r="M50" s="9"/>
      <c r="N50" s="9"/>
      <c r="O50" s="9"/>
      <c r="P50" s="56"/>
      <c r="Q50" s="57"/>
      <c r="R50" s="143"/>
      <c r="S50" s="142"/>
    </row>
    <row r="51" spans="1:19" s="11" customFormat="1" x14ac:dyDescent="0.2">
      <c r="A51" s="9">
        <v>10</v>
      </c>
      <c r="B51" s="9"/>
      <c r="C51" s="9"/>
      <c r="D51" s="9" t="s">
        <v>125</v>
      </c>
      <c r="E51" s="49" t="s">
        <v>119</v>
      </c>
      <c r="F51" s="49"/>
      <c r="G51" s="50" t="s">
        <v>474</v>
      </c>
      <c r="H51" s="50" t="s">
        <v>337</v>
      </c>
      <c r="I51" s="9" t="s">
        <v>272</v>
      </c>
      <c r="J51" s="9"/>
      <c r="K51" s="9"/>
      <c r="L51" s="9"/>
      <c r="M51" s="9"/>
      <c r="N51" s="9"/>
      <c r="O51" s="9"/>
      <c r="P51" s="56"/>
      <c r="Q51" s="57"/>
      <c r="R51" s="143"/>
      <c r="S51" s="142"/>
    </row>
    <row r="52" spans="1:19" s="11" customFormat="1" x14ac:dyDescent="0.2">
      <c r="A52" s="9">
        <v>10</v>
      </c>
      <c r="B52" s="9"/>
      <c r="C52" s="9"/>
      <c r="D52" s="9" t="s">
        <v>126</v>
      </c>
      <c r="E52" s="49" t="s">
        <v>117</v>
      </c>
      <c r="F52" s="49"/>
      <c r="G52" s="50" t="s">
        <v>475</v>
      </c>
      <c r="H52" s="50" t="s">
        <v>338</v>
      </c>
      <c r="I52" s="9" t="s">
        <v>272</v>
      </c>
      <c r="J52" s="9"/>
      <c r="K52" s="9"/>
      <c r="L52" s="9"/>
      <c r="M52" s="9"/>
      <c r="N52" s="9"/>
      <c r="O52" s="9"/>
      <c r="P52" s="56"/>
      <c r="Q52" s="57"/>
      <c r="R52" s="143"/>
      <c r="S52" s="142"/>
    </row>
    <row r="53" spans="1:19" s="11" customFormat="1" x14ac:dyDescent="0.2">
      <c r="A53" s="9">
        <v>10</v>
      </c>
      <c r="B53" s="9"/>
      <c r="C53" s="9"/>
      <c r="D53" s="9" t="s">
        <v>127</v>
      </c>
      <c r="E53" s="49" t="s">
        <v>119</v>
      </c>
      <c r="F53" s="49"/>
      <c r="G53" s="50" t="s">
        <v>476</v>
      </c>
      <c r="H53" s="50" t="s">
        <v>339</v>
      </c>
      <c r="I53" s="9" t="s">
        <v>272</v>
      </c>
      <c r="J53" s="9"/>
      <c r="K53" s="9"/>
      <c r="L53" s="9"/>
      <c r="M53" s="9"/>
      <c r="N53" s="9"/>
      <c r="O53" s="9"/>
      <c r="P53" s="56"/>
      <c r="Q53" s="57"/>
      <c r="R53" s="143"/>
      <c r="S53" s="142"/>
    </row>
    <row r="54" spans="1:19" s="11" customFormat="1" x14ac:dyDescent="0.2">
      <c r="A54" s="9">
        <v>10</v>
      </c>
      <c r="B54" s="9"/>
      <c r="C54" s="9"/>
      <c r="D54" s="9" t="s">
        <v>128</v>
      </c>
      <c r="E54" s="49" t="s">
        <v>117</v>
      </c>
      <c r="F54" s="49"/>
      <c r="G54" s="50" t="s">
        <v>477</v>
      </c>
      <c r="H54" s="50" t="s">
        <v>340</v>
      </c>
      <c r="I54" s="9" t="s">
        <v>272</v>
      </c>
      <c r="J54" s="9"/>
      <c r="K54" s="9"/>
      <c r="L54" s="9"/>
      <c r="M54" s="9"/>
      <c r="N54" s="9"/>
      <c r="O54" s="9"/>
      <c r="P54" s="56"/>
      <c r="Q54" s="57"/>
      <c r="R54" s="143"/>
      <c r="S54" s="142"/>
    </row>
    <row r="55" spans="1:19" s="11" customFormat="1" x14ac:dyDescent="0.2">
      <c r="A55" s="9">
        <v>10</v>
      </c>
      <c r="B55" s="9"/>
      <c r="C55" s="9"/>
      <c r="D55" s="9" t="s">
        <v>129</v>
      </c>
      <c r="E55" s="49" t="s">
        <v>119</v>
      </c>
      <c r="F55" s="49"/>
      <c r="G55" s="50" t="s">
        <v>478</v>
      </c>
      <c r="H55" s="50" t="s">
        <v>341</v>
      </c>
      <c r="I55" s="9" t="s">
        <v>272</v>
      </c>
      <c r="J55" s="9"/>
      <c r="K55" s="9"/>
      <c r="L55" s="9"/>
      <c r="M55" s="9"/>
      <c r="N55" s="9"/>
      <c r="O55" s="9"/>
      <c r="P55" s="56"/>
      <c r="Q55" s="57"/>
      <c r="R55" s="143"/>
      <c r="S55" s="142"/>
    </row>
    <row r="56" spans="1:19" s="11" customFormat="1" x14ac:dyDescent="0.2">
      <c r="A56" s="9">
        <v>10</v>
      </c>
      <c r="B56" s="9"/>
      <c r="C56" s="9"/>
      <c r="D56" s="9" t="s">
        <v>130</v>
      </c>
      <c r="E56" s="49" t="s">
        <v>117</v>
      </c>
      <c r="F56" s="49"/>
      <c r="G56" s="50" t="s">
        <v>479</v>
      </c>
      <c r="H56" s="50" t="s">
        <v>342</v>
      </c>
      <c r="I56" s="9" t="s">
        <v>272</v>
      </c>
      <c r="J56" s="9"/>
      <c r="K56" s="9"/>
      <c r="L56" s="9"/>
      <c r="M56" s="9"/>
      <c r="N56" s="9"/>
      <c r="O56" s="9"/>
      <c r="P56" s="56"/>
      <c r="Q56" s="57"/>
      <c r="R56" s="143"/>
      <c r="S56" s="142"/>
    </row>
    <row r="57" spans="1:19" s="11" customFormat="1" x14ac:dyDescent="0.2">
      <c r="A57" s="9">
        <v>10</v>
      </c>
      <c r="B57" s="9"/>
      <c r="C57" s="9"/>
      <c r="D57" s="9" t="s">
        <v>131</v>
      </c>
      <c r="E57" s="49" t="s">
        <v>119</v>
      </c>
      <c r="F57" s="49"/>
      <c r="G57" s="50" t="s">
        <v>480</v>
      </c>
      <c r="H57" s="50" t="s">
        <v>343</v>
      </c>
      <c r="I57" s="9" t="s">
        <v>272</v>
      </c>
      <c r="J57" s="9"/>
      <c r="K57" s="9"/>
      <c r="L57" s="9"/>
      <c r="M57" s="9"/>
      <c r="N57" s="9"/>
      <c r="O57" s="9"/>
      <c r="P57" s="56"/>
      <c r="Q57" s="57"/>
      <c r="R57" s="143"/>
      <c r="S57" s="142"/>
    </row>
    <row r="58" spans="1:19" s="11" customFormat="1" x14ac:dyDescent="0.2">
      <c r="A58" s="9">
        <v>10</v>
      </c>
      <c r="B58" s="9"/>
      <c r="C58" s="9"/>
      <c r="D58" s="9" t="s">
        <v>132</v>
      </c>
      <c r="E58" s="49" t="s">
        <v>117</v>
      </c>
      <c r="F58" s="49"/>
      <c r="G58" s="50" t="s">
        <v>481</v>
      </c>
      <c r="H58" s="50" t="s">
        <v>344</v>
      </c>
      <c r="I58" s="9" t="s">
        <v>272</v>
      </c>
      <c r="J58" s="9"/>
      <c r="K58" s="9"/>
      <c r="L58" s="9"/>
      <c r="M58" s="9"/>
      <c r="N58" s="9"/>
      <c r="O58" s="9"/>
      <c r="P58" s="56"/>
      <c r="Q58" s="57"/>
      <c r="R58" s="143"/>
      <c r="S58" s="142"/>
    </row>
    <row r="59" spans="1:19" s="11" customFormat="1" x14ac:dyDescent="0.2">
      <c r="A59" s="9">
        <v>10</v>
      </c>
      <c r="B59" s="9"/>
      <c r="C59" s="9"/>
      <c r="D59" s="9" t="s">
        <v>133</v>
      </c>
      <c r="E59" s="49" t="s">
        <v>119</v>
      </c>
      <c r="F59" s="49"/>
      <c r="G59" s="50" t="s">
        <v>482</v>
      </c>
      <c r="H59" s="50" t="s">
        <v>345</v>
      </c>
      <c r="I59" s="9" t="s">
        <v>272</v>
      </c>
      <c r="J59" s="9"/>
      <c r="K59" s="9"/>
      <c r="L59" s="9"/>
      <c r="M59" s="9"/>
      <c r="N59" s="9"/>
      <c r="O59" s="9"/>
      <c r="P59" s="56"/>
      <c r="Q59" s="57"/>
      <c r="R59" s="143"/>
      <c r="S59" s="142"/>
    </row>
    <row r="60" spans="1:19" s="11" customFormat="1" x14ac:dyDescent="0.2">
      <c r="A60" s="9">
        <v>10</v>
      </c>
      <c r="B60" s="9"/>
      <c r="C60" s="9"/>
      <c r="D60" s="9" t="s">
        <v>134</v>
      </c>
      <c r="E60" s="49" t="s">
        <v>117</v>
      </c>
      <c r="F60" s="49"/>
      <c r="G60" s="50" t="s">
        <v>483</v>
      </c>
      <c r="H60" s="50" t="s">
        <v>346</v>
      </c>
      <c r="I60" s="9" t="s">
        <v>272</v>
      </c>
      <c r="J60" s="9"/>
      <c r="K60" s="9"/>
      <c r="L60" s="9"/>
      <c r="M60" s="9"/>
      <c r="N60" s="9"/>
      <c r="O60" s="9"/>
      <c r="P60" s="56"/>
      <c r="Q60" s="57"/>
      <c r="R60" s="143"/>
      <c r="S60" s="142"/>
    </row>
    <row r="61" spans="1:19" s="11" customFormat="1" x14ac:dyDescent="0.2">
      <c r="A61" s="9">
        <v>10</v>
      </c>
      <c r="B61" s="9"/>
      <c r="C61" s="9"/>
      <c r="D61" s="9" t="s">
        <v>135</v>
      </c>
      <c r="E61" s="49" t="s">
        <v>119</v>
      </c>
      <c r="F61" s="49"/>
      <c r="G61" s="50" t="s">
        <v>484</v>
      </c>
      <c r="H61" s="50" t="s">
        <v>347</v>
      </c>
      <c r="I61" s="9" t="s">
        <v>272</v>
      </c>
      <c r="J61" s="9"/>
      <c r="K61" s="9"/>
      <c r="L61" s="9"/>
      <c r="M61" s="9"/>
      <c r="N61" s="9"/>
      <c r="O61" s="9"/>
      <c r="P61" s="56"/>
      <c r="Q61" s="57"/>
      <c r="R61" s="143"/>
      <c r="S61" s="142"/>
    </row>
    <row r="62" spans="1:19" s="11" customFormat="1" x14ac:dyDescent="0.2">
      <c r="A62" s="9">
        <v>10</v>
      </c>
      <c r="B62" s="9"/>
      <c r="C62" s="9"/>
      <c r="D62" s="9" t="s">
        <v>136</v>
      </c>
      <c r="E62" s="49" t="s">
        <v>117</v>
      </c>
      <c r="F62" s="49"/>
      <c r="G62" s="50" t="s">
        <v>485</v>
      </c>
      <c r="H62" s="50" t="s">
        <v>348</v>
      </c>
      <c r="I62" s="9" t="s">
        <v>272</v>
      </c>
      <c r="J62" s="9"/>
      <c r="K62" s="9"/>
      <c r="L62" s="9"/>
      <c r="M62" s="9"/>
      <c r="N62" s="9"/>
      <c r="O62" s="9"/>
      <c r="P62" s="56"/>
      <c r="Q62" s="57"/>
      <c r="R62" s="143"/>
      <c r="S62" s="142"/>
    </row>
    <row r="63" spans="1:19" s="11" customFormat="1" x14ac:dyDescent="0.2">
      <c r="A63" s="9">
        <v>10</v>
      </c>
      <c r="B63" s="9"/>
      <c r="C63" s="9"/>
      <c r="D63" s="9" t="s">
        <v>137</v>
      </c>
      <c r="E63" s="49" t="s">
        <v>119</v>
      </c>
      <c r="F63" s="49"/>
      <c r="G63" s="50" t="s">
        <v>486</v>
      </c>
      <c r="H63" s="50" t="s">
        <v>349</v>
      </c>
      <c r="I63" s="9" t="s">
        <v>272</v>
      </c>
      <c r="J63" s="9"/>
      <c r="K63" s="9"/>
      <c r="L63" s="9"/>
      <c r="M63" s="9"/>
      <c r="N63" s="9"/>
      <c r="O63" s="9"/>
      <c r="P63" s="56"/>
      <c r="Q63" s="57"/>
      <c r="R63" s="143"/>
      <c r="S63" s="142"/>
    </row>
    <row r="64" spans="1:19" s="11" customFormat="1" x14ac:dyDescent="0.2">
      <c r="A64" s="77"/>
      <c r="S64" s="54"/>
    </row>
    <row r="65" spans="1:19" s="11" customFormat="1" x14ac:dyDescent="0.2">
      <c r="A65" s="9">
        <v>20</v>
      </c>
      <c r="B65" s="37" t="s">
        <v>0</v>
      </c>
      <c r="C65" s="38"/>
      <c r="D65" s="28" t="s">
        <v>388</v>
      </c>
      <c r="E65" s="34" t="s">
        <v>30</v>
      </c>
      <c r="F65" s="58"/>
      <c r="G65" s="28"/>
      <c r="H65" s="45"/>
      <c r="I65" s="59"/>
      <c r="J65" s="60"/>
      <c r="K65" s="60"/>
      <c r="L65" s="48"/>
      <c r="M65" s="48" t="s">
        <v>21</v>
      </c>
      <c r="N65" s="48"/>
      <c r="O65" s="48"/>
      <c r="P65" s="35"/>
      <c r="Q65" s="36"/>
      <c r="R65" s="70"/>
      <c r="S65" s="72"/>
    </row>
    <row r="66" spans="1:19" s="11" customFormat="1" x14ac:dyDescent="0.2">
      <c r="A66" s="9">
        <v>20</v>
      </c>
      <c r="B66" s="9"/>
      <c r="C66" s="9"/>
      <c r="D66" s="9" t="s">
        <v>163</v>
      </c>
      <c r="E66" s="49" t="s">
        <v>53</v>
      </c>
      <c r="F66" s="49"/>
      <c r="G66" s="50" t="s">
        <v>433</v>
      </c>
      <c r="H66" s="50" t="s">
        <v>350</v>
      </c>
      <c r="I66" s="9"/>
      <c r="J66" s="9" t="s">
        <v>272</v>
      </c>
      <c r="K66" s="9"/>
      <c r="L66" s="9"/>
      <c r="M66" s="9" t="s">
        <v>272</v>
      </c>
      <c r="N66" s="9"/>
      <c r="O66" s="9"/>
      <c r="P66" s="55"/>
      <c r="Q66" s="51"/>
      <c r="R66" s="141"/>
      <c r="S66" s="142"/>
    </row>
    <row r="67" spans="1:19" s="11" customFormat="1" x14ac:dyDescent="0.2">
      <c r="A67" s="9">
        <v>20</v>
      </c>
      <c r="B67" s="9"/>
      <c r="C67" s="9"/>
      <c r="D67" s="9" t="s">
        <v>88</v>
      </c>
      <c r="E67" s="49" t="s">
        <v>106</v>
      </c>
      <c r="F67" s="49"/>
      <c r="G67" s="50" t="s">
        <v>422</v>
      </c>
      <c r="H67" s="50" t="s">
        <v>271</v>
      </c>
      <c r="I67" s="9"/>
      <c r="J67" s="9" t="s">
        <v>272</v>
      </c>
      <c r="K67" s="9"/>
      <c r="L67" s="9"/>
      <c r="M67" s="9" t="s">
        <v>272</v>
      </c>
      <c r="N67" s="9"/>
      <c r="O67" s="9"/>
      <c r="P67" s="55"/>
      <c r="Q67" s="51"/>
      <c r="R67" s="141"/>
      <c r="S67" s="142"/>
    </row>
    <row r="68" spans="1:19" s="11" customFormat="1" x14ac:dyDescent="0.2">
      <c r="A68" s="9">
        <v>20</v>
      </c>
      <c r="B68" s="9"/>
      <c r="C68" s="9"/>
      <c r="D68" s="9" t="s">
        <v>90</v>
      </c>
      <c r="E68" s="49" t="s">
        <v>108</v>
      </c>
      <c r="F68" s="49"/>
      <c r="G68" s="50" t="s">
        <v>423</v>
      </c>
      <c r="H68" s="50" t="s">
        <v>307</v>
      </c>
      <c r="I68" s="9"/>
      <c r="J68" s="9" t="s">
        <v>272</v>
      </c>
      <c r="K68" s="9"/>
      <c r="L68" s="9"/>
      <c r="M68" s="9" t="s">
        <v>272</v>
      </c>
      <c r="N68" s="9"/>
      <c r="O68" s="9"/>
      <c r="P68" s="55"/>
      <c r="Q68" s="51"/>
      <c r="R68" s="141"/>
      <c r="S68" s="142"/>
    </row>
    <row r="69" spans="1:19" s="11" customFormat="1" x14ac:dyDescent="0.2">
      <c r="A69" s="9">
        <v>20</v>
      </c>
      <c r="B69" s="9"/>
      <c r="C69" s="9"/>
      <c r="D69" s="9" t="s">
        <v>92</v>
      </c>
      <c r="E69" s="49" t="s">
        <v>110</v>
      </c>
      <c r="F69" s="49"/>
      <c r="G69" s="50" t="s">
        <v>424</v>
      </c>
      <c r="H69" s="50" t="s">
        <v>275</v>
      </c>
      <c r="I69" s="9"/>
      <c r="J69" s="9" t="s">
        <v>272</v>
      </c>
      <c r="K69" s="9"/>
      <c r="L69" s="9"/>
      <c r="M69" s="9" t="s">
        <v>272</v>
      </c>
      <c r="N69" s="9"/>
      <c r="O69" s="9"/>
      <c r="P69" s="55"/>
      <c r="Q69" s="51"/>
      <c r="R69" s="141"/>
      <c r="S69" s="142"/>
    </row>
    <row r="70" spans="1:19" s="11" customFormat="1" x14ac:dyDescent="0.2">
      <c r="A70" s="9">
        <v>20</v>
      </c>
      <c r="B70" s="9"/>
      <c r="C70" s="9"/>
      <c r="D70" s="9" t="s">
        <v>94</v>
      </c>
      <c r="E70" s="49" t="s">
        <v>112</v>
      </c>
      <c r="F70" s="49"/>
      <c r="G70" s="50" t="s">
        <v>425</v>
      </c>
      <c r="H70" s="50" t="s">
        <v>276</v>
      </c>
      <c r="I70" s="9"/>
      <c r="J70" s="9" t="s">
        <v>272</v>
      </c>
      <c r="K70" s="9"/>
      <c r="L70" s="9"/>
      <c r="M70" s="9" t="s">
        <v>272</v>
      </c>
      <c r="N70" s="9"/>
      <c r="O70" s="9"/>
      <c r="P70" s="55"/>
      <c r="Q70" s="51"/>
      <c r="R70" s="141"/>
      <c r="S70" s="142"/>
    </row>
    <row r="71" spans="1:19" s="11" customFormat="1" x14ac:dyDescent="0.2">
      <c r="A71" s="9">
        <v>20</v>
      </c>
      <c r="B71" s="9"/>
      <c r="C71" s="9"/>
      <c r="D71" s="9" t="s">
        <v>96</v>
      </c>
      <c r="E71" s="49" t="s">
        <v>114</v>
      </c>
      <c r="F71" s="49"/>
      <c r="G71" s="50" t="s">
        <v>445</v>
      </c>
      <c r="H71" s="50" t="s">
        <v>308</v>
      </c>
      <c r="I71" s="9"/>
      <c r="J71" s="9" t="s">
        <v>272</v>
      </c>
      <c r="K71" s="9"/>
      <c r="L71" s="9"/>
      <c r="M71" s="9" t="s">
        <v>272</v>
      </c>
      <c r="N71" s="9"/>
      <c r="O71" s="9"/>
      <c r="P71" s="55"/>
      <c r="Q71" s="51"/>
      <c r="R71" s="141"/>
      <c r="S71" s="142"/>
    </row>
    <row r="72" spans="1:19" s="11" customFormat="1" x14ac:dyDescent="0.2">
      <c r="A72" s="9">
        <v>20</v>
      </c>
      <c r="B72" s="9"/>
      <c r="C72" s="9"/>
      <c r="D72" s="9" t="s">
        <v>98</v>
      </c>
      <c r="E72" s="49" t="s">
        <v>102</v>
      </c>
      <c r="F72" s="49"/>
      <c r="G72" s="50" t="s">
        <v>442</v>
      </c>
      <c r="H72" s="50" t="s">
        <v>304</v>
      </c>
      <c r="I72" s="9"/>
      <c r="J72" s="9" t="s">
        <v>272</v>
      </c>
      <c r="K72" s="9" t="s">
        <v>351</v>
      </c>
      <c r="L72" s="9"/>
      <c r="M72" s="9" t="s">
        <v>272</v>
      </c>
      <c r="N72" s="9"/>
      <c r="O72" s="9"/>
      <c r="P72" s="55"/>
      <c r="Q72" s="51"/>
      <c r="R72" s="70"/>
      <c r="S72" s="71"/>
    </row>
    <row r="73" spans="1:19" s="11" customFormat="1" x14ac:dyDescent="0.2">
      <c r="A73" s="9">
        <v>20</v>
      </c>
      <c r="B73" s="9"/>
      <c r="C73" s="9"/>
      <c r="D73" s="9" t="s">
        <v>99</v>
      </c>
      <c r="E73" s="49" t="s">
        <v>103</v>
      </c>
      <c r="F73" s="49"/>
      <c r="G73" s="50" t="s">
        <v>487</v>
      </c>
      <c r="H73" s="50" t="s">
        <v>352</v>
      </c>
      <c r="I73" s="9"/>
      <c r="J73" s="9" t="s">
        <v>272</v>
      </c>
      <c r="K73" s="9"/>
      <c r="L73" s="9"/>
      <c r="M73" s="9"/>
      <c r="N73" s="9"/>
      <c r="O73" s="9"/>
      <c r="P73" s="55"/>
      <c r="Q73" s="51"/>
      <c r="R73" s="70"/>
      <c r="S73" s="71"/>
    </row>
    <row r="74" spans="1:19" s="11" customFormat="1" x14ac:dyDescent="0.2">
      <c r="A74" s="9">
        <v>20</v>
      </c>
      <c r="B74" s="9"/>
      <c r="C74" s="9"/>
      <c r="D74" s="9" t="s">
        <v>100</v>
      </c>
      <c r="E74" s="49" t="s">
        <v>104</v>
      </c>
      <c r="F74" s="49"/>
      <c r="G74" s="50" t="s">
        <v>443</v>
      </c>
      <c r="H74" s="50" t="s">
        <v>305</v>
      </c>
      <c r="I74" s="9"/>
      <c r="J74" s="9" t="s">
        <v>272</v>
      </c>
      <c r="K74" s="9"/>
      <c r="L74" s="9"/>
      <c r="M74" s="9" t="s">
        <v>272</v>
      </c>
      <c r="N74" s="9"/>
      <c r="O74" s="9"/>
      <c r="P74" s="55"/>
      <c r="Q74" s="51"/>
      <c r="R74" s="70"/>
      <c r="S74" s="71"/>
    </row>
    <row r="75" spans="1:19" s="11" customFormat="1" x14ac:dyDescent="0.2">
      <c r="A75" s="9">
        <v>20</v>
      </c>
      <c r="B75" s="9"/>
      <c r="C75" s="9"/>
      <c r="D75" s="9" t="s">
        <v>101</v>
      </c>
      <c r="E75" s="49" t="s">
        <v>105</v>
      </c>
      <c r="F75" s="49"/>
      <c r="G75" s="50" t="s">
        <v>444</v>
      </c>
      <c r="H75" s="50" t="s">
        <v>306</v>
      </c>
      <c r="I75" s="9"/>
      <c r="J75" s="9" t="s">
        <v>272</v>
      </c>
      <c r="K75" s="9"/>
      <c r="L75" s="9"/>
      <c r="M75" s="9" t="s">
        <v>272</v>
      </c>
      <c r="N75" s="9"/>
      <c r="O75" s="9"/>
      <c r="P75" s="55"/>
      <c r="Q75" s="51"/>
      <c r="R75" s="70"/>
      <c r="S75" s="71"/>
    </row>
    <row r="76" spans="1:19" s="11" customFormat="1" x14ac:dyDescent="0.2">
      <c r="A76" s="9">
        <v>20</v>
      </c>
      <c r="B76" s="9"/>
      <c r="C76" s="9"/>
      <c r="D76" s="9" t="s">
        <v>164</v>
      </c>
      <c r="E76" s="49" t="s">
        <v>53</v>
      </c>
      <c r="F76" s="49"/>
      <c r="G76" s="50" t="s">
        <v>452</v>
      </c>
      <c r="H76" s="50" t="s">
        <v>353</v>
      </c>
      <c r="I76" s="9"/>
      <c r="J76" s="9" t="s">
        <v>272</v>
      </c>
      <c r="K76" s="9"/>
      <c r="L76" s="9"/>
      <c r="M76" s="9" t="s">
        <v>272</v>
      </c>
      <c r="N76" s="9"/>
      <c r="O76" s="9"/>
      <c r="P76" s="55"/>
      <c r="Q76" s="51"/>
      <c r="R76" s="70"/>
      <c r="S76" s="71"/>
    </row>
    <row r="77" spans="1:19" s="11" customFormat="1" x14ac:dyDescent="0.2">
      <c r="A77" s="9">
        <v>20</v>
      </c>
      <c r="B77" s="9"/>
      <c r="C77" s="9"/>
      <c r="D77" s="9" t="s">
        <v>165</v>
      </c>
      <c r="E77" s="49" t="s">
        <v>53</v>
      </c>
      <c r="F77" s="49"/>
      <c r="G77" s="50" t="s">
        <v>488</v>
      </c>
      <c r="H77" s="50" t="s">
        <v>354</v>
      </c>
      <c r="I77" s="9"/>
      <c r="J77" s="9" t="s">
        <v>272</v>
      </c>
      <c r="K77" s="9"/>
      <c r="L77" s="9"/>
      <c r="M77" s="9" t="s">
        <v>272</v>
      </c>
      <c r="N77" s="9"/>
      <c r="O77" s="9"/>
      <c r="P77" s="55"/>
      <c r="Q77" s="51"/>
      <c r="R77" s="70"/>
      <c r="S77" s="71"/>
    </row>
    <row r="78" spans="1:19" s="11" customFormat="1" x14ac:dyDescent="0.2">
      <c r="A78" s="9">
        <v>20</v>
      </c>
      <c r="B78" s="9"/>
      <c r="C78" s="9"/>
      <c r="D78" s="9" t="s">
        <v>166</v>
      </c>
      <c r="E78" s="49" t="s">
        <v>53</v>
      </c>
      <c r="F78" s="49"/>
      <c r="G78" s="50" t="s">
        <v>456</v>
      </c>
      <c r="H78" s="50" t="s">
        <v>355</v>
      </c>
      <c r="I78" s="9"/>
      <c r="J78" s="9" t="s">
        <v>272</v>
      </c>
      <c r="K78" s="9"/>
      <c r="L78" s="9"/>
      <c r="M78" s="9" t="s">
        <v>272</v>
      </c>
      <c r="N78" s="9"/>
      <c r="O78" s="9"/>
      <c r="P78" s="55"/>
      <c r="Q78" s="51"/>
      <c r="R78" s="70"/>
      <c r="S78" s="71"/>
    </row>
    <row r="79" spans="1:19" s="11" customFormat="1" x14ac:dyDescent="0.2">
      <c r="A79" s="9">
        <v>20</v>
      </c>
      <c r="B79" s="9"/>
      <c r="C79" s="9"/>
      <c r="D79" s="9" t="s">
        <v>167</v>
      </c>
      <c r="E79" s="49" t="s">
        <v>53</v>
      </c>
      <c r="F79" s="49"/>
      <c r="G79" s="50" t="s">
        <v>458</v>
      </c>
      <c r="H79" s="50" t="s">
        <v>356</v>
      </c>
      <c r="I79" s="9"/>
      <c r="J79" s="9" t="s">
        <v>272</v>
      </c>
      <c r="K79" s="9"/>
      <c r="L79" s="9"/>
      <c r="M79" s="9" t="s">
        <v>272</v>
      </c>
      <c r="N79" s="9"/>
      <c r="O79" s="9"/>
      <c r="P79" s="55"/>
      <c r="Q79" s="51"/>
      <c r="R79" s="70"/>
      <c r="S79" s="71"/>
    </row>
    <row r="80" spans="1:19" s="11" customFormat="1" x14ac:dyDescent="0.2">
      <c r="A80" s="9">
        <v>20</v>
      </c>
      <c r="B80" s="9"/>
      <c r="C80" s="9"/>
      <c r="D80" s="9" t="s">
        <v>168</v>
      </c>
      <c r="E80" s="49" t="s">
        <v>53</v>
      </c>
      <c r="F80" s="49"/>
      <c r="G80" s="50" t="s">
        <v>460</v>
      </c>
      <c r="H80" s="50" t="s">
        <v>357</v>
      </c>
      <c r="I80" s="9"/>
      <c r="J80" s="9" t="s">
        <v>272</v>
      </c>
      <c r="K80" s="9"/>
      <c r="L80" s="9"/>
      <c r="M80" s="9" t="s">
        <v>272</v>
      </c>
      <c r="N80" s="9"/>
      <c r="O80" s="9"/>
      <c r="P80" s="55"/>
      <c r="Q80" s="51"/>
      <c r="R80" s="70"/>
      <c r="S80" s="71"/>
    </row>
    <row r="81" spans="1:19" s="11" customFormat="1" x14ac:dyDescent="0.2">
      <c r="A81" s="9">
        <v>20</v>
      </c>
      <c r="B81" s="9"/>
      <c r="C81" s="9"/>
      <c r="D81" s="9" t="s">
        <v>169</v>
      </c>
      <c r="E81" s="49" t="s">
        <v>53</v>
      </c>
      <c r="F81" s="49"/>
      <c r="G81" s="50" t="s">
        <v>489</v>
      </c>
      <c r="H81" s="50" t="s">
        <v>358</v>
      </c>
      <c r="I81" s="9"/>
      <c r="J81" s="9" t="s">
        <v>272</v>
      </c>
      <c r="K81" s="9"/>
      <c r="L81" s="9"/>
      <c r="M81" s="9" t="s">
        <v>272</v>
      </c>
      <c r="N81" s="9"/>
      <c r="O81" s="9"/>
      <c r="P81" s="55"/>
      <c r="Q81" s="51"/>
      <c r="R81" s="70"/>
      <c r="S81" s="71"/>
    </row>
    <row r="82" spans="1:19" s="11" customFormat="1" x14ac:dyDescent="0.2">
      <c r="A82" s="9">
        <v>20</v>
      </c>
      <c r="B82" s="9"/>
      <c r="C82" s="9"/>
      <c r="D82" s="9" t="s">
        <v>173</v>
      </c>
      <c r="E82" s="49" t="s">
        <v>172</v>
      </c>
      <c r="F82" s="49"/>
      <c r="G82" s="50" t="s">
        <v>490</v>
      </c>
      <c r="H82" s="50" t="s">
        <v>359</v>
      </c>
      <c r="I82" s="9"/>
      <c r="J82" s="9" t="s">
        <v>272</v>
      </c>
      <c r="K82" s="9"/>
      <c r="L82" s="9"/>
      <c r="M82" s="9" t="s">
        <v>272</v>
      </c>
      <c r="N82" s="9"/>
      <c r="O82" s="9"/>
      <c r="P82" s="55"/>
      <c r="Q82" s="51"/>
      <c r="R82" s="70"/>
      <c r="S82" s="71"/>
    </row>
    <row r="83" spans="1:19" s="11" customFormat="1" x14ac:dyDescent="0.2">
      <c r="A83" s="9">
        <v>20</v>
      </c>
      <c r="B83" s="9"/>
      <c r="C83" s="9"/>
      <c r="D83" s="9" t="s">
        <v>202</v>
      </c>
      <c r="E83" s="49" t="s">
        <v>172</v>
      </c>
      <c r="F83" s="49"/>
      <c r="G83" s="50" t="s">
        <v>491</v>
      </c>
      <c r="H83" s="50" t="s">
        <v>360</v>
      </c>
      <c r="I83" s="9"/>
      <c r="J83" s="9" t="s">
        <v>272</v>
      </c>
      <c r="K83" s="9"/>
      <c r="L83" s="9"/>
      <c r="M83" s="9" t="s">
        <v>272</v>
      </c>
      <c r="N83" s="9"/>
      <c r="O83" s="9"/>
      <c r="P83" s="55"/>
      <c r="Q83" s="51"/>
      <c r="R83" s="70"/>
      <c r="S83" s="71"/>
    </row>
    <row r="84" spans="1:19" s="11" customFormat="1" x14ac:dyDescent="0.2">
      <c r="A84" s="9">
        <v>20</v>
      </c>
      <c r="B84" s="9"/>
      <c r="C84" s="9"/>
      <c r="D84" s="9" t="s">
        <v>203</v>
      </c>
      <c r="E84" s="49" t="s">
        <v>172</v>
      </c>
      <c r="F84" s="49"/>
      <c r="G84" s="50" t="s">
        <v>492</v>
      </c>
      <c r="H84" s="50" t="s">
        <v>361</v>
      </c>
      <c r="I84" s="9"/>
      <c r="J84" s="9" t="s">
        <v>272</v>
      </c>
      <c r="K84" s="9"/>
      <c r="L84" s="9"/>
      <c r="M84" s="9" t="s">
        <v>272</v>
      </c>
      <c r="N84" s="9"/>
      <c r="O84" s="9"/>
      <c r="P84" s="55"/>
      <c r="Q84" s="51"/>
      <c r="R84" s="70"/>
      <c r="S84" s="71"/>
    </row>
    <row r="85" spans="1:19" s="11" customFormat="1" x14ac:dyDescent="0.2">
      <c r="A85" s="9">
        <v>20</v>
      </c>
      <c r="B85" s="9"/>
      <c r="C85" s="9"/>
      <c r="D85" s="9" t="s">
        <v>204</v>
      </c>
      <c r="E85" s="49" t="s">
        <v>172</v>
      </c>
      <c r="F85" s="49"/>
      <c r="G85" s="50" t="s">
        <v>493</v>
      </c>
      <c r="H85" s="50" t="s">
        <v>362</v>
      </c>
      <c r="I85" s="9"/>
      <c r="J85" s="9" t="s">
        <v>272</v>
      </c>
      <c r="K85" s="9"/>
      <c r="L85" s="9"/>
      <c r="M85" s="9" t="s">
        <v>272</v>
      </c>
      <c r="N85" s="9"/>
      <c r="O85" s="9"/>
      <c r="P85" s="55"/>
      <c r="Q85" s="51"/>
      <c r="R85" s="70"/>
      <c r="S85" s="71"/>
    </row>
    <row r="86" spans="1:19" s="11" customFormat="1" x14ac:dyDescent="0.2">
      <c r="A86" s="9">
        <v>20</v>
      </c>
      <c r="B86" s="9"/>
      <c r="C86" s="9"/>
      <c r="D86" s="9" t="s">
        <v>205</v>
      </c>
      <c r="E86" s="49" t="s">
        <v>172</v>
      </c>
      <c r="F86" s="49"/>
      <c r="G86" s="50" t="s">
        <v>494</v>
      </c>
      <c r="H86" s="50" t="s">
        <v>363</v>
      </c>
      <c r="I86" s="9"/>
      <c r="J86" s="9" t="s">
        <v>272</v>
      </c>
      <c r="K86" s="9"/>
      <c r="L86" s="9"/>
      <c r="M86" s="9" t="s">
        <v>272</v>
      </c>
      <c r="N86" s="9"/>
      <c r="O86" s="9"/>
      <c r="P86" s="55"/>
      <c r="Q86" s="51"/>
      <c r="R86" s="70"/>
      <c r="S86" s="71"/>
    </row>
    <row r="87" spans="1:19" s="11" customFormat="1" x14ac:dyDescent="0.2">
      <c r="A87" s="9">
        <v>20</v>
      </c>
      <c r="B87" s="9"/>
      <c r="C87" s="9"/>
      <c r="D87" s="9" t="s">
        <v>206</v>
      </c>
      <c r="E87" s="49" t="s">
        <v>172</v>
      </c>
      <c r="F87" s="49"/>
      <c r="G87" s="50" t="s">
        <v>495</v>
      </c>
      <c r="H87" s="50" t="s">
        <v>364</v>
      </c>
      <c r="I87" s="9"/>
      <c r="J87" s="9" t="s">
        <v>272</v>
      </c>
      <c r="K87" s="9"/>
      <c r="L87" s="9"/>
      <c r="M87" s="9" t="s">
        <v>272</v>
      </c>
      <c r="N87" s="9"/>
      <c r="O87" s="9"/>
      <c r="P87" s="55"/>
      <c r="Q87" s="51"/>
      <c r="R87" s="70"/>
      <c r="S87" s="71"/>
    </row>
    <row r="88" spans="1:19" s="11" customFormat="1" x14ac:dyDescent="0.2">
      <c r="A88" s="9">
        <v>20</v>
      </c>
      <c r="B88" s="9"/>
      <c r="C88" s="9"/>
      <c r="D88" s="9" t="s">
        <v>170</v>
      </c>
      <c r="E88" s="49" t="s">
        <v>53</v>
      </c>
      <c r="F88" s="49"/>
      <c r="G88" s="50" t="s">
        <v>464</v>
      </c>
      <c r="H88" s="50" t="s">
        <v>365</v>
      </c>
      <c r="I88" s="9"/>
      <c r="J88" s="9" t="s">
        <v>272</v>
      </c>
      <c r="K88" s="9"/>
      <c r="L88" s="9"/>
      <c r="M88" s="9" t="s">
        <v>272</v>
      </c>
      <c r="N88" s="9"/>
      <c r="O88" s="9"/>
      <c r="P88" s="55"/>
      <c r="Q88" s="51"/>
      <c r="R88" s="141"/>
      <c r="S88" s="142"/>
    </row>
    <row r="89" spans="1:19" s="11" customFormat="1" x14ac:dyDescent="0.2">
      <c r="A89" s="9">
        <v>20</v>
      </c>
      <c r="B89" s="9"/>
      <c r="C89" s="9"/>
      <c r="D89" s="9" t="s">
        <v>171</v>
      </c>
      <c r="E89" s="49" t="s">
        <v>53</v>
      </c>
      <c r="F89" s="49"/>
      <c r="G89" s="50" t="s">
        <v>466</v>
      </c>
      <c r="H89" s="50" t="s">
        <v>366</v>
      </c>
      <c r="I89" s="9"/>
      <c r="J89" s="9" t="s">
        <v>272</v>
      </c>
      <c r="K89" s="9"/>
      <c r="L89" s="9"/>
      <c r="M89" s="9" t="s">
        <v>272</v>
      </c>
      <c r="N89" s="9"/>
      <c r="O89" s="9"/>
      <c r="P89" s="55"/>
      <c r="Q89" s="51"/>
      <c r="R89" s="70"/>
      <c r="S89" s="71"/>
    </row>
    <row r="90" spans="1:19" s="11" customFormat="1" x14ac:dyDescent="0.2">
      <c r="A90" s="9">
        <v>20</v>
      </c>
      <c r="B90" s="9"/>
      <c r="C90" s="9"/>
      <c r="D90" s="9" t="s">
        <v>159</v>
      </c>
      <c r="E90" s="49" t="s">
        <v>43</v>
      </c>
      <c r="F90" s="49"/>
      <c r="G90" s="50" t="s">
        <v>448</v>
      </c>
      <c r="H90" s="50" t="s">
        <v>367</v>
      </c>
      <c r="I90" s="9"/>
      <c r="J90" s="9" t="s">
        <v>272</v>
      </c>
      <c r="K90" s="9"/>
      <c r="L90" s="9"/>
      <c r="M90" s="9" t="s">
        <v>272</v>
      </c>
      <c r="N90" s="9"/>
      <c r="O90" s="9"/>
      <c r="P90" s="55"/>
      <c r="Q90" s="51"/>
      <c r="R90" s="141"/>
      <c r="S90" s="142"/>
    </row>
    <row r="91" spans="1:19" s="11" customFormat="1" x14ac:dyDescent="0.2">
      <c r="A91" s="9">
        <v>20</v>
      </c>
      <c r="B91" s="9"/>
      <c r="C91" s="9"/>
      <c r="D91" s="9" t="s">
        <v>160</v>
      </c>
      <c r="E91" s="49" t="s">
        <v>50</v>
      </c>
      <c r="F91" s="49"/>
      <c r="G91" s="50" t="s">
        <v>449</v>
      </c>
      <c r="H91" s="50" t="s">
        <v>368</v>
      </c>
      <c r="I91" s="9"/>
      <c r="J91" s="9" t="s">
        <v>272</v>
      </c>
      <c r="K91" s="9"/>
      <c r="L91" s="9"/>
      <c r="M91" s="9" t="s">
        <v>272</v>
      </c>
      <c r="N91" s="9"/>
      <c r="O91" s="9"/>
      <c r="P91" s="55"/>
      <c r="Q91" s="51"/>
      <c r="R91" s="70"/>
      <c r="S91" s="71"/>
    </row>
    <row r="92" spans="1:19" s="11" customFormat="1" x14ac:dyDescent="0.2">
      <c r="A92" s="9">
        <v>20</v>
      </c>
      <c r="B92" s="9"/>
      <c r="C92" s="9"/>
      <c r="D92" s="9" t="s">
        <v>161</v>
      </c>
      <c r="E92" s="49" t="s">
        <v>47</v>
      </c>
      <c r="F92" s="49"/>
      <c r="G92" s="50" t="s">
        <v>450</v>
      </c>
      <c r="H92" s="50" t="s">
        <v>369</v>
      </c>
      <c r="I92" s="9"/>
      <c r="J92" s="9" t="s">
        <v>272</v>
      </c>
      <c r="K92" s="9"/>
      <c r="L92" s="9"/>
      <c r="M92" s="9" t="s">
        <v>272</v>
      </c>
      <c r="N92" s="9"/>
      <c r="O92" s="9"/>
      <c r="P92" s="55"/>
      <c r="Q92" s="51"/>
      <c r="R92" s="141"/>
      <c r="S92" s="142"/>
    </row>
    <row r="93" spans="1:19" s="11" customFormat="1" x14ac:dyDescent="0.2">
      <c r="A93" s="9">
        <v>20</v>
      </c>
      <c r="B93" s="9"/>
      <c r="C93" s="9"/>
      <c r="D93" s="9" t="s">
        <v>174</v>
      </c>
      <c r="E93" s="49" t="s">
        <v>177</v>
      </c>
      <c r="F93" s="49"/>
      <c r="G93" s="50" t="s">
        <v>434</v>
      </c>
      <c r="H93" s="50" t="s">
        <v>370</v>
      </c>
      <c r="I93" s="9"/>
      <c r="J93" s="9" t="s">
        <v>272</v>
      </c>
      <c r="K93" s="9"/>
      <c r="L93" s="9"/>
      <c r="M93" s="9" t="s">
        <v>272</v>
      </c>
      <c r="N93" s="9"/>
      <c r="O93" s="9"/>
      <c r="P93" s="55"/>
      <c r="Q93" s="51"/>
      <c r="R93" s="70"/>
      <c r="S93" s="71"/>
    </row>
    <row r="94" spans="1:19" s="11" customFormat="1" x14ac:dyDescent="0.2">
      <c r="A94" s="9">
        <v>20</v>
      </c>
      <c r="B94" s="9"/>
      <c r="C94" s="9"/>
      <c r="D94" s="9" t="s">
        <v>175</v>
      </c>
      <c r="E94" s="49" t="s">
        <v>178</v>
      </c>
      <c r="F94" s="49"/>
      <c r="G94" s="50" t="s">
        <v>496</v>
      </c>
      <c r="H94" s="50" t="s">
        <v>371</v>
      </c>
      <c r="I94" s="9"/>
      <c r="J94" s="9" t="s">
        <v>272</v>
      </c>
      <c r="K94" s="9"/>
      <c r="L94" s="9"/>
      <c r="M94" s="9" t="s">
        <v>272</v>
      </c>
      <c r="N94" s="9"/>
      <c r="O94" s="9"/>
      <c r="P94" s="55"/>
      <c r="Q94" s="51"/>
      <c r="R94" s="70"/>
      <c r="S94" s="71"/>
    </row>
    <row r="95" spans="1:19" s="11" customFormat="1" x14ac:dyDescent="0.2">
      <c r="A95" s="9">
        <v>20</v>
      </c>
      <c r="B95" s="9"/>
      <c r="C95" s="9"/>
      <c r="D95" s="9" t="s">
        <v>176</v>
      </c>
      <c r="E95" s="49" t="s">
        <v>179</v>
      </c>
      <c r="F95" s="49"/>
      <c r="G95" s="50" t="s">
        <v>435</v>
      </c>
      <c r="H95" s="50" t="s">
        <v>372</v>
      </c>
      <c r="I95" s="9"/>
      <c r="J95" s="9" t="s">
        <v>272</v>
      </c>
      <c r="K95" s="9"/>
      <c r="L95" s="9"/>
      <c r="M95" s="9" t="s">
        <v>272</v>
      </c>
      <c r="N95" s="9"/>
      <c r="O95" s="9"/>
      <c r="P95" s="55"/>
      <c r="Q95" s="51"/>
      <c r="R95" s="70"/>
      <c r="S95" s="71"/>
    </row>
    <row r="96" spans="1:19" s="11" customFormat="1" x14ac:dyDescent="0.2">
      <c r="A96" s="9">
        <v>20</v>
      </c>
      <c r="B96" s="9"/>
      <c r="C96" s="9"/>
      <c r="D96" s="9" t="s">
        <v>41</v>
      </c>
      <c r="E96" s="49" t="s">
        <v>43</v>
      </c>
      <c r="F96" s="49"/>
      <c r="G96" s="50" t="s">
        <v>430</v>
      </c>
      <c r="H96" s="50" t="s">
        <v>297</v>
      </c>
      <c r="I96" s="9"/>
      <c r="J96" s="9" t="s">
        <v>272</v>
      </c>
      <c r="K96" s="9"/>
      <c r="L96" s="9"/>
      <c r="M96" s="9" t="s">
        <v>272</v>
      </c>
      <c r="N96" s="9"/>
      <c r="O96" s="9"/>
      <c r="P96" s="55"/>
      <c r="Q96" s="51"/>
      <c r="R96" s="141"/>
      <c r="S96" s="144"/>
    </row>
    <row r="97" spans="1:19" s="11" customFormat="1" x14ac:dyDescent="0.2">
      <c r="A97" s="9">
        <v>20</v>
      </c>
      <c r="B97" s="9"/>
      <c r="C97" s="9"/>
      <c r="D97" s="9" t="s">
        <v>49</v>
      </c>
      <c r="E97" s="49" t="s">
        <v>50</v>
      </c>
      <c r="F97" s="49"/>
      <c r="G97" s="50" t="s">
        <v>431</v>
      </c>
      <c r="H97" s="50" t="s">
        <v>286</v>
      </c>
      <c r="I97" s="9"/>
      <c r="J97" s="9" t="s">
        <v>272</v>
      </c>
      <c r="K97" s="9"/>
      <c r="L97" s="9"/>
      <c r="M97" s="9" t="s">
        <v>272</v>
      </c>
      <c r="N97" s="9"/>
      <c r="O97" s="9"/>
      <c r="P97" s="55"/>
      <c r="Q97" s="51"/>
      <c r="R97" s="141"/>
      <c r="S97" s="144"/>
    </row>
    <row r="98" spans="1:19" s="11" customFormat="1" x14ac:dyDescent="0.2">
      <c r="A98" s="9">
        <v>20</v>
      </c>
      <c r="B98" s="9"/>
      <c r="C98" s="9"/>
      <c r="D98" s="9" t="s">
        <v>45</v>
      </c>
      <c r="E98" s="49" t="s">
        <v>47</v>
      </c>
      <c r="F98" s="49"/>
      <c r="G98" s="50" t="s">
        <v>432</v>
      </c>
      <c r="H98" s="50" t="s">
        <v>287</v>
      </c>
      <c r="I98" s="9"/>
      <c r="J98" s="9" t="s">
        <v>272</v>
      </c>
      <c r="K98" s="9"/>
      <c r="L98" s="9"/>
      <c r="M98" s="9" t="s">
        <v>272</v>
      </c>
      <c r="N98" s="9"/>
      <c r="O98" s="9"/>
      <c r="P98" s="55"/>
      <c r="Q98" s="51"/>
      <c r="R98" s="141"/>
      <c r="S98" s="142"/>
    </row>
    <row r="99" spans="1:19" s="11" customFormat="1" x14ac:dyDescent="0.2">
      <c r="A99" s="9">
        <v>20</v>
      </c>
      <c r="B99" s="9"/>
      <c r="C99" s="9"/>
      <c r="D99" s="9" t="s">
        <v>389</v>
      </c>
      <c r="E99" s="49" t="s">
        <v>140</v>
      </c>
      <c r="F99" s="49"/>
      <c r="G99" s="50" t="s">
        <v>497</v>
      </c>
      <c r="H99" s="50" t="s">
        <v>373</v>
      </c>
      <c r="I99" s="9"/>
      <c r="J99" s="9" t="s">
        <v>272</v>
      </c>
      <c r="K99" s="9"/>
      <c r="L99" s="9"/>
      <c r="M99" s="9" t="s">
        <v>272</v>
      </c>
      <c r="N99" s="9"/>
      <c r="O99" s="9"/>
      <c r="P99" s="55"/>
      <c r="Q99" s="51"/>
      <c r="R99" s="141"/>
      <c r="S99" s="142"/>
    </row>
    <row r="100" spans="1:19" s="11" customFormat="1" x14ac:dyDescent="0.2">
      <c r="A100" s="9">
        <v>20</v>
      </c>
      <c r="B100" s="9"/>
      <c r="C100" s="9"/>
      <c r="D100" s="9" t="s">
        <v>35</v>
      </c>
      <c r="E100" s="49" t="s">
        <v>141</v>
      </c>
      <c r="F100" s="49"/>
      <c r="G100" s="50" t="s">
        <v>498</v>
      </c>
      <c r="H100" s="50" t="s">
        <v>374</v>
      </c>
      <c r="I100" s="9"/>
      <c r="J100" s="9" t="s">
        <v>272</v>
      </c>
      <c r="K100" s="9"/>
      <c r="L100" s="9"/>
      <c r="M100" s="9" t="s">
        <v>272</v>
      </c>
      <c r="N100" s="9"/>
      <c r="O100" s="9"/>
      <c r="P100" s="55"/>
      <c r="Q100" s="51"/>
      <c r="R100" s="141"/>
      <c r="S100" s="142"/>
    </row>
    <row r="101" spans="1:19" s="11" customFormat="1" x14ac:dyDescent="0.2">
      <c r="A101" s="9">
        <v>20</v>
      </c>
      <c r="B101" s="9"/>
      <c r="C101" s="9"/>
      <c r="D101" s="9" t="s">
        <v>14</v>
      </c>
      <c r="E101" s="49" t="s">
        <v>51</v>
      </c>
      <c r="F101" s="49"/>
      <c r="G101" s="50" t="s">
        <v>499</v>
      </c>
      <c r="H101" s="50" t="s">
        <v>375</v>
      </c>
      <c r="I101" s="9"/>
      <c r="J101" s="9" t="s">
        <v>272</v>
      </c>
      <c r="K101" s="9"/>
      <c r="L101" s="9"/>
      <c r="M101" s="9" t="s">
        <v>272</v>
      </c>
      <c r="N101" s="9"/>
      <c r="O101" s="9"/>
      <c r="P101" s="55"/>
      <c r="Q101" s="51"/>
      <c r="R101" s="141"/>
      <c r="S101" s="142"/>
    </row>
    <row r="102" spans="1:19" s="11" customFormat="1" x14ac:dyDescent="0.2">
      <c r="A102" s="9">
        <v>20</v>
      </c>
      <c r="B102" s="9"/>
      <c r="C102" s="9"/>
      <c r="D102" s="9" t="s">
        <v>54</v>
      </c>
      <c r="E102" s="49" t="s">
        <v>57</v>
      </c>
      <c r="F102" s="49"/>
      <c r="G102" s="50" t="s">
        <v>500</v>
      </c>
      <c r="H102" s="50" t="s">
        <v>376</v>
      </c>
      <c r="I102" s="9"/>
      <c r="J102" s="9" t="s">
        <v>272</v>
      </c>
      <c r="K102" s="9"/>
      <c r="L102" s="9"/>
      <c r="M102" s="9" t="s">
        <v>272</v>
      </c>
      <c r="N102" s="9"/>
      <c r="O102" s="9"/>
      <c r="P102" s="55"/>
      <c r="Q102" s="51"/>
      <c r="R102" s="141"/>
      <c r="S102" s="142"/>
    </row>
    <row r="103" spans="1:19" s="11" customFormat="1" x14ac:dyDescent="0.2">
      <c r="A103" s="9">
        <v>20</v>
      </c>
      <c r="B103" s="9"/>
      <c r="C103" s="9"/>
      <c r="D103" s="9" t="s">
        <v>58</v>
      </c>
      <c r="E103" s="49" t="s">
        <v>59</v>
      </c>
      <c r="F103" s="49"/>
      <c r="G103" s="50" t="s">
        <v>501</v>
      </c>
      <c r="H103" s="50" t="s">
        <v>377</v>
      </c>
      <c r="I103" s="9"/>
      <c r="J103" s="9" t="s">
        <v>272</v>
      </c>
      <c r="K103" s="9"/>
      <c r="L103" s="9"/>
      <c r="M103" s="9"/>
      <c r="N103" s="9"/>
      <c r="O103" s="9"/>
      <c r="P103" s="55"/>
      <c r="Q103" s="51"/>
      <c r="R103" s="141"/>
      <c r="S103" s="142"/>
    </row>
    <row r="104" spans="1:19" s="11" customFormat="1" x14ac:dyDescent="0.2">
      <c r="A104" s="9">
        <v>20</v>
      </c>
      <c r="B104" s="9"/>
      <c r="C104" s="9"/>
      <c r="D104" s="9" t="s">
        <v>68</v>
      </c>
      <c r="E104" s="49" t="s">
        <v>69</v>
      </c>
      <c r="F104" s="49"/>
      <c r="G104" s="50" t="s">
        <v>437</v>
      </c>
      <c r="H104" s="50" t="s">
        <v>296</v>
      </c>
      <c r="I104" s="9"/>
      <c r="J104" s="9" t="s">
        <v>272</v>
      </c>
      <c r="K104" s="9"/>
      <c r="L104" s="9"/>
      <c r="M104" s="9" t="s">
        <v>272</v>
      </c>
      <c r="N104" s="9"/>
      <c r="O104" s="9"/>
      <c r="P104" s="55"/>
      <c r="Q104" s="51"/>
      <c r="R104" s="141"/>
      <c r="S104" s="142"/>
    </row>
    <row r="105" spans="1:19" s="11" customFormat="1" x14ac:dyDescent="0.2">
      <c r="A105" s="9">
        <v>20</v>
      </c>
      <c r="B105" s="9"/>
      <c r="C105" s="9"/>
      <c r="D105" s="9" t="s">
        <v>390</v>
      </c>
      <c r="E105" s="49" t="s">
        <v>140</v>
      </c>
      <c r="F105" s="49"/>
      <c r="G105" s="50" t="s">
        <v>502</v>
      </c>
      <c r="H105" s="50" t="s">
        <v>378</v>
      </c>
      <c r="I105" s="9"/>
      <c r="J105" s="9" t="s">
        <v>272</v>
      </c>
      <c r="K105" s="9"/>
      <c r="L105" s="9"/>
      <c r="M105" s="9" t="s">
        <v>272</v>
      </c>
      <c r="N105" s="9"/>
      <c r="O105" s="9"/>
      <c r="P105" s="55"/>
      <c r="Q105" s="51"/>
      <c r="R105" s="141"/>
      <c r="S105" s="142"/>
    </row>
    <row r="106" spans="1:19" s="11" customFormat="1" x14ac:dyDescent="0.2">
      <c r="A106" s="9">
        <v>20</v>
      </c>
      <c r="B106" s="9"/>
      <c r="C106" s="9"/>
      <c r="D106" s="9" t="s">
        <v>36</v>
      </c>
      <c r="E106" s="49" t="s">
        <v>141</v>
      </c>
      <c r="F106" s="49"/>
      <c r="G106" s="50" t="s">
        <v>503</v>
      </c>
      <c r="H106" s="50" t="s">
        <v>379</v>
      </c>
      <c r="I106" s="9"/>
      <c r="J106" s="9" t="s">
        <v>272</v>
      </c>
      <c r="K106" s="9"/>
      <c r="L106" s="9"/>
      <c r="M106" s="9" t="s">
        <v>272</v>
      </c>
      <c r="N106" s="9"/>
      <c r="O106" s="9"/>
      <c r="P106" s="55"/>
      <c r="Q106" s="51"/>
      <c r="R106" s="141"/>
      <c r="S106" s="142"/>
    </row>
    <row r="107" spans="1:19" s="11" customFormat="1" x14ac:dyDescent="0.2">
      <c r="A107" s="9">
        <v>20</v>
      </c>
      <c r="B107" s="9"/>
      <c r="C107" s="9"/>
      <c r="D107" s="9" t="s">
        <v>15</v>
      </c>
      <c r="E107" s="49" t="s">
        <v>391</v>
      </c>
      <c r="F107" s="49"/>
      <c r="G107" s="50" t="s">
        <v>504</v>
      </c>
      <c r="H107" s="50" t="s">
        <v>380</v>
      </c>
      <c r="I107" s="9"/>
      <c r="J107" s="9" t="s">
        <v>272</v>
      </c>
      <c r="K107" s="9"/>
      <c r="L107" s="9"/>
      <c r="M107" s="9" t="s">
        <v>272</v>
      </c>
      <c r="N107" s="9"/>
      <c r="O107" s="9"/>
      <c r="P107" s="55"/>
      <c r="Q107" s="51"/>
      <c r="R107" s="141"/>
      <c r="S107" s="142"/>
    </row>
    <row r="108" spans="1:19" s="11" customFormat="1" x14ac:dyDescent="0.2">
      <c r="A108" s="9">
        <v>20</v>
      </c>
      <c r="B108" s="9"/>
      <c r="C108" s="9"/>
      <c r="D108" s="9" t="s">
        <v>55</v>
      </c>
      <c r="E108" s="49" t="s">
        <v>57</v>
      </c>
      <c r="F108" s="49"/>
      <c r="G108" s="50" t="s">
        <v>505</v>
      </c>
      <c r="H108" s="50" t="s">
        <v>381</v>
      </c>
      <c r="I108" s="9"/>
      <c r="J108" s="9" t="s">
        <v>272</v>
      </c>
      <c r="K108" s="9"/>
      <c r="L108" s="9"/>
      <c r="M108" s="9" t="s">
        <v>272</v>
      </c>
      <c r="N108" s="9"/>
      <c r="O108" s="9"/>
      <c r="P108" s="55"/>
      <c r="Q108" s="51"/>
      <c r="R108" s="141"/>
      <c r="S108" s="142"/>
    </row>
    <row r="109" spans="1:19" s="11" customFormat="1" x14ac:dyDescent="0.2">
      <c r="A109" s="9">
        <v>20</v>
      </c>
      <c r="B109" s="9"/>
      <c r="C109" s="9"/>
      <c r="D109" s="9" t="s">
        <v>60</v>
      </c>
      <c r="E109" s="49" t="s">
        <v>59</v>
      </c>
      <c r="F109" s="49"/>
      <c r="G109" s="50" t="s">
        <v>506</v>
      </c>
      <c r="H109" s="50" t="s">
        <v>382</v>
      </c>
      <c r="I109" s="9"/>
      <c r="J109" s="9" t="s">
        <v>272</v>
      </c>
      <c r="K109" s="9"/>
      <c r="L109" s="9"/>
      <c r="M109" s="9"/>
      <c r="N109" s="9"/>
      <c r="O109" s="9"/>
      <c r="P109" s="55"/>
      <c r="Q109" s="51"/>
      <c r="R109" s="141"/>
      <c r="S109" s="142"/>
    </row>
    <row r="110" spans="1:19" s="11" customFormat="1" x14ac:dyDescent="0.2">
      <c r="A110" s="9">
        <v>20</v>
      </c>
      <c r="B110" s="9"/>
      <c r="C110" s="9"/>
      <c r="D110" s="9" t="s">
        <v>61</v>
      </c>
      <c r="E110" s="49" t="s">
        <v>56</v>
      </c>
      <c r="F110" s="49"/>
      <c r="G110" s="50" t="s">
        <v>507</v>
      </c>
      <c r="H110" s="50" t="s">
        <v>383</v>
      </c>
      <c r="I110" s="9"/>
      <c r="J110" s="9" t="s">
        <v>272</v>
      </c>
      <c r="K110" s="9"/>
      <c r="L110" s="9"/>
      <c r="M110" s="9" t="s">
        <v>272</v>
      </c>
      <c r="N110" s="9"/>
      <c r="O110" s="9"/>
      <c r="P110" s="55"/>
      <c r="Q110" s="51"/>
      <c r="R110" s="141"/>
      <c r="S110" s="142"/>
    </row>
    <row r="111" spans="1:19" s="11" customFormat="1" x14ac:dyDescent="0.2">
      <c r="A111" s="9">
        <v>20</v>
      </c>
      <c r="B111" s="9"/>
      <c r="C111" s="9"/>
      <c r="D111" s="9" t="s">
        <v>228</v>
      </c>
      <c r="E111" s="49" t="s">
        <v>229</v>
      </c>
      <c r="F111" s="49"/>
      <c r="G111" s="50" t="s">
        <v>508</v>
      </c>
      <c r="H111" s="50" t="s">
        <v>384</v>
      </c>
      <c r="I111" s="9"/>
      <c r="J111" s="9" t="s">
        <v>272</v>
      </c>
      <c r="K111" s="9"/>
      <c r="L111" s="9"/>
      <c r="M111" s="9" t="s">
        <v>272</v>
      </c>
      <c r="N111" s="9"/>
      <c r="O111" s="9"/>
      <c r="P111" s="55"/>
      <c r="Q111" s="51"/>
      <c r="R111" s="70"/>
      <c r="S111" s="71"/>
    </row>
    <row r="112" spans="1:19" s="11" customFormat="1" x14ac:dyDescent="0.2">
      <c r="A112" s="9">
        <v>20</v>
      </c>
      <c r="B112" s="9"/>
      <c r="C112" s="9"/>
      <c r="D112" s="9" t="s">
        <v>230</v>
      </c>
      <c r="E112" s="49" t="s">
        <v>231</v>
      </c>
      <c r="F112" s="49"/>
      <c r="G112" s="50" t="s">
        <v>509</v>
      </c>
      <c r="H112" s="50" t="s">
        <v>385</v>
      </c>
      <c r="I112" s="9"/>
      <c r="J112" s="9" t="s">
        <v>272</v>
      </c>
      <c r="K112" s="9"/>
      <c r="L112" s="9"/>
      <c r="M112" s="9" t="s">
        <v>272</v>
      </c>
      <c r="N112" s="9"/>
      <c r="O112" s="9"/>
      <c r="P112" s="55"/>
      <c r="Q112" s="51"/>
      <c r="R112" s="70"/>
      <c r="S112" s="71"/>
    </row>
    <row r="113" spans="1:19" s="11" customFormat="1" x14ac:dyDescent="0.2">
      <c r="A113" s="61"/>
      <c r="B113" s="30"/>
      <c r="C113" s="30"/>
      <c r="D113" s="62" t="s">
        <v>4</v>
      </c>
      <c r="E113" s="31"/>
      <c r="F113" s="63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64"/>
    </row>
    <row r="114" spans="1:19" s="11" customFormat="1" x14ac:dyDescent="0.2">
      <c r="A114" s="77"/>
      <c r="S114" s="54"/>
    </row>
    <row r="115" spans="1:19" s="11" customFormat="1" x14ac:dyDescent="0.2">
      <c r="A115" s="77"/>
      <c r="S115" s="54"/>
    </row>
    <row r="116" spans="1:19" s="11" customFormat="1" x14ac:dyDescent="0.2">
      <c r="A116" s="77"/>
      <c r="S116" s="54"/>
    </row>
    <row r="117" spans="1:19" s="11" customFormat="1" x14ac:dyDescent="0.2">
      <c r="A117" s="77"/>
      <c r="S117" s="54"/>
    </row>
    <row r="118" spans="1:19" s="11" customFormat="1" x14ac:dyDescent="0.2">
      <c r="A118" s="81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20"/>
    </row>
  </sheetData>
  <mergeCells count="75">
    <mergeCell ref="R43:S43"/>
    <mergeCell ref="R38:S38"/>
    <mergeCell ref="R39:S39"/>
    <mergeCell ref="R40:S40"/>
    <mergeCell ref="R41:S41"/>
    <mergeCell ref="R42:S42"/>
    <mergeCell ref="R92:S92"/>
    <mergeCell ref="R105:S105"/>
    <mergeCell ref="R96:S96"/>
    <mergeCell ref="R22:S22"/>
    <mergeCell ref="R23:S23"/>
    <mergeCell ref="R24:S24"/>
    <mergeCell ref="R28:S28"/>
    <mergeCell ref="R29:S29"/>
    <mergeCell ref="R30:S30"/>
    <mergeCell ref="R31:S31"/>
    <mergeCell ref="R32:S32"/>
    <mergeCell ref="R33:S33"/>
    <mergeCell ref="R34:S34"/>
    <mergeCell ref="R35:S35"/>
    <mergeCell ref="R36:S36"/>
    <mergeCell ref="R37:S37"/>
    <mergeCell ref="R110:S110"/>
    <mergeCell ref="R106:S106"/>
    <mergeCell ref="R104:S104"/>
    <mergeCell ref="R26:S26"/>
    <mergeCell ref="R66:S66"/>
    <mergeCell ref="R102:S102"/>
    <mergeCell ref="R98:S98"/>
    <mergeCell ref="R100:S100"/>
    <mergeCell ref="R109:S109"/>
    <mergeCell ref="R108:S108"/>
    <mergeCell ref="R107:S107"/>
    <mergeCell ref="R103:S103"/>
    <mergeCell ref="R99:S99"/>
    <mergeCell ref="R101:S101"/>
    <mergeCell ref="R71:S71"/>
    <mergeCell ref="R88:S88"/>
    <mergeCell ref="R97:S97"/>
    <mergeCell ref="R27:S27"/>
    <mergeCell ref="R67:S67"/>
    <mergeCell ref="R68:S68"/>
    <mergeCell ref="R69:S69"/>
    <mergeCell ref="R70:S70"/>
    <mergeCell ref="R55:S55"/>
    <mergeCell ref="R56:S56"/>
    <mergeCell ref="R62:S62"/>
    <mergeCell ref="R63:S63"/>
    <mergeCell ref="R57:S57"/>
    <mergeCell ref="R58:S58"/>
    <mergeCell ref="R59:S59"/>
    <mergeCell ref="R60:S60"/>
    <mergeCell ref="R61:S61"/>
    <mergeCell ref="R90:S90"/>
    <mergeCell ref="R12:S12"/>
    <mergeCell ref="R13:S13"/>
    <mergeCell ref="R14:S14"/>
    <mergeCell ref="R15:S15"/>
    <mergeCell ref="R17:S17"/>
    <mergeCell ref="R18:S18"/>
    <mergeCell ref="R19:S19"/>
    <mergeCell ref="R52:S52"/>
    <mergeCell ref="R53:S53"/>
    <mergeCell ref="R54:S54"/>
    <mergeCell ref="R48:S48"/>
    <mergeCell ref="R49:S49"/>
    <mergeCell ref="R50:S50"/>
    <mergeCell ref="R51:S51"/>
    <mergeCell ref="R44:S44"/>
    <mergeCell ref="R45:S45"/>
    <mergeCell ref="R46:S46"/>
    <mergeCell ref="R47:S47"/>
    <mergeCell ref="R25:S25"/>
    <mergeCell ref="R20:S20"/>
    <mergeCell ref="R21:S21"/>
  </mergeCells>
  <phoneticPr fontId="1"/>
  <hyperlinks>
    <hyperlink ref="D28" r:id="rId1" display="sls_tar_out_flg@sls" xr:uid="{00000000-0004-0000-0700-000000000000}"/>
    <hyperlink ref="D32" r:id="rId2" display="mfg_tar_out_flg@mfg" xr:uid="{00000000-0004-0000-0700-000001000000}"/>
    <hyperlink ref="D36" r:id="rId3" display="purc_tar_out_flg@purc" xr:uid="{00000000-0004-0000-0700-000002000000}"/>
    <hyperlink ref="D40" r:id="rId4" display="insp_tar_out_flg@insp" xr:uid="{00000000-0004-0000-0700-000003000000}"/>
  </hyperlinks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5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pageSetUpPr fitToPage="1"/>
  </sheetPr>
  <dimension ref="A1:V2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3" t="s">
        <v>263</v>
      </c>
      <c r="B1" s="73" t="s">
        <v>263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4" t="s">
        <v>263</v>
      </c>
      <c r="B2" s="75"/>
      <c r="C2" s="75"/>
      <c r="D2" s="84" t="s">
        <v>408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MABCL0400</v>
      </c>
      <c r="I2" s="7" t="s">
        <v>264</v>
      </c>
      <c r="J2" s="9" t="s">
        <v>85</v>
      </c>
      <c r="K2" s="7" t="s">
        <v>39</v>
      </c>
      <c r="L2" s="76" t="str">
        <f>IF(LogicCommon!G2="","",LogicCommon!G2)</f>
        <v>MC</v>
      </c>
      <c r="M2" s="5" t="s">
        <v>265</v>
      </c>
      <c r="N2" s="28" t="s">
        <v>405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7" t="s">
        <v>263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MABCL_ItmRlsReg</v>
      </c>
      <c r="I3" s="7" t="s">
        <v>266</v>
      </c>
      <c r="J3" s="9" t="s">
        <v>28</v>
      </c>
      <c r="K3" s="7" t="s">
        <v>40</v>
      </c>
      <c r="L3" s="76" t="str">
        <f>IF(LogicCommon!G3="","",LogicCommon!G3)</f>
        <v/>
      </c>
      <c r="M3" s="56" t="s">
        <v>29</v>
      </c>
      <c r="N3" s="7"/>
      <c r="O3" s="7" t="s">
        <v>267</v>
      </c>
      <c r="P3" s="9" t="s">
        <v>268</v>
      </c>
      <c r="Q3" s="4"/>
      <c r="R3" s="27"/>
      <c r="S3" s="27"/>
      <c r="T3" s="27"/>
      <c r="U3" s="27"/>
      <c r="V3" s="27"/>
    </row>
    <row r="4" spans="1:22" s="11" customFormat="1" x14ac:dyDescent="0.2">
      <c r="A4" s="77" t="s">
        <v>263</v>
      </c>
      <c r="B4" s="78"/>
      <c r="C4" s="78"/>
      <c r="D4" s="4"/>
      <c r="E4" s="7" t="s">
        <v>8</v>
      </c>
      <c r="F4" s="10" t="s">
        <v>401</v>
      </c>
      <c r="G4" s="7" t="s">
        <v>11</v>
      </c>
      <c r="H4" s="76" t="str">
        <f>IF(LogicCommon!E4="","",LogicCommon!E4)</f>
        <v>品目リリース登録</v>
      </c>
      <c r="I4" s="7" t="s">
        <v>269</v>
      </c>
      <c r="J4" s="9" t="s">
        <v>62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1" t="s">
        <v>263</v>
      </c>
      <c r="B5" s="73"/>
      <c r="C5" s="73"/>
      <c r="D5" s="26"/>
      <c r="E5" s="7" t="s">
        <v>270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7" t="s">
        <v>263</v>
      </c>
      <c r="B6" s="78"/>
      <c r="C6" s="78"/>
      <c r="D6" s="4" t="s">
        <v>6</v>
      </c>
      <c r="E6" s="16" t="s">
        <v>258</v>
      </c>
      <c r="F6" s="16"/>
      <c r="G6" s="16"/>
      <c r="H6" s="16"/>
      <c r="I6" s="16"/>
      <c r="J6" s="16"/>
      <c r="K6" s="16"/>
      <c r="L6" s="83" t="s">
        <v>262</v>
      </c>
      <c r="M6" s="19"/>
      <c r="N6" s="19" t="s">
        <v>262</v>
      </c>
      <c r="O6" s="19"/>
      <c r="P6" s="19" t="s">
        <v>262</v>
      </c>
      <c r="Q6" s="19"/>
      <c r="R6" s="3" t="s">
        <v>262</v>
      </c>
      <c r="S6" s="4"/>
      <c r="T6" s="29"/>
      <c r="U6" s="29"/>
      <c r="V6" s="27"/>
    </row>
    <row r="7" spans="1:22" s="11" customFormat="1" x14ac:dyDescent="0.2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78</v>
      </c>
      <c r="M7" s="33" t="s">
        <v>64</v>
      </c>
      <c r="N7" s="32" t="s">
        <v>79</v>
      </c>
      <c r="O7" s="33" t="s">
        <v>64</v>
      </c>
      <c r="P7" s="32"/>
      <c r="Q7" s="33" t="s">
        <v>64</v>
      </c>
      <c r="R7" s="32"/>
      <c r="S7" s="29"/>
      <c r="T7" s="29"/>
      <c r="U7" s="29"/>
      <c r="V7" s="29"/>
    </row>
    <row r="8" spans="1:22" s="11" customFormat="1" ht="60" customHeight="1" x14ac:dyDescent="0.2">
      <c r="A8" s="49" t="s">
        <v>17</v>
      </c>
      <c r="B8" s="87"/>
      <c r="C8" s="88"/>
      <c r="D8" s="85" t="s">
        <v>409</v>
      </c>
      <c r="E8" s="85" t="s">
        <v>410</v>
      </c>
      <c r="F8" s="83"/>
      <c r="G8" s="85" t="s">
        <v>293</v>
      </c>
      <c r="H8" s="85" t="s">
        <v>411</v>
      </c>
      <c r="I8" s="83"/>
      <c r="J8" s="3"/>
      <c r="K8" s="33" t="s">
        <v>16</v>
      </c>
      <c r="L8" s="9" t="s">
        <v>151</v>
      </c>
      <c r="M8" s="33" t="s">
        <v>65</v>
      </c>
      <c r="N8" s="9" t="s">
        <v>152</v>
      </c>
      <c r="O8" s="33" t="s">
        <v>65</v>
      </c>
      <c r="P8" s="9"/>
      <c r="Q8" s="33" t="s">
        <v>65</v>
      </c>
      <c r="R8" s="9"/>
      <c r="S8" s="89"/>
      <c r="T8" s="90"/>
      <c r="U8" s="91" t="s">
        <v>420</v>
      </c>
      <c r="V8" s="51"/>
    </row>
    <row r="9" spans="1:22" s="11" customFormat="1" ht="60" customHeight="1" x14ac:dyDescent="0.2">
      <c r="A9" s="9" t="s">
        <v>17</v>
      </c>
      <c r="B9" s="37"/>
      <c r="C9" s="38"/>
      <c r="D9" s="85" t="s">
        <v>440</v>
      </c>
      <c r="E9" s="92" t="s">
        <v>441</v>
      </c>
      <c r="F9" s="85" t="s">
        <v>414</v>
      </c>
      <c r="G9" s="85" t="s">
        <v>415</v>
      </c>
      <c r="H9" s="85" t="s">
        <v>416</v>
      </c>
      <c r="I9" s="93" t="s">
        <v>417</v>
      </c>
      <c r="J9" s="85" t="s">
        <v>418</v>
      </c>
      <c r="K9" s="33"/>
      <c r="L9" s="33"/>
      <c r="M9" s="33"/>
      <c r="N9" s="33"/>
      <c r="O9" s="33"/>
      <c r="P9" s="33"/>
      <c r="Q9" s="33"/>
      <c r="R9" s="33"/>
      <c r="S9" s="91" t="s">
        <v>419</v>
      </c>
      <c r="T9" s="51"/>
      <c r="U9" s="91" t="s">
        <v>421</v>
      </c>
      <c r="V9" s="51"/>
    </row>
    <row r="10" spans="1:22" s="11" customFormat="1" ht="52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86" t="s">
        <v>417</v>
      </c>
      <c r="L10" s="86" t="s">
        <v>418</v>
      </c>
      <c r="M10" s="86" t="s">
        <v>417</v>
      </c>
      <c r="N10" s="86" t="s">
        <v>418</v>
      </c>
      <c r="O10" s="86" t="s">
        <v>417</v>
      </c>
      <c r="P10" s="86" t="s">
        <v>418</v>
      </c>
      <c r="Q10" s="86" t="s">
        <v>417</v>
      </c>
      <c r="R10" s="86" t="s">
        <v>418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227</v>
      </c>
      <c r="E11" s="34" t="s">
        <v>21</v>
      </c>
      <c r="F11" s="44"/>
      <c r="G11" s="28" t="s">
        <v>74</v>
      </c>
      <c r="H11" s="45" t="s">
        <v>392</v>
      </c>
      <c r="I11" s="46"/>
      <c r="J11" s="47"/>
      <c r="K11" s="48" t="s">
        <v>393</v>
      </c>
      <c r="L11" s="48"/>
      <c r="M11" s="48" t="s">
        <v>394</v>
      </c>
      <c r="N11" s="48"/>
      <c r="O11" s="48"/>
      <c r="P11" s="48"/>
      <c r="Q11" s="48"/>
      <c r="R11" s="48"/>
      <c r="S11" s="35"/>
      <c r="T11" s="36"/>
      <c r="U11" s="70"/>
      <c r="V11" s="72"/>
    </row>
    <row r="12" spans="1:22" s="11" customFormat="1" x14ac:dyDescent="0.2">
      <c r="A12" s="9">
        <v>10</v>
      </c>
      <c r="B12" s="9"/>
      <c r="C12" s="9"/>
      <c r="D12" s="9" t="s">
        <v>88</v>
      </c>
      <c r="E12" s="49" t="s">
        <v>106</v>
      </c>
      <c r="F12" s="49"/>
      <c r="G12" s="50" t="s">
        <v>422</v>
      </c>
      <c r="H12" s="50" t="s">
        <v>271</v>
      </c>
      <c r="I12" s="9" t="s">
        <v>272</v>
      </c>
      <c r="J12" s="9"/>
      <c r="K12" s="9" t="s">
        <v>272</v>
      </c>
      <c r="L12" s="9"/>
      <c r="M12" s="9" t="s">
        <v>272</v>
      </c>
      <c r="N12" s="9"/>
      <c r="O12" s="9"/>
      <c r="P12" s="9"/>
      <c r="Q12" s="9"/>
      <c r="R12" s="9"/>
      <c r="S12" s="41"/>
      <c r="T12" s="51"/>
      <c r="U12" s="141"/>
      <c r="V12" s="142"/>
    </row>
    <row r="13" spans="1:22" s="11" customFormat="1" x14ac:dyDescent="0.2">
      <c r="A13" s="9">
        <v>10</v>
      </c>
      <c r="B13" s="9"/>
      <c r="C13" s="9"/>
      <c r="D13" s="9" t="s">
        <v>90</v>
      </c>
      <c r="E13" s="49" t="s">
        <v>108</v>
      </c>
      <c r="F13" s="49"/>
      <c r="G13" s="50" t="s">
        <v>423</v>
      </c>
      <c r="H13" s="50" t="s">
        <v>307</v>
      </c>
      <c r="I13" s="9" t="s">
        <v>272</v>
      </c>
      <c r="J13" s="9"/>
      <c r="K13" s="9" t="s">
        <v>272</v>
      </c>
      <c r="L13" s="9"/>
      <c r="M13" s="9" t="s">
        <v>272</v>
      </c>
      <c r="N13" s="9"/>
      <c r="O13" s="9"/>
      <c r="P13" s="9"/>
      <c r="Q13" s="9"/>
      <c r="R13" s="9"/>
      <c r="S13" s="41"/>
      <c r="T13" s="51"/>
      <c r="U13" s="141"/>
      <c r="V13" s="142"/>
    </row>
    <row r="14" spans="1:22" s="11" customFormat="1" x14ac:dyDescent="0.2">
      <c r="A14" s="9">
        <v>10</v>
      </c>
      <c r="B14" s="9"/>
      <c r="C14" s="9"/>
      <c r="D14" s="9" t="s">
        <v>92</v>
      </c>
      <c r="E14" s="49" t="s">
        <v>110</v>
      </c>
      <c r="F14" s="49"/>
      <c r="G14" s="50" t="s">
        <v>424</v>
      </c>
      <c r="H14" s="50" t="s">
        <v>275</v>
      </c>
      <c r="I14" s="9" t="s">
        <v>272</v>
      </c>
      <c r="J14" s="9"/>
      <c r="K14" s="9" t="s">
        <v>272</v>
      </c>
      <c r="L14" s="9"/>
      <c r="M14" s="9" t="s">
        <v>272</v>
      </c>
      <c r="N14" s="9"/>
      <c r="O14" s="9"/>
      <c r="P14" s="9"/>
      <c r="Q14" s="9"/>
      <c r="R14" s="9"/>
      <c r="S14" s="41"/>
      <c r="T14" s="51"/>
      <c r="U14" s="141"/>
      <c r="V14" s="142"/>
    </row>
    <row r="15" spans="1:22" s="11" customFormat="1" x14ac:dyDescent="0.2">
      <c r="A15" s="9">
        <v>10</v>
      </c>
      <c r="B15" s="9"/>
      <c r="C15" s="9"/>
      <c r="D15" s="9" t="s">
        <v>94</v>
      </c>
      <c r="E15" s="49" t="s">
        <v>112</v>
      </c>
      <c r="F15" s="49"/>
      <c r="G15" s="50" t="s">
        <v>425</v>
      </c>
      <c r="H15" s="50" t="s">
        <v>276</v>
      </c>
      <c r="I15" s="9" t="s">
        <v>272</v>
      </c>
      <c r="J15" s="9"/>
      <c r="K15" s="9" t="s">
        <v>272</v>
      </c>
      <c r="L15" s="9"/>
      <c r="M15" s="9" t="s">
        <v>272</v>
      </c>
      <c r="N15" s="9"/>
      <c r="O15" s="9"/>
      <c r="P15" s="9"/>
      <c r="Q15" s="9"/>
      <c r="R15" s="9"/>
      <c r="S15" s="41"/>
      <c r="T15" s="51"/>
      <c r="U15" s="141"/>
      <c r="V15" s="142"/>
    </row>
    <row r="16" spans="1:22" s="11" customFormat="1" x14ac:dyDescent="0.2">
      <c r="A16" s="9">
        <v>10</v>
      </c>
      <c r="B16" s="9"/>
      <c r="C16" s="9"/>
      <c r="D16" s="9" t="s">
        <v>41</v>
      </c>
      <c r="E16" s="49" t="s">
        <v>43</v>
      </c>
      <c r="F16" s="49"/>
      <c r="G16" s="50" t="s">
        <v>430</v>
      </c>
      <c r="H16" s="50" t="s">
        <v>297</v>
      </c>
      <c r="I16" s="9" t="s">
        <v>272</v>
      </c>
      <c r="J16" s="9"/>
      <c r="K16" s="9" t="s">
        <v>272</v>
      </c>
      <c r="L16" s="9"/>
      <c r="M16" s="9" t="s">
        <v>272</v>
      </c>
      <c r="N16" s="9"/>
      <c r="O16" s="9"/>
      <c r="P16" s="9"/>
      <c r="Q16" s="9"/>
      <c r="R16" s="9"/>
      <c r="S16" s="41"/>
      <c r="T16" s="51"/>
      <c r="U16" s="141"/>
      <c r="V16" s="142"/>
    </row>
    <row r="17" spans="1:22" s="11" customFormat="1" x14ac:dyDescent="0.2">
      <c r="A17" s="9">
        <v>10</v>
      </c>
      <c r="B17" s="9"/>
      <c r="C17" s="9"/>
      <c r="D17" s="9" t="s">
        <v>49</v>
      </c>
      <c r="E17" s="49" t="s">
        <v>50</v>
      </c>
      <c r="F17" s="49"/>
      <c r="G17" s="50" t="s">
        <v>431</v>
      </c>
      <c r="H17" s="50" t="s">
        <v>286</v>
      </c>
      <c r="I17" s="9" t="s">
        <v>272</v>
      </c>
      <c r="J17" s="9"/>
      <c r="K17" s="9" t="s">
        <v>272</v>
      </c>
      <c r="L17" s="9"/>
      <c r="M17" s="9" t="s">
        <v>272</v>
      </c>
      <c r="N17" s="9"/>
      <c r="O17" s="9"/>
      <c r="P17" s="9"/>
      <c r="Q17" s="9"/>
      <c r="R17" s="9"/>
      <c r="S17" s="41"/>
      <c r="T17" s="51"/>
      <c r="U17" s="141"/>
      <c r="V17" s="142"/>
    </row>
    <row r="18" spans="1:22" s="11" customFormat="1" x14ac:dyDescent="0.2">
      <c r="A18" s="9">
        <v>10</v>
      </c>
      <c r="B18" s="9"/>
      <c r="C18" s="9"/>
      <c r="D18" s="9" t="s">
        <v>45</v>
      </c>
      <c r="E18" s="49" t="s">
        <v>47</v>
      </c>
      <c r="F18" s="49"/>
      <c r="G18" s="50" t="s">
        <v>432</v>
      </c>
      <c r="H18" s="50" t="s">
        <v>287</v>
      </c>
      <c r="I18" s="9" t="s">
        <v>272</v>
      </c>
      <c r="J18" s="9"/>
      <c r="K18" s="9" t="s">
        <v>272</v>
      </c>
      <c r="L18" s="9"/>
      <c r="M18" s="9" t="s">
        <v>272</v>
      </c>
      <c r="N18" s="9"/>
      <c r="O18" s="9"/>
      <c r="P18" s="9"/>
      <c r="Q18" s="9"/>
      <c r="R18" s="9"/>
      <c r="S18" s="41"/>
      <c r="T18" s="51"/>
      <c r="U18" s="141"/>
      <c r="V18" s="142"/>
    </row>
    <row r="19" spans="1:22" s="11" customFormat="1" x14ac:dyDescent="0.2">
      <c r="A19" s="9">
        <v>10</v>
      </c>
      <c r="B19" s="9"/>
      <c r="C19" s="9"/>
      <c r="D19" s="9" t="s">
        <v>211</v>
      </c>
      <c r="E19" s="49" t="s">
        <v>212</v>
      </c>
      <c r="F19" s="49"/>
      <c r="G19" s="50" t="s">
        <v>433</v>
      </c>
      <c r="H19" s="50" t="s">
        <v>288</v>
      </c>
      <c r="I19" s="9"/>
      <c r="J19" s="9"/>
      <c r="K19" s="9"/>
      <c r="L19" s="9"/>
      <c r="M19" s="9" t="s">
        <v>272</v>
      </c>
      <c r="N19" s="9"/>
      <c r="O19" s="9"/>
      <c r="P19" s="9"/>
      <c r="Q19" s="9"/>
      <c r="R19" s="9"/>
      <c r="S19" s="41"/>
      <c r="T19" s="51"/>
      <c r="U19" s="141"/>
      <c r="V19" s="142"/>
    </row>
    <row r="20" spans="1:22" s="11" customFormat="1" x14ac:dyDescent="0.2">
      <c r="A20" s="9">
        <v>10</v>
      </c>
      <c r="B20" s="9"/>
      <c r="C20" s="9"/>
      <c r="D20" s="9" t="s">
        <v>209</v>
      </c>
      <c r="E20" s="49" t="s">
        <v>213</v>
      </c>
      <c r="F20" s="49"/>
      <c r="G20" s="50" t="s">
        <v>434</v>
      </c>
      <c r="H20" s="50" t="s">
        <v>289</v>
      </c>
      <c r="I20" s="9"/>
      <c r="J20" s="9"/>
      <c r="K20" s="9"/>
      <c r="L20" s="9"/>
      <c r="M20" s="9" t="s">
        <v>272</v>
      </c>
      <c r="N20" s="9"/>
      <c r="O20" s="9"/>
      <c r="P20" s="9"/>
      <c r="Q20" s="9"/>
      <c r="R20" s="9"/>
      <c r="S20" s="41"/>
      <c r="T20" s="51"/>
      <c r="U20" s="141"/>
      <c r="V20" s="142"/>
    </row>
    <row r="21" spans="1:22" s="11" customFormat="1" x14ac:dyDescent="0.2">
      <c r="A21" s="9">
        <v>10</v>
      </c>
      <c r="B21" s="9"/>
      <c r="C21" s="9"/>
      <c r="D21" s="9" t="s">
        <v>210</v>
      </c>
      <c r="E21" s="49" t="s">
        <v>214</v>
      </c>
      <c r="F21" s="49"/>
      <c r="G21" s="50" t="s">
        <v>435</v>
      </c>
      <c r="H21" s="50" t="s">
        <v>290</v>
      </c>
      <c r="I21" s="9"/>
      <c r="J21" s="9"/>
      <c r="K21" s="9"/>
      <c r="L21" s="9"/>
      <c r="M21" s="9" t="s">
        <v>272</v>
      </c>
      <c r="N21" s="9"/>
      <c r="O21" s="9"/>
      <c r="P21" s="9"/>
      <c r="Q21" s="9"/>
      <c r="R21" s="9"/>
      <c r="S21" s="41"/>
      <c r="T21" s="51"/>
      <c r="U21" s="141"/>
      <c r="V21" s="142"/>
    </row>
    <row r="22" spans="1:22" s="11" customFormat="1" x14ac:dyDescent="0.2">
      <c r="A22" s="9">
        <v>10</v>
      </c>
      <c r="B22" s="9"/>
      <c r="C22" s="9"/>
      <c r="D22" s="9" t="s">
        <v>207</v>
      </c>
      <c r="E22" s="49" t="s">
        <v>208</v>
      </c>
      <c r="F22" s="49"/>
      <c r="G22" s="50" t="s">
        <v>436</v>
      </c>
      <c r="H22" s="50" t="s">
        <v>291</v>
      </c>
      <c r="I22" s="9"/>
      <c r="J22" s="9"/>
      <c r="K22" s="9"/>
      <c r="L22" s="9"/>
      <c r="M22" s="9" t="s">
        <v>272</v>
      </c>
      <c r="N22" s="9"/>
      <c r="O22" s="9"/>
      <c r="P22" s="9"/>
      <c r="Q22" s="9"/>
      <c r="R22" s="9"/>
      <c r="S22" s="41"/>
      <c r="T22" s="51"/>
      <c r="U22" s="141"/>
      <c r="V22" s="142"/>
    </row>
    <row r="23" spans="1:22" s="11" customFormat="1" x14ac:dyDescent="0.2">
      <c r="A23" s="9">
        <v>10</v>
      </c>
      <c r="B23" s="9"/>
      <c r="C23" s="9"/>
      <c r="D23" s="9" t="s">
        <v>70</v>
      </c>
      <c r="E23" s="49" t="s">
        <v>71</v>
      </c>
      <c r="F23" s="49"/>
      <c r="G23" s="50" t="s">
        <v>437</v>
      </c>
      <c r="H23" s="50" t="s">
        <v>296</v>
      </c>
      <c r="I23" s="9" t="s">
        <v>272</v>
      </c>
      <c r="J23" s="9"/>
      <c r="K23" s="9" t="s">
        <v>272</v>
      </c>
      <c r="L23" s="9"/>
      <c r="M23" s="9" t="s">
        <v>272</v>
      </c>
      <c r="N23" s="9"/>
      <c r="O23" s="9"/>
      <c r="P23" s="9"/>
      <c r="Q23" s="9"/>
      <c r="R23" s="9"/>
      <c r="S23" s="41"/>
      <c r="T23" s="51"/>
      <c r="U23" s="141"/>
      <c r="V23" s="142"/>
    </row>
    <row r="24" spans="1:22" s="11" customFormat="1" x14ac:dyDescent="0.2">
      <c r="A24" s="52"/>
      <c r="B24" s="53"/>
      <c r="C24" s="53"/>
      <c r="D24" s="27" t="s">
        <v>1</v>
      </c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4"/>
      <c r="T24" s="4"/>
      <c r="U24" s="6"/>
      <c r="V24" s="23"/>
    </row>
    <row r="25" spans="1:22" s="11" customFormat="1" x14ac:dyDescent="0.2">
      <c r="A25" s="77"/>
      <c r="V25" s="54"/>
    </row>
    <row r="26" spans="1:22" s="11" customFormat="1" x14ac:dyDescent="0.2">
      <c r="A26" s="77"/>
      <c r="V26" s="54"/>
    </row>
    <row r="27" spans="1:22" s="11" customFormat="1" x14ac:dyDescent="0.2">
      <c r="A27" s="77"/>
      <c r="V27" s="54"/>
    </row>
    <row r="28" spans="1:22" s="11" customFormat="1" x14ac:dyDescent="0.2">
      <c r="A28" s="81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20"/>
    </row>
  </sheetData>
  <dataConsolidate/>
  <mergeCells count="12">
    <mergeCell ref="U23:V23"/>
    <mergeCell ref="U18:V18"/>
    <mergeCell ref="U17:V17"/>
    <mergeCell ref="U16:V16"/>
    <mergeCell ref="U15:V15"/>
    <mergeCell ref="U14:V14"/>
    <mergeCell ref="U13:V13"/>
    <mergeCell ref="U12:V12"/>
    <mergeCell ref="U22:V22"/>
    <mergeCell ref="U19:V19"/>
    <mergeCell ref="U20:V20"/>
    <mergeCell ref="U21:V21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pageSetUpPr fitToPage="1"/>
  </sheetPr>
  <dimension ref="A1:R35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3" t="s">
        <v>263</v>
      </c>
      <c r="B1" s="73" t="s">
        <v>263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4" t="s">
        <v>263</v>
      </c>
      <c r="B2" s="75"/>
      <c r="C2" s="75"/>
      <c r="D2" s="84" t="s">
        <v>408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MABCL0400</v>
      </c>
      <c r="I2" s="7" t="s">
        <v>264</v>
      </c>
      <c r="J2" s="9" t="s">
        <v>84</v>
      </c>
      <c r="K2" s="7" t="s">
        <v>39</v>
      </c>
      <c r="L2" s="76" t="str">
        <f>IF(LogicCommon!G2="","",LogicCommon!G2)</f>
        <v>MC</v>
      </c>
      <c r="M2" s="5" t="s">
        <v>265</v>
      </c>
      <c r="N2" s="28" t="s">
        <v>405</v>
      </c>
      <c r="O2" s="7"/>
      <c r="P2" s="7"/>
      <c r="Q2" s="4"/>
      <c r="R2" s="27"/>
    </row>
    <row r="3" spans="1:18" s="11" customFormat="1" x14ac:dyDescent="0.2">
      <c r="A3" s="77" t="s">
        <v>263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MABCL_ItmRlsReg</v>
      </c>
      <c r="I3" s="7" t="s">
        <v>266</v>
      </c>
      <c r="J3" s="9" t="s">
        <v>28</v>
      </c>
      <c r="K3" s="7" t="s">
        <v>40</v>
      </c>
      <c r="L3" s="76" t="str">
        <f>IF(LogicCommon!G3="","",LogicCommon!G3)</f>
        <v/>
      </c>
      <c r="M3" s="56" t="s">
        <v>29</v>
      </c>
      <c r="N3" s="7"/>
      <c r="O3" s="7" t="s">
        <v>267</v>
      </c>
      <c r="P3" s="9" t="s">
        <v>268</v>
      </c>
      <c r="Q3" s="4"/>
      <c r="R3" s="27"/>
    </row>
    <row r="4" spans="1:18" s="11" customFormat="1" x14ac:dyDescent="0.2">
      <c r="A4" s="77" t="s">
        <v>263</v>
      </c>
      <c r="B4" s="78"/>
      <c r="C4" s="78"/>
      <c r="D4" s="4"/>
      <c r="E4" s="7" t="s">
        <v>8</v>
      </c>
      <c r="F4" s="10" t="s">
        <v>401</v>
      </c>
      <c r="G4" s="7" t="s">
        <v>11</v>
      </c>
      <c r="H4" s="76" t="str">
        <f>IF(LogicCommon!E4="","",LogicCommon!E4)</f>
        <v>品目リリース登録</v>
      </c>
      <c r="I4" s="7" t="s">
        <v>269</v>
      </c>
      <c r="J4" s="9" t="s">
        <v>180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  <c r="R4" s="27"/>
    </row>
    <row r="5" spans="1:18" s="11" customFormat="1" x14ac:dyDescent="0.2">
      <c r="A5" s="81" t="s">
        <v>263</v>
      </c>
      <c r="B5" s="73"/>
      <c r="C5" s="73"/>
      <c r="D5" s="26"/>
      <c r="E5" s="7" t="s">
        <v>270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7" t="s">
        <v>263</v>
      </c>
      <c r="B6" s="78"/>
      <c r="C6" s="78"/>
      <c r="D6" s="4" t="s">
        <v>6</v>
      </c>
      <c r="E6" s="16" t="s">
        <v>259</v>
      </c>
      <c r="F6" s="16"/>
      <c r="G6" s="16"/>
      <c r="H6" s="16"/>
      <c r="I6" s="16"/>
      <c r="J6" s="16"/>
      <c r="K6" s="16"/>
      <c r="L6" s="83" t="s">
        <v>262</v>
      </c>
      <c r="M6" s="19"/>
      <c r="N6" s="19" t="s">
        <v>262</v>
      </c>
      <c r="O6" s="19"/>
      <c r="P6" s="19"/>
      <c r="Q6" s="19"/>
      <c r="R6" s="27"/>
    </row>
    <row r="7" spans="1:18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80</v>
      </c>
      <c r="M7" s="33" t="s">
        <v>33</v>
      </c>
      <c r="N7" s="32" t="s">
        <v>200</v>
      </c>
      <c r="O7" s="29"/>
      <c r="P7" s="29"/>
      <c r="Q7" s="29"/>
      <c r="R7" s="29"/>
    </row>
    <row r="8" spans="1:18" s="11" customFormat="1" ht="60" customHeight="1" x14ac:dyDescent="0.2">
      <c r="A8" s="49" t="s">
        <v>17</v>
      </c>
      <c r="B8" s="87"/>
      <c r="C8" s="88"/>
      <c r="D8" s="85" t="s">
        <v>409</v>
      </c>
      <c r="E8" s="85" t="s">
        <v>410</v>
      </c>
      <c r="F8" s="83"/>
      <c r="G8" s="85" t="s">
        <v>293</v>
      </c>
      <c r="H8" s="85" t="s">
        <v>411</v>
      </c>
      <c r="I8" s="83"/>
      <c r="J8" s="3"/>
      <c r="K8" s="33" t="s">
        <v>16</v>
      </c>
      <c r="L8" s="9" t="s">
        <v>153</v>
      </c>
      <c r="M8" s="33" t="s">
        <v>16</v>
      </c>
      <c r="N8" s="9" t="s">
        <v>154</v>
      </c>
      <c r="O8" s="89"/>
      <c r="P8" s="90"/>
      <c r="Q8" s="91" t="s">
        <v>420</v>
      </c>
      <c r="R8" s="51"/>
    </row>
    <row r="9" spans="1:18" s="11" customFormat="1" ht="60" customHeight="1" x14ac:dyDescent="0.2">
      <c r="A9" s="9" t="s">
        <v>17</v>
      </c>
      <c r="B9" s="37"/>
      <c r="C9" s="38"/>
      <c r="D9" s="85" t="s">
        <v>440</v>
      </c>
      <c r="E9" s="92" t="s">
        <v>441</v>
      </c>
      <c r="F9" s="85" t="s">
        <v>414</v>
      </c>
      <c r="G9" s="85" t="s">
        <v>415</v>
      </c>
      <c r="H9" s="85" t="s">
        <v>416</v>
      </c>
      <c r="I9" s="93" t="s">
        <v>417</v>
      </c>
      <c r="J9" s="85" t="s">
        <v>418</v>
      </c>
      <c r="K9" s="33"/>
      <c r="L9" s="33"/>
      <c r="M9" s="33"/>
      <c r="N9" s="33"/>
      <c r="O9" s="91" t="s">
        <v>419</v>
      </c>
      <c r="P9" s="51"/>
      <c r="Q9" s="91" t="s">
        <v>421</v>
      </c>
      <c r="R9" s="51"/>
    </row>
    <row r="10" spans="1:18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6" t="s">
        <v>417</v>
      </c>
      <c r="L10" s="86" t="s">
        <v>418</v>
      </c>
      <c r="M10" s="86" t="s">
        <v>417</v>
      </c>
      <c r="N10" s="86" t="s">
        <v>418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67</v>
      </c>
      <c r="E11" s="34" t="s">
        <v>21</v>
      </c>
      <c r="F11" s="44"/>
      <c r="G11" s="28" t="s">
        <v>74</v>
      </c>
      <c r="H11" s="45" t="s">
        <v>395</v>
      </c>
      <c r="I11" s="46"/>
      <c r="J11" s="47"/>
      <c r="K11" s="48" t="s">
        <v>396</v>
      </c>
      <c r="L11" s="48"/>
      <c r="M11" s="48" t="s">
        <v>397</v>
      </c>
      <c r="N11" s="48"/>
      <c r="O11" s="35"/>
      <c r="P11" s="36"/>
      <c r="Q11" s="70"/>
      <c r="R11" s="72"/>
    </row>
    <row r="12" spans="1:18" s="11" customFormat="1" x14ac:dyDescent="0.2">
      <c r="A12" s="9">
        <v>10</v>
      </c>
      <c r="B12" s="9"/>
      <c r="C12" s="9"/>
      <c r="D12" s="9" t="s">
        <v>88</v>
      </c>
      <c r="E12" s="49" t="s">
        <v>106</v>
      </c>
      <c r="F12" s="49"/>
      <c r="G12" s="50" t="s">
        <v>422</v>
      </c>
      <c r="H12" s="50" t="s">
        <v>271</v>
      </c>
      <c r="I12" s="9" t="s">
        <v>272</v>
      </c>
      <c r="J12" s="9"/>
      <c r="K12" s="9" t="s">
        <v>272</v>
      </c>
      <c r="L12" s="9"/>
      <c r="M12" s="9" t="s">
        <v>272</v>
      </c>
      <c r="N12" s="9"/>
      <c r="O12" s="41"/>
      <c r="P12" s="51"/>
      <c r="Q12" s="141"/>
      <c r="R12" s="142"/>
    </row>
    <row r="13" spans="1:18" s="11" customFormat="1" x14ac:dyDescent="0.2">
      <c r="A13" s="9">
        <v>10</v>
      </c>
      <c r="B13" s="9"/>
      <c r="C13" s="9"/>
      <c r="D13" s="9" t="s">
        <v>90</v>
      </c>
      <c r="E13" s="49" t="s">
        <v>108</v>
      </c>
      <c r="F13" s="49"/>
      <c r="G13" s="50" t="s">
        <v>423</v>
      </c>
      <c r="H13" s="50" t="s">
        <v>274</v>
      </c>
      <c r="I13" s="9" t="s">
        <v>272</v>
      </c>
      <c r="J13" s="9"/>
      <c r="K13" s="9" t="s">
        <v>272</v>
      </c>
      <c r="L13" s="9"/>
      <c r="M13" s="9" t="s">
        <v>272</v>
      </c>
      <c r="N13" s="9"/>
      <c r="O13" s="41"/>
      <c r="P13" s="51"/>
      <c r="Q13" s="141"/>
      <c r="R13" s="142"/>
    </row>
    <row r="14" spans="1:18" s="11" customFormat="1" x14ac:dyDescent="0.2">
      <c r="A14" s="9">
        <v>10</v>
      </c>
      <c r="B14" s="9"/>
      <c r="C14" s="9"/>
      <c r="D14" s="9" t="s">
        <v>92</v>
      </c>
      <c r="E14" s="49" t="s">
        <v>110</v>
      </c>
      <c r="F14" s="49"/>
      <c r="G14" s="50" t="s">
        <v>424</v>
      </c>
      <c r="H14" s="50" t="s">
        <v>275</v>
      </c>
      <c r="I14" s="9" t="s">
        <v>272</v>
      </c>
      <c r="J14" s="9"/>
      <c r="K14" s="9" t="s">
        <v>272</v>
      </c>
      <c r="L14" s="9"/>
      <c r="M14" s="9" t="s">
        <v>272</v>
      </c>
      <c r="N14" s="9"/>
      <c r="O14" s="41"/>
      <c r="P14" s="51"/>
      <c r="Q14" s="141"/>
      <c r="R14" s="142"/>
    </row>
    <row r="15" spans="1:18" s="11" customFormat="1" x14ac:dyDescent="0.2">
      <c r="A15" s="9">
        <v>10</v>
      </c>
      <c r="B15" s="9"/>
      <c r="C15" s="9"/>
      <c r="D15" s="9" t="s">
        <v>94</v>
      </c>
      <c r="E15" s="49" t="s">
        <v>112</v>
      </c>
      <c r="F15" s="49"/>
      <c r="G15" s="50" t="s">
        <v>425</v>
      </c>
      <c r="H15" s="50" t="s">
        <v>276</v>
      </c>
      <c r="I15" s="9" t="s">
        <v>272</v>
      </c>
      <c r="J15" s="9"/>
      <c r="K15" s="9" t="s">
        <v>272</v>
      </c>
      <c r="L15" s="9"/>
      <c r="M15" s="9" t="s">
        <v>272</v>
      </c>
      <c r="N15" s="9"/>
      <c r="O15" s="41"/>
      <c r="P15" s="51"/>
      <c r="Q15" s="141"/>
      <c r="R15" s="142"/>
    </row>
    <row r="16" spans="1:18" s="11" customFormat="1" x14ac:dyDescent="0.2">
      <c r="A16" s="9">
        <v>10</v>
      </c>
      <c r="B16" s="9"/>
      <c r="C16" s="9"/>
      <c r="D16" s="9" t="s">
        <v>41</v>
      </c>
      <c r="E16" s="49" t="s">
        <v>43</v>
      </c>
      <c r="F16" s="49"/>
      <c r="G16" s="50" t="s">
        <v>430</v>
      </c>
      <c r="H16" s="50" t="s">
        <v>297</v>
      </c>
      <c r="I16" s="9" t="s">
        <v>272</v>
      </c>
      <c r="J16" s="9"/>
      <c r="K16" s="9" t="s">
        <v>272</v>
      </c>
      <c r="L16" s="9"/>
      <c r="M16" s="9" t="s">
        <v>272</v>
      </c>
      <c r="N16" s="9"/>
      <c r="O16" s="41"/>
      <c r="P16" s="51"/>
      <c r="Q16" s="141"/>
      <c r="R16" s="142"/>
    </row>
    <row r="17" spans="1:18" s="11" customFormat="1" x14ac:dyDescent="0.2">
      <c r="A17" s="9">
        <v>10</v>
      </c>
      <c r="B17" s="9"/>
      <c r="C17" s="9"/>
      <c r="D17" s="9" t="s">
        <v>49</v>
      </c>
      <c r="E17" s="49" t="s">
        <v>50</v>
      </c>
      <c r="F17" s="49"/>
      <c r="G17" s="50" t="s">
        <v>431</v>
      </c>
      <c r="H17" s="50" t="s">
        <v>286</v>
      </c>
      <c r="I17" s="9" t="s">
        <v>272</v>
      </c>
      <c r="J17" s="9"/>
      <c r="K17" s="9" t="s">
        <v>272</v>
      </c>
      <c r="L17" s="9"/>
      <c r="M17" s="9" t="s">
        <v>272</v>
      </c>
      <c r="N17" s="9"/>
      <c r="O17" s="41"/>
      <c r="P17" s="51"/>
      <c r="Q17" s="141"/>
      <c r="R17" s="142"/>
    </row>
    <row r="18" spans="1:18" s="11" customFormat="1" x14ac:dyDescent="0.2">
      <c r="A18" s="9">
        <v>10</v>
      </c>
      <c r="B18" s="9"/>
      <c r="C18" s="9"/>
      <c r="D18" s="9" t="s">
        <v>45</v>
      </c>
      <c r="E18" s="49" t="s">
        <v>47</v>
      </c>
      <c r="F18" s="49"/>
      <c r="G18" s="50" t="s">
        <v>432</v>
      </c>
      <c r="H18" s="50" t="s">
        <v>287</v>
      </c>
      <c r="I18" s="9" t="s">
        <v>272</v>
      </c>
      <c r="J18" s="9"/>
      <c r="K18" s="9" t="s">
        <v>272</v>
      </c>
      <c r="L18" s="9"/>
      <c r="M18" s="9" t="s">
        <v>272</v>
      </c>
      <c r="N18" s="9"/>
      <c r="O18" s="41"/>
      <c r="P18" s="51"/>
      <c r="Q18" s="141"/>
      <c r="R18" s="142"/>
    </row>
    <row r="19" spans="1:18" s="11" customFormat="1" x14ac:dyDescent="0.2">
      <c r="A19" s="9">
        <v>10</v>
      </c>
      <c r="B19" s="9"/>
      <c r="C19" s="9"/>
      <c r="D19" s="9" t="s">
        <v>211</v>
      </c>
      <c r="E19" s="49" t="s">
        <v>212</v>
      </c>
      <c r="F19" s="49"/>
      <c r="G19" s="50" t="s">
        <v>433</v>
      </c>
      <c r="H19" s="50" t="s">
        <v>288</v>
      </c>
      <c r="I19" s="9"/>
      <c r="J19" s="9"/>
      <c r="K19" s="9"/>
      <c r="L19" s="9"/>
      <c r="M19" s="9" t="s">
        <v>272</v>
      </c>
      <c r="N19" s="9"/>
      <c r="O19" s="41"/>
      <c r="P19" s="51"/>
      <c r="Q19" s="141"/>
      <c r="R19" s="142"/>
    </row>
    <row r="20" spans="1:18" s="11" customFormat="1" x14ac:dyDescent="0.2">
      <c r="A20" s="9">
        <v>10</v>
      </c>
      <c r="B20" s="9"/>
      <c r="C20" s="9"/>
      <c r="D20" s="9" t="s">
        <v>209</v>
      </c>
      <c r="E20" s="49" t="s">
        <v>213</v>
      </c>
      <c r="F20" s="49"/>
      <c r="G20" s="50" t="s">
        <v>434</v>
      </c>
      <c r="H20" s="50" t="s">
        <v>289</v>
      </c>
      <c r="I20" s="9"/>
      <c r="J20" s="9"/>
      <c r="K20" s="9"/>
      <c r="L20" s="9"/>
      <c r="M20" s="9" t="s">
        <v>272</v>
      </c>
      <c r="N20" s="9"/>
      <c r="O20" s="41"/>
      <c r="P20" s="51"/>
      <c r="Q20" s="141"/>
      <c r="R20" s="142"/>
    </row>
    <row r="21" spans="1:18" s="11" customFormat="1" x14ac:dyDescent="0.2">
      <c r="A21" s="9">
        <v>10</v>
      </c>
      <c r="B21" s="9"/>
      <c r="C21" s="9"/>
      <c r="D21" s="9" t="s">
        <v>210</v>
      </c>
      <c r="E21" s="49" t="s">
        <v>214</v>
      </c>
      <c r="F21" s="49"/>
      <c r="G21" s="50" t="s">
        <v>435</v>
      </c>
      <c r="H21" s="50" t="s">
        <v>290</v>
      </c>
      <c r="I21" s="9"/>
      <c r="J21" s="9"/>
      <c r="K21" s="9"/>
      <c r="L21" s="9"/>
      <c r="M21" s="9" t="s">
        <v>272</v>
      </c>
      <c r="N21" s="9"/>
      <c r="O21" s="41"/>
      <c r="P21" s="51"/>
      <c r="Q21" s="141"/>
      <c r="R21" s="142"/>
    </row>
    <row r="22" spans="1:18" s="11" customFormat="1" x14ac:dyDescent="0.2">
      <c r="A22" s="9">
        <v>10</v>
      </c>
      <c r="B22" s="9"/>
      <c r="C22" s="9"/>
      <c r="D22" s="9" t="s">
        <v>207</v>
      </c>
      <c r="E22" s="49" t="s">
        <v>208</v>
      </c>
      <c r="F22" s="49"/>
      <c r="G22" s="50" t="s">
        <v>436</v>
      </c>
      <c r="H22" s="50" t="s">
        <v>291</v>
      </c>
      <c r="I22" s="9"/>
      <c r="J22" s="9"/>
      <c r="K22" s="9"/>
      <c r="L22" s="9"/>
      <c r="M22" s="9" t="s">
        <v>272</v>
      </c>
      <c r="N22" s="9"/>
      <c r="O22" s="41"/>
      <c r="P22" s="51"/>
      <c r="Q22" s="141"/>
      <c r="R22" s="142"/>
    </row>
    <row r="23" spans="1:18" s="11" customFormat="1" x14ac:dyDescent="0.2">
      <c r="A23" s="9">
        <v>10</v>
      </c>
      <c r="B23" s="9"/>
      <c r="C23" s="9"/>
      <c r="D23" s="9" t="s">
        <v>70</v>
      </c>
      <c r="E23" s="49" t="s">
        <v>71</v>
      </c>
      <c r="F23" s="49"/>
      <c r="G23" s="50" t="s">
        <v>437</v>
      </c>
      <c r="H23" s="50" t="s">
        <v>296</v>
      </c>
      <c r="I23" s="9" t="s">
        <v>273</v>
      </c>
      <c r="J23" s="9"/>
      <c r="K23" s="9" t="s">
        <v>273</v>
      </c>
      <c r="L23" s="9"/>
      <c r="M23" s="9" t="s">
        <v>273</v>
      </c>
      <c r="N23" s="9"/>
      <c r="O23" s="43"/>
      <c r="P23" s="36"/>
      <c r="Q23" s="70"/>
      <c r="R23" s="72"/>
    </row>
    <row r="24" spans="1:18" s="11" customFormat="1" x14ac:dyDescent="0.2">
      <c r="A24" s="52"/>
      <c r="B24" s="53"/>
      <c r="C24" s="53"/>
      <c r="D24" s="27" t="s">
        <v>1</v>
      </c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4"/>
      <c r="P24" s="4"/>
      <c r="Q24" s="6"/>
      <c r="R24" s="23"/>
    </row>
    <row r="25" spans="1:18" s="11" customFormat="1" x14ac:dyDescent="0.2">
      <c r="A25" s="77"/>
      <c r="R25" s="54"/>
    </row>
    <row r="26" spans="1:18" s="11" customFormat="1" x14ac:dyDescent="0.2">
      <c r="A26" s="77"/>
      <c r="R26" s="54"/>
    </row>
    <row r="27" spans="1:18" s="11" customFormat="1" x14ac:dyDescent="0.2">
      <c r="A27" s="77"/>
      <c r="R27" s="54"/>
    </row>
    <row r="28" spans="1:18" s="11" customFormat="1" x14ac:dyDescent="0.2">
      <c r="A28" s="77"/>
      <c r="R28" s="54"/>
    </row>
    <row r="29" spans="1:18" s="11" customFormat="1" x14ac:dyDescent="0.2">
      <c r="A29" s="77"/>
      <c r="R29" s="54"/>
    </row>
    <row r="30" spans="1:18" s="11" customFormat="1" x14ac:dyDescent="0.2">
      <c r="A30" s="77"/>
      <c r="R30" s="54"/>
    </row>
    <row r="31" spans="1:18" s="11" customFormat="1" x14ac:dyDescent="0.2">
      <c r="A31" s="77"/>
      <c r="R31" s="54"/>
    </row>
    <row r="32" spans="1:18" s="11" customFormat="1" x14ac:dyDescent="0.2">
      <c r="A32" s="77"/>
      <c r="R32" s="54"/>
    </row>
    <row r="33" spans="1:18" s="11" customFormat="1" x14ac:dyDescent="0.2">
      <c r="A33" s="77"/>
      <c r="R33" s="54"/>
    </row>
    <row r="34" spans="1:18" s="11" customFormat="1" x14ac:dyDescent="0.2">
      <c r="A34" s="77"/>
      <c r="R34" s="54"/>
    </row>
    <row r="35" spans="1:18" s="11" customFormat="1" x14ac:dyDescent="0.2">
      <c r="A35" s="81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20"/>
    </row>
  </sheetData>
  <dataConsolidate/>
  <mergeCells count="11">
    <mergeCell ref="Q12:R12"/>
    <mergeCell ref="Q13:R13"/>
    <mergeCell ref="Q14:R14"/>
    <mergeCell ref="Q15:R15"/>
    <mergeCell ref="Q16:R16"/>
    <mergeCell ref="Q17:R17"/>
    <mergeCell ref="Q22:R22"/>
    <mergeCell ref="Q18:R18"/>
    <mergeCell ref="Q19:R19"/>
    <mergeCell ref="Q20:R20"/>
    <mergeCell ref="Q21:R21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V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9.453125" style="29" bestFit="1" customWidth="1"/>
    <col min="17" max="17" width="11.6328125" style="27" bestFit="1" customWidth="1"/>
    <col min="18" max="18" width="9.45312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3" t="s">
        <v>263</v>
      </c>
      <c r="B1" s="73" t="s">
        <v>263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4" t="s">
        <v>263</v>
      </c>
      <c r="B2" s="75"/>
      <c r="C2" s="75"/>
      <c r="D2" s="84" t="s">
        <v>408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MABCL0400</v>
      </c>
      <c r="I2" s="7" t="s">
        <v>264</v>
      </c>
      <c r="J2" s="9" t="s">
        <v>400</v>
      </c>
      <c r="K2" s="7" t="s">
        <v>39</v>
      </c>
      <c r="L2" s="76" t="str">
        <f>IF(LogicCommon!G2="","",LogicCommon!G2)</f>
        <v>MC</v>
      </c>
      <c r="M2" s="5" t="s">
        <v>265</v>
      </c>
      <c r="N2" s="28" t="s">
        <v>405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7" t="s">
        <v>263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MABCL_ItmRlsReg</v>
      </c>
      <c r="I3" s="7" t="s">
        <v>266</v>
      </c>
      <c r="J3" s="9" t="s">
        <v>28</v>
      </c>
      <c r="K3" s="7" t="s">
        <v>40</v>
      </c>
      <c r="L3" s="76" t="str">
        <f>IF(LogicCommon!G3="","",LogicCommon!G3)</f>
        <v/>
      </c>
      <c r="M3" s="56" t="s">
        <v>29</v>
      </c>
      <c r="N3" s="7"/>
      <c r="O3" s="7" t="s">
        <v>267</v>
      </c>
      <c r="P3" s="9" t="s">
        <v>268</v>
      </c>
      <c r="Q3" s="4"/>
      <c r="R3" s="27"/>
      <c r="S3" s="27"/>
      <c r="T3" s="27"/>
      <c r="U3" s="27"/>
      <c r="V3" s="27"/>
    </row>
    <row r="4" spans="1:22" s="11" customFormat="1" x14ac:dyDescent="0.2">
      <c r="A4" s="77" t="s">
        <v>263</v>
      </c>
      <c r="B4" s="78"/>
      <c r="C4" s="78"/>
      <c r="D4" s="4"/>
      <c r="E4" s="7" t="s">
        <v>8</v>
      </c>
      <c r="F4" s="10" t="s">
        <v>401</v>
      </c>
      <c r="G4" s="7" t="s">
        <v>11</v>
      </c>
      <c r="H4" s="76" t="str">
        <f>IF(LogicCommon!E4="","",LogicCommon!E4)</f>
        <v>品目リリース登録</v>
      </c>
      <c r="I4" s="7" t="s">
        <v>269</v>
      </c>
      <c r="J4" s="9" t="s">
        <v>261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1" t="s">
        <v>263</v>
      </c>
      <c r="B5" s="73"/>
      <c r="C5" s="73"/>
      <c r="D5" s="26"/>
      <c r="E5" s="7" t="s">
        <v>270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7" t="s">
        <v>263</v>
      </c>
      <c r="B6" s="78"/>
      <c r="C6" s="78"/>
      <c r="D6" s="4" t="s">
        <v>6</v>
      </c>
      <c r="E6" s="16" t="s">
        <v>260</v>
      </c>
      <c r="F6" s="16"/>
      <c r="G6" s="16"/>
      <c r="H6" s="16"/>
      <c r="I6" s="16"/>
      <c r="J6" s="16"/>
      <c r="K6" s="16"/>
      <c r="L6" s="83" t="s">
        <v>262</v>
      </c>
      <c r="M6" s="19"/>
      <c r="N6" s="19" t="s">
        <v>262</v>
      </c>
      <c r="O6" s="19"/>
      <c r="P6" s="19" t="s">
        <v>262</v>
      </c>
      <c r="Q6" s="19"/>
      <c r="R6" s="3" t="s">
        <v>262</v>
      </c>
      <c r="S6" s="4"/>
      <c r="T6" s="29"/>
      <c r="U6" s="29"/>
      <c r="V6" s="27"/>
    </row>
    <row r="7" spans="1:22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78</v>
      </c>
      <c r="M7" s="33" t="s">
        <v>64</v>
      </c>
      <c r="N7" s="32" t="s">
        <v>79</v>
      </c>
      <c r="O7" s="33" t="s">
        <v>64</v>
      </c>
      <c r="P7" s="32"/>
      <c r="Q7" s="33" t="s">
        <v>64</v>
      </c>
      <c r="R7" s="32"/>
      <c r="S7" s="29"/>
      <c r="T7" s="29"/>
      <c r="U7" s="29"/>
      <c r="V7" s="29"/>
    </row>
    <row r="8" spans="1:22" s="11" customFormat="1" ht="60" customHeight="1" x14ac:dyDescent="0.2">
      <c r="A8" s="49" t="s">
        <v>17</v>
      </c>
      <c r="B8" s="87"/>
      <c r="C8" s="88"/>
      <c r="D8" s="85" t="s">
        <v>409</v>
      </c>
      <c r="E8" s="85" t="s">
        <v>410</v>
      </c>
      <c r="F8" s="83"/>
      <c r="G8" s="85" t="s">
        <v>293</v>
      </c>
      <c r="H8" s="85" t="s">
        <v>411</v>
      </c>
      <c r="I8" s="83"/>
      <c r="J8" s="3"/>
      <c r="K8" s="33" t="s">
        <v>16</v>
      </c>
      <c r="L8" s="9" t="s">
        <v>242</v>
      </c>
      <c r="M8" s="33" t="s">
        <v>65</v>
      </c>
      <c r="N8" s="9" t="s">
        <v>243</v>
      </c>
      <c r="O8" s="33" t="s">
        <v>65</v>
      </c>
      <c r="P8" s="9"/>
      <c r="Q8" s="33" t="s">
        <v>65</v>
      </c>
      <c r="R8" s="9"/>
      <c r="S8" s="89"/>
      <c r="T8" s="90"/>
      <c r="U8" s="91" t="s">
        <v>420</v>
      </c>
      <c r="V8" s="51"/>
    </row>
    <row r="9" spans="1:22" s="11" customFormat="1" ht="60" customHeight="1" x14ac:dyDescent="0.2">
      <c r="A9" s="9" t="s">
        <v>17</v>
      </c>
      <c r="B9" s="37"/>
      <c r="C9" s="38"/>
      <c r="D9" s="85" t="s">
        <v>440</v>
      </c>
      <c r="E9" s="92" t="s">
        <v>441</v>
      </c>
      <c r="F9" s="85" t="s">
        <v>414</v>
      </c>
      <c r="G9" s="85" t="s">
        <v>415</v>
      </c>
      <c r="H9" s="85" t="s">
        <v>416</v>
      </c>
      <c r="I9" s="93" t="s">
        <v>417</v>
      </c>
      <c r="J9" s="85" t="s">
        <v>418</v>
      </c>
      <c r="K9" s="33"/>
      <c r="L9" s="33"/>
      <c r="M9" s="33"/>
      <c r="N9" s="33"/>
      <c r="O9" s="33"/>
      <c r="P9" s="33"/>
      <c r="Q9" s="33"/>
      <c r="R9" s="33"/>
      <c r="S9" s="91" t="s">
        <v>419</v>
      </c>
      <c r="T9" s="51"/>
      <c r="U9" s="91" t="s">
        <v>421</v>
      </c>
      <c r="V9" s="51"/>
    </row>
    <row r="10" spans="1:22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6" t="s">
        <v>417</v>
      </c>
      <c r="L10" s="86" t="s">
        <v>418</v>
      </c>
      <c r="M10" s="86" t="s">
        <v>417</v>
      </c>
      <c r="N10" s="86" t="s">
        <v>418</v>
      </c>
      <c r="O10" s="86" t="s">
        <v>417</v>
      </c>
      <c r="P10" s="86" t="s">
        <v>418</v>
      </c>
      <c r="Q10" s="86" t="s">
        <v>417</v>
      </c>
      <c r="R10" s="86" t="s">
        <v>418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234</v>
      </c>
      <c r="E11" s="34" t="s">
        <v>21</v>
      </c>
      <c r="F11" s="44"/>
      <c r="G11" s="28" t="s">
        <v>74</v>
      </c>
      <c r="H11" s="45" t="s">
        <v>398</v>
      </c>
      <c r="I11" s="46"/>
      <c r="J11" s="47"/>
      <c r="K11" s="48" t="s">
        <v>233</v>
      </c>
      <c r="L11" s="48"/>
      <c r="M11" s="48" t="s">
        <v>240</v>
      </c>
      <c r="N11" s="48"/>
      <c r="O11" s="48"/>
      <c r="P11" s="48"/>
      <c r="Q11" s="48"/>
      <c r="R11" s="48"/>
      <c r="S11" s="35"/>
      <c r="T11" s="36"/>
      <c r="U11" s="70"/>
      <c r="V11" s="72"/>
    </row>
    <row r="12" spans="1:22" s="11" customFormat="1" x14ac:dyDescent="0.2">
      <c r="A12" s="9">
        <v>10</v>
      </c>
      <c r="B12" s="9"/>
      <c r="C12" s="9"/>
      <c r="D12" s="9" t="s">
        <v>88</v>
      </c>
      <c r="E12" s="49" t="s">
        <v>106</v>
      </c>
      <c r="F12" s="49"/>
      <c r="G12" s="50" t="s">
        <v>422</v>
      </c>
      <c r="H12" s="50" t="s">
        <v>271</v>
      </c>
      <c r="I12" s="9" t="s">
        <v>272</v>
      </c>
      <c r="J12" s="9"/>
      <c r="K12" s="9" t="s">
        <v>272</v>
      </c>
      <c r="L12" s="9"/>
      <c r="M12" s="9" t="s">
        <v>272</v>
      </c>
      <c r="N12" s="9"/>
      <c r="O12" s="9"/>
      <c r="P12" s="9"/>
      <c r="Q12" s="9"/>
      <c r="R12" s="9"/>
      <c r="S12" s="41"/>
      <c r="T12" s="51"/>
      <c r="U12" s="141"/>
      <c r="V12" s="142"/>
    </row>
    <row r="13" spans="1:22" s="11" customFormat="1" x14ac:dyDescent="0.2">
      <c r="A13" s="9">
        <v>10</v>
      </c>
      <c r="B13" s="9"/>
      <c r="C13" s="9"/>
      <c r="D13" s="9" t="s">
        <v>90</v>
      </c>
      <c r="E13" s="49" t="s">
        <v>108</v>
      </c>
      <c r="F13" s="49"/>
      <c r="G13" s="50" t="s">
        <v>423</v>
      </c>
      <c r="H13" s="50" t="s">
        <v>307</v>
      </c>
      <c r="I13" s="9" t="s">
        <v>272</v>
      </c>
      <c r="J13" s="9"/>
      <c r="K13" s="9" t="s">
        <v>272</v>
      </c>
      <c r="L13" s="9"/>
      <c r="M13" s="9" t="s">
        <v>272</v>
      </c>
      <c r="N13" s="9"/>
      <c r="O13" s="9"/>
      <c r="P13" s="9"/>
      <c r="Q13" s="9"/>
      <c r="R13" s="9"/>
      <c r="S13" s="41"/>
      <c r="T13" s="51"/>
      <c r="U13" s="141"/>
      <c r="V13" s="142"/>
    </row>
    <row r="14" spans="1:22" s="11" customFormat="1" x14ac:dyDescent="0.2">
      <c r="A14" s="9">
        <v>10</v>
      </c>
      <c r="B14" s="9"/>
      <c r="C14" s="9"/>
      <c r="D14" s="9" t="s">
        <v>92</v>
      </c>
      <c r="E14" s="49" t="s">
        <v>110</v>
      </c>
      <c r="F14" s="49"/>
      <c r="G14" s="50" t="s">
        <v>424</v>
      </c>
      <c r="H14" s="50" t="s">
        <v>275</v>
      </c>
      <c r="I14" s="9" t="s">
        <v>272</v>
      </c>
      <c r="J14" s="9"/>
      <c r="K14" s="9" t="s">
        <v>272</v>
      </c>
      <c r="L14" s="9"/>
      <c r="M14" s="9" t="s">
        <v>272</v>
      </c>
      <c r="N14" s="9"/>
      <c r="O14" s="9"/>
      <c r="P14" s="9"/>
      <c r="Q14" s="9"/>
      <c r="R14" s="9"/>
      <c r="S14" s="41"/>
      <c r="T14" s="51"/>
      <c r="U14" s="141"/>
      <c r="V14" s="142"/>
    </row>
    <row r="15" spans="1:22" s="11" customFormat="1" x14ac:dyDescent="0.2">
      <c r="A15" s="9">
        <v>10</v>
      </c>
      <c r="B15" s="9"/>
      <c r="C15" s="9"/>
      <c r="D15" s="9" t="s">
        <v>94</v>
      </c>
      <c r="E15" s="49" t="s">
        <v>112</v>
      </c>
      <c r="F15" s="49"/>
      <c r="G15" s="50" t="s">
        <v>425</v>
      </c>
      <c r="H15" s="50" t="s">
        <v>276</v>
      </c>
      <c r="I15" s="9" t="s">
        <v>272</v>
      </c>
      <c r="J15" s="9"/>
      <c r="K15" s="9" t="s">
        <v>272</v>
      </c>
      <c r="L15" s="9"/>
      <c r="M15" s="9" t="s">
        <v>272</v>
      </c>
      <c r="N15" s="9"/>
      <c r="O15" s="9"/>
      <c r="P15" s="9"/>
      <c r="Q15" s="9"/>
      <c r="R15" s="9"/>
      <c r="S15" s="41"/>
      <c r="T15" s="51"/>
      <c r="U15" s="141"/>
      <c r="V15" s="142"/>
    </row>
    <row r="16" spans="1:22" s="11" customFormat="1" ht="52" x14ac:dyDescent="0.2">
      <c r="A16" s="77"/>
      <c r="K16" s="11" t="s">
        <v>417</v>
      </c>
      <c r="L16" s="11" t="s">
        <v>418</v>
      </c>
      <c r="M16" s="11" t="s">
        <v>417</v>
      </c>
      <c r="N16" s="11" t="s">
        <v>418</v>
      </c>
      <c r="O16" s="11" t="s">
        <v>417</v>
      </c>
      <c r="P16" s="11" t="s">
        <v>418</v>
      </c>
      <c r="Q16" s="11" t="s">
        <v>417</v>
      </c>
      <c r="R16" s="11" t="s">
        <v>418</v>
      </c>
      <c r="V16" s="54"/>
    </row>
    <row r="17" spans="1:22" s="11" customFormat="1" x14ac:dyDescent="0.2">
      <c r="A17" s="9">
        <v>20</v>
      </c>
      <c r="B17" s="37" t="s">
        <v>0</v>
      </c>
      <c r="C17" s="38"/>
      <c r="D17" s="28" t="s">
        <v>235</v>
      </c>
      <c r="E17" s="34" t="s">
        <v>20</v>
      </c>
      <c r="F17" s="69"/>
      <c r="G17" s="28" t="s">
        <v>74</v>
      </c>
      <c r="H17" s="45" t="s">
        <v>399</v>
      </c>
      <c r="I17" s="59"/>
      <c r="J17" s="58"/>
      <c r="K17" s="48" t="s">
        <v>238</v>
      </c>
      <c r="L17" s="48"/>
      <c r="M17" s="48" t="s">
        <v>241</v>
      </c>
      <c r="N17" s="48"/>
      <c r="O17" s="48"/>
      <c r="P17" s="48"/>
      <c r="Q17" s="48"/>
      <c r="R17" s="48"/>
      <c r="S17" s="35"/>
      <c r="T17" s="36"/>
      <c r="U17" s="70"/>
      <c r="V17" s="72"/>
    </row>
    <row r="18" spans="1:22" s="11" customFormat="1" x14ac:dyDescent="0.2">
      <c r="A18" s="9">
        <v>20</v>
      </c>
      <c r="B18" s="9"/>
      <c r="C18" s="9"/>
      <c r="D18" s="9" t="s">
        <v>236</v>
      </c>
      <c r="E18" s="49" t="s">
        <v>244</v>
      </c>
      <c r="F18" s="49"/>
      <c r="G18" s="50" t="s">
        <v>438</v>
      </c>
      <c r="H18" s="50" t="s">
        <v>300</v>
      </c>
      <c r="I18" s="9" t="s">
        <v>272</v>
      </c>
      <c r="J18" s="9"/>
      <c r="K18" s="9" t="s">
        <v>272</v>
      </c>
      <c r="L18" s="9"/>
      <c r="M18" s="9" t="s">
        <v>272</v>
      </c>
      <c r="N18" s="9"/>
      <c r="O18" s="9"/>
      <c r="P18" s="9"/>
      <c r="Q18" s="9"/>
      <c r="R18" s="9"/>
      <c r="S18" s="41"/>
      <c r="T18" s="51"/>
      <c r="U18" s="141"/>
      <c r="V18" s="142"/>
    </row>
    <row r="19" spans="1:22" s="11" customFormat="1" x14ac:dyDescent="0.2">
      <c r="A19" s="9">
        <v>20</v>
      </c>
      <c r="B19" s="9"/>
      <c r="C19" s="9"/>
      <c r="D19" s="9" t="s">
        <v>402</v>
      </c>
      <c r="E19" s="49" t="s">
        <v>403</v>
      </c>
      <c r="F19" s="49"/>
      <c r="G19" s="50" t="s">
        <v>439</v>
      </c>
      <c r="H19" s="50" t="s">
        <v>407</v>
      </c>
      <c r="I19" s="9" t="s">
        <v>272</v>
      </c>
      <c r="J19" s="9"/>
      <c r="K19" s="9" t="s">
        <v>272</v>
      </c>
      <c r="L19" s="9"/>
      <c r="M19" s="9" t="s">
        <v>272</v>
      </c>
      <c r="N19" s="9"/>
      <c r="O19" s="9"/>
      <c r="P19" s="9"/>
      <c r="Q19" s="9"/>
      <c r="R19" s="9"/>
      <c r="S19" s="41"/>
      <c r="T19" s="51"/>
      <c r="U19" s="141"/>
      <c r="V19" s="142"/>
    </row>
    <row r="20" spans="1:22" s="11" customFormat="1" x14ac:dyDescent="0.2">
      <c r="A20" s="52"/>
      <c r="B20" s="53"/>
      <c r="C20" s="53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4"/>
      <c r="T20" s="4"/>
      <c r="U20" s="6"/>
      <c r="V20" s="23"/>
    </row>
    <row r="21" spans="1:22" s="11" customFormat="1" x14ac:dyDescent="0.2">
      <c r="A21" s="77"/>
      <c r="V21" s="54"/>
    </row>
    <row r="22" spans="1:22" s="11" customFormat="1" x14ac:dyDescent="0.2">
      <c r="A22" s="77"/>
      <c r="V22" s="54"/>
    </row>
    <row r="23" spans="1:22" s="11" customFormat="1" x14ac:dyDescent="0.2">
      <c r="A23" s="77"/>
      <c r="V23" s="54"/>
    </row>
    <row r="24" spans="1:22" s="11" customFormat="1" x14ac:dyDescent="0.2">
      <c r="A24" s="81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20"/>
    </row>
  </sheetData>
  <dataConsolidate/>
  <mergeCells count="6">
    <mergeCell ref="U19:V19"/>
    <mergeCell ref="U12:V12"/>
    <mergeCell ref="U13:V13"/>
    <mergeCell ref="U14:V14"/>
    <mergeCell ref="U15:V15"/>
    <mergeCell ref="U18:V18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4">
    <pageSetUpPr fitToPage="1"/>
  </sheetPr>
  <dimension ref="A1:BE35"/>
  <sheetViews>
    <sheetView tabSelected="1" zoomScale="85" zoomScaleNormal="85" workbookViewId="0">
      <selection activeCell="O5" sqref="O5:AP5"/>
    </sheetView>
  </sheetViews>
  <sheetFormatPr defaultColWidth="9" defaultRowHeight="13" x14ac:dyDescent="0.2"/>
  <cols>
    <col min="1" max="42" width="2.08984375" style="65" customWidth="1"/>
    <col min="43" max="44" width="2.08984375" style="67" customWidth="1"/>
    <col min="45" max="71" width="2.08984375" style="65" customWidth="1"/>
    <col min="72" max="16384" width="9" style="65"/>
  </cols>
  <sheetData>
    <row r="1" spans="1:57" ht="38.25" customHeight="1" thickBot="1" x14ac:dyDescent="0.25">
      <c r="A1" s="133" t="s">
        <v>22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4"/>
      <c r="AE1" s="134"/>
      <c r="AF1" s="134"/>
      <c r="AG1" s="134"/>
      <c r="AH1" s="134"/>
      <c r="AI1" s="134"/>
      <c r="AJ1" s="134"/>
      <c r="AK1" s="134"/>
      <c r="AL1" s="134"/>
      <c r="AM1" s="134"/>
      <c r="AN1" s="134"/>
      <c r="AO1" s="134"/>
      <c r="AP1" s="134"/>
      <c r="AQ1" s="134"/>
      <c r="AR1" s="134"/>
      <c r="AS1" s="134"/>
      <c r="AT1" s="134"/>
      <c r="AU1" s="134"/>
      <c r="AV1" s="134"/>
      <c r="AW1" s="134"/>
      <c r="AX1" s="134"/>
      <c r="AY1" s="134"/>
      <c r="AZ1" s="134"/>
      <c r="BA1" s="134"/>
      <c r="BB1" s="134"/>
      <c r="BC1" s="134"/>
      <c r="BD1" s="134"/>
      <c r="BE1" s="135"/>
    </row>
    <row r="2" spans="1:57" ht="12" customHeight="1" thickBot="1" x14ac:dyDescent="0.25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</row>
    <row r="3" spans="1:57" ht="15" customHeight="1" thickBot="1" x14ac:dyDescent="0.25">
      <c r="A3" s="101" t="s">
        <v>23</v>
      </c>
      <c r="B3" s="102"/>
      <c r="C3" s="102"/>
      <c r="D3" s="102"/>
      <c r="E3" s="102"/>
      <c r="F3" s="102"/>
      <c r="G3" s="103"/>
      <c r="H3" s="136" t="s">
        <v>24</v>
      </c>
      <c r="I3" s="102"/>
      <c r="J3" s="102"/>
      <c r="K3" s="102"/>
      <c r="L3" s="102"/>
      <c r="M3" s="102"/>
      <c r="N3" s="103"/>
      <c r="O3" s="136" t="s">
        <v>25</v>
      </c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8"/>
      <c r="AQ3" s="136" t="s">
        <v>26</v>
      </c>
      <c r="AR3" s="139"/>
      <c r="AS3" s="139"/>
      <c r="AT3" s="139"/>
      <c r="AU3" s="139"/>
      <c r="AV3" s="139"/>
      <c r="AW3" s="139"/>
      <c r="AX3" s="139"/>
      <c r="AY3" s="139"/>
      <c r="AZ3" s="139"/>
      <c r="BA3" s="139"/>
      <c r="BB3" s="139"/>
      <c r="BC3" s="139"/>
      <c r="BD3" s="139"/>
      <c r="BE3" s="140"/>
    </row>
    <row r="4" spans="1:57" ht="15" customHeight="1" x14ac:dyDescent="0.2">
      <c r="A4" s="109">
        <v>1</v>
      </c>
      <c r="B4" s="110"/>
      <c r="C4" s="110"/>
      <c r="D4" s="110"/>
      <c r="E4" s="110"/>
      <c r="F4" s="110"/>
      <c r="G4" s="111"/>
      <c r="H4" s="94"/>
      <c r="I4" s="95"/>
      <c r="J4" s="95"/>
      <c r="K4" s="95"/>
      <c r="L4" s="95"/>
      <c r="M4" s="95"/>
      <c r="N4" s="96"/>
      <c r="O4" s="94" t="s">
        <v>27</v>
      </c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8"/>
      <c r="AQ4" s="99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100"/>
    </row>
    <row r="5" spans="1:57" ht="15" customHeight="1" x14ac:dyDescent="0.2">
      <c r="A5" s="112">
        <v>1.1000000000000001</v>
      </c>
      <c r="B5" s="113"/>
      <c r="C5" s="113"/>
      <c r="D5" s="113"/>
      <c r="E5" s="113"/>
      <c r="F5" s="113"/>
      <c r="G5" s="114"/>
      <c r="H5" s="104"/>
      <c r="I5" s="115"/>
      <c r="J5" s="115"/>
      <c r="K5" s="115"/>
      <c r="L5" s="115"/>
      <c r="M5" s="115"/>
      <c r="N5" s="116"/>
      <c r="O5" s="117" t="s">
        <v>510</v>
      </c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8"/>
      <c r="AI5" s="118"/>
      <c r="AJ5" s="118"/>
      <c r="AK5" s="118"/>
      <c r="AL5" s="118"/>
      <c r="AM5" s="118"/>
      <c r="AN5" s="118"/>
      <c r="AO5" s="118"/>
      <c r="AP5" s="119"/>
      <c r="AQ5" s="120" t="s">
        <v>511</v>
      </c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2"/>
    </row>
    <row r="6" spans="1:57" ht="15" customHeight="1" x14ac:dyDescent="0.2">
      <c r="A6" s="112"/>
      <c r="B6" s="113"/>
      <c r="C6" s="113"/>
      <c r="D6" s="113"/>
      <c r="E6" s="113"/>
      <c r="F6" s="113"/>
      <c r="G6" s="114"/>
      <c r="H6" s="104"/>
      <c r="I6" s="115"/>
      <c r="J6" s="115"/>
      <c r="K6" s="115"/>
      <c r="L6" s="115"/>
      <c r="M6" s="115"/>
      <c r="N6" s="116"/>
      <c r="O6" s="104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6"/>
      <c r="AQ6" s="107"/>
      <c r="AR6" s="105"/>
      <c r="AS6" s="105"/>
      <c r="AT6" s="105"/>
      <c r="AU6" s="105"/>
      <c r="AV6" s="105"/>
      <c r="AW6" s="105"/>
      <c r="AX6" s="105"/>
      <c r="AY6" s="105"/>
      <c r="AZ6" s="105"/>
      <c r="BA6" s="105"/>
      <c r="BB6" s="105"/>
      <c r="BC6" s="105"/>
      <c r="BD6" s="105"/>
      <c r="BE6" s="108"/>
    </row>
    <row r="7" spans="1:57" ht="15" customHeight="1" x14ac:dyDescent="0.2">
      <c r="A7" s="112"/>
      <c r="B7" s="113"/>
      <c r="C7" s="113"/>
      <c r="D7" s="113"/>
      <c r="E7" s="113"/>
      <c r="F7" s="113"/>
      <c r="G7" s="114"/>
      <c r="H7" s="104"/>
      <c r="I7" s="115"/>
      <c r="J7" s="115"/>
      <c r="K7" s="115"/>
      <c r="L7" s="115"/>
      <c r="M7" s="115"/>
      <c r="N7" s="116"/>
      <c r="O7" s="104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6"/>
      <c r="AQ7" s="107"/>
      <c r="AR7" s="105"/>
      <c r="AS7" s="105"/>
      <c r="AT7" s="105"/>
      <c r="AU7" s="105"/>
      <c r="AV7" s="105"/>
      <c r="AW7" s="105"/>
      <c r="AX7" s="105"/>
      <c r="AY7" s="105"/>
      <c r="AZ7" s="105"/>
      <c r="BA7" s="105"/>
      <c r="BB7" s="105"/>
      <c r="BC7" s="105"/>
      <c r="BD7" s="105"/>
      <c r="BE7" s="108"/>
    </row>
    <row r="8" spans="1:57" ht="15" customHeight="1" x14ac:dyDescent="0.2">
      <c r="A8" s="112"/>
      <c r="B8" s="113"/>
      <c r="C8" s="113"/>
      <c r="D8" s="113"/>
      <c r="E8" s="113"/>
      <c r="F8" s="113"/>
      <c r="G8" s="114"/>
      <c r="H8" s="104"/>
      <c r="I8" s="115"/>
      <c r="J8" s="115"/>
      <c r="K8" s="115"/>
      <c r="L8" s="115"/>
      <c r="M8" s="115"/>
      <c r="N8" s="116"/>
      <c r="O8" s="104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5"/>
      <c r="AO8" s="105"/>
      <c r="AP8" s="106"/>
      <c r="AQ8" s="107"/>
      <c r="AR8" s="105"/>
      <c r="AS8" s="105"/>
      <c r="AT8" s="105"/>
      <c r="AU8" s="105"/>
      <c r="AV8" s="105"/>
      <c r="AW8" s="105"/>
      <c r="AX8" s="105"/>
      <c r="AY8" s="105"/>
      <c r="AZ8" s="105"/>
      <c r="BA8" s="105"/>
      <c r="BB8" s="105"/>
      <c r="BC8" s="105"/>
      <c r="BD8" s="105"/>
      <c r="BE8" s="108"/>
    </row>
    <row r="9" spans="1:57" ht="15" customHeight="1" x14ac:dyDescent="0.2">
      <c r="A9" s="112"/>
      <c r="B9" s="113"/>
      <c r="C9" s="113"/>
      <c r="D9" s="113"/>
      <c r="E9" s="113"/>
      <c r="F9" s="113"/>
      <c r="G9" s="114"/>
      <c r="H9" s="104"/>
      <c r="I9" s="115"/>
      <c r="J9" s="115"/>
      <c r="K9" s="115"/>
      <c r="L9" s="115"/>
      <c r="M9" s="115"/>
      <c r="N9" s="116"/>
      <c r="O9" s="104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6"/>
      <c r="AQ9" s="107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8"/>
    </row>
    <row r="10" spans="1:57" ht="15" customHeight="1" x14ac:dyDescent="0.2">
      <c r="A10" s="112"/>
      <c r="B10" s="113"/>
      <c r="C10" s="113"/>
      <c r="D10" s="113"/>
      <c r="E10" s="113"/>
      <c r="F10" s="113"/>
      <c r="G10" s="114"/>
      <c r="H10" s="104"/>
      <c r="I10" s="115"/>
      <c r="J10" s="115"/>
      <c r="K10" s="115"/>
      <c r="L10" s="115"/>
      <c r="M10" s="115"/>
      <c r="N10" s="116"/>
      <c r="O10" s="104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6"/>
      <c r="AQ10" s="107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8"/>
    </row>
    <row r="11" spans="1:57" ht="15" customHeight="1" x14ac:dyDescent="0.2">
      <c r="A11" s="112"/>
      <c r="B11" s="113"/>
      <c r="C11" s="113"/>
      <c r="D11" s="113"/>
      <c r="E11" s="113"/>
      <c r="F11" s="113"/>
      <c r="G11" s="114"/>
      <c r="H11" s="104"/>
      <c r="I11" s="115"/>
      <c r="J11" s="115"/>
      <c r="K11" s="115"/>
      <c r="L11" s="115"/>
      <c r="M11" s="115"/>
      <c r="N11" s="116"/>
      <c r="O11" s="104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6"/>
      <c r="AQ11" s="107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  <c r="BE11" s="108"/>
    </row>
    <row r="12" spans="1:57" ht="15" customHeight="1" x14ac:dyDescent="0.2">
      <c r="A12" s="112"/>
      <c r="B12" s="113"/>
      <c r="C12" s="113"/>
      <c r="D12" s="113"/>
      <c r="E12" s="113"/>
      <c r="F12" s="113"/>
      <c r="G12" s="114"/>
      <c r="H12" s="104"/>
      <c r="I12" s="115"/>
      <c r="J12" s="115"/>
      <c r="K12" s="115"/>
      <c r="L12" s="115"/>
      <c r="M12" s="115"/>
      <c r="N12" s="116"/>
      <c r="O12" s="104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6"/>
      <c r="AQ12" s="107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  <c r="BD12" s="105"/>
      <c r="BE12" s="108"/>
    </row>
    <row r="13" spans="1:57" ht="15" customHeight="1" x14ac:dyDescent="0.2">
      <c r="A13" s="112"/>
      <c r="B13" s="113"/>
      <c r="C13" s="113"/>
      <c r="D13" s="113"/>
      <c r="E13" s="113"/>
      <c r="F13" s="113"/>
      <c r="G13" s="114"/>
      <c r="H13" s="104"/>
      <c r="I13" s="115"/>
      <c r="J13" s="115"/>
      <c r="K13" s="115"/>
      <c r="L13" s="115"/>
      <c r="M13" s="115"/>
      <c r="N13" s="116"/>
      <c r="O13" s="104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6"/>
      <c r="AQ13" s="107"/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  <c r="BB13" s="105"/>
      <c r="BC13" s="105"/>
      <c r="BD13" s="105"/>
      <c r="BE13" s="108"/>
    </row>
    <row r="14" spans="1:57" ht="15" customHeight="1" x14ac:dyDescent="0.2">
      <c r="A14" s="112"/>
      <c r="B14" s="113"/>
      <c r="C14" s="113"/>
      <c r="D14" s="113"/>
      <c r="E14" s="113"/>
      <c r="F14" s="113"/>
      <c r="G14" s="114"/>
      <c r="H14" s="104"/>
      <c r="I14" s="115"/>
      <c r="J14" s="115"/>
      <c r="K14" s="115"/>
      <c r="L14" s="115"/>
      <c r="M14" s="115"/>
      <c r="N14" s="116"/>
      <c r="O14" s="104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  <c r="AN14" s="105"/>
      <c r="AO14" s="105"/>
      <c r="AP14" s="106"/>
      <c r="AQ14" s="107"/>
      <c r="AR14" s="105"/>
      <c r="AS14" s="105"/>
      <c r="AT14" s="105"/>
      <c r="AU14" s="105"/>
      <c r="AV14" s="105"/>
      <c r="AW14" s="105"/>
      <c r="AX14" s="105"/>
      <c r="AY14" s="105"/>
      <c r="AZ14" s="105"/>
      <c r="BA14" s="105"/>
      <c r="BB14" s="105"/>
      <c r="BC14" s="105"/>
      <c r="BD14" s="105"/>
      <c r="BE14" s="108"/>
    </row>
    <row r="15" spans="1:57" ht="15" customHeight="1" x14ac:dyDescent="0.2">
      <c r="A15" s="112"/>
      <c r="B15" s="113"/>
      <c r="C15" s="113"/>
      <c r="D15" s="113"/>
      <c r="E15" s="113"/>
      <c r="F15" s="113"/>
      <c r="G15" s="114"/>
      <c r="H15" s="104"/>
      <c r="I15" s="115"/>
      <c r="J15" s="115"/>
      <c r="K15" s="115"/>
      <c r="L15" s="115"/>
      <c r="M15" s="115"/>
      <c r="N15" s="116"/>
      <c r="O15" s="104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6"/>
      <c r="AQ15" s="107"/>
      <c r="AR15" s="105"/>
      <c r="AS15" s="105"/>
      <c r="AT15" s="105"/>
      <c r="AU15" s="105"/>
      <c r="AV15" s="105"/>
      <c r="AW15" s="105"/>
      <c r="AX15" s="105"/>
      <c r="AY15" s="105"/>
      <c r="AZ15" s="105"/>
      <c r="BA15" s="105"/>
      <c r="BB15" s="105"/>
      <c r="BC15" s="105"/>
      <c r="BD15" s="105"/>
      <c r="BE15" s="108"/>
    </row>
    <row r="16" spans="1:57" ht="15" customHeight="1" x14ac:dyDescent="0.2">
      <c r="A16" s="112"/>
      <c r="B16" s="113"/>
      <c r="C16" s="113"/>
      <c r="D16" s="113"/>
      <c r="E16" s="113"/>
      <c r="F16" s="113"/>
      <c r="G16" s="114"/>
      <c r="H16" s="104"/>
      <c r="I16" s="115"/>
      <c r="J16" s="115"/>
      <c r="K16" s="115"/>
      <c r="L16" s="115"/>
      <c r="M16" s="115"/>
      <c r="N16" s="116"/>
      <c r="O16" s="104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6"/>
      <c r="AQ16" s="107"/>
      <c r="AR16" s="105"/>
      <c r="AS16" s="105"/>
      <c r="AT16" s="105"/>
      <c r="AU16" s="105"/>
      <c r="AV16" s="105"/>
      <c r="AW16" s="105"/>
      <c r="AX16" s="105"/>
      <c r="AY16" s="105"/>
      <c r="AZ16" s="105"/>
      <c r="BA16" s="105"/>
      <c r="BB16" s="105"/>
      <c r="BC16" s="105"/>
      <c r="BD16" s="105"/>
      <c r="BE16" s="108"/>
    </row>
    <row r="17" spans="1:57" ht="15" customHeight="1" x14ac:dyDescent="0.2">
      <c r="A17" s="112"/>
      <c r="B17" s="113"/>
      <c r="C17" s="113"/>
      <c r="D17" s="113"/>
      <c r="E17" s="113"/>
      <c r="F17" s="113"/>
      <c r="G17" s="114"/>
      <c r="H17" s="104"/>
      <c r="I17" s="115"/>
      <c r="J17" s="115"/>
      <c r="K17" s="115"/>
      <c r="L17" s="115"/>
      <c r="M17" s="115"/>
      <c r="N17" s="116"/>
      <c r="O17" s="104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  <c r="AL17" s="105"/>
      <c r="AM17" s="105"/>
      <c r="AN17" s="105"/>
      <c r="AO17" s="105"/>
      <c r="AP17" s="106"/>
      <c r="AQ17" s="107"/>
      <c r="AR17" s="105"/>
      <c r="AS17" s="105"/>
      <c r="AT17" s="105"/>
      <c r="AU17" s="105"/>
      <c r="AV17" s="105"/>
      <c r="AW17" s="105"/>
      <c r="AX17" s="105"/>
      <c r="AY17" s="105"/>
      <c r="AZ17" s="105"/>
      <c r="BA17" s="105"/>
      <c r="BB17" s="105"/>
      <c r="BC17" s="105"/>
      <c r="BD17" s="105"/>
      <c r="BE17" s="108"/>
    </row>
    <row r="18" spans="1:57" ht="15" customHeight="1" x14ac:dyDescent="0.2">
      <c r="A18" s="112"/>
      <c r="B18" s="113"/>
      <c r="C18" s="113"/>
      <c r="D18" s="113"/>
      <c r="E18" s="113"/>
      <c r="F18" s="113"/>
      <c r="G18" s="114"/>
      <c r="H18" s="104"/>
      <c r="I18" s="115"/>
      <c r="J18" s="115"/>
      <c r="K18" s="115"/>
      <c r="L18" s="115"/>
      <c r="M18" s="115"/>
      <c r="N18" s="116"/>
      <c r="O18" s="104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  <c r="AL18" s="105"/>
      <c r="AM18" s="105"/>
      <c r="AN18" s="105"/>
      <c r="AO18" s="105"/>
      <c r="AP18" s="106"/>
      <c r="AQ18" s="107"/>
      <c r="AR18" s="105"/>
      <c r="AS18" s="105"/>
      <c r="AT18" s="105"/>
      <c r="AU18" s="105"/>
      <c r="AV18" s="105"/>
      <c r="AW18" s="105"/>
      <c r="AX18" s="105"/>
      <c r="AY18" s="105"/>
      <c r="AZ18" s="105"/>
      <c r="BA18" s="105"/>
      <c r="BB18" s="105"/>
      <c r="BC18" s="105"/>
      <c r="BD18" s="105"/>
      <c r="BE18" s="108"/>
    </row>
    <row r="19" spans="1:57" ht="15" customHeight="1" x14ac:dyDescent="0.2">
      <c r="A19" s="112"/>
      <c r="B19" s="113"/>
      <c r="C19" s="113"/>
      <c r="D19" s="113"/>
      <c r="E19" s="113"/>
      <c r="F19" s="113"/>
      <c r="G19" s="114"/>
      <c r="H19" s="104"/>
      <c r="I19" s="115"/>
      <c r="J19" s="115"/>
      <c r="K19" s="115"/>
      <c r="L19" s="115"/>
      <c r="M19" s="115"/>
      <c r="N19" s="116"/>
      <c r="O19" s="104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6"/>
      <c r="AQ19" s="107"/>
      <c r="AR19" s="105"/>
      <c r="AS19" s="105"/>
      <c r="AT19" s="105"/>
      <c r="AU19" s="105"/>
      <c r="AV19" s="105"/>
      <c r="AW19" s="105"/>
      <c r="AX19" s="105"/>
      <c r="AY19" s="105"/>
      <c r="AZ19" s="105"/>
      <c r="BA19" s="105"/>
      <c r="BB19" s="105"/>
      <c r="BC19" s="105"/>
      <c r="BD19" s="105"/>
      <c r="BE19" s="108"/>
    </row>
    <row r="20" spans="1:57" ht="15" customHeight="1" x14ac:dyDescent="0.2">
      <c r="A20" s="112"/>
      <c r="B20" s="113"/>
      <c r="C20" s="113"/>
      <c r="D20" s="113"/>
      <c r="E20" s="113"/>
      <c r="F20" s="113"/>
      <c r="G20" s="114"/>
      <c r="H20" s="104"/>
      <c r="I20" s="115"/>
      <c r="J20" s="115"/>
      <c r="K20" s="115"/>
      <c r="L20" s="115"/>
      <c r="M20" s="115"/>
      <c r="N20" s="116"/>
      <c r="O20" s="104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  <c r="AL20" s="105"/>
      <c r="AM20" s="105"/>
      <c r="AN20" s="105"/>
      <c r="AO20" s="105"/>
      <c r="AP20" s="106"/>
      <c r="AQ20" s="107"/>
      <c r="AR20" s="105"/>
      <c r="AS20" s="105"/>
      <c r="AT20" s="105"/>
      <c r="AU20" s="105"/>
      <c r="AV20" s="105"/>
      <c r="AW20" s="105"/>
      <c r="AX20" s="105"/>
      <c r="AY20" s="105"/>
      <c r="AZ20" s="105"/>
      <c r="BA20" s="105"/>
      <c r="BB20" s="105"/>
      <c r="BC20" s="105"/>
      <c r="BD20" s="105"/>
      <c r="BE20" s="108"/>
    </row>
    <row r="21" spans="1:57" ht="15" customHeight="1" x14ac:dyDescent="0.2">
      <c r="A21" s="112"/>
      <c r="B21" s="113"/>
      <c r="C21" s="113"/>
      <c r="D21" s="113"/>
      <c r="E21" s="113"/>
      <c r="F21" s="113"/>
      <c r="G21" s="114"/>
      <c r="H21" s="104"/>
      <c r="I21" s="115"/>
      <c r="J21" s="115"/>
      <c r="K21" s="115"/>
      <c r="L21" s="115"/>
      <c r="M21" s="115"/>
      <c r="N21" s="116"/>
      <c r="O21" s="104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5"/>
      <c r="AM21" s="105"/>
      <c r="AN21" s="105"/>
      <c r="AO21" s="105"/>
      <c r="AP21" s="106"/>
      <c r="AQ21" s="107"/>
      <c r="AR21" s="105"/>
      <c r="AS21" s="105"/>
      <c r="AT21" s="105"/>
      <c r="AU21" s="105"/>
      <c r="AV21" s="105"/>
      <c r="AW21" s="105"/>
      <c r="AX21" s="105"/>
      <c r="AY21" s="105"/>
      <c r="AZ21" s="105"/>
      <c r="BA21" s="105"/>
      <c r="BB21" s="105"/>
      <c r="BC21" s="105"/>
      <c r="BD21" s="105"/>
      <c r="BE21" s="108"/>
    </row>
    <row r="22" spans="1:57" ht="15" customHeight="1" x14ac:dyDescent="0.2">
      <c r="A22" s="112"/>
      <c r="B22" s="113"/>
      <c r="C22" s="113"/>
      <c r="D22" s="113"/>
      <c r="E22" s="113"/>
      <c r="F22" s="113"/>
      <c r="G22" s="114"/>
      <c r="H22" s="104"/>
      <c r="I22" s="115"/>
      <c r="J22" s="115"/>
      <c r="K22" s="115"/>
      <c r="L22" s="115"/>
      <c r="M22" s="115"/>
      <c r="N22" s="116"/>
      <c r="O22" s="104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105"/>
      <c r="AN22" s="105"/>
      <c r="AO22" s="105"/>
      <c r="AP22" s="106"/>
      <c r="AQ22" s="107"/>
      <c r="AR22" s="105"/>
      <c r="AS22" s="105"/>
      <c r="AT22" s="105"/>
      <c r="AU22" s="105"/>
      <c r="AV22" s="105"/>
      <c r="AW22" s="105"/>
      <c r="AX22" s="105"/>
      <c r="AY22" s="105"/>
      <c r="AZ22" s="105"/>
      <c r="BA22" s="105"/>
      <c r="BB22" s="105"/>
      <c r="BC22" s="105"/>
      <c r="BD22" s="105"/>
      <c r="BE22" s="108"/>
    </row>
    <row r="23" spans="1:57" ht="15" customHeight="1" x14ac:dyDescent="0.2">
      <c r="A23" s="112"/>
      <c r="B23" s="113"/>
      <c r="C23" s="113"/>
      <c r="D23" s="113"/>
      <c r="E23" s="113"/>
      <c r="F23" s="113"/>
      <c r="G23" s="114"/>
      <c r="H23" s="104"/>
      <c r="I23" s="115"/>
      <c r="J23" s="115"/>
      <c r="K23" s="115"/>
      <c r="L23" s="115"/>
      <c r="M23" s="115"/>
      <c r="N23" s="116"/>
      <c r="O23" s="104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  <c r="AM23" s="105"/>
      <c r="AN23" s="105"/>
      <c r="AO23" s="105"/>
      <c r="AP23" s="106"/>
      <c r="AQ23" s="107"/>
      <c r="AR23" s="105"/>
      <c r="AS23" s="105"/>
      <c r="AT23" s="105"/>
      <c r="AU23" s="105"/>
      <c r="AV23" s="105"/>
      <c r="AW23" s="105"/>
      <c r="AX23" s="105"/>
      <c r="AY23" s="105"/>
      <c r="AZ23" s="105"/>
      <c r="BA23" s="105"/>
      <c r="BB23" s="105"/>
      <c r="BC23" s="105"/>
      <c r="BD23" s="105"/>
      <c r="BE23" s="108"/>
    </row>
    <row r="24" spans="1:57" ht="15" customHeight="1" x14ac:dyDescent="0.2">
      <c r="A24" s="112"/>
      <c r="B24" s="113"/>
      <c r="C24" s="113"/>
      <c r="D24" s="113"/>
      <c r="E24" s="113"/>
      <c r="F24" s="113"/>
      <c r="G24" s="114"/>
      <c r="H24" s="104"/>
      <c r="I24" s="115"/>
      <c r="J24" s="115"/>
      <c r="K24" s="115"/>
      <c r="L24" s="115"/>
      <c r="M24" s="115"/>
      <c r="N24" s="116"/>
      <c r="O24" s="104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105"/>
      <c r="AN24" s="105"/>
      <c r="AO24" s="105"/>
      <c r="AP24" s="106"/>
      <c r="AQ24" s="107"/>
      <c r="AR24" s="105"/>
      <c r="AS24" s="105"/>
      <c r="AT24" s="105"/>
      <c r="AU24" s="105"/>
      <c r="AV24" s="105"/>
      <c r="AW24" s="105"/>
      <c r="AX24" s="105"/>
      <c r="AY24" s="105"/>
      <c r="AZ24" s="105"/>
      <c r="BA24" s="105"/>
      <c r="BB24" s="105"/>
      <c r="BC24" s="105"/>
      <c r="BD24" s="105"/>
      <c r="BE24" s="108"/>
    </row>
    <row r="25" spans="1:57" ht="15" customHeight="1" x14ac:dyDescent="0.2">
      <c r="A25" s="112"/>
      <c r="B25" s="113"/>
      <c r="C25" s="113"/>
      <c r="D25" s="113"/>
      <c r="E25" s="113"/>
      <c r="F25" s="113"/>
      <c r="G25" s="114"/>
      <c r="H25" s="104"/>
      <c r="I25" s="115"/>
      <c r="J25" s="115"/>
      <c r="K25" s="115"/>
      <c r="L25" s="115"/>
      <c r="M25" s="115"/>
      <c r="N25" s="116"/>
      <c r="O25" s="104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06"/>
      <c r="AQ25" s="107"/>
      <c r="AR25" s="105"/>
      <c r="AS25" s="105"/>
      <c r="AT25" s="105"/>
      <c r="AU25" s="105"/>
      <c r="AV25" s="105"/>
      <c r="AW25" s="105"/>
      <c r="AX25" s="105"/>
      <c r="AY25" s="105"/>
      <c r="AZ25" s="105"/>
      <c r="BA25" s="105"/>
      <c r="BB25" s="105"/>
      <c r="BC25" s="105"/>
      <c r="BD25" s="105"/>
      <c r="BE25" s="108"/>
    </row>
    <row r="26" spans="1:57" ht="15" customHeight="1" x14ac:dyDescent="0.2">
      <c r="A26" s="112"/>
      <c r="B26" s="113"/>
      <c r="C26" s="113"/>
      <c r="D26" s="113"/>
      <c r="E26" s="113"/>
      <c r="F26" s="113"/>
      <c r="G26" s="114"/>
      <c r="H26" s="104"/>
      <c r="I26" s="115"/>
      <c r="J26" s="115"/>
      <c r="K26" s="115"/>
      <c r="L26" s="115"/>
      <c r="M26" s="115"/>
      <c r="N26" s="116"/>
      <c r="O26" s="104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  <c r="AG26" s="105"/>
      <c r="AH26" s="105"/>
      <c r="AI26" s="105"/>
      <c r="AJ26" s="105"/>
      <c r="AK26" s="105"/>
      <c r="AL26" s="105"/>
      <c r="AM26" s="105"/>
      <c r="AN26" s="105"/>
      <c r="AO26" s="105"/>
      <c r="AP26" s="106"/>
      <c r="AQ26" s="107"/>
      <c r="AR26" s="105"/>
      <c r="AS26" s="105"/>
      <c r="AT26" s="105"/>
      <c r="AU26" s="105"/>
      <c r="AV26" s="105"/>
      <c r="AW26" s="105"/>
      <c r="AX26" s="105"/>
      <c r="AY26" s="105"/>
      <c r="AZ26" s="105"/>
      <c r="BA26" s="105"/>
      <c r="BB26" s="105"/>
      <c r="BC26" s="105"/>
      <c r="BD26" s="105"/>
      <c r="BE26" s="108"/>
    </row>
    <row r="27" spans="1:57" ht="15" customHeight="1" x14ac:dyDescent="0.2">
      <c r="A27" s="112"/>
      <c r="B27" s="113"/>
      <c r="C27" s="113"/>
      <c r="D27" s="113"/>
      <c r="E27" s="113"/>
      <c r="F27" s="113"/>
      <c r="G27" s="114"/>
      <c r="H27" s="104"/>
      <c r="I27" s="115"/>
      <c r="J27" s="115"/>
      <c r="K27" s="115"/>
      <c r="L27" s="115"/>
      <c r="M27" s="115"/>
      <c r="N27" s="116"/>
      <c r="O27" s="104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  <c r="AF27" s="105"/>
      <c r="AG27" s="105"/>
      <c r="AH27" s="105"/>
      <c r="AI27" s="105"/>
      <c r="AJ27" s="105"/>
      <c r="AK27" s="105"/>
      <c r="AL27" s="105"/>
      <c r="AM27" s="105"/>
      <c r="AN27" s="105"/>
      <c r="AO27" s="105"/>
      <c r="AP27" s="106"/>
      <c r="AQ27" s="107"/>
      <c r="AR27" s="105"/>
      <c r="AS27" s="105"/>
      <c r="AT27" s="105"/>
      <c r="AU27" s="105"/>
      <c r="AV27" s="105"/>
      <c r="AW27" s="105"/>
      <c r="AX27" s="105"/>
      <c r="AY27" s="105"/>
      <c r="AZ27" s="105"/>
      <c r="BA27" s="105"/>
      <c r="BB27" s="105"/>
      <c r="BC27" s="105"/>
      <c r="BD27" s="105"/>
      <c r="BE27" s="108"/>
    </row>
    <row r="28" spans="1:57" ht="15" customHeight="1" x14ac:dyDescent="0.2">
      <c r="A28" s="112"/>
      <c r="B28" s="113"/>
      <c r="C28" s="113"/>
      <c r="D28" s="113"/>
      <c r="E28" s="113"/>
      <c r="F28" s="113"/>
      <c r="G28" s="114"/>
      <c r="H28" s="104"/>
      <c r="I28" s="115"/>
      <c r="J28" s="115"/>
      <c r="K28" s="115"/>
      <c r="L28" s="115"/>
      <c r="M28" s="115"/>
      <c r="N28" s="116"/>
      <c r="O28" s="104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  <c r="AK28" s="105"/>
      <c r="AL28" s="105"/>
      <c r="AM28" s="105"/>
      <c r="AN28" s="105"/>
      <c r="AO28" s="105"/>
      <c r="AP28" s="106"/>
      <c r="AQ28" s="107"/>
      <c r="AR28" s="105"/>
      <c r="AS28" s="105"/>
      <c r="AT28" s="105"/>
      <c r="AU28" s="105"/>
      <c r="AV28" s="105"/>
      <c r="AW28" s="105"/>
      <c r="AX28" s="105"/>
      <c r="AY28" s="105"/>
      <c r="AZ28" s="105"/>
      <c r="BA28" s="105"/>
      <c r="BB28" s="105"/>
      <c r="BC28" s="105"/>
      <c r="BD28" s="105"/>
      <c r="BE28" s="108"/>
    </row>
    <row r="29" spans="1:57" ht="15" customHeight="1" x14ac:dyDescent="0.2">
      <c r="A29" s="112"/>
      <c r="B29" s="113"/>
      <c r="C29" s="113"/>
      <c r="D29" s="113"/>
      <c r="E29" s="113"/>
      <c r="F29" s="113"/>
      <c r="G29" s="114"/>
      <c r="H29" s="104"/>
      <c r="I29" s="115"/>
      <c r="J29" s="115"/>
      <c r="K29" s="115"/>
      <c r="L29" s="115"/>
      <c r="M29" s="115"/>
      <c r="N29" s="116"/>
      <c r="O29" s="104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  <c r="AI29" s="105"/>
      <c r="AJ29" s="105"/>
      <c r="AK29" s="105"/>
      <c r="AL29" s="105"/>
      <c r="AM29" s="105"/>
      <c r="AN29" s="105"/>
      <c r="AO29" s="105"/>
      <c r="AP29" s="106"/>
      <c r="AQ29" s="107"/>
      <c r="AR29" s="105"/>
      <c r="AS29" s="105"/>
      <c r="AT29" s="105"/>
      <c r="AU29" s="105"/>
      <c r="AV29" s="105"/>
      <c r="AW29" s="105"/>
      <c r="AX29" s="105"/>
      <c r="AY29" s="105"/>
      <c r="AZ29" s="105"/>
      <c r="BA29" s="105"/>
      <c r="BB29" s="105"/>
      <c r="BC29" s="105"/>
      <c r="BD29" s="105"/>
      <c r="BE29" s="108"/>
    </row>
    <row r="30" spans="1:57" ht="15" customHeight="1" x14ac:dyDescent="0.2">
      <c r="A30" s="112"/>
      <c r="B30" s="113"/>
      <c r="C30" s="113"/>
      <c r="D30" s="113"/>
      <c r="E30" s="113"/>
      <c r="F30" s="113"/>
      <c r="G30" s="114"/>
      <c r="H30" s="104"/>
      <c r="I30" s="115"/>
      <c r="J30" s="115"/>
      <c r="K30" s="115"/>
      <c r="L30" s="115"/>
      <c r="M30" s="115"/>
      <c r="N30" s="116"/>
      <c r="O30" s="104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  <c r="AK30" s="105"/>
      <c r="AL30" s="105"/>
      <c r="AM30" s="105"/>
      <c r="AN30" s="105"/>
      <c r="AO30" s="105"/>
      <c r="AP30" s="106"/>
      <c r="AQ30" s="107"/>
      <c r="AR30" s="105"/>
      <c r="AS30" s="105"/>
      <c r="AT30" s="105"/>
      <c r="AU30" s="105"/>
      <c r="AV30" s="105"/>
      <c r="AW30" s="105"/>
      <c r="AX30" s="105"/>
      <c r="AY30" s="105"/>
      <c r="AZ30" s="105"/>
      <c r="BA30" s="105"/>
      <c r="BB30" s="105"/>
      <c r="BC30" s="105"/>
      <c r="BD30" s="105"/>
      <c r="BE30" s="108"/>
    </row>
    <row r="31" spans="1:57" ht="15" customHeight="1" x14ac:dyDescent="0.2">
      <c r="A31" s="112"/>
      <c r="B31" s="113"/>
      <c r="C31" s="113"/>
      <c r="D31" s="113"/>
      <c r="E31" s="113"/>
      <c r="F31" s="113"/>
      <c r="G31" s="114"/>
      <c r="H31" s="104"/>
      <c r="I31" s="115"/>
      <c r="J31" s="115"/>
      <c r="K31" s="115"/>
      <c r="L31" s="115"/>
      <c r="M31" s="115"/>
      <c r="N31" s="116"/>
      <c r="O31" s="104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106"/>
      <c r="AQ31" s="107"/>
      <c r="AR31" s="105"/>
      <c r="AS31" s="105"/>
      <c r="AT31" s="105"/>
      <c r="AU31" s="105"/>
      <c r="AV31" s="105"/>
      <c r="AW31" s="105"/>
      <c r="AX31" s="105"/>
      <c r="AY31" s="105"/>
      <c r="AZ31" s="105"/>
      <c r="BA31" s="105"/>
      <c r="BB31" s="105"/>
      <c r="BC31" s="105"/>
      <c r="BD31" s="105"/>
      <c r="BE31" s="108"/>
    </row>
    <row r="32" spans="1:57" ht="15" customHeight="1" x14ac:dyDescent="0.2">
      <c r="A32" s="112"/>
      <c r="B32" s="113"/>
      <c r="C32" s="113"/>
      <c r="D32" s="113"/>
      <c r="E32" s="113"/>
      <c r="F32" s="113"/>
      <c r="G32" s="114"/>
      <c r="H32" s="104"/>
      <c r="I32" s="115"/>
      <c r="J32" s="115"/>
      <c r="K32" s="115"/>
      <c r="L32" s="115"/>
      <c r="M32" s="115"/>
      <c r="N32" s="116"/>
      <c r="O32" s="104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5"/>
      <c r="AP32" s="106"/>
      <c r="AQ32" s="107"/>
      <c r="AR32" s="105"/>
      <c r="AS32" s="105"/>
      <c r="AT32" s="105"/>
      <c r="AU32" s="105"/>
      <c r="AV32" s="105"/>
      <c r="AW32" s="105"/>
      <c r="AX32" s="105"/>
      <c r="AY32" s="105"/>
      <c r="AZ32" s="105"/>
      <c r="BA32" s="105"/>
      <c r="BB32" s="105"/>
      <c r="BC32" s="105"/>
      <c r="BD32" s="105"/>
      <c r="BE32" s="108"/>
    </row>
    <row r="33" spans="1:57" ht="15" customHeight="1" x14ac:dyDescent="0.2">
      <c r="A33" s="112"/>
      <c r="B33" s="113"/>
      <c r="C33" s="113"/>
      <c r="D33" s="113"/>
      <c r="E33" s="113"/>
      <c r="F33" s="113"/>
      <c r="G33" s="114"/>
      <c r="H33" s="104"/>
      <c r="I33" s="115"/>
      <c r="J33" s="115"/>
      <c r="K33" s="115"/>
      <c r="L33" s="115"/>
      <c r="M33" s="115"/>
      <c r="N33" s="116"/>
      <c r="O33" s="104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/>
      <c r="AM33" s="105"/>
      <c r="AN33" s="105"/>
      <c r="AO33" s="105"/>
      <c r="AP33" s="106"/>
      <c r="AQ33" s="107"/>
      <c r="AR33" s="105"/>
      <c r="AS33" s="105"/>
      <c r="AT33" s="105"/>
      <c r="AU33" s="105"/>
      <c r="AV33" s="105"/>
      <c r="AW33" s="105"/>
      <c r="AX33" s="105"/>
      <c r="AY33" s="105"/>
      <c r="AZ33" s="105"/>
      <c r="BA33" s="105"/>
      <c r="BB33" s="105"/>
      <c r="BC33" s="105"/>
      <c r="BD33" s="105"/>
      <c r="BE33" s="108"/>
    </row>
    <row r="34" spans="1:57" ht="15" customHeight="1" x14ac:dyDescent="0.2">
      <c r="A34" s="112"/>
      <c r="B34" s="113"/>
      <c r="C34" s="113"/>
      <c r="D34" s="113"/>
      <c r="E34" s="113"/>
      <c r="F34" s="113"/>
      <c r="G34" s="114"/>
      <c r="H34" s="104"/>
      <c r="I34" s="115"/>
      <c r="J34" s="115"/>
      <c r="K34" s="115"/>
      <c r="L34" s="115"/>
      <c r="M34" s="115"/>
      <c r="N34" s="116"/>
      <c r="O34" s="104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  <c r="AK34" s="105"/>
      <c r="AL34" s="105"/>
      <c r="AM34" s="105"/>
      <c r="AN34" s="105"/>
      <c r="AO34" s="105"/>
      <c r="AP34" s="106"/>
      <c r="AQ34" s="107"/>
      <c r="AR34" s="105"/>
      <c r="AS34" s="105"/>
      <c r="AT34" s="105"/>
      <c r="AU34" s="105"/>
      <c r="AV34" s="105"/>
      <c r="AW34" s="105"/>
      <c r="AX34" s="105"/>
      <c r="AY34" s="105"/>
      <c r="AZ34" s="105"/>
      <c r="BA34" s="105"/>
      <c r="BB34" s="105"/>
      <c r="BC34" s="105"/>
      <c r="BD34" s="105"/>
      <c r="BE34" s="108"/>
    </row>
    <row r="35" spans="1:57" ht="15" customHeight="1" thickBot="1" x14ac:dyDescent="0.25">
      <c r="A35" s="130"/>
      <c r="B35" s="131"/>
      <c r="C35" s="131"/>
      <c r="D35" s="131"/>
      <c r="E35" s="131"/>
      <c r="F35" s="131"/>
      <c r="G35" s="132"/>
      <c r="H35" s="123"/>
      <c r="I35" s="124"/>
      <c r="J35" s="124"/>
      <c r="K35" s="124"/>
      <c r="L35" s="124"/>
      <c r="M35" s="124"/>
      <c r="N35" s="125"/>
      <c r="O35" s="123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7"/>
      <c r="AQ35" s="128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9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LogicCommon</vt:lpstr>
      <vt:lpstr>ItmRls_UpdChk01</vt:lpstr>
      <vt:lpstr>ItmRls_Upd01</vt:lpstr>
      <vt:lpstr>ItmRls_DelChk01</vt:lpstr>
      <vt:lpstr>ItmRls_Del01</vt:lpstr>
      <vt:lpstr>ItmRls_UpdChk02</vt:lpstr>
      <vt:lpstr>ItmRls_Upd02</vt:lpstr>
      <vt:lpstr>Srch01</vt:lpstr>
      <vt:lpstr>Upd01</vt:lpstr>
      <vt:lpstr>Del01</vt:lpstr>
      <vt:lpstr>Upd02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2026-03-27T05:42:35Z</dcterms:modified>
  <cp:category/>
</cp:coreProperties>
</file>