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246D381A-4048-437E-949D-50FD04FA92FF}" xr6:coauthVersionLast="47" xr6:coauthVersionMax="47" xr10:uidLastSave="{00000000-0000-0000-0000-000000000000}"/>
  <bookViews>
    <workbookView xWindow="1710" yWindow="1710" windowWidth="21600" windowHeight="11265" tabRatio="807" activeTab="6" xr2:uid="{00000000-000D-0000-FFFF-FFFF00000000}"/>
  </bookViews>
  <sheets>
    <sheet name="LogicCommon" sheetId="10" r:id="rId1"/>
    <sheet name="StrLn_DelChk01" sheetId="21" r:id="rId2"/>
    <sheet name="StrLn_Del01" sheetId="17" r:id="rId3"/>
    <sheet name="Srch01" sheetId="1" r:id="rId4"/>
    <sheet name="Upd01" sheetId="11" r:id="rId5"/>
    <sheet name="Del01" sheetId="14" r:id="rId6"/>
    <sheet name="来歴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<sst xmlns="http://schemas.openxmlformats.org/spreadsheetml/2006/main" count="913" uniqueCount="250">
  <si>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</si>
  <si>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</si>
  <si>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</si>
  <si>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</si>
  <si>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</si>
  <si>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</si>
  <si>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</si>
  <si>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</si>
  <si>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</si>
  <si>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</si>
  <si>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</si>
  <si>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</si>
  <si>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</si>
  <si>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</si>
  <si>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</si>
  <si>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</si>
  <si>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</si>
  <si>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</si>
  <si>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</si>
  <si>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</si>
  <si>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</si>
  <si>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</si>
  <si>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</si>
  <si>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</si>
  <si>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</si>
  <si>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</si>
  <si>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</si>
  <si>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</si>
  <si>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</si>
  <si>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</si>
  <si>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</si>
  <si>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</si>
  <si>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</si>
  <si>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</si>
  <si>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</si>
  <si>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</si>
  <si>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</si>
  <si>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</si>
  <si>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</si>
  <si>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</si>
  <si>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</si>
  <si>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</si>
  <si>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</si>
  <si>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</si>
  <si>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</si>
  <si>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</si>
  <si>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</si>
  <si>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</si>
  <si>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</si>
  <si>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#MA.FLG</t>
  </si>
  <si>
    <t>#MA.FLG</t>
    <phoneticPr fontId="3"/>
  </si>
  <si>
    <t>#MA.SRV_REQ_NO</t>
  </si>
  <si>
    <t>#MA.SYS_TS</t>
  </si>
  <si>
    <t>削除</t>
    <phoneticPr fontId="3"/>
  </si>
  <si>
    <t>登録</t>
    <rPh sb="0" eb="2">
      <t>トウロク</t>
    </rPh>
    <phoneticPr fontId="3"/>
  </si>
  <si>
    <t>Srch01_Rslt2</t>
    <phoneticPr fontId="3"/>
  </si>
  <si>
    <t>L</t>
  </si>
  <si>
    <t>Upd01_Dtl1</t>
    <phoneticPr fontId="3"/>
  </si>
  <si>
    <t>Upd01_Dtl2</t>
    <phoneticPr fontId="3"/>
  </si>
  <si>
    <t>o</t>
  </si>
  <si>
    <t>TargetName</t>
  </si>
  <si>
    <t>UPDATE.updMaster1</t>
    <phoneticPr fontId="22"/>
  </si>
  <si>
    <t>UPDATE.updMaster2</t>
    <phoneticPr fontId="22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</si>
  <si>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</si>
  <si>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</si>
  <si>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</si>
  <si>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</si>
  <si>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</si>
  <si>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</si>
  <si>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</si>
  <si>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</si>
  <si>
    <t>#MA.UPD_CNT</t>
  </si>
  <si>
    <t>$share$</t>
  </si>
  <si>
    <t>@</t>
  </si>
  <si>
    <t>CALL_OPE01.chk01</t>
    <phoneticPr fontId="3"/>
  </si>
  <si>
    <t>CALL_OPE01.upd01</t>
    <phoneticPr fontId="3"/>
  </si>
  <si>
    <t>CALL_OPE01.chk01</t>
    <phoneticPr fontId="22"/>
  </si>
  <si>
    <t>CALL_OPE01.del01</t>
    <phoneticPr fontId="22"/>
  </si>
  <si>
    <t>K</t>
    <phoneticPr fontId="3"/>
  </si>
  <si>
    <t>REQUIRED</t>
    <phoneticPr fontId="3"/>
  </si>
  <si>
    <t>MA</t>
  </si>
  <si>
    <t>MABC</t>
  </si>
  <si>
    <t>Srch01</t>
  </si>
  <si>
    <t>Upd01</t>
  </si>
  <si>
    <t>Del01</t>
  </si>
  <si>
    <t>loc_cd</t>
  </si>
  <si>
    <t>#MA.LOC_CD</t>
  </si>
  <si>
    <t>#MA.LOC_NM</t>
  </si>
  <si>
    <t>K</t>
  </si>
  <si>
    <t>CONST</t>
  </si>
  <si>
    <t>#MA.LCL_CD</t>
  </si>
  <si>
    <t>lcl_cd</t>
  </si>
  <si>
    <t>str_ln_cd</t>
  </si>
  <si>
    <t>str_ln_nm_lcl</t>
  </si>
  <si>
    <t>str_ln_nm</t>
  </si>
  <si>
    <t>ln_flg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</si>
  <si>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</si>
  <si>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</si>
  <si>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</si>
  <si>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</si>
  <si>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</si>
  <si>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</si>
  <si>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</si>
  <si>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</si>
  <si>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</si>
  <si>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#MA.STR_LN_CD</t>
  </si>
  <si>
    <t>#MA.STR_LN_NM</t>
  </si>
  <si>
    <t>#MA.FUNC_ID</t>
  </si>
  <si>
    <t>#MA.FUNC_NM</t>
  </si>
  <si>
    <t>lcl_nm</t>
  </si>
  <si>
    <t>#MA.LCL_NM</t>
  </si>
  <si>
    <t>DBC.MAM_STR_LN_LCL</t>
    <phoneticPr fontId="3"/>
  </si>
  <si>
    <t>OPE.MA.MABCL0700.StrLn_UpdChk01</t>
    <phoneticPr fontId="3"/>
  </si>
  <si>
    <t>OPE.MA.MABCL0700.StrLn_Upd01</t>
    <phoneticPr fontId="3"/>
  </si>
  <si>
    <t>StrLn_Upd01_Dtl</t>
    <phoneticPr fontId="3"/>
  </si>
  <si>
    <t>OPE.MA.MABCL0700.LclStrLn_UpdChk01</t>
    <phoneticPr fontId="3"/>
  </si>
  <si>
    <t>OPE.MA.MABCL0700.LclStrLn_Upd01</t>
    <phoneticPr fontId="3"/>
  </si>
  <si>
    <t>StrLn_UpdChk01_Dtl</t>
    <phoneticPr fontId="3"/>
  </si>
  <si>
    <t>$super$</t>
    <phoneticPr fontId="22"/>
  </si>
  <si>
    <t>DBC.MA.MAM_STR_LN_LCL</t>
  </si>
  <si>
    <t>#MA.FCM_USR_ID</t>
  </si>
  <si>
    <t>#MA.FCM_USR_NM</t>
  </si>
  <si>
    <t>削除処理</t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</si>
  <si>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</si>
  <si>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</si>
  <si>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</si>
  <si>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場所ＣＤ</t>
    <phoneticPr fontId="5"/>
  </si>
  <si>
    <t>E</t>
    <phoneticPr fontId="3"/>
  </si>
  <si>
    <t>E</t>
    <phoneticPr fontId="22"/>
  </si>
  <si>
    <t>場所名</t>
    <phoneticPr fontId="5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</si>
  <si>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</si>
  <si>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</si>
  <si>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</si>
  <si>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</si>
  <si>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22"/>
  </si>
  <si>
    <t>super/share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</si>
  <si>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</si>
  <si>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</si>
  <si>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</si>
  <si>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</si>
  <si>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</si>
  <si>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</si>
  <si>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</si>
  <si>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</si>
  <si>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L</t>
    <phoneticPr fontId="22"/>
  </si>
  <si>
    <t>更新カウンタ</t>
    <phoneticPr fontId="3"/>
  </si>
  <si>
    <t>場所ＣＤ</t>
    <phoneticPr fontId="3"/>
  </si>
  <si>
    <t>ライン</t>
    <phoneticPr fontId="3"/>
  </si>
  <si>
    <t>MA.MABCL0700.StrLn_UpdChk01.StrLn_UpdChk01_Dtl</t>
    <phoneticPr fontId="22"/>
  </si>
  <si>
    <t>ロケールＣＤ</t>
    <phoneticPr fontId="3"/>
  </si>
  <si>
    <t>棚・ラインＣＤ</t>
    <phoneticPr fontId="3"/>
  </si>
  <si>
    <t>棚・ライン名</t>
    <phoneticPr fontId="3"/>
  </si>
  <si>
    <t>論理削除.オフ</t>
    <phoneticPr fontId="3"/>
  </si>
  <si>
    <t>論理削除.オン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</si>
  <si>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</si>
  <si>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</si>
  <si>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</si>
  <si>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</si>
  <si>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</si>
  <si>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</si>
  <si>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</si>
  <si>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</si>
  <si>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</si>
  <si>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</si>
  <si>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</si>
  <si>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</si>
  <si>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</si>
  <si>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</si>
  <si>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標準棚・ライン名</t>
    <phoneticPr fontId="3"/>
  </si>
  <si>
    <t>ロケール名</t>
    <phoneticPr fontId="3"/>
  </si>
  <si>
    <t>memo2</t>
    <phoneticPr fontId="3"/>
  </si>
  <si>
    <t>#MA.MST_MEMO2</t>
    <phoneticPr fontId="3"/>
  </si>
  <si>
    <t>Srch01_Rslt1</t>
    <phoneticPr fontId="3"/>
  </si>
  <si>
    <t>MA.MABCL0700.LclStrLn_UpdChk01.LclStrLn_UpdChk01_Dtl</t>
    <phoneticPr fontId="3"/>
  </si>
  <si>
    <t>LclStrLn_UpdChk01_Dtl</t>
    <phoneticPr fontId="3"/>
  </si>
  <si>
    <t>LclStrLn_Upd01_Dtl</t>
    <phoneticPr fontId="3"/>
  </si>
  <si>
    <t>000000</t>
    <phoneticPr fontId="3"/>
  </si>
  <si>
    <t>削除前チェック</t>
    <rPh sb="0" eb="2">
      <t>サクジョ</t>
    </rPh>
    <rPh sb="2" eb="3">
      <t>マエ</t>
    </rPh>
    <phoneticPr fontId="1"/>
  </si>
  <si>
    <t>MABCL0720</t>
    <phoneticPr fontId="3"/>
  </si>
  <si>
    <t>MABCL_StrLnReg</t>
    <phoneticPr fontId="3"/>
  </si>
  <si>
    <t>棚・ラインマスタ登録</t>
    <rPh sb="0" eb="1">
      <t>タナ</t>
    </rPh>
    <phoneticPr fontId="3"/>
  </si>
  <si>
    <t>棚・ラインマスタ、棚・ラインマスタ(ロケール別情報)を削除する前のチェックを行う</t>
    <rPh sb="0" eb="1">
      <t>タナ</t>
    </rPh>
    <rPh sb="9" eb="10">
      <t>ダナ</t>
    </rPh>
    <rPh sb="22" eb="23">
      <t>ベツ</t>
    </rPh>
    <rPh sb="23" eb="25">
      <t>ジョウホウ</t>
    </rPh>
    <rPh sb="31" eb="32">
      <t>マエ</t>
    </rPh>
    <rPh sb="38" eb="39">
      <t>オコナ</t>
    </rPh>
    <phoneticPr fontId="1"/>
  </si>
  <si>
    <t>棚・ラインマスタ、棚・ラインマスタ(ロケール別情報)を削除する</t>
    <rPh sb="0" eb="1">
      <t>タナ</t>
    </rPh>
    <rPh sb="9" eb="10">
      <t>ダナ</t>
    </rPh>
    <rPh sb="22" eb="23">
      <t>ベツ</t>
    </rPh>
    <rPh sb="23" eb="25">
      <t>ジョウホウ</t>
    </rPh>
    <phoneticPr fontId="1"/>
  </si>
  <si>
    <t>StrLn_DelChk01</t>
  </si>
  <si>
    <t>StrLn_DelChk01_Dtl</t>
  </si>
  <si>
    <t>StrLn_Del01</t>
  </si>
  <si>
    <t>StrLn_Del01_Dtl</t>
  </si>
  <si>
    <t>loc_nm</t>
    <phoneticPr fontId="3"/>
  </si>
  <si>
    <t>SELECT_LCL1.c1</t>
    <phoneticPr fontId="3"/>
  </si>
  <si>
    <t>CALL_OPE02.chk02</t>
  </si>
  <si>
    <t>CALL_OPE02.upd02</t>
  </si>
  <si>
    <t>OPE.MA.MABCL0720.StrLn_DelChk01</t>
  </si>
  <si>
    <t>OPE.MA.MABCL0720.StrLn_Del01</t>
  </si>
  <si>
    <t>MA.MABCL0720.StrLn_DelChk01.StrLn_DelChk01_Dtl</t>
    <phoneticPr fontId="3"/>
  </si>
  <si>
    <t>MA.MAUDL5010</t>
    <phoneticPr fontId="3"/>
  </si>
  <si>
    <t>DBC:MA.MAM_STR_LN</t>
    <phoneticPr fontId="22"/>
  </si>
  <si>
    <t>DBC.MA.MAM_STR_LN</t>
    <phoneticPr fontId="3"/>
  </si>
  <si>
    <t>str_ln_nm</t>
    <phoneticPr fontId="3"/>
  </si>
  <si>
    <t>DBC.MA.MAM_STR_LN</t>
    <phoneticPr fontId="22"/>
  </si>
  <si>
    <t>"mcframe.serverMAUD.MAUDL6020.MAUDL_LCLRLDeleter"</t>
    <phoneticPr fontId="3"/>
  </si>
  <si>
    <t>"mcframe.serverMAUD.MAUDL6020.MAUDL_LCLRLSearcher"</t>
    <phoneticPr fontId="3"/>
  </si>
  <si>
    <t>"mcframe.serverMAUD.MAUDL6020.MAUDL_LCLRLUpdater"</t>
    <phoneticPr fontId="3"/>
  </si>
  <si>
    <t>base_str_ln_nm</t>
    <phoneticPr fontId="3"/>
  </si>
  <si>
    <t>StrLn_DelChk01_Dtl</t>
    <phoneticPr fontId="3"/>
  </si>
  <si>
    <t>StrLn_Del01_Dtl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</si>
  <si>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</si>
  <si>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</si>
  <si>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</si>
  <si>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</si>
  <si>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</si>
  <si>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</si>
  <si>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</si>
  <si>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</si>
  <si>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</si>
  <si>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</si>
  <si>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</si>
  <si>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</si>
  <si>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</si>
  <si>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</si>
  <si>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Location cd.</t>
  </si>
  <si>
    <t>Rack/Line cd.</t>
  </si>
  <si>
    <t>Update counter</t>
  </si>
  <si>
    <t>Location name</t>
  </si>
  <si>
    <t>Rack/Line name</t>
  </si>
  <si>
    <t>Logical delete. Off</t>
  </si>
  <si>
    <t>Logical delete. On</t>
  </si>
  <si>
    <t>Memo 1</t>
  </si>
  <si>
    <t>Memo 2</t>
  </si>
  <si>
    <t>Memo 3</t>
  </si>
  <si>
    <t>Logical delete</t>
  </si>
  <si>
    <t>Standard rack/line name</t>
  </si>
  <si>
    <t>Line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</si>
  <si>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</si>
  <si>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</si>
  <si>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</si>
  <si>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</si>
  <si>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</si>
  <si>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</si>
  <si>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</si>
  <si>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</si>
  <si>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</si>
  <si>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</si>
  <si>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</si>
  <si>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</si>
  <si>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</si>
  <si>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</si>
  <si>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cd.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</si>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</sst>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4" fillId="0" borderId="0" xfId="0" applyFont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0" borderId="13" xfId="0" applyFont="1" applyBorder="1">
      <alignment vertical="top" wrapText="1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24" borderId="15" xfId="0" applyFont="1" applyFill="1" applyBorder="1" applyAlignment="1">
      <alignment vertical="top"/>
    </xf>
    <xf numFmtId="0" fontId="24" fillId="24" borderId="15" xfId="0" applyFont="1" applyFill="1" applyBorder="1" applyAlignment="1" applyProtection="1">
      <protection locked="0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5" borderId="19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24" borderId="19" xfId="0" applyFont="1" applyFill="1" applyBorder="1" applyAlignment="1"/>
    <xf numFmtId="0" fontId="24" fillId="0" borderId="43" xfId="0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42" xfId="0" applyFont="1" applyBorder="1" applyAlignment="1" applyProtection="1">
      <alignment vertical="top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11" bestFit="1" customWidth="1"/>
    <col min="2" max="2" width="15" style="11" bestFit="1" customWidth="1"/>
    <col min="3" max="3" width="7.453125" style="29" bestFit="1" customWidth="1"/>
    <col min="4" max="4" width="13.90625" style="1" bestFit="1" customWidth="1"/>
    <col min="5" max="5" width="33.90625" style="1" bestFit="1" customWidth="1"/>
    <col min="6" max="6" width="19.36328125" style="1" bestFit="1" customWidth="1"/>
    <col min="7" max="7" width="10.453125" style="1" bestFit="1" customWidth="1"/>
    <col min="8" max="9" width="10.36328125" style="1" customWidth="1"/>
    <col min="10" max="16384" width="9" style="11"/>
  </cols>
  <sheetData>
    <row r="1" spans="1:12" x14ac:dyDescent="0.2">
      <c r="A1" s="8"/>
      <c r="B1" s="8"/>
      <c r="C1" s="9"/>
      <c r="D1" s="10"/>
      <c r="E1" s="10"/>
      <c r="F1" s="10"/>
      <c r="G1" s="10"/>
    </row>
    <row r="2" spans="1:12" x14ac:dyDescent="0.2">
      <c r="A2" s="12" t="s">
        <v>3</v>
      </c>
      <c r="B2" s="13" t="s">
        <v>12</v>
      </c>
      <c r="C2" s="14" t="s">
        <v>80</v>
      </c>
      <c r="D2" s="13" t="s">
        <v>9</v>
      </c>
      <c r="E2" s="6" t="s">
        <v>178</v>
      </c>
      <c r="F2" s="13" t="s">
        <v>37</v>
      </c>
      <c r="G2" s="6" t="s">
        <v>7</v>
      </c>
      <c r="H2" s="13"/>
      <c r="I2" s="15"/>
    </row>
    <row r="3" spans="1:12" x14ac:dyDescent="0.2">
      <c r="A3" s="16"/>
      <c r="B3" s="13" t="s">
        <v>13</v>
      </c>
      <c r="C3" s="17" t="s">
        <v>81</v>
      </c>
      <c r="D3" s="13" t="s">
        <v>10</v>
      </c>
      <c r="E3" s="6" t="s">
        <v>179</v>
      </c>
      <c r="F3" s="13" t="s">
        <v>38</v>
      </c>
      <c r="G3" s="6"/>
      <c r="H3" s="13"/>
      <c r="I3" s="6"/>
    </row>
    <row r="4" spans="1:12" x14ac:dyDescent="0.2">
      <c r="A4" s="10"/>
      <c r="B4" s="13"/>
      <c r="C4" s="71"/>
      <c r="D4" s="13" t="s">
        <v>11</v>
      </c>
      <c r="E4" s="18" t="s">
        <v>180</v>
      </c>
      <c r="F4" s="13" t="s">
        <v>5</v>
      </c>
      <c r="G4" s="6" t="s">
        <v>194</v>
      </c>
      <c r="H4" s="19"/>
      <c r="I4" s="20"/>
    </row>
    <row r="5" spans="1:12" x14ac:dyDescent="0.2">
      <c r="A5" s="12" t="s">
        <v>6</v>
      </c>
      <c r="B5" s="21"/>
      <c r="C5" s="22"/>
      <c r="D5" s="21"/>
      <c r="E5" s="21"/>
      <c r="F5" s="23"/>
      <c r="G5" s="3"/>
      <c r="H5" s="3"/>
      <c r="I5" s="24"/>
      <c r="J5" s="1"/>
      <c r="K5" s="1"/>
      <c r="L5" s="1"/>
    </row>
    <row r="6" spans="1:12" s="28" customFormat="1" x14ac:dyDescent="0.2">
      <c r="A6" s="25" t="s">
        <v>4</v>
      </c>
      <c r="B6" s="12"/>
      <c r="C6" s="26"/>
      <c r="D6" s="12"/>
      <c r="E6" s="12"/>
      <c r="F6" s="12"/>
      <c r="G6" s="12"/>
      <c r="H6" s="12"/>
      <c r="I6" s="27"/>
    </row>
    <row r="7" spans="1:12" s="28" customFormat="1" x14ac:dyDescent="0.2">
      <c r="A7" s="11"/>
      <c r="B7" s="1"/>
      <c r="C7" s="29"/>
      <c r="D7" s="1"/>
      <c r="E7" s="1"/>
      <c r="F7" s="1"/>
      <c r="G7" s="1"/>
      <c r="H7" s="1"/>
      <c r="I7" s="20"/>
    </row>
    <row r="8" spans="1:12" x14ac:dyDescent="0.2">
      <c r="B8" s="1"/>
      <c r="I8" s="20"/>
    </row>
    <row r="9" spans="1:12" x14ac:dyDescent="0.2">
      <c r="B9" s="1"/>
      <c r="I9" s="20"/>
      <c r="J9" s="1"/>
    </row>
    <row r="10" spans="1:12" x14ac:dyDescent="0.2">
      <c r="B10" s="1"/>
      <c r="I10" s="20"/>
      <c r="J10" s="1"/>
    </row>
    <row r="11" spans="1:12" x14ac:dyDescent="0.2">
      <c r="B11" s="1"/>
      <c r="I11" s="20"/>
      <c r="J11" s="1"/>
    </row>
    <row r="12" spans="1:12" x14ac:dyDescent="0.2">
      <c r="B12" s="1"/>
      <c r="I12" s="20"/>
      <c r="J12" s="1"/>
    </row>
    <row r="13" spans="1:12" x14ac:dyDescent="0.2">
      <c r="B13" s="1"/>
      <c r="I13" s="20"/>
      <c r="J13" s="1"/>
    </row>
    <row r="14" spans="1:12" x14ac:dyDescent="0.2">
      <c r="B14" s="1"/>
      <c r="I14" s="20"/>
      <c r="J14" s="1"/>
    </row>
    <row r="15" spans="1:12" x14ac:dyDescent="0.2">
      <c r="B15" s="1"/>
      <c r="I15" s="20"/>
      <c r="J15" s="1"/>
    </row>
    <row r="16" spans="1:12" x14ac:dyDescent="0.2">
      <c r="B16" s="1"/>
      <c r="I16" s="20"/>
      <c r="J16" s="1"/>
    </row>
    <row r="17" spans="1:10" x14ac:dyDescent="0.2">
      <c r="B17" s="1"/>
      <c r="I17" s="20"/>
      <c r="J17" s="1"/>
    </row>
    <row r="18" spans="1:10" x14ac:dyDescent="0.2">
      <c r="B18" s="1"/>
      <c r="I18" s="20"/>
      <c r="J18" s="1"/>
    </row>
    <row r="19" spans="1:10" x14ac:dyDescent="0.2">
      <c r="A19" s="8"/>
      <c r="B19" s="10"/>
      <c r="C19" s="9"/>
      <c r="D19" s="10"/>
      <c r="E19" s="10"/>
      <c r="F19" s="10"/>
      <c r="G19" s="10"/>
      <c r="H19" s="10"/>
      <c r="I19" s="30"/>
      <c r="J19" s="1"/>
    </row>
    <row r="20" spans="1:10" x14ac:dyDescent="0.2">
      <c r="B20" s="1"/>
      <c r="J20" s="1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28.1796875" style="32" bestFit="1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7" width="17.6328125" style="2" customWidth="1"/>
    <col min="18" max="18" width="30.81640625" style="2" customWidth="1"/>
    <col min="19" max="19" width="9" style="2"/>
    <col min="20" max="20" width="15.81640625" style="2" customWidth="1"/>
    <col min="21" max="16384" width="9" style="2"/>
  </cols>
  <sheetData>
    <row r="1" spans="1:21" s="16" customFormat="1" x14ac:dyDescent="0.2">
      <c r="A1" s="74" t="s">
        <v>136</v>
      </c>
      <c r="B1" s="74" t="s">
        <v>136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  <c r="U1" s="2"/>
    </row>
    <row r="2" spans="1:21" s="16" customFormat="1" ht="40" customHeight="1" x14ac:dyDescent="0.2">
      <c r="A2" s="75" t="s">
        <v>136</v>
      </c>
      <c r="B2" s="76"/>
      <c r="C2" s="76"/>
      <c r="D2" s="85" t="s">
        <v>205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MABCL0720</v>
      </c>
      <c r="I2" s="13" t="s">
        <v>137</v>
      </c>
      <c r="J2" s="6" t="s">
        <v>183</v>
      </c>
      <c r="K2" s="13" t="s">
        <v>37</v>
      </c>
      <c r="L2" s="77" t="str">
        <f>IF(LogicCommon!G2="","",LogicCommon!G2)</f>
        <v>MC</v>
      </c>
      <c r="M2" s="11" t="s">
        <v>138</v>
      </c>
      <c r="N2" s="31" t="str">
        <f>L4 &amp; ".Checker"</f>
        <v>MA.MAUDL5010.Checker</v>
      </c>
      <c r="O2" s="13"/>
      <c r="P2" s="13"/>
      <c r="Q2" s="1"/>
      <c r="R2" s="2"/>
      <c r="S2" s="2"/>
      <c r="T2" s="2"/>
      <c r="U2" s="2"/>
    </row>
    <row r="3" spans="1:21" s="16" customFormat="1" x14ac:dyDescent="0.2">
      <c r="A3" s="78" t="s">
        <v>136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MABCL_StrLnReg</v>
      </c>
      <c r="I3" s="13" t="s">
        <v>139</v>
      </c>
      <c r="J3" s="6" t="s">
        <v>73</v>
      </c>
      <c r="K3" s="13" t="s">
        <v>38</v>
      </c>
      <c r="L3" s="77" t="str">
        <f>IF(LogicCommon!G3="","",LogicCommon!G3)</f>
        <v/>
      </c>
      <c r="M3" s="59" t="s">
        <v>29</v>
      </c>
      <c r="N3" s="13"/>
      <c r="O3" s="13" t="s">
        <v>140</v>
      </c>
      <c r="P3" s="6" t="s">
        <v>141</v>
      </c>
      <c r="Q3" s="1"/>
      <c r="R3" s="2"/>
      <c r="S3" s="2"/>
      <c r="T3" s="2"/>
      <c r="U3" s="2"/>
    </row>
    <row r="4" spans="1:21" s="16" customFormat="1" x14ac:dyDescent="0.2">
      <c r="A4" s="78" t="s">
        <v>136</v>
      </c>
      <c r="B4" s="79"/>
      <c r="C4" s="79"/>
      <c r="D4" s="1"/>
      <c r="E4" s="13" t="s">
        <v>8</v>
      </c>
      <c r="F4" s="15" t="s">
        <v>176</v>
      </c>
      <c r="G4" s="13" t="s">
        <v>11</v>
      </c>
      <c r="H4" s="77" t="str">
        <f>IF(LogicCommon!E4="","",LogicCommon!E4)</f>
        <v>棚・ラインマスタ登録</v>
      </c>
      <c r="I4" s="13" t="s">
        <v>142</v>
      </c>
      <c r="J4" s="6" t="s">
        <v>177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  <c r="U4" s="2"/>
    </row>
    <row r="5" spans="1:21" s="16" customFormat="1" x14ac:dyDescent="0.2">
      <c r="A5" s="82" t="s">
        <v>136</v>
      </c>
      <c r="B5" s="74"/>
      <c r="C5" s="74"/>
      <c r="D5" s="30"/>
      <c r="E5" s="13" t="s">
        <v>143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  <c r="U5" s="2"/>
    </row>
    <row r="6" spans="1:21" s="16" customFormat="1" x14ac:dyDescent="0.2">
      <c r="A6" s="78" t="s">
        <v>136</v>
      </c>
      <c r="B6" s="79"/>
      <c r="C6" s="79"/>
      <c r="D6" s="1" t="s">
        <v>6</v>
      </c>
      <c r="E6" s="21" t="s">
        <v>181</v>
      </c>
      <c r="F6" s="21"/>
      <c r="G6" s="21"/>
      <c r="H6" s="21"/>
      <c r="I6" s="21"/>
      <c r="J6" s="21"/>
      <c r="K6" s="21"/>
      <c r="L6" s="84"/>
      <c r="M6" s="3"/>
      <c r="N6" s="3"/>
      <c r="O6" s="3"/>
      <c r="P6" s="3"/>
      <c r="Q6" s="3" t="s">
        <v>30</v>
      </c>
      <c r="R6" s="1"/>
      <c r="S6" s="32"/>
      <c r="T6" s="32"/>
      <c r="U6" s="2"/>
    </row>
    <row r="7" spans="1:21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32</v>
      </c>
      <c r="J7" s="34"/>
      <c r="K7" s="5" t="s">
        <v>78</v>
      </c>
      <c r="L7" s="5"/>
      <c r="M7" s="5"/>
      <c r="N7" s="5"/>
      <c r="O7" s="5"/>
      <c r="P7" s="4" t="s">
        <v>59</v>
      </c>
      <c r="Q7" s="5"/>
      <c r="R7" s="32"/>
      <c r="S7" s="32"/>
      <c r="T7" s="32"/>
      <c r="U7" s="32"/>
    </row>
    <row r="8" spans="1:21" s="16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135</v>
      </c>
      <c r="H8" s="86" t="s">
        <v>208</v>
      </c>
      <c r="I8" s="84"/>
      <c r="J8" s="10"/>
      <c r="K8" s="6" t="s">
        <v>79</v>
      </c>
      <c r="L8" s="6"/>
      <c r="M8" s="6"/>
      <c r="N8" s="6"/>
      <c r="O8" s="6"/>
      <c r="P8" s="4" t="s">
        <v>60</v>
      </c>
      <c r="Q8" s="6"/>
      <c r="R8" s="90"/>
      <c r="S8" s="91"/>
      <c r="T8" s="92" t="s">
        <v>209</v>
      </c>
      <c r="U8" s="52"/>
    </row>
    <row r="9" spans="1:21" s="16" customFormat="1" ht="60" customHeight="1" x14ac:dyDescent="0.2">
      <c r="A9" s="6" t="s">
        <v>17</v>
      </c>
      <c r="B9" s="38"/>
      <c r="C9" s="39"/>
      <c r="D9" s="86" t="s">
        <v>210</v>
      </c>
      <c r="E9" s="93" t="s">
        <v>211</v>
      </c>
      <c r="F9" s="86" t="s">
        <v>212</v>
      </c>
      <c r="G9" s="86" t="s">
        <v>213</v>
      </c>
      <c r="H9" s="86" t="s">
        <v>214</v>
      </c>
      <c r="I9" s="94" t="s">
        <v>215</v>
      </c>
      <c r="J9" s="86" t="s">
        <v>216</v>
      </c>
      <c r="K9" s="4"/>
      <c r="L9" s="4"/>
      <c r="M9" s="4"/>
      <c r="N9" s="4"/>
      <c r="O9" s="4"/>
      <c r="P9" s="4"/>
      <c r="Q9" s="4"/>
      <c r="R9" s="92" t="s">
        <v>217</v>
      </c>
      <c r="S9" s="52"/>
      <c r="T9" s="92" t="s">
        <v>218</v>
      </c>
      <c r="U9" s="52"/>
    </row>
    <row r="10" spans="1:21" s="16" customFormat="1" ht="39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"/>
      <c r="L10" s="4"/>
      <c r="M10" s="4"/>
      <c r="N10" s="4"/>
      <c r="O10" s="4"/>
      <c r="P10" s="87" t="s">
        <v>215</v>
      </c>
      <c r="Q10" s="87" t="s">
        <v>216</v>
      </c>
      <c r="R10" s="43"/>
      <c r="S10" s="43"/>
      <c r="T10" s="44"/>
      <c r="U10" s="37"/>
    </row>
    <row r="11" spans="1:21" s="16" customFormat="1" x14ac:dyDescent="0.2">
      <c r="A11" s="6">
        <v>10</v>
      </c>
      <c r="B11" s="38" t="s">
        <v>0</v>
      </c>
      <c r="C11" s="39"/>
      <c r="D11" s="31" t="s">
        <v>184</v>
      </c>
      <c r="E11" s="35" t="s">
        <v>56</v>
      </c>
      <c r="F11" s="45"/>
      <c r="G11" s="31" t="s">
        <v>118</v>
      </c>
      <c r="H11" s="6" t="s">
        <v>195</v>
      </c>
      <c r="I11" s="46"/>
      <c r="J11" s="47"/>
      <c r="K11" s="7"/>
      <c r="L11" s="7"/>
      <c r="M11" s="7"/>
      <c r="N11" s="7"/>
      <c r="O11" s="7"/>
      <c r="P11" s="7"/>
      <c r="Q11" s="7"/>
      <c r="R11" s="36"/>
      <c r="S11" s="37"/>
      <c r="T11" s="72"/>
      <c r="U11" s="48"/>
    </row>
    <row r="12" spans="1:21" s="16" customFormat="1" x14ac:dyDescent="0.2">
      <c r="A12" s="6">
        <v>10</v>
      </c>
      <c r="B12" s="6"/>
      <c r="C12" s="6"/>
      <c r="D12" s="6" t="s">
        <v>85</v>
      </c>
      <c r="E12" s="49" t="s">
        <v>86</v>
      </c>
      <c r="F12" s="49"/>
      <c r="G12" s="50" t="s">
        <v>219</v>
      </c>
      <c r="H12" s="50" t="s">
        <v>126</v>
      </c>
      <c r="I12" s="6" t="s">
        <v>127</v>
      </c>
      <c r="J12" s="6"/>
      <c r="K12" s="6" t="s">
        <v>127</v>
      </c>
      <c r="L12" s="6"/>
      <c r="M12" s="6"/>
      <c r="N12" s="6"/>
      <c r="O12" s="6"/>
      <c r="P12" s="6"/>
      <c r="Q12" s="6"/>
      <c r="R12" s="42"/>
      <c r="S12" s="52"/>
      <c r="T12" s="143"/>
      <c r="U12" s="144"/>
    </row>
    <row r="13" spans="1:21" s="16" customFormat="1" x14ac:dyDescent="0.2">
      <c r="A13" s="6">
        <v>10</v>
      </c>
      <c r="B13" s="6"/>
      <c r="C13" s="6"/>
      <c r="D13" s="6" t="s">
        <v>92</v>
      </c>
      <c r="E13" s="49" t="s">
        <v>105</v>
      </c>
      <c r="F13" s="49"/>
      <c r="G13" s="50" t="s">
        <v>220</v>
      </c>
      <c r="H13" s="50" t="s">
        <v>150</v>
      </c>
      <c r="I13" s="6" t="s">
        <v>127</v>
      </c>
      <c r="J13" s="6"/>
      <c r="K13" s="6" t="s">
        <v>127</v>
      </c>
      <c r="L13" s="6"/>
      <c r="M13" s="6"/>
      <c r="N13" s="6"/>
      <c r="O13" s="6"/>
      <c r="P13" s="6"/>
      <c r="Q13" s="6"/>
      <c r="R13" s="42"/>
      <c r="S13" s="52"/>
      <c r="T13" s="143"/>
      <c r="U13" s="144"/>
    </row>
    <row r="14" spans="1:21" s="16" customFormat="1" x14ac:dyDescent="0.2">
      <c r="A14" s="6">
        <v>10</v>
      </c>
      <c r="B14" s="6"/>
      <c r="C14" s="6"/>
      <c r="D14" s="6" t="s">
        <v>70</v>
      </c>
      <c r="E14" s="49" t="s">
        <v>71</v>
      </c>
      <c r="F14" s="49"/>
      <c r="G14" s="50" t="s">
        <v>221</v>
      </c>
      <c r="H14" s="50" t="s">
        <v>134</v>
      </c>
      <c r="I14" s="6" t="s">
        <v>127</v>
      </c>
      <c r="J14" s="6"/>
      <c r="K14" s="6"/>
      <c r="L14" s="6"/>
      <c r="M14" s="6"/>
      <c r="N14" s="6"/>
      <c r="O14" s="6"/>
      <c r="P14" s="6"/>
      <c r="Q14" s="6"/>
      <c r="R14" s="42"/>
      <c r="S14" s="52"/>
      <c r="T14" s="143"/>
      <c r="U14" s="144"/>
    </row>
    <row r="15" spans="1:21" s="16" customFormat="1" x14ac:dyDescent="0.2">
      <c r="A15" s="53"/>
      <c r="B15" s="54"/>
      <c r="C15" s="54"/>
      <c r="D15" s="2" t="s">
        <v>1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1"/>
      <c r="S15" s="1"/>
      <c r="T15" s="12"/>
      <c r="U15" s="27"/>
    </row>
    <row r="16" spans="1:21" s="16" customFormat="1" x14ac:dyDescent="0.2">
      <c r="A16" s="78"/>
      <c r="U16" s="55"/>
    </row>
    <row r="17" spans="1:21" s="16" customFormat="1" x14ac:dyDescent="0.2">
      <c r="A17" s="78"/>
      <c r="U17" s="55"/>
    </row>
    <row r="18" spans="1:21" s="16" customFormat="1" x14ac:dyDescent="0.2">
      <c r="A18" s="78"/>
      <c r="U18" s="55"/>
    </row>
    <row r="19" spans="1:21" s="16" customFormat="1" x14ac:dyDescent="0.2">
      <c r="A19" s="78"/>
      <c r="U19" s="55"/>
    </row>
    <row r="20" spans="1:21" s="16" customFormat="1" x14ac:dyDescent="0.2">
      <c r="A20" s="78"/>
      <c r="U20" s="55"/>
    </row>
    <row r="21" spans="1:21" s="16" customFormat="1" x14ac:dyDescent="0.2">
      <c r="A21" s="78"/>
      <c r="U21" s="55"/>
    </row>
    <row r="22" spans="1:21" s="16" customFormat="1" x14ac:dyDescent="0.2">
      <c r="A22" s="78"/>
      <c r="U22" s="55"/>
    </row>
    <row r="23" spans="1:21" s="16" customFormat="1" x14ac:dyDescent="0.2">
      <c r="A23" s="78"/>
      <c r="U23" s="55"/>
    </row>
    <row r="24" spans="1:21" s="16" customFormat="1" x14ac:dyDescent="0.2">
      <c r="A24" s="8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24"/>
    </row>
  </sheetData>
  <dataConsolidate/>
  <mergeCells count="3">
    <mergeCell ref="T14:U14"/>
    <mergeCell ref="T13:U13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T19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44.6328125" style="32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2.81640625" style="32" bestFit="1" customWidth="1"/>
    <col min="14" max="14" width="50.6328125" style="32" customWidth="1"/>
    <col min="15" max="15" width="12.81640625" style="32" bestFit="1" customWidth="1"/>
    <col min="16" max="16" width="21.453125" style="32" bestFit="1" customWidth="1"/>
    <col min="17" max="17" width="30.81640625" style="2" customWidth="1"/>
    <col min="18" max="18" width="9" style="2"/>
    <col min="19" max="19" width="15.81640625" style="2" customWidth="1"/>
    <col min="20" max="16384" width="9" style="2"/>
  </cols>
  <sheetData>
    <row r="1" spans="1:20" s="16" customFormat="1" x14ac:dyDescent="0.2">
      <c r="A1" s="74" t="s">
        <v>136</v>
      </c>
      <c r="B1" s="74" t="s">
        <v>136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</row>
    <row r="2" spans="1:20" s="16" customFormat="1" ht="40" customHeight="1" x14ac:dyDescent="0.2">
      <c r="A2" s="75" t="s">
        <v>136</v>
      </c>
      <c r="B2" s="76"/>
      <c r="C2" s="76"/>
      <c r="D2" s="85" t="s">
        <v>205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MABCL0720</v>
      </c>
      <c r="I2" s="13" t="s">
        <v>137</v>
      </c>
      <c r="J2" s="6" t="s">
        <v>185</v>
      </c>
      <c r="K2" s="13" t="s">
        <v>37</v>
      </c>
      <c r="L2" s="77" t="str">
        <f>IF(LogicCommon!G2="","",LogicCommon!G2)</f>
        <v>MC</v>
      </c>
      <c r="M2" s="11" t="s">
        <v>138</v>
      </c>
      <c r="N2" s="31" t="s">
        <v>199</v>
      </c>
      <c r="O2" s="13"/>
      <c r="P2" s="13"/>
      <c r="Q2" s="1"/>
      <c r="R2" s="2"/>
      <c r="S2" s="2"/>
      <c r="T2" s="2"/>
    </row>
    <row r="3" spans="1:20" s="16" customFormat="1" x14ac:dyDescent="0.2">
      <c r="A3" s="78" t="s">
        <v>136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MABCL_StrLnReg</v>
      </c>
      <c r="I3" s="13" t="s">
        <v>139</v>
      </c>
      <c r="J3" s="6" t="s">
        <v>28</v>
      </c>
      <c r="K3" s="13" t="s">
        <v>38</v>
      </c>
      <c r="L3" s="77" t="str">
        <f>IF(LogicCommon!G3="","",LogicCommon!G3)</f>
        <v/>
      </c>
      <c r="M3" s="59" t="s">
        <v>29</v>
      </c>
      <c r="N3" s="13"/>
      <c r="O3" s="13" t="s">
        <v>140</v>
      </c>
      <c r="P3" s="6" t="s">
        <v>141</v>
      </c>
      <c r="Q3" s="1"/>
      <c r="R3" s="2"/>
      <c r="S3" s="2"/>
      <c r="T3" s="2"/>
    </row>
    <row r="4" spans="1:20" s="16" customFormat="1" x14ac:dyDescent="0.2">
      <c r="A4" s="78" t="s">
        <v>136</v>
      </c>
      <c r="B4" s="79"/>
      <c r="C4" s="79"/>
      <c r="D4" s="1"/>
      <c r="E4" s="13" t="s">
        <v>8</v>
      </c>
      <c r="F4" s="15" t="s">
        <v>176</v>
      </c>
      <c r="G4" s="13" t="s">
        <v>11</v>
      </c>
      <c r="H4" s="77" t="str">
        <f>IF(LogicCommon!E4="","",LogicCommon!E4)</f>
        <v>棚・ラインマスタ登録</v>
      </c>
      <c r="I4" s="13" t="s">
        <v>142</v>
      </c>
      <c r="J4" s="6" t="s">
        <v>122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</row>
    <row r="5" spans="1:20" s="16" customFormat="1" x14ac:dyDescent="0.2">
      <c r="A5" s="82" t="s">
        <v>136</v>
      </c>
      <c r="B5" s="74"/>
      <c r="C5" s="74"/>
      <c r="D5" s="30"/>
      <c r="E5" s="13" t="s">
        <v>143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</row>
    <row r="6" spans="1:20" s="16" customFormat="1" x14ac:dyDescent="0.2">
      <c r="A6" s="78" t="s">
        <v>136</v>
      </c>
      <c r="B6" s="79"/>
      <c r="C6" s="79"/>
      <c r="D6" s="1" t="s">
        <v>6</v>
      </c>
      <c r="E6" s="21" t="s">
        <v>182</v>
      </c>
      <c r="F6" s="21"/>
      <c r="G6" s="21"/>
      <c r="H6" s="21"/>
      <c r="I6" s="21"/>
      <c r="J6" s="21"/>
      <c r="K6" s="21"/>
      <c r="L6" s="84" t="s">
        <v>30</v>
      </c>
      <c r="M6" s="3"/>
      <c r="N6" s="3" t="s">
        <v>30</v>
      </c>
      <c r="O6" s="3"/>
      <c r="P6" s="3" t="s">
        <v>30</v>
      </c>
      <c r="Q6" s="3"/>
      <c r="R6" s="32"/>
      <c r="S6" s="32"/>
      <c r="T6" s="2"/>
    </row>
    <row r="7" spans="1:20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32</v>
      </c>
      <c r="J7" s="34"/>
      <c r="K7" s="4" t="s">
        <v>33</v>
      </c>
      <c r="L7" s="5" t="s">
        <v>61</v>
      </c>
      <c r="M7" s="4" t="s">
        <v>33</v>
      </c>
      <c r="N7" s="5" t="s">
        <v>62</v>
      </c>
      <c r="O7" s="4" t="s">
        <v>59</v>
      </c>
      <c r="P7" s="5"/>
      <c r="Q7" s="32"/>
      <c r="R7" s="32"/>
      <c r="S7" s="32"/>
      <c r="T7" s="32"/>
    </row>
    <row r="8" spans="1:20" s="16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135</v>
      </c>
      <c r="H8" s="86" t="s">
        <v>208</v>
      </c>
      <c r="I8" s="84"/>
      <c r="J8" s="10"/>
      <c r="K8" s="4" t="s">
        <v>16</v>
      </c>
      <c r="L8" s="6" t="s">
        <v>198</v>
      </c>
      <c r="M8" s="4" t="s">
        <v>16</v>
      </c>
      <c r="N8" s="6" t="s">
        <v>119</v>
      </c>
      <c r="O8" s="4" t="s">
        <v>60</v>
      </c>
      <c r="P8" s="6"/>
      <c r="Q8" s="90"/>
      <c r="R8" s="91"/>
      <c r="S8" s="92" t="s">
        <v>209</v>
      </c>
      <c r="T8" s="52"/>
    </row>
    <row r="9" spans="1:20" s="16" customFormat="1" ht="60" customHeight="1" x14ac:dyDescent="0.2">
      <c r="A9" s="6" t="s">
        <v>17</v>
      </c>
      <c r="B9" s="38"/>
      <c r="C9" s="39"/>
      <c r="D9" s="86" t="s">
        <v>210</v>
      </c>
      <c r="E9" s="93" t="s">
        <v>211</v>
      </c>
      <c r="F9" s="86" t="s">
        <v>212</v>
      </c>
      <c r="G9" s="86" t="s">
        <v>213</v>
      </c>
      <c r="H9" s="86" t="s">
        <v>214</v>
      </c>
      <c r="I9" s="94" t="s">
        <v>215</v>
      </c>
      <c r="J9" s="86" t="s">
        <v>216</v>
      </c>
      <c r="K9" s="4"/>
      <c r="L9" s="4"/>
      <c r="M9" s="4"/>
      <c r="N9" s="4"/>
      <c r="O9" s="4"/>
      <c r="P9" s="4"/>
      <c r="Q9" s="92" t="s">
        <v>217</v>
      </c>
      <c r="R9" s="52"/>
      <c r="S9" s="92" t="s">
        <v>218</v>
      </c>
      <c r="T9" s="52"/>
    </row>
    <row r="10" spans="1:20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215</v>
      </c>
      <c r="L10" s="87" t="s">
        <v>216</v>
      </c>
      <c r="M10" s="87" t="s">
        <v>215</v>
      </c>
      <c r="N10" s="87" t="s">
        <v>216</v>
      </c>
      <c r="O10" s="87" t="s">
        <v>215</v>
      </c>
      <c r="P10" s="87" t="s">
        <v>216</v>
      </c>
      <c r="Q10" s="43"/>
      <c r="R10" s="43"/>
      <c r="S10" s="44"/>
      <c r="T10" s="37"/>
    </row>
    <row r="11" spans="1:20" s="16" customFormat="1" x14ac:dyDescent="0.2">
      <c r="A11" s="6">
        <v>10</v>
      </c>
      <c r="B11" s="38" t="s">
        <v>0</v>
      </c>
      <c r="C11" s="39"/>
      <c r="D11" s="31" t="s">
        <v>186</v>
      </c>
      <c r="E11" s="35" t="s">
        <v>56</v>
      </c>
      <c r="F11" s="45"/>
      <c r="G11" s="31" t="s">
        <v>72</v>
      </c>
      <c r="H11" s="56" t="s">
        <v>193</v>
      </c>
      <c r="I11" s="46"/>
      <c r="J11" s="47"/>
      <c r="K11" s="7" t="s">
        <v>144</v>
      </c>
      <c r="L11" s="7"/>
      <c r="M11" s="7" t="s">
        <v>144</v>
      </c>
      <c r="N11" s="7"/>
      <c r="O11" s="7"/>
      <c r="P11" s="7"/>
      <c r="Q11" s="36"/>
      <c r="R11" s="37"/>
      <c r="S11" s="72"/>
      <c r="T11" s="48"/>
    </row>
    <row r="12" spans="1:20" s="16" customFormat="1" x14ac:dyDescent="0.2">
      <c r="A12" s="6">
        <v>10</v>
      </c>
      <c r="B12" s="6"/>
      <c r="C12" s="6"/>
      <c r="D12" s="6" t="s">
        <v>85</v>
      </c>
      <c r="E12" s="49" t="s">
        <v>86</v>
      </c>
      <c r="F12" s="49"/>
      <c r="G12" s="50" t="s">
        <v>219</v>
      </c>
      <c r="H12" s="50" t="s">
        <v>126</v>
      </c>
      <c r="I12" s="6" t="s">
        <v>127</v>
      </c>
      <c r="J12" s="6"/>
      <c r="K12" s="6" t="s">
        <v>127</v>
      </c>
      <c r="L12" s="6"/>
      <c r="M12" s="6" t="s">
        <v>128</v>
      </c>
      <c r="N12" s="6"/>
      <c r="O12" s="6"/>
      <c r="P12" s="6"/>
      <c r="Q12" s="51"/>
      <c r="R12" s="52"/>
      <c r="S12" s="143"/>
      <c r="T12" s="144"/>
    </row>
    <row r="13" spans="1:20" s="16" customFormat="1" x14ac:dyDescent="0.2">
      <c r="A13" s="6">
        <v>10</v>
      </c>
      <c r="B13" s="6"/>
      <c r="C13" s="6"/>
      <c r="D13" s="6" t="s">
        <v>92</v>
      </c>
      <c r="E13" s="49" t="s">
        <v>105</v>
      </c>
      <c r="F13" s="49"/>
      <c r="G13" s="50" t="s">
        <v>220</v>
      </c>
      <c r="H13" s="50" t="s">
        <v>150</v>
      </c>
      <c r="I13" s="6" t="s">
        <v>127</v>
      </c>
      <c r="J13" s="6"/>
      <c r="K13" s="6" t="s">
        <v>127</v>
      </c>
      <c r="L13" s="6"/>
      <c r="M13" s="6" t="s">
        <v>128</v>
      </c>
      <c r="N13" s="6"/>
      <c r="O13" s="6"/>
      <c r="P13" s="6"/>
      <c r="Q13" s="51"/>
      <c r="R13" s="52"/>
      <c r="S13" s="143"/>
      <c r="T13" s="144"/>
    </row>
    <row r="14" spans="1:20" s="16" customFormat="1" x14ac:dyDescent="0.2">
      <c r="A14" s="6">
        <v>10</v>
      </c>
      <c r="B14" s="6"/>
      <c r="C14" s="6"/>
      <c r="D14" s="6" t="s">
        <v>70</v>
      </c>
      <c r="E14" s="49" t="s">
        <v>71</v>
      </c>
      <c r="F14" s="49"/>
      <c r="G14" s="50" t="s">
        <v>221</v>
      </c>
      <c r="H14" s="50" t="s">
        <v>145</v>
      </c>
      <c r="I14" s="6" t="s">
        <v>127</v>
      </c>
      <c r="J14" s="6"/>
      <c r="K14" s="6" t="s">
        <v>127</v>
      </c>
      <c r="L14" s="6"/>
      <c r="M14" s="6"/>
      <c r="N14" s="6"/>
      <c r="O14" s="6"/>
      <c r="P14" s="6"/>
      <c r="Q14" s="36"/>
      <c r="R14" s="37"/>
      <c r="S14" s="72"/>
      <c r="T14" s="48"/>
    </row>
    <row r="15" spans="1:20" s="16" customFormat="1" x14ac:dyDescent="0.2">
      <c r="A15" s="53"/>
      <c r="B15" s="54"/>
      <c r="C15" s="54"/>
      <c r="D15" s="2" t="s">
        <v>1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1"/>
      <c r="R15" s="1"/>
      <c r="S15" s="12"/>
      <c r="T15" s="27"/>
    </row>
    <row r="16" spans="1:20" s="16" customFormat="1" x14ac:dyDescent="0.2">
      <c r="A16" s="78"/>
      <c r="T16" s="55"/>
    </row>
    <row r="17" spans="1:20" s="16" customFormat="1" x14ac:dyDescent="0.2">
      <c r="A17" s="78"/>
      <c r="T17" s="55"/>
    </row>
    <row r="18" spans="1:20" s="16" customFormat="1" x14ac:dyDescent="0.2">
      <c r="A18" s="78"/>
      <c r="T18" s="55"/>
    </row>
    <row r="19" spans="1:20" s="16" customFormat="1" x14ac:dyDescent="0.2">
      <c r="A19" s="8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4"/>
    </row>
  </sheetData>
  <dataConsolidate/>
  <mergeCells count="2">
    <mergeCell ref="S12:T12"/>
    <mergeCell ref="S13:T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U76"/>
  <sheetViews>
    <sheetView topLeftCell="B46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20.453125" style="32" bestFit="1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9.36328125" style="32" bestFit="1" customWidth="1"/>
    <col min="14" max="14" width="50.6328125" style="32" customWidth="1"/>
    <col min="15" max="17" width="20.6328125" style="32" customWidth="1"/>
    <col min="18" max="18" width="30.81640625" style="32" customWidth="1"/>
    <col min="19" max="20" width="17.1796875" style="2" customWidth="1"/>
    <col min="21" max="16384" width="9" style="2"/>
  </cols>
  <sheetData>
    <row r="1" spans="1:21" s="16" customFormat="1" x14ac:dyDescent="0.2">
      <c r="A1" s="74" t="s">
        <v>136</v>
      </c>
      <c r="B1" s="74" t="s">
        <v>136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32"/>
      <c r="S1" s="2"/>
      <c r="T1" s="2"/>
      <c r="U1" s="2"/>
    </row>
    <row r="2" spans="1:21" s="16" customFormat="1" ht="40" customHeight="1" x14ac:dyDescent="0.2">
      <c r="A2" s="75" t="s">
        <v>136</v>
      </c>
      <c r="B2" s="76"/>
      <c r="C2" s="76"/>
      <c r="D2" s="85" t="s">
        <v>205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MABCL0720</v>
      </c>
      <c r="I2" s="13" t="s">
        <v>137</v>
      </c>
      <c r="J2" s="6" t="s">
        <v>82</v>
      </c>
      <c r="K2" s="13" t="s">
        <v>37</v>
      </c>
      <c r="L2" s="77" t="str">
        <f>IF(LogicCommon!G2="","",LogicCommon!G2)</f>
        <v>MC</v>
      </c>
      <c r="M2" s="11" t="s">
        <v>138</v>
      </c>
      <c r="N2" s="31" t="s">
        <v>200</v>
      </c>
      <c r="O2" s="13"/>
      <c r="P2" s="13"/>
      <c r="Q2" s="1"/>
      <c r="R2" s="2"/>
      <c r="S2" s="2"/>
      <c r="T2" s="2"/>
      <c r="U2" s="2"/>
    </row>
    <row r="3" spans="1:21" s="16" customFormat="1" x14ac:dyDescent="0.2">
      <c r="A3" s="78" t="s">
        <v>136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MABCL_StrLnReg</v>
      </c>
      <c r="I3" s="13" t="s">
        <v>139</v>
      </c>
      <c r="J3" s="6" t="s">
        <v>28</v>
      </c>
      <c r="K3" s="13" t="s">
        <v>38</v>
      </c>
      <c r="L3" s="77" t="str">
        <f>IF(LogicCommon!G3="","",LogicCommon!G3)</f>
        <v/>
      </c>
      <c r="M3" s="59" t="s">
        <v>29</v>
      </c>
      <c r="N3" s="13"/>
      <c r="O3" s="13" t="s">
        <v>140</v>
      </c>
      <c r="P3" s="6" t="s">
        <v>141</v>
      </c>
      <c r="Q3" s="1"/>
      <c r="R3" s="2"/>
      <c r="S3" s="2"/>
      <c r="T3" s="2"/>
      <c r="U3" s="2"/>
    </row>
    <row r="4" spans="1:21" s="16" customFormat="1" x14ac:dyDescent="0.2">
      <c r="A4" s="78" t="s">
        <v>136</v>
      </c>
      <c r="B4" s="79"/>
      <c r="C4" s="79"/>
      <c r="D4" s="1"/>
      <c r="E4" s="13" t="s">
        <v>8</v>
      </c>
      <c r="F4" s="15" t="s">
        <v>176</v>
      </c>
      <c r="G4" s="13" t="s">
        <v>11</v>
      </c>
      <c r="H4" s="77" t="str">
        <f>IF(LogicCommon!E4="","",LogicCommon!E4)</f>
        <v>棚・ラインマスタ登録</v>
      </c>
      <c r="I4" s="13" t="s">
        <v>142</v>
      </c>
      <c r="J4" s="6" t="s">
        <v>2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  <c r="U4" s="2"/>
    </row>
    <row r="5" spans="1:21" s="16" customFormat="1" x14ac:dyDescent="0.2">
      <c r="A5" s="82" t="s">
        <v>136</v>
      </c>
      <c r="B5" s="74"/>
      <c r="C5" s="74"/>
      <c r="D5" s="30"/>
      <c r="E5" s="13" t="s">
        <v>143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  <c r="U5" s="2"/>
    </row>
    <row r="6" spans="1:21" s="16" customFormat="1" x14ac:dyDescent="0.2">
      <c r="A6" s="78" t="s">
        <v>136</v>
      </c>
      <c r="B6" s="79"/>
      <c r="C6" s="79"/>
      <c r="D6" s="1" t="s">
        <v>6</v>
      </c>
      <c r="E6" s="21" t="s">
        <v>123</v>
      </c>
      <c r="F6" s="21"/>
      <c r="G6" s="21"/>
      <c r="H6" s="21"/>
      <c r="I6" s="21"/>
      <c r="J6" s="21"/>
      <c r="K6" s="21"/>
      <c r="L6" s="84" t="s">
        <v>30</v>
      </c>
      <c r="M6" s="3" t="s">
        <v>30</v>
      </c>
      <c r="N6" s="3" t="s">
        <v>30</v>
      </c>
      <c r="O6" s="3" t="s">
        <v>30</v>
      </c>
      <c r="P6" s="3"/>
      <c r="Q6" s="3" t="s">
        <v>30</v>
      </c>
      <c r="R6" s="32"/>
      <c r="S6" s="32"/>
      <c r="T6" s="2"/>
      <c r="U6" s="2"/>
    </row>
    <row r="7" spans="1:21" s="16" customFormat="1" x14ac:dyDescent="0.2">
      <c r="A7" s="33" t="s">
        <v>31</v>
      </c>
      <c r="B7" s="33"/>
      <c r="C7" s="33"/>
      <c r="D7" s="34"/>
      <c r="E7" s="34"/>
      <c r="F7" s="34"/>
      <c r="G7" s="34"/>
      <c r="H7" s="34"/>
      <c r="I7" s="34" t="s">
        <v>32</v>
      </c>
      <c r="J7" s="34"/>
      <c r="K7" s="5" t="s">
        <v>88</v>
      </c>
      <c r="L7" s="4" t="s">
        <v>33</v>
      </c>
      <c r="M7" s="5" t="s">
        <v>34</v>
      </c>
      <c r="N7" s="4" t="s">
        <v>33</v>
      </c>
      <c r="O7" s="5" t="s">
        <v>188</v>
      </c>
      <c r="P7" s="4" t="s">
        <v>33</v>
      </c>
      <c r="Q7" s="5"/>
      <c r="R7" s="32"/>
      <c r="S7" s="32"/>
      <c r="T7" s="32"/>
      <c r="U7" s="32"/>
    </row>
    <row r="8" spans="1:21" s="16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135</v>
      </c>
      <c r="H8" s="86" t="s">
        <v>208</v>
      </c>
      <c r="I8" s="84"/>
      <c r="J8" s="10"/>
      <c r="K8" s="6" t="s">
        <v>89</v>
      </c>
      <c r="L8" s="4" t="s">
        <v>16</v>
      </c>
      <c r="M8" s="6" t="s">
        <v>196</v>
      </c>
      <c r="N8" s="4" t="s">
        <v>16</v>
      </c>
      <c r="O8" s="6" t="s">
        <v>111</v>
      </c>
      <c r="P8" s="4" t="s">
        <v>16</v>
      </c>
      <c r="Q8" s="6"/>
      <c r="R8" s="90"/>
      <c r="S8" s="91"/>
      <c r="T8" s="92" t="s">
        <v>209</v>
      </c>
      <c r="U8" s="52"/>
    </row>
    <row r="9" spans="1:21" s="16" customFormat="1" ht="60" customHeight="1" x14ac:dyDescent="0.2">
      <c r="A9" s="6" t="s">
        <v>17</v>
      </c>
      <c r="B9" s="38"/>
      <c r="C9" s="39"/>
      <c r="D9" s="86" t="s">
        <v>210</v>
      </c>
      <c r="E9" s="93" t="s">
        <v>211</v>
      </c>
      <c r="F9" s="86" t="s">
        <v>212</v>
      </c>
      <c r="G9" s="86" t="s">
        <v>213</v>
      </c>
      <c r="H9" s="86" t="s">
        <v>214</v>
      </c>
      <c r="I9" s="94" t="s">
        <v>215</v>
      </c>
      <c r="J9" s="86" t="s">
        <v>216</v>
      </c>
      <c r="K9" s="95"/>
      <c r="L9" s="4"/>
      <c r="M9" s="4"/>
      <c r="N9" s="4"/>
      <c r="O9" s="4"/>
      <c r="P9" s="4"/>
      <c r="Q9" s="4"/>
      <c r="R9" s="92" t="s">
        <v>217</v>
      </c>
      <c r="S9" s="52"/>
      <c r="T9" s="92" t="s">
        <v>218</v>
      </c>
      <c r="U9" s="52"/>
    </row>
    <row r="10" spans="1:21" s="16" customFormat="1" ht="39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7" t="s">
        <v>215</v>
      </c>
      <c r="M10" s="87" t="s">
        <v>216</v>
      </c>
      <c r="N10" s="87" t="s">
        <v>215</v>
      </c>
      <c r="O10" s="87" t="s">
        <v>216</v>
      </c>
      <c r="P10" s="87" t="s">
        <v>215</v>
      </c>
      <c r="Q10" s="87" t="s">
        <v>216</v>
      </c>
      <c r="R10" s="43"/>
      <c r="S10" s="43"/>
      <c r="T10" s="44"/>
      <c r="U10" s="37"/>
    </row>
    <row r="11" spans="1:21" s="16" customFormat="1" x14ac:dyDescent="0.2">
      <c r="A11" s="6">
        <v>10</v>
      </c>
      <c r="B11" s="38" t="s">
        <v>0</v>
      </c>
      <c r="C11" s="39"/>
      <c r="D11" s="31" t="s">
        <v>19</v>
      </c>
      <c r="E11" s="35" t="s">
        <v>20</v>
      </c>
      <c r="F11" s="45"/>
      <c r="G11" s="31"/>
      <c r="H11" s="56"/>
      <c r="I11" s="46"/>
      <c r="J11" s="47"/>
      <c r="K11" s="58"/>
      <c r="L11" s="7"/>
      <c r="M11" s="7"/>
      <c r="N11" s="7"/>
      <c r="O11" s="7"/>
      <c r="P11" s="7"/>
      <c r="Q11" s="7"/>
      <c r="R11" s="36"/>
      <c r="S11" s="37"/>
      <c r="T11" s="72"/>
      <c r="U11" s="48"/>
    </row>
    <row r="12" spans="1:21" s="16" customFormat="1" x14ac:dyDescent="0.2">
      <c r="A12" s="6">
        <v>10</v>
      </c>
      <c r="B12" s="6"/>
      <c r="C12" s="6"/>
      <c r="D12" s="6" t="s">
        <v>85</v>
      </c>
      <c r="E12" s="49" t="s">
        <v>86</v>
      </c>
      <c r="F12" s="49"/>
      <c r="G12" s="50" t="s">
        <v>219</v>
      </c>
      <c r="H12" s="50" t="s">
        <v>126</v>
      </c>
      <c r="I12" s="6" t="s">
        <v>127</v>
      </c>
      <c r="J12" s="6"/>
      <c r="K12" s="6"/>
      <c r="L12" s="6"/>
      <c r="M12" s="6"/>
      <c r="N12" s="6"/>
      <c r="O12" s="6"/>
      <c r="P12" s="6"/>
      <c r="Q12" s="6"/>
      <c r="R12" s="51"/>
      <c r="S12" s="52"/>
      <c r="T12" s="143"/>
      <c r="U12" s="144"/>
    </row>
    <row r="13" spans="1:21" s="16" customFormat="1" x14ac:dyDescent="0.2">
      <c r="A13" s="6">
        <v>10</v>
      </c>
      <c r="B13" s="6"/>
      <c r="C13" s="6"/>
      <c r="D13" s="6" t="s">
        <v>187</v>
      </c>
      <c r="E13" s="49" t="s">
        <v>87</v>
      </c>
      <c r="F13" s="49"/>
      <c r="G13" s="50" t="s">
        <v>222</v>
      </c>
      <c r="H13" s="50" t="s">
        <v>129</v>
      </c>
      <c r="I13" s="6" t="s">
        <v>127</v>
      </c>
      <c r="J13" s="6"/>
      <c r="K13" s="6"/>
      <c r="L13" s="6"/>
      <c r="M13" s="6"/>
      <c r="N13" s="6"/>
      <c r="O13" s="6"/>
      <c r="P13" s="6"/>
      <c r="Q13" s="6"/>
      <c r="R13" s="51"/>
      <c r="S13" s="52"/>
      <c r="T13" s="143"/>
      <c r="U13" s="144"/>
    </row>
    <row r="14" spans="1:21" s="16" customFormat="1" x14ac:dyDescent="0.2">
      <c r="A14" s="6">
        <v>10</v>
      </c>
      <c r="B14" s="6"/>
      <c r="C14" s="6"/>
      <c r="D14" s="6" t="s">
        <v>92</v>
      </c>
      <c r="E14" s="49" t="s">
        <v>105</v>
      </c>
      <c r="F14" s="49"/>
      <c r="G14" s="50" t="s">
        <v>220</v>
      </c>
      <c r="H14" s="50" t="s">
        <v>150</v>
      </c>
      <c r="I14" s="6" t="s">
        <v>127</v>
      </c>
      <c r="J14" s="6"/>
      <c r="K14" s="6"/>
      <c r="L14" s="6"/>
      <c r="M14" s="6"/>
      <c r="N14" s="6"/>
      <c r="O14" s="6"/>
      <c r="P14" s="6"/>
      <c r="Q14" s="6"/>
      <c r="R14" s="51"/>
      <c r="S14" s="52"/>
      <c r="T14" s="143"/>
      <c r="U14" s="144"/>
    </row>
    <row r="15" spans="1:21" s="16" customFormat="1" x14ac:dyDescent="0.2">
      <c r="A15" s="6">
        <v>10</v>
      </c>
      <c r="B15" s="6"/>
      <c r="C15" s="6"/>
      <c r="D15" s="6" t="s">
        <v>94</v>
      </c>
      <c r="E15" s="49" t="s">
        <v>106</v>
      </c>
      <c r="F15" s="49"/>
      <c r="G15" s="50" t="s">
        <v>223</v>
      </c>
      <c r="H15" s="50" t="s">
        <v>151</v>
      </c>
      <c r="I15" s="6" t="s">
        <v>127</v>
      </c>
      <c r="J15" s="6"/>
      <c r="K15" s="6"/>
      <c r="L15" s="6"/>
      <c r="M15" s="6"/>
      <c r="N15" s="6"/>
      <c r="O15" s="6"/>
      <c r="P15" s="6"/>
      <c r="Q15" s="6"/>
      <c r="R15" s="51"/>
      <c r="S15" s="52"/>
      <c r="T15" s="72"/>
      <c r="U15" s="73"/>
    </row>
    <row r="16" spans="1:21" s="16" customFormat="1" x14ac:dyDescent="0.2">
      <c r="A16" s="6">
        <v>10</v>
      </c>
      <c r="B16" s="6"/>
      <c r="C16" s="6"/>
      <c r="D16" s="6" t="s">
        <v>64</v>
      </c>
      <c r="E16" s="49" t="s">
        <v>50</v>
      </c>
      <c r="F16" s="49"/>
      <c r="G16" s="50" t="s">
        <v>224</v>
      </c>
      <c r="H16" s="50" t="s">
        <v>152</v>
      </c>
      <c r="I16" s="6" t="s">
        <v>127</v>
      </c>
      <c r="J16" s="6"/>
      <c r="K16" s="6"/>
      <c r="L16" s="6"/>
      <c r="M16" s="6"/>
      <c r="N16" s="6"/>
      <c r="O16" s="6"/>
      <c r="P16" s="6"/>
      <c r="Q16" s="6"/>
      <c r="R16" s="51"/>
      <c r="S16" s="52"/>
      <c r="T16" s="143"/>
      <c r="U16" s="144"/>
    </row>
    <row r="17" spans="1:21" s="16" customFormat="1" x14ac:dyDescent="0.2">
      <c r="A17" s="6">
        <v>10</v>
      </c>
      <c r="B17" s="6"/>
      <c r="C17" s="6"/>
      <c r="D17" s="6" t="s">
        <v>65</v>
      </c>
      <c r="E17" s="49" t="s">
        <v>50</v>
      </c>
      <c r="F17" s="49"/>
      <c r="G17" s="50" t="s">
        <v>225</v>
      </c>
      <c r="H17" s="50" t="s">
        <v>153</v>
      </c>
      <c r="I17" s="6" t="s">
        <v>127</v>
      </c>
      <c r="J17" s="6"/>
      <c r="K17" s="6"/>
      <c r="L17" s="6"/>
      <c r="M17" s="6"/>
      <c r="N17" s="6"/>
      <c r="O17" s="6"/>
      <c r="P17" s="6"/>
      <c r="Q17" s="6"/>
      <c r="R17" s="59"/>
      <c r="S17" s="60"/>
      <c r="T17" s="145"/>
      <c r="U17" s="144"/>
    </row>
    <row r="18" spans="1:21" s="16" customFormat="1" x14ac:dyDescent="0.2">
      <c r="A18" s="6">
        <v>10</v>
      </c>
      <c r="B18" s="6"/>
      <c r="C18" s="6"/>
      <c r="D18" s="6" t="s">
        <v>40</v>
      </c>
      <c r="E18" s="49" t="s">
        <v>42</v>
      </c>
      <c r="F18" s="49"/>
      <c r="G18" s="50" t="s">
        <v>226</v>
      </c>
      <c r="H18" s="50" t="s">
        <v>130</v>
      </c>
      <c r="I18" s="6" t="s">
        <v>127</v>
      </c>
      <c r="J18" s="6"/>
      <c r="K18" s="6"/>
      <c r="L18" s="6"/>
      <c r="M18" s="6"/>
      <c r="N18" s="6"/>
      <c r="O18" s="6"/>
      <c r="P18" s="6"/>
      <c r="Q18" s="6"/>
      <c r="R18" s="51"/>
      <c r="S18" s="52"/>
      <c r="T18" s="143"/>
      <c r="U18" s="144"/>
    </row>
    <row r="19" spans="1:21" s="16" customFormat="1" x14ac:dyDescent="0.2">
      <c r="A19" s="6">
        <v>10</v>
      </c>
      <c r="B19" s="6"/>
      <c r="C19" s="6"/>
      <c r="D19" s="6" t="s">
        <v>170</v>
      </c>
      <c r="E19" s="49" t="s">
        <v>171</v>
      </c>
      <c r="F19" s="49"/>
      <c r="G19" s="50" t="s">
        <v>227</v>
      </c>
      <c r="H19" s="50" t="s">
        <v>131</v>
      </c>
      <c r="I19" s="6" t="s">
        <v>127</v>
      </c>
      <c r="J19" s="6"/>
      <c r="K19" s="6"/>
      <c r="L19" s="6"/>
      <c r="M19" s="6"/>
      <c r="N19" s="6"/>
      <c r="O19" s="6"/>
      <c r="P19" s="6"/>
      <c r="Q19" s="6"/>
      <c r="R19" s="59"/>
      <c r="S19" s="60"/>
      <c r="T19" s="145"/>
      <c r="U19" s="144"/>
    </row>
    <row r="20" spans="1:21" s="16" customFormat="1" x14ac:dyDescent="0.2">
      <c r="A20" s="6">
        <v>10</v>
      </c>
      <c r="B20" s="6"/>
      <c r="C20" s="6"/>
      <c r="D20" s="6" t="s">
        <v>44</v>
      </c>
      <c r="E20" s="49" t="s">
        <v>46</v>
      </c>
      <c r="F20" s="49"/>
      <c r="G20" s="50" t="s">
        <v>228</v>
      </c>
      <c r="H20" s="50" t="s">
        <v>132</v>
      </c>
      <c r="I20" s="6" t="s">
        <v>127</v>
      </c>
      <c r="J20" s="6"/>
      <c r="K20" s="6"/>
      <c r="L20" s="6"/>
      <c r="M20" s="6"/>
      <c r="N20" s="6"/>
      <c r="O20" s="6"/>
      <c r="P20" s="6"/>
      <c r="Q20" s="6"/>
      <c r="R20" s="59"/>
      <c r="S20" s="60"/>
      <c r="T20" s="145"/>
      <c r="U20" s="144"/>
    </row>
    <row r="21" spans="1:21" s="16" customFormat="1" x14ac:dyDescent="0.2">
      <c r="A21" s="78"/>
      <c r="U21" s="55"/>
    </row>
    <row r="22" spans="1:21" s="16" customFormat="1" x14ac:dyDescent="0.2">
      <c r="A22" s="6">
        <v>20</v>
      </c>
      <c r="B22" s="38" t="s">
        <v>0</v>
      </c>
      <c r="C22" s="39"/>
      <c r="D22" s="31" t="s">
        <v>172</v>
      </c>
      <c r="E22" s="35" t="s">
        <v>21</v>
      </c>
      <c r="F22" s="61"/>
      <c r="G22" s="31"/>
      <c r="H22" s="56"/>
      <c r="I22" s="62"/>
      <c r="J22" s="63"/>
      <c r="K22" s="63"/>
      <c r="L22" s="7"/>
      <c r="M22" s="7" t="s">
        <v>21</v>
      </c>
      <c r="N22" s="7"/>
      <c r="O22" s="7"/>
      <c r="P22" s="7"/>
      <c r="Q22" s="7"/>
      <c r="R22" s="36"/>
      <c r="S22" s="37"/>
      <c r="T22" s="72"/>
      <c r="U22" s="48"/>
    </row>
    <row r="23" spans="1:21" s="16" customFormat="1" x14ac:dyDescent="0.2">
      <c r="A23" s="6">
        <v>20</v>
      </c>
      <c r="B23" s="6"/>
      <c r="C23" s="6"/>
      <c r="D23" s="6" t="s">
        <v>66</v>
      </c>
      <c r="E23" s="49" t="s">
        <v>49</v>
      </c>
      <c r="F23" s="49"/>
      <c r="G23" s="50" t="s">
        <v>229</v>
      </c>
      <c r="H23" s="50" t="s">
        <v>133</v>
      </c>
      <c r="I23" s="6"/>
      <c r="J23" s="6" t="s">
        <v>127</v>
      </c>
      <c r="K23" s="6"/>
      <c r="L23" s="6"/>
      <c r="M23" s="6" t="s">
        <v>127</v>
      </c>
      <c r="N23" s="6"/>
      <c r="O23" s="6"/>
      <c r="P23" s="6"/>
      <c r="Q23" s="6"/>
      <c r="R23" s="51"/>
      <c r="S23" s="52"/>
      <c r="T23" s="143"/>
      <c r="U23" s="144"/>
    </row>
    <row r="24" spans="1:21" s="16" customFormat="1" x14ac:dyDescent="0.2">
      <c r="A24" s="6">
        <v>20</v>
      </c>
      <c r="B24" s="6"/>
      <c r="C24" s="6"/>
      <c r="D24" s="6" t="s">
        <v>85</v>
      </c>
      <c r="E24" s="49" t="s">
        <v>86</v>
      </c>
      <c r="F24" s="49"/>
      <c r="G24" s="50" t="s">
        <v>219</v>
      </c>
      <c r="H24" s="50" t="s">
        <v>146</v>
      </c>
      <c r="I24" s="6"/>
      <c r="J24" s="6" t="s">
        <v>127</v>
      </c>
      <c r="K24" s="6"/>
      <c r="L24" s="6"/>
      <c r="M24" s="6" t="s">
        <v>127</v>
      </c>
      <c r="N24" s="6"/>
      <c r="O24" s="6"/>
      <c r="P24" s="6"/>
      <c r="Q24" s="6"/>
      <c r="R24" s="51"/>
      <c r="S24" s="52"/>
      <c r="T24" s="143"/>
      <c r="U24" s="144"/>
    </row>
    <row r="25" spans="1:21" s="16" customFormat="1" x14ac:dyDescent="0.2">
      <c r="A25" s="6">
        <v>20</v>
      </c>
      <c r="B25" s="6"/>
      <c r="C25" s="6"/>
      <c r="D25" s="6" t="s">
        <v>187</v>
      </c>
      <c r="E25" s="49" t="s">
        <v>87</v>
      </c>
      <c r="F25" s="49"/>
      <c r="G25" s="50" t="s">
        <v>222</v>
      </c>
      <c r="H25" s="50" t="s">
        <v>129</v>
      </c>
      <c r="I25" s="6"/>
      <c r="J25" s="6" t="s">
        <v>127</v>
      </c>
      <c r="K25" s="6"/>
      <c r="L25" s="6"/>
      <c r="M25" s="6" t="s">
        <v>127</v>
      </c>
      <c r="N25" s="6"/>
      <c r="O25" s="6"/>
      <c r="P25" s="6"/>
      <c r="Q25" s="6"/>
      <c r="R25" s="51"/>
      <c r="S25" s="52"/>
      <c r="T25" s="143"/>
      <c r="U25" s="144"/>
    </row>
    <row r="26" spans="1:21" s="16" customFormat="1" x14ac:dyDescent="0.2">
      <c r="A26" s="6">
        <v>20</v>
      </c>
      <c r="B26" s="6"/>
      <c r="C26" s="6"/>
      <c r="D26" s="6" t="s">
        <v>92</v>
      </c>
      <c r="E26" s="49" t="s">
        <v>105</v>
      </c>
      <c r="F26" s="49"/>
      <c r="G26" s="50" t="s">
        <v>220</v>
      </c>
      <c r="H26" s="50" t="s">
        <v>150</v>
      </c>
      <c r="I26" s="6"/>
      <c r="J26" s="6" t="s">
        <v>127</v>
      </c>
      <c r="K26" s="6"/>
      <c r="L26" s="6"/>
      <c r="M26" s="6" t="s">
        <v>127</v>
      </c>
      <c r="N26" s="6"/>
      <c r="O26" s="6"/>
      <c r="P26" s="6"/>
      <c r="Q26" s="6"/>
      <c r="R26" s="51"/>
      <c r="S26" s="52"/>
      <c r="T26" s="143"/>
      <c r="U26" s="144"/>
    </row>
    <row r="27" spans="1:21" s="16" customFormat="1" x14ac:dyDescent="0.2">
      <c r="A27" s="6">
        <v>20</v>
      </c>
      <c r="B27" s="6"/>
      <c r="C27" s="6"/>
      <c r="D27" s="6" t="s">
        <v>93</v>
      </c>
      <c r="E27" s="49" t="s">
        <v>106</v>
      </c>
      <c r="F27" s="49"/>
      <c r="G27" s="50" t="s">
        <v>223</v>
      </c>
      <c r="H27" s="50" t="s">
        <v>151</v>
      </c>
      <c r="I27" s="6"/>
      <c r="J27" s="6" t="s">
        <v>127</v>
      </c>
      <c r="K27" s="6"/>
      <c r="L27" s="6"/>
      <c r="M27" s="6" t="s">
        <v>197</v>
      </c>
      <c r="N27" s="6"/>
      <c r="O27" s="6"/>
      <c r="P27" s="6"/>
      <c r="Q27" s="6"/>
      <c r="R27" s="51"/>
      <c r="S27" s="52"/>
      <c r="T27" s="143"/>
      <c r="U27" s="144"/>
    </row>
    <row r="28" spans="1:21" s="16" customFormat="1" x14ac:dyDescent="0.2">
      <c r="A28" s="6">
        <v>20</v>
      </c>
      <c r="B28" s="6"/>
      <c r="C28" s="6"/>
      <c r="D28" s="6" t="s">
        <v>94</v>
      </c>
      <c r="E28" s="49" t="s">
        <v>106</v>
      </c>
      <c r="F28" s="49"/>
      <c r="G28" s="50" t="s">
        <v>230</v>
      </c>
      <c r="H28" s="50" t="s">
        <v>168</v>
      </c>
      <c r="I28" s="6"/>
      <c r="J28" s="6" t="s">
        <v>127</v>
      </c>
      <c r="K28" s="6"/>
      <c r="L28" s="6"/>
      <c r="M28" s="6" t="s">
        <v>202</v>
      </c>
      <c r="N28" s="6"/>
      <c r="O28" s="6"/>
      <c r="P28" s="6"/>
      <c r="Q28" s="6"/>
      <c r="R28" s="51"/>
      <c r="S28" s="52"/>
      <c r="T28" s="143"/>
      <c r="U28" s="144"/>
    </row>
    <row r="29" spans="1:21" s="16" customFormat="1" x14ac:dyDescent="0.2">
      <c r="A29" s="6">
        <v>20</v>
      </c>
      <c r="B29" s="6"/>
      <c r="C29" s="6"/>
      <c r="D29" s="6" t="s">
        <v>95</v>
      </c>
      <c r="E29" s="49" t="s">
        <v>49</v>
      </c>
      <c r="F29" s="49"/>
      <c r="G29" s="50" t="s">
        <v>231</v>
      </c>
      <c r="H29" s="50" t="s">
        <v>147</v>
      </c>
      <c r="I29" s="6"/>
      <c r="J29" s="6" t="s">
        <v>127</v>
      </c>
      <c r="K29" s="6"/>
      <c r="L29" s="6"/>
      <c r="M29" s="6" t="s">
        <v>127</v>
      </c>
      <c r="N29" s="6"/>
      <c r="O29" s="6"/>
      <c r="P29" s="6"/>
      <c r="Q29" s="6"/>
      <c r="R29" s="51"/>
      <c r="S29" s="52"/>
      <c r="T29" s="143"/>
      <c r="U29" s="144"/>
    </row>
    <row r="30" spans="1:21" s="16" customFormat="1" x14ac:dyDescent="0.2">
      <c r="A30" s="6">
        <v>20</v>
      </c>
      <c r="B30" s="6"/>
      <c r="C30" s="6"/>
      <c r="D30" s="6" t="s">
        <v>39</v>
      </c>
      <c r="E30" s="49" t="s">
        <v>41</v>
      </c>
      <c r="F30" s="49"/>
      <c r="G30" s="50" t="s">
        <v>226</v>
      </c>
      <c r="H30" s="50" t="s">
        <v>130</v>
      </c>
      <c r="I30" s="6"/>
      <c r="J30" s="6" t="s">
        <v>127</v>
      </c>
      <c r="K30" s="6"/>
      <c r="L30" s="6"/>
      <c r="M30" s="6" t="s">
        <v>127</v>
      </c>
      <c r="N30" s="6"/>
      <c r="O30" s="6"/>
      <c r="P30" s="6"/>
      <c r="Q30" s="6"/>
      <c r="R30" s="51"/>
      <c r="S30" s="52"/>
      <c r="T30" s="143"/>
      <c r="U30" s="144"/>
    </row>
    <row r="31" spans="1:21" s="16" customFormat="1" x14ac:dyDescent="0.2">
      <c r="A31" s="6">
        <v>20</v>
      </c>
      <c r="B31" s="6"/>
      <c r="C31" s="6"/>
      <c r="D31" s="6" t="s">
        <v>47</v>
      </c>
      <c r="E31" s="49" t="s">
        <v>48</v>
      </c>
      <c r="F31" s="49"/>
      <c r="G31" s="50" t="s">
        <v>227</v>
      </c>
      <c r="H31" s="50" t="s">
        <v>131</v>
      </c>
      <c r="I31" s="6"/>
      <c r="J31" s="6" t="s">
        <v>127</v>
      </c>
      <c r="K31" s="6"/>
      <c r="L31" s="6"/>
      <c r="M31" s="6" t="s">
        <v>127</v>
      </c>
      <c r="N31" s="6"/>
      <c r="O31" s="6"/>
      <c r="P31" s="6"/>
      <c r="Q31" s="6"/>
      <c r="R31" s="51"/>
      <c r="S31" s="52"/>
      <c r="T31" s="143"/>
      <c r="U31" s="144"/>
    </row>
    <row r="32" spans="1:21" s="16" customFormat="1" x14ac:dyDescent="0.2">
      <c r="A32" s="6">
        <v>20</v>
      </c>
      <c r="B32" s="6"/>
      <c r="C32" s="6"/>
      <c r="D32" s="6" t="s">
        <v>43</v>
      </c>
      <c r="E32" s="49" t="s">
        <v>45</v>
      </c>
      <c r="F32" s="49"/>
      <c r="G32" s="50" t="s">
        <v>228</v>
      </c>
      <c r="H32" s="50" t="s">
        <v>132</v>
      </c>
      <c r="I32" s="6"/>
      <c r="J32" s="6" t="s">
        <v>127</v>
      </c>
      <c r="K32" s="6"/>
      <c r="L32" s="6"/>
      <c r="M32" s="6" t="s">
        <v>127</v>
      </c>
      <c r="N32" s="6"/>
      <c r="O32" s="6"/>
      <c r="P32" s="6"/>
      <c r="Q32" s="6"/>
      <c r="R32" s="51"/>
      <c r="S32" s="52"/>
      <c r="T32" s="143"/>
      <c r="U32" s="144"/>
    </row>
    <row r="33" spans="1:21" s="16" customFormat="1" x14ac:dyDescent="0.2">
      <c r="A33" s="6">
        <v>20</v>
      </c>
      <c r="B33" s="6"/>
      <c r="C33" s="6"/>
      <c r="D33" s="6" t="s">
        <v>96</v>
      </c>
      <c r="E33" s="49" t="s">
        <v>120</v>
      </c>
      <c r="F33" s="49"/>
      <c r="G33" s="50" t="s">
        <v>232</v>
      </c>
      <c r="H33" s="50" t="s">
        <v>154</v>
      </c>
      <c r="I33" s="6"/>
      <c r="J33" s="6" t="s">
        <v>127</v>
      </c>
      <c r="K33" s="6"/>
      <c r="L33" s="6"/>
      <c r="M33" s="6" t="s">
        <v>127</v>
      </c>
      <c r="N33" s="6"/>
      <c r="O33" s="6"/>
      <c r="P33" s="6"/>
      <c r="Q33" s="6"/>
      <c r="R33" s="51"/>
      <c r="S33" s="52"/>
      <c r="T33" s="143"/>
      <c r="U33" s="144"/>
    </row>
    <row r="34" spans="1:21" s="16" customFormat="1" x14ac:dyDescent="0.2">
      <c r="A34" s="6">
        <v>20</v>
      </c>
      <c r="B34" s="6"/>
      <c r="C34" s="6"/>
      <c r="D34" s="6" t="s">
        <v>97</v>
      </c>
      <c r="E34" s="49" t="s">
        <v>121</v>
      </c>
      <c r="F34" s="49"/>
      <c r="G34" s="50" t="s">
        <v>233</v>
      </c>
      <c r="H34" s="50" t="s">
        <v>155</v>
      </c>
      <c r="I34" s="6"/>
      <c r="J34" s="6" t="s">
        <v>127</v>
      </c>
      <c r="K34" s="6"/>
      <c r="L34" s="6"/>
      <c r="M34" s="6" t="s">
        <v>127</v>
      </c>
      <c r="N34" s="6"/>
      <c r="O34" s="6"/>
      <c r="P34" s="6"/>
      <c r="Q34" s="6"/>
      <c r="R34" s="51"/>
      <c r="S34" s="52"/>
      <c r="T34" s="143"/>
      <c r="U34" s="144"/>
    </row>
    <row r="35" spans="1:21" s="16" customFormat="1" x14ac:dyDescent="0.2">
      <c r="A35" s="6">
        <v>20</v>
      </c>
      <c r="B35" s="6"/>
      <c r="C35" s="6"/>
      <c r="D35" s="6" t="s">
        <v>14</v>
      </c>
      <c r="E35" s="49" t="s">
        <v>52</v>
      </c>
      <c r="F35" s="49"/>
      <c r="G35" s="50" t="s">
        <v>234</v>
      </c>
      <c r="H35" s="50" t="s">
        <v>156</v>
      </c>
      <c r="I35" s="6"/>
      <c r="J35" s="6" t="s">
        <v>127</v>
      </c>
      <c r="K35" s="6"/>
      <c r="L35" s="6"/>
      <c r="M35" s="6" t="s">
        <v>127</v>
      </c>
      <c r="N35" s="6"/>
      <c r="O35" s="6"/>
      <c r="P35" s="6"/>
      <c r="Q35" s="6"/>
      <c r="R35" s="51"/>
      <c r="S35" s="52"/>
      <c r="T35" s="143"/>
      <c r="U35" s="144"/>
    </row>
    <row r="36" spans="1:21" s="16" customFormat="1" x14ac:dyDescent="0.2">
      <c r="A36" s="6">
        <v>20</v>
      </c>
      <c r="B36" s="6"/>
      <c r="C36" s="6"/>
      <c r="D36" s="6" t="s">
        <v>98</v>
      </c>
      <c r="E36" s="49" t="s">
        <v>107</v>
      </c>
      <c r="F36" s="49"/>
      <c r="G36" s="50" t="s">
        <v>235</v>
      </c>
      <c r="H36" s="50" t="s">
        <v>157</v>
      </c>
      <c r="I36" s="6"/>
      <c r="J36" s="6" t="s">
        <v>127</v>
      </c>
      <c r="K36" s="6"/>
      <c r="L36" s="6"/>
      <c r="M36" s="6" t="s">
        <v>127</v>
      </c>
      <c r="N36" s="6"/>
      <c r="O36" s="6"/>
      <c r="P36" s="6"/>
      <c r="Q36" s="6"/>
      <c r="R36" s="51"/>
      <c r="S36" s="52"/>
      <c r="T36" s="143"/>
      <c r="U36" s="144"/>
    </row>
    <row r="37" spans="1:21" s="16" customFormat="1" x14ac:dyDescent="0.2">
      <c r="A37" s="6">
        <v>20</v>
      </c>
      <c r="B37" s="6"/>
      <c r="C37" s="6"/>
      <c r="D37" s="6" t="s">
        <v>99</v>
      </c>
      <c r="E37" s="49" t="s">
        <v>108</v>
      </c>
      <c r="F37" s="49"/>
      <c r="G37" s="50" t="s">
        <v>236</v>
      </c>
      <c r="H37" s="50" t="s">
        <v>158</v>
      </c>
      <c r="I37" s="6"/>
      <c r="J37" s="6" t="s">
        <v>127</v>
      </c>
      <c r="K37" s="6"/>
      <c r="L37" s="6"/>
      <c r="M37" s="6"/>
      <c r="N37" s="6"/>
      <c r="O37" s="6"/>
      <c r="P37" s="6"/>
      <c r="Q37" s="6"/>
      <c r="R37" s="51"/>
      <c r="S37" s="52"/>
      <c r="T37" s="143"/>
      <c r="U37" s="144"/>
    </row>
    <row r="38" spans="1:21" s="16" customFormat="1" x14ac:dyDescent="0.2">
      <c r="A38" s="6">
        <v>20</v>
      </c>
      <c r="B38" s="6"/>
      <c r="C38" s="6"/>
      <c r="D38" s="6" t="s">
        <v>70</v>
      </c>
      <c r="E38" s="49" t="s">
        <v>71</v>
      </c>
      <c r="F38" s="49"/>
      <c r="G38" s="50" t="s">
        <v>221</v>
      </c>
      <c r="H38" s="50" t="s">
        <v>145</v>
      </c>
      <c r="I38" s="6"/>
      <c r="J38" s="6" t="s">
        <v>127</v>
      </c>
      <c r="K38" s="6"/>
      <c r="L38" s="6"/>
      <c r="M38" s="6" t="s">
        <v>127</v>
      </c>
      <c r="N38" s="6"/>
      <c r="O38" s="6"/>
      <c r="P38" s="6"/>
      <c r="Q38" s="6"/>
      <c r="R38" s="51"/>
      <c r="S38" s="52"/>
      <c r="T38" s="143"/>
      <c r="U38" s="144"/>
    </row>
    <row r="39" spans="1:21" s="16" customFormat="1" x14ac:dyDescent="0.2">
      <c r="A39" s="6">
        <v>20</v>
      </c>
      <c r="B39" s="6"/>
      <c r="C39" s="6"/>
      <c r="D39" s="6" t="s">
        <v>100</v>
      </c>
      <c r="E39" s="49" t="s">
        <v>120</v>
      </c>
      <c r="F39" s="49"/>
      <c r="G39" s="50" t="s">
        <v>237</v>
      </c>
      <c r="H39" s="50" t="s">
        <v>159</v>
      </c>
      <c r="I39" s="6"/>
      <c r="J39" s="6" t="s">
        <v>127</v>
      </c>
      <c r="K39" s="6"/>
      <c r="L39" s="6"/>
      <c r="M39" s="6" t="s">
        <v>127</v>
      </c>
      <c r="N39" s="6"/>
      <c r="O39" s="6"/>
      <c r="P39" s="6"/>
      <c r="Q39" s="6"/>
      <c r="R39" s="51"/>
      <c r="S39" s="52"/>
      <c r="T39" s="143"/>
      <c r="U39" s="144"/>
    </row>
    <row r="40" spans="1:21" s="16" customFormat="1" x14ac:dyDescent="0.2">
      <c r="A40" s="6">
        <v>20</v>
      </c>
      <c r="B40" s="6"/>
      <c r="C40" s="6"/>
      <c r="D40" s="6" t="s">
        <v>101</v>
      </c>
      <c r="E40" s="49" t="s">
        <v>121</v>
      </c>
      <c r="F40" s="49"/>
      <c r="G40" s="50" t="s">
        <v>238</v>
      </c>
      <c r="H40" s="50" t="s">
        <v>160</v>
      </c>
      <c r="I40" s="6"/>
      <c r="J40" s="6" t="s">
        <v>127</v>
      </c>
      <c r="K40" s="6"/>
      <c r="L40" s="6"/>
      <c r="M40" s="6" t="s">
        <v>127</v>
      </c>
      <c r="N40" s="6"/>
      <c r="O40" s="6"/>
      <c r="P40" s="6"/>
      <c r="Q40" s="6"/>
      <c r="R40" s="51"/>
      <c r="S40" s="52"/>
      <c r="T40" s="143"/>
      <c r="U40" s="144"/>
    </row>
    <row r="41" spans="1:21" s="16" customFormat="1" x14ac:dyDescent="0.2">
      <c r="A41" s="6">
        <v>20</v>
      </c>
      <c r="B41" s="6"/>
      <c r="C41" s="6"/>
      <c r="D41" s="6" t="s">
        <v>15</v>
      </c>
      <c r="E41" s="49" t="s">
        <v>52</v>
      </c>
      <c r="F41" s="49"/>
      <c r="G41" s="50" t="s">
        <v>239</v>
      </c>
      <c r="H41" s="50" t="s">
        <v>161</v>
      </c>
      <c r="I41" s="6"/>
      <c r="J41" s="6" t="s">
        <v>127</v>
      </c>
      <c r="K41" s="6"/>
      <c r="L41" s="6"/>
      <c r="M41" s="6" t="s">
        <v>127</v>
      </c>
      <c r="N41" s="6"/>
      <c r="O41" s="6"/>
      <c r="P41" s="6"/>
      <c r="Q41" s="6"/>
      <c r="R41" s="51"/>
      <c r="S41" s="52"/>
      <c r="T41" s="143"/>
      <c r="U41" s="144"/>
    </row>
    <row r="42" spans="1:21" s="16" customFormat="1" x14ac:dyDescent="0.2">
      <c r="A42" s="6">
        <v>20</v>
      </c>
      <c r="B42" s="6"/>
      <c r="C42" s="6"/>
      <c r="D42" s="6" t="s">
        <v>102</v>
      </c>
      <c r="E42" s="49" t="s">
        <v>107</v>
      </c>
      <c r="F42" s="49"/>
      <c r="G42" s="50" t="s">
        <v>240</v>
      </c>
      <c r="H42" s="50" t="s">
        <v>162</v>
      </c>
      <c r="I42" s="6"/>
      <c r="J42" s="6" t="s">
        <v>127</v>
      </c>
      <c r="K42" s="6"/>
      <c r="L42" s="6"/>
      <c r="M42" s="6" t="s">
        <v>127</v>
      </c>
      <c r="N42" s="6"/>
      <c r="O42" s="6"/>
      <c r="P42" s="6"/>
      <c r="Q42" s="6"/>
      <c r="R42" s="51"/>
      <c r="S42" s="52"/>
      <c r="T42" s="143"/>
      <c r="U42" s="144"/>
    </row>
    <row r="43" spans="1:21" s="16" customFormat="1" x14ac:dyDescent="0.2">
      <c r="A43" s="6">
        <v>20</v>
      </c>
      <c r="B43" s="6"/>
      <c r="C43" s="6"/>
      <c r="D43" s="6" t="s">
        <v>103</v>
      </c>
      <c r="E43" s="49" t="s">
        <v>108</v>
      </c>
      <c r="F43" s="49"/>
      <c r="G43" s="50" t="s">
        <v>241</v>
      </c>
      <c r="H43" s="50" t="s">
        <v>163</v>
      </c>
      <c r="I43" s="6"/>
      <c r="J43" s="6" t="s">
        <v>127</v>
      </c>
      <c r="K43" s="6"/>
      <c r="L43" s="6"/>
      <c r="M43" s="6"/>
      <c r="N43" s="6"/>
      <c r="O43" s="6"/>
      <c r="P43" s="6"/>
      <c r="Q43" s="6"/>
      <c r="R43" s="51"/>
      <c r="S43" s="52"/>
      <c r="T43" s="143"/>
      <c r="U43" s="144"/>
    </row>
    <row r="44" spans="1:21" s="16" customFormat="1" x14ac:dyDescent="0.2">
      <c r="A44" s="6">
        <v>20</v>
      </c>
      <c r="B44" s="6"/>
      <c r="C44" s="6"/>
      <c r="D44" s="6" t="s">
        <v>104</v>
      </c>
      <c r="E44" s="49" t="s">
        <v>51</v>
      </c>
      <c r="F44" s="49"/>
      <c r="G44" s="50" t="s">
        <v>242</v>
      </c>
      <c r="H44" s="50" t="s">
        <v>164</v>
      </c>
      <c r="I44" s="6"/>
      <c r="J44" s="6" t="s">
        <v>127</v>
      </c>
      <c r="K44" s="6"/>
      <c r="L44" s="6"/>
      <c r="M44" s="6" t="s">
        <v>127</v>
      </c>
      <c r="N44" s="6"/>
      <c r="O44" s="6"/>
      <c r="P44" s="6"/>
      <c r="Q44" s="6"/>
      <c r="R44" s="51"/>
      <c r="S44" s="52"/>
      <c r="T44" s="143"/>
      <c r="U44" s="144"/>
    </row>
    <row r="45" spans="1:21" s="16" customFormat="1" x14ac:dyDescent="0.2">
      <c r="A45" s="6">
        <v>20</v>
      </c>
      <c r="B45" s="6"/>
      <c r="C45" s="6"/>
      <c r="D45" s="6" t="s">
        <v>67</v>
      </c>
      <c r="E45" s="49" t="s">
        <v>120</v>
      </c>
      <c r="F45" s="49"/>
      <c r="G45" s="50" t="s">
        <v>243</v>
      </c>
      <c r="H45" s="50" t="s">
        <v>165</v>
      </c>
      <c r="I45" s="6"/>
      <c r="J45" s="6" t="s">
        <v>127</v>
      </c>
      <c r="K45" s="6"/>
      <c r="L45" s="6"/>
      <c r="M45" s="6" t="s">
        <v>127</v>
      </c>
      <c r="N45" s="6"/>
      <c r="O45" s="6"/>
      <c r="P45" s="6"/>
      <c r="Q45" s="6"/>
      <c r="R45" s="51"/>
      <c r="S45" s="52"/>
      <c r="T45" s="143"/>
      <c r="U45" s="144"/>
    </row>
    <row r="46" spans="1:21" s="16" customFormat="1" x14ac:dyDescent="0.2">
      <c r="A46" s="6">
        <v>20</v>
      </c>
      <c r="B46" s="6"/>
      <c r="C46" s="6"/>
      <c r="D46" s="6" t="s">
        <v>68</v>
      </c>
      <c r="E46" s="49" t="s">
        <v>121</v>
      </c>
      <c r="F46" s="49"/>
      <c r="G46" s="50" t="s">
        <v>244</v>
      </c>
      <c r="H46" s="50" t="s">
        <v>166</v>
      </c>
      <c r="I46" s="6"/>
      <c r="J46" s="6" t="s">
        <v>127</v>
      </c>
      <c r="K46" s="6"/>
      <c r="L46" s="6"/>
      <c r="M46" s="6" t="s">
        <v>127</v>
      </c>
      <c r="N46" s="6"/>
      <c r="O46" s="6"/>
      <c r="P46" s="6"/>
      <c r="Q46" s="6"/>
      <c r="R46" s="51"/>
      <c r="S46" s="52"/>
      <c r="T46" s="143"/>
      <c r="U46" s="144"/>
    </row>
    <row r="47" spans="1:21" s="16" customFormat="1" x14ac:dyDescent="0.2">
      <c r="A47" s="6">
        <v>20</v>
      </c>
      <c r="B47" s="6"/>
      <c r="C47" s="6"/>
      <c r="D47" s="6" t="s">
        <v>69</v>
      </c>
      <c r="E47" s="49" t="s">
        <v>52</v>
      </c>
      <c r="F47" s="49"/>
      <c r="G47" s="50" t="s">
        <v>245</v>
      </c>
      <c r="H47" s="50" t="s">
        <v>167</v>
      </c>
      <c r="I47" s="6"/>
      <c r="J47" s="6" t="s">
        <v>127</v>
      </c>
      <c r="K47" s="6"/>
      <c r="L47" s="6"/>
      <c r="M47" s="6" t="s">
        <v>127</v>
      </c>
      <c r="N47" s="6"/>
      <c r="O47" s="6"/>
      <c r="P47" s="6"/>
      <c r="Q47" s="6"/>
      <c r="R47" s="51"/>
      <c r="S47" s="52"/>
      <c r="T47" s="143"/>
      <c r="U47" s="144"/>
    </row>
    <row r="48" spans="1:21" s="16" customFormat="1" x14ac:dyDescent="0.2">
      <c r="A48" s="78"/>
      <c r="U48" s="55"/>
    </row>
    <row r="49" spans="1:21" s="16" customFormat="1" x14ac:dyDescent="0.2">
      <c r="A49" s="6">
        <v>30</v>
      </c>
      <c r="B49" s="38" t="s">
        <v>0</v>
      </c>
      <c r="C49" s="39"/>
      <c r="D49" s="31" t="s">
        <v>55</v>
      </c>
      <c r="E49" s="35" t="s">
        <v>21</v>
      </c>
      <c r="F49" s="61"/>
      <c r="G49" s="31"/>
      <c r="H49" s="56"/>
      <c r="I49" s="62"/>
      <c r="J49" s="63"/>
      <c r="K49" s="63"/>
      <c r="L49" s="7"/>
      <c r="M49" s="7"/>
      <c r="N49" s="7"/>
      <c r="O49" s="7" t="s">
        <v>21</v>
      </c>
      <c r="P49" s="7"/>
      <c r="Q49" s="7"/>
      <c r="R49" s="36"/>
      <c r="S49" s="37"/>
      <c r="T49" s="72"/>
      <c r="U49" s="48"/>
    </row>
    <row r="50" spans="1:21" s="16" customFormat="1" x14ac:dyDescent="0.2">
      <c r="A50" s="6">
        <v>30</v>
      </c>
      <c r="B50" s="6"/>
      <c r="C50" s="6"/>
      <c r="D50" s="6" t="s">
        <v>85</v>
      </c>
      <c r="E50" s="49" t="s">
        <v>86</v>
      </c>
      <c r="F50" s="49"/>
      <c r="G50" s="50" t="s">
        <v>219</v>
      </c>
      <c r="H50" s="50" t="s">
        <v>146</v>
      </c>
      <c r="I50" s="6"/>
      <c r="J50" s="6" t="s">
        <v>127</v>
      </c>
      <c r="K50" s="6"/>
      <c r="L50" s="6"/>
      <c r="M50" s="6"/>
      <c r="N50" s="6"/>
      <c r="O50" s="6" t="s">
        <v>127</v>
      </c>
      <c r="P50" s="6"/>
      <c r="Q50" s="6"/>
      <c r="R50" s="51"/>
      <c r="S50" s="52"/>
      <c r="T50" s="143"/>
      <c r="U50" s="144"/>
    </row>
    <row r="51" spans="1:21" s="16" customFormat="1" x14ac:dyDescent="0.2">
      <c r="A51" s="6">
        <v>30</v>
      </c>
      <c r="B51" s="6"/>
      <c r="C51" s="6"/>
      <c r="D51" s="6" t="s">
        <v>92</v>
      </c>
      <c r="E51" s="49" t="s">
        <v>105</v>
      </c>
      <c r="F51" s="49"/>
      <c r="G51" s="50" t="s">
        <v>220</v>
      </c>
      <c r="H51" s="50" t="s">
        <v>150</v>
      </c>
      <c r="I51" s="6"/>
      <c r="J51" s="6" t="s">
        <v>127</v>
      </c>
      <c r="K51" s="6"/>
      <c r="L51" s="6"/>
      <c r="M51" s="6"/>
      <c r="N51" s="6"/>
      <c r="O51" s="6" t="s">
        <v>127</v>
      </c>
      <c r="P51" s="6"/>
      <c r="Q51" s="6"/>
      <c r="R51" s="51"/>
      <c r="S51" s="52"/>
      <c r="T51" s="143"/>
      <c r="U51" s="144"/>
    </row>
    <row r="52" spans="1:21" s="16" customFormat="1" x14ac:dyDescent="0.2">
      <c r="A52" s="6">
        <v>30</v>
      </c>
      <c r="B52" s="6"/>
      <c r="C52" s="6"/>
      <c r="D52" s="6" t="s">
        <v>91</v>
      </c>
      <c r="E52" s="49" t="s">
        <v>90</v>
      </c>
      <c r="F52" s="49"/>
      <c r="G52" s="50" t="s">
        <v>246</v>
      </c>
      <c r="H52" s="50" t="s">
        <v>149</v>
      </c>
      <c r="I52" s="6"/>
      <c r="J52" s="6" t="s">
        <v>127</v>
      </c>
      <c r="K52" s="6"/>
      <c r="L52" s="6"/>
      <c r="M52" s="6"/>
      <c r="N52" s="6"/>
      <c r="O52" s="6" t="s">
        <v>127</v>
      </c>
      <c r="P52" s="6"/>
      <c r="Q52" s="6"/>
      <c r="R52" s="51"/>
      <c r="S52" s="52"/>
      <c r="T52" s="143"/>
      <c r="U52" s="144"/>
    </row>
    <row r="53" spans="1:21" s="16" customFormat="1" x14ac:dyDescent="0.2">
      <c r="A53" s="6">
        <v>30</v>
      </c>
      <c r="B53" s="6"/>
      <c r="C53" s="6"/>
      <c r="D53" s="6" t="s">
        <v>109</v>
      </c>
      <c r="E53" s="49" t="s">
        <v>110</v>
      </c>
      <c r="F53" s="49"/>
      <c r="G53" s="50" t="s">
        <v>247</v>
      </c>
      <c r="H53" s="50" t="s">
        <v>169</v>
      </c>
      <c r="I53" s="6"/>
      <c r="J53" s="6" t="s">
        <v>127</v>
      </c>
      <c r="K53" s="6"/>
      <c r="L53" s="6"/>
      <c r="M53" s="6"/>
      <c r="N53" s="6"/>
      <c r="O53" s="6"/>
      <c r="P53" s="6"/>
      <c r="Q53" s="6"/>
      <c r="R53" s="51"/>
      <c r="S53" s="52"/>
      <c r="T53" s="143"/>
      <c r="U53" s="144"/>
    </row>
    <row r="54" spans="1:21" s="16" customFormat="1" x14ac:dyDescent="0.2">
      <c r="A54" s="6">
        <v>30</v>
      </c>
      <c r="B54" s="6"/>
      <c r="C54" s="6"/>
      <c r="D54" s="6" t="s">
        <v>94</v>
      </c>
      <c r="E54" s="49" t="s">
        <v>106</v>
      </c>
      <c r="F54" s="49"/>
      <c r="G54" s="50" t="s">
        <v>223</v>
      </c>
      <c r="H54" s="50" t="s">
        <v>151</v>
      </c>
      <c r="I54" s="6"/>
      <c r="J54" s="6" t="s">
        <v>127</v>
      </c>
      <c r="K54" s="6"/>
      <c r="L54" s="6"/>
      <c r="M54" s="6"/>
      <c r="N54" s="6"/>
      <c r="O54" s="6" t="s">
        <v>127</v>
      </c>
      <c r="P54" s="6"/>
      <c r="Q54" s="6"/>
      <c r="R54" s="51"/>
      <c r="S54" s="52"/>
      <c r="T54" s="143"/>
      <c r="U54" s="144"/>
    </row>
    <row r="55" spans="1:21" s="16" customFormat="1" x14ac:dyDescent="0.2">
      <c r="A55" s="6">
        <v>30</v>
      </c>
      <c r="B55" s="6"/>
      <c r="C55" s="6"/>
      <c r="D55" s="6" t="s">
        <v>39</v>
      </c>
      <c r="E55" s="49" t="s">
        <v>41</v>
      </c>
      <c r="F55" s="49"/>
      <c r="G55" s="50" t="s">
        <v>226</v>
      </c>
      <c r="H55" s="50" t="s">
        <v>130</v>
      </c>
      <c r="I55" s="6"/>
      <c r="J55" s="6" t="s">
        <v>127</v>
      </c>
      <c r="K55" s="6"/>
      <c r="L55" s="6"/>
      <c r="M55" s="6"/>
      <c r="N55" s="6"/>
      <c r="O55" s="6" t="s">
        <v>127</v>
      </c>
      <c r="P55" s="6"/>
      <c r="Q55" s="6"/>
      <c r="R55" s="51"/>
      <c r="S55" s="52"/>
      <c r="T55" s="143"/>
      <c r="U55" s="144"/>
    </row>
    <row r="56" spans="1:21" s="16" customFormat="1" x14ac:dyDescent="0.2">
      <c r="A56" s="6">
        <v>30</v>
      </c>
      <c r="B56" s="6"/>
      <c r="C56" s="6"/>
      <c r="D56" s="6" t="s">
        <v>47</v>
      </c>
      <c r="E56" s="49" t="s">
        <v>48</v>
      </c>
      <c r="F56" s="49"/>
      <c r="G56" s="50" t="s">
        <v>227</v>
      </c>
      <c r="H56" s="50" t="s">
        <v>131</v>
      </c>
      <c r="I56" s="6"/>
      <c r="J56" s="6" t="s">
        <v>127</v>
      </c>
      <c r="K56" s="6"/>
      <c r="L56" s="6"/>
      <c r="M56" s="6"/>
      <c r="N56" s="6"/>
      <c r="O56" s="6" t="s">
        <v>127</v>
      </c>
      <c r="P56" s="6"/>
      <c r="Q56" s="6"/>
      <c r="R56" s="51"/>
      <c r="S56" s="52"/>
      <c r="T56" s="143"/>
      <c r="U56" s="144"/>
    </row>
    <row r="57" spans="1:21" s="16" customFormat="1" x14ac:dyDescent="0.2">
      <c r="A57" s="6">
        <v>30</v>
      </c>
      <c r="B57" s="6"/>
      <c r="C57" s="6"/>
      <c r="D57" s="6" t="s">
        <v>43</v>
      </c>
      <c r="E57" s="49" t="s">
        <v>45</v>
      </c>
      <c r="F57" s="49"/>
      <c r="G57" s="50" t="s">
        <v>228</v>
      </c>
      <c r="H57" s="50" t="s">
        <v>132</v>
      </c>
      <c r="I57" s="6"/>
      <c r="J57" s="6" t="s">
        <v>127</v>
      </c>
      <c r="K57" s="6"/>
      <c r="L57" s="6"/>
      <c r="M57" s="6"/>
      <c r="N57" s="6"/>
      <c r="O57" s="6" t="s">
        <v>127</v>
      </c>
      <c r="P57" s="6"/>
      <c r="Q57" s="6"/>
      <c r="R57" s="51"/>
      <c r="S57" s="52"/>
      <c r="T57" s="143"/>
      <c r="U57" s="144"/>
    </row>
    <row r="58" spans="1:21" s="16" customFormat="1" x14ac:dyDescent="0.2">
      <c r="A58" s="6">
        <v>30</v>
      </c>
      <c r="B58" s="6"/>
      <c r="C58" s="6"/>
      <c r="D58" s="6" t="s">
        <v>96</v>
      </c>
      <c r="E58" s="49" t="s">
        <v>120</v>
      </c>
      <c r="F58" s="49"/>
      <c r="G58" s="50" t="s">
        <v>232</v>
      </c>
      <c r="H58" s="50" t="s">
        <v>154</v>
      </c>
      <c r="I58" s="6"/>
      <c r="J58" s="6" t="s">
        <v>127</v>
      </c>
      <c r="K58" s="6"/>
      <c r="L58" s="6"/>
      <c r="M58" s="6"/>
      <c r="N58" s="6"/>
      <c r="O58" s="6" t="s">
        <v>127</v>
      </c>
      <c r="P58" s="6"/>
      <c r="Q58" s="6"/>
      <c r="R58" s="51"/>
      <c r="S58" s="52"/>
      <c r="T58" s="143"/>
      <c r="U58" s="144"/>
    </row>
    <row r="59" spans="1:21" s="16" customFormat="1" x14ac:dyDescent="0.2">
      <c r="A59" s="6">
        <v>30</v>
      </c>
      <c r="B59" s="6"/>
      <c r="C59" s="6"/>
      <c r="D59" s="6" t="s">
        <v>97</v>
      </c>
      <c r="E59" s="49" t="s">
        <v>121</v>
      </c>
      <c r="F59" s="49"/>
      <c r="G59" s="50" t="s">
        <v>233</v>
      </c>
      <c r="H59" s="50" t="s">
        <v>155</v>
      </c>
      <c r="I59" s="6"/>
      <c r="J59" s="6" t="s">
        <v>127</v>
      </c>
      <c r="K59" s="6"/>
      <c r="L59" s="6"/>
      <c r="M59" s="6"/>
      <c r="N59" s="6"/>
      <c r="O59" s="6" t="s">
        <v>127</v>
      </c>
      <c r="P59" s="6"/>
      <c r="Q59" s="6"/>
      <c r="R59" s="51"/>
      <c r="S59" s="52"/>
      <c r="T59" s="143"/>
      <c r="U59" s="144"/>
    </row>
    <row r="60" spans="1:21" s="16" customFormat="1" x14ac:dyDescent="0.2">
      <c r="A60" s="6">
        <v>30</v>
      </c>
      <c r="B60" s="6"/>
      <c r="C60" s="6"/>
      <c r="D60" s="6" t="s">
        <v>14</v>
      </c>
      <c r="E60" s="49" t="s">
        <v>52</v>
      </c>
      <c r="F60" s="49"/>
      <c r="G60" s="50" t="s">
        <v>234</v>
      </c>
      <c r="H60" s="50" t="s">
        <v>156</v>
      </c>
      <c r="I60" s="6"/>
      <c r="J60" s="6" t="s">
        <v>127</v>
      </c>
      <c r="K60" s="6"/>
      <c r="L60" s="6"/>
      <c r="M60" s="6"/>
      <c r="N60" s="6"/>
      <c r="O60" s="6" t="s">
        <v>127</v>
      </c>
      <c r="P60" s="6"/>
      <c r="Q60" s="6"/>
      <c r="R60" s="51"/>
      <c r="S60" s="52"/>
      <c r="T60" s="143"/>
      <c r="U60" s="144"/>
    </row>
    <row r="61" spans="1:21" s="16" customFormat="1" x14ac:dyDescent="0.2">
      <c r="A61" s="6">
        <v>30</v>
      </c>
      <c r="B61" s="6"/>
      <c r="C61" s="6"/>
      <c r="D61" s="6" t="s">
        <v>98</v>
      </c>
      <c r="E61" s="49" t="s">
        <v>107</v>
      </c>
      <c r="F61" s="49"/>
      <c r="G61" s="50" t="s">
        <v>235</v>
      </c>
      <c r="H61" s="50" t="s">
        <v>157</v>
      </c>
      <c r="I61" s="6"/>
      <c r="J61" s="6" t="s">
        <v>127</v>
      </c>
      <c r="K61" s="6"/>
      <c r="L61" s="6"/>
      <c r="M61" s="6"/>
      <c r="N61" s="6"/>
      <c r="O61" s="6" t="s">
        <v>127</v>
      </c>
      <c r="P61" s="6"/>
      <c r="Q61" s="6"/>
      <c r="R61" s="51"/>
      <c r="S61" s="52"/>
      <c r="T61" s="143"/>
      <c r="U61" s="144"/>
    </row>
    <row r="62" spans="1:21" s="16" customFormat="1" x14ac:dyDescent="0.2">
      <c r="A62" s="6">
        <v>30</v>
      </c>
      <c r="B62" s="6"/>
      <c r="C62" s="6"/>
      <c r="D62" s="6" t="s">
        <v>99</v>
      </c>
      <c r="E62" s="49" t="s">
        <v>108</v>
      </c>
      <c r="F62" s="49"/>
      <c r="G62" s="50" t="s">
        <v>236</v>
      </c>
      <c r="H62" s="50" t="s">
        <v>158</v>
      </c>
      <c r="I62" s="6"/>
      <c r="J62" s="6" t="s">
        <v>127</v>
      </c>
      <c r="K62" s="6"/>
      <c r="L62" s="6"/>
      <c r="M62" s="6"/>
      <c r="N62" s="6"/>
      <c r="O62" s="6"/>
      <c r="P62" s="6"/>
      <c r="Q62" s="6"/>
      <c r="R62" s="51"/>
      <c r="S62" s="52"/>
      <c r="T62" s="143"/>
      <c r="U62" s="144"/>
    </row>
    <row r="63" spans="1:21" s="16" customFormat="1" x14ac:dyDescent="0.2">
      <c r="A63" s="6">
        <v>30</v>
      </c>
      <c r="B63" s="6"/>
      <c r="C63" s="6"/>
      <c r="D63" s="6" t="s">
        <v>70</v>
      </c>
      <c r="E63" s="49" t="s">
        <v>71</v>
      </c>
      <c r="F63" s="49"/>
      <c r="G63" s="50" t="s">
        <v>221</v>
      </c>
      <c r="H63" s="50" t="s">
        <v>145</v>
      </c>
      <c r="I63" s="6"/>
      <c r="J63" s="6" t="s">
        <v>127</v>
      </c>
      <c r="K63" s="6"/>
      <c r="L63" s="6"/>
      <c r="M63" s="6"/>
      <c r="N63" s="6"/>
      <c r="O63" s="6" t="s">
        <v>127</v>
      </c>
      <c r="P63" s="6"/>
      <c r="Q63" s="6"/>
      <c r="R63" s="51"/>
      <c r="S63" s="52"/>
      <c r="T63" s="143"/>
      <c r="U63" s="144"/>
    </row>
    <row r="64" spans="1:21" s="16" customFormat="1" x14ac:dyDescent="0.2">
      <c r="A64" s="6">
        <v>30</v>
      </c>
      <c r="B64" s="6"/>
      <c r="C64" s="6"/>
      <c r="D64" s="6" t="s">
        <v>100</v>
      </c>
      <c r="E64" s="49" t="s">
        <v>120</v>
      </c>
      <c r="F64" s="49"/>
      <c r="G64" s="50" t="s">
        <v>237</v>
      </c>
      <c r="H64" s="50" t="s">
        <v>159</v>
      </c>
      <c r="I64" s="6"/>
      <c r="J64" s="6" t="s">
        <v>127</v>
      </c>
      <c r="K64" s="6"/>
      <c r="L64" s="6"/>
      <c r="M64" s="6"/>
      <c r="N64" s="6"/>
      <c r="O64" s="6" t="s">
        <v>127</v>
      </c>
      <c r="P64" s="6"/>
      <c r="Q64" s="6"/>
      <c r="R64" s="51"/>
      <c r="S64" s="52"/>
      <c r="T64" s="143"/>
      <c r="U64" s="144"/>
    </row>
    <row r="65" spans="1:21" s="16" customFormat="1" x14ac:dyDescent="0.2">
      <c r="A65" s="6">
        <v>30</v>
      </c>
      <c r="B65" s="6"/>
      <c r="C65" s="6"/>
      <c r="D65" s="6" t="s">
        <v>101</v>
      </c>
      <c r="E65" s="49" t="s">
        <v>121</v>
      </c>
      <c r="F65" s="49"/>
      <c r="G65" s="50" t="s">
        <v>238</v>
      </c>
      <c r="H65" s="50" t="s">
        <v>160</v>
      </c>
      <c r="I65" s="6"/>
      <c r="J65" s="6" t="s">
        <v>127</v>
      </c>
      <c r="K65" s="6"/>
      <c r="L65" s="6"/>
      <c r="M65" s="6"/>
      <c r="N65" s="6"/>
      <c r="O65" s="6" t="s">
        <v>127</v>
      </c>
      <c r="P65" s="6"/>
      <c r="Q65" s="6"/>
      <c r="R65" s="51"/>
      <c r="S65" s="52"/>
      <c r="T65" s="143"/>
      <c r="U65" s="144"/>
    </row>
    <row r="66" spans="1:21" s="16" customFormat="1" x14ac:dyDescent="0.2">
      <c r="A66" s="6">
        <v>30</v>
      </c>
      <c r="B66" s="6"/>
      <c r="C66" s="6"/>
      <c r="D66" s="6" t="s">
        <v>15</v>
      </c>
      <c r="E66" s="49" t="s">
        <v>52</v>
      </c>
      <c r="F66" s="49"/>
      <c r="G66" s="50" t="s">
        <v>239</v>
      </c>
      <c r="H66" s="50" t="s">
        <v>161</v>
      </c>
      <c r="I66" s="6"/>
      <c r="J66" s="6" t="s">
        <v>127</v>
      </c>
      <c r="K66" s="6"/>
      <c r="L66" s="6"/>
      <c r="M66" s="6"/>
      <c r="N66" s="6"/>
      <c r="O66" s="6" t="s">
        <v>127</v>
      </c>
      <c r="P66" s="6"/>
      <c r="Q66" s="6"/>
      <c r="R66" s="51"/>
      <c r="S66" s="52"/>
      <c r="T66" s="143"/>
      <c r="U66" s="144"/>
    </row>
    <row r="67" spans="1:21" s="16" customFormat="1" x14ac:dyDescent="0.2">
      <c r="A67" s="6">
        <v>30</v>
      </c>
      <c r="B67" s="6"/>
      <c r="C67" s="6"/>
      <c r="D67" s="6" t="s">
        <v>102</v>
      </c>
      <c r="E67" s="49" t="s">
        <v>107</v>
      </c>
      <c r="F67" s="49"/>
      <c r="G67" s="50" t="s">
        <v>240</v>
      </c>
      <c r="H67" s="50" t="s">
        <v>162</v>
      </c>
      <c r="I67" s="6"/>
      <c r="J67" s="6" t="s">
        <v>127</v>
      </c>
      <c r="K67" s="6"/>
      <c r="L67" s="6"/>
      <c r="M67" s="6"/>
      <c r="N67" s="6"/>
      <c r="O67" s="6" t="s">
        <v>127</v>
      </c>
      <c r="P67" s="6"/>
      <c r="Q67" s="6"/>
      <c r="R67" s="51"/>
      <c r="S67" s="52"/>
      <c r="T67" s="143"/>
      <c r="U67" s="144"/>
    </row>
    <row r="68" spans="1:21" s="16" customFormat="1" x14ac:dyDescent="0.2">
      <c r="A68" s="6">
        <v>30</v>
      </c>
      <c r="B68" s="6"/>
      <c r="C68" s="6"/>
      <c r="D68" s="6" t="s">
        <v>103</v>
      </c>
      <c r="E68" s="49" t="s">
        <v>108</v>
      </c>
      <c r="F68" s="49"/>
      <c r="G68" s="50" t="s">
        <v>241</v>
      </c>
      <c r="H68" s="50" t="s">
        <v>163</v>
      </c>
      <c r="I68" s="6"/>
      <c r="J68" s="6" t="s">
        <v>127</v>
      </c>
      <c r="K68" s="6"/>
      <c r="L68" s="6"/>
      <c r="M68" s="6"/>
      <c r="N68" s="6"/>
      <c r="O68" s="6"/>
      <c r="P68" s="6"/>
      <c r="Q68" s="6"/>
      <c r="R68" s="51"/>
      <c r="S68" s="52"/>
      <c r="T68" s="143"/>
      <c r="U68" s="144"/>
    </row>
    <row r="69" spans="1:21" s="16" customFormat="1" x14ac:dyDescent="0.2">
      <c r="A69" s="6">
        <v>30</v>
      </c>
      <c r="B69" s="6"/>
      <c r="C69" s="6"/>
      <c r="D69" s="6" t="s">
        <v>104</v>
      </c>
      <c r="E69" s="49" t="s">
        <v>51</v>
      </c>
      <c r="F69" s="49"/>
      <c r="G69" s="50" t="s">
        <v>242</v>
      </c>
      <c r="H69" s="50" t="s">
        <v>164</v>
      </c>
      <c r="I69" s="6"/>
      <c r="J69" s="6" t="s">
        <v>127</v>
      </c>
      <c r="K69" s="6"/>
      <c r="L69" s="6"/>
      <c r="M69" s="6"/>
      <c r="N69" s="6"/>
      <c r="O69" s="6" t="s">
        <v>127</v>
      </c>
      <c r="P69" s="6"/>
      <c r="Q69" s="6"/>
      <c r="R69" s="51"/>
      <c r="S69" s="52"/>
      <c r="T69" s="143"/>
      <c r="U69" s="144"/>
    </row>
    <row r="70" spans="1:21" s="16" customFormat="1" x14ac:dyDescent="0.2">
      <c r="A70" s="64"/>
      <c r="B70" s="33"/>
      <c r="C70" s="33"/>
      <c r="D70" s="65" t="s">
        <v>4</v>
      </c>
      <c r="E70" s="34"/>
      <c r="F70" s="66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67"/>
    </row>
    <row r="71" spans="1:21" s="16" customFormat="1" x14ac:dyDescent="0.2">
      <c r="A71" s="78"/>
      <c r="U71" s="55"/>
    </row>
    <row r="72" spans="1:21" s="16" customFormat="1" x14ac:dyDescent="0.2">
      <c r="A72" s="78"/>
      <c r="U72" s="55"/>
    </row>
    <row r="73" spans="1:21" s="16" customFormat="1" x14ac:dyDescent="0.2">
      <c r="A73" s="78"/>
      <c r="U73" s="55"/>
    </row>
    <row r="74" spans="1:21" s="16" customFormat="1" x14ac:dyDescent="0.2">
      <c r="A74" s="78"/>
      <c r="U74" s="55"/>
    </row>
    <row r="75" spans="1:21" s="16" customFormat="1" x14ac:dyDescent="0.2">
      <c r="A75" s="78"/>
      <c r="U75" s="55"/>
    </row>
    <row r="76" spans="1:21" s="16" customFormat="1" x14ac:dyDescent="0.2">
      <c r="A76" s="8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24"/>
    </row>
  </sheetData>
  <mergeCells count="53">
    <mergeCell ref="T37:U37"/>
    <mergeCell ref="T20:U20"/>
    <mergeCell ref="T29:U29"/>
    <mergeCell ref="T30:U30"/>
    <mergeCell ref="T35:U35"/>
    <mergeCell ref="T36:U36"/>
    <mergeCell ref="T31:U31"/>
    <mergeCell ref="T32:U32"/>
    <mergeCell ref="T33:U33"/>
    <mergeCell ref="T34:U34"/>
    <mergeCell ref="T23:U23"/>
    <mergeCell ref="T26:U26"/>
    <mergeCell ref="T27:U27"/>
    <mergeCell ref="T28:U28"/>
    <mergeCell ref="T25:U25"/>
    <mergeCell ref="T12:U12"/>
    <mergeCell ref="T13:U13"/>
    <mergeCell ref="T14:U14"/>
    <mergeCell ref="T16:U16"/>
    <mergeCell ref="T19:U19"/>
    <mergeCell ref="T17:U17"/>
    <mergeCell ref="T18:U18"/>
    <mergeCell ref="T68:U68"/>
    <mergeCell ref="T69:U69"/>
    <mergeCell ref="T24:U24"/>
    <mergeCell ref="T65:U65"/>
    <mergeCell ref="T54:U54"/>
    <mergeCell ref="T55:U55"/>
    <mergeCell ref="T56:U56"/>
    <mergeCell ref="T57:U57"/>
    <mergeCell ref="T61:U61"/>
    <mergeCell ref="T62:U62"/>
    <mergeCell ref="T58:U58"/>
    <mergeCell ref="T60:U60"/>
    <mergeCell ref="T53:U53"/>
    <mergeCell ref="T64:U64"/>
    <mergeCell ref="T59:U59"/>
    <mergeCell ref="T63:U63"/>
    <mergeCell ref="T66:U66"/>
    <mergeCell ref="T67:U67"/>
    <mergeCell ref="T42:U42"/>
    <mergeCell ref="T51:U51"/>
    <mergeCell ref="T52:U52"/>
    <mergeCell ref="T43:U43"/>
    <mergeCell ref="T38:U38"/>
    <mergeCell ref="T41:U41"/>
    <mergeCell ref="T50:U50"/>
    <mergeCell ref="T44:U44"/>
    <mergeCell ref="T45:U45"/>
    <mergeCell ref="T46:U46"/>
    <mergeCell ref="T47:U47"/>
    <mergeCell ref="T39:U39"/>
    <mergeCell ref="T40:U40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V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28.1796875" style="32" bestFit="1" customWidth="1"/>
    <col min="9" max="10" width="15.81640625" style="32" customWidth="1"/>
    <col min="11" max="11" width="19.36328125" style="32" bestFit="1" customWidth="1"/>
    <col min="12" max="12" width="18" style="32" customWidth="1"/>
    <col min="13" max="13" width="14.453125" style="32" bestFit="1" customWidth="1"/>
    <col min="14" max="14" width="50.6328125" style="32" customWidth="1"/>
    <col min="15" max="15" width="12.81640625" style="32" bestFit="1" customWidth="1"/>
    <col min="16" max="16" width="36.08984375" style="32" customWidth="1"/>
    <col min="17" max="17" width="11.6328125" style="2" bestFit="1" customWidth="1"/>
    <col min="18" max="18" width="33" style="2" bestFit="1" customWidth="1"/>
    <col min="19" max="19" width="30.81640625" style="2" customWidth="1"/>
    <col min="20" max="20" width="9" style="2"/>
    <col min="21" max="21" width="15.81640625" style="2" customWidth="1"/>
    <col min="22" max="16384" width="9" style="2"/>
  </cols>
  <sheetData>
    <row r="1" spans="1:22" s="16" customFormat="1" x14ac:dyDescent="0.2">
      <c r="A1" s="74" t="s">
        <v>136</v>
      </c>
      <c r="B1" s="74" t="s">
        <v>136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  <c r="U1" s="2"/>
      <c r="V1" s="2"/>
    </row>
    <row r="2" spans="1:22" s="16" customFormat="1" ht="40" customHeight="1" x14ac:dyDescent="0.2">
      <c r="A2" s="75" t="s">
        <v>136</v>
      </c>
      <c r="B2" s="76"/>
      <c r="C2" s="76"/>
      <c r="D2" s="85" t="s">
        <v>205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MABCL0720</v>
      </c>
      <c r="I2" s="13" t="s">
        <v>137</v>
      </c>
      <c r="J2" s="6" t="s">
        <v>83</v>
      </c>
      <c r="K2" s="13" t="s">
        <v>37</v>
      </c>
      <c r="L2" s="77" t="str">
        <f>IF(LogicCommon!G2="","",LogicCommon!G2)</f>
        <v>MC</v>
      </c>
      <c r="M2" s="11" t="s">
        <v>138</v>
      </c>
      <c r="N2" s="31" t="s">
        <v>201</v>
      </c>
      <c r="O2" s="13"/>
      <c r="P2" s="13"/>
      <c r="Q2" s="1"/>
      <c r="R2" s="2"/>
      <c r="S2" s="2"/>
      <c r="T2" s="2"/>
      <c r="U2" s="2"/>
      <c r="V2" s="2"/>
    </row>
    <row r="3" spans="1:22" s="16" customFormat="1" x14ac:dyDescent="0.2">
      <c r="A3" s="78" t="s">
        <v>136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MABCL_StrLnReg</v>
      </c>
      <c r="I3" s="13" t="s">
        <v>139</v>
      </c>
      <c r="J3" s="6" t="s">
        <v>28</v>
      </c>
      <c r="K3" s="13" t="s">
        <v>38</v>
      </c>
      <c r="L3" s="77" t="str">
        <f>IF(LogicCommon!G3="","",LogicCommon!G3)</f>
        <v/>
      </c>
      <c r="M3" s="59" t="s">
        <v>29</v>
      </c>
      <c r="N3" s="13"/>
      <c r="O3" s="13" t="s">
        <v>140</v>
      </c>
      <c r="P3" s="6" t="s">
        <v>141</v>
      </c>
      <c r="Q3" s="1"/>
      <c r="R3" s="2"/>
      <c r="S3" s="2"/>
      <c r="T3" s="2"/>
      <c r="U3" s="2"/>
      <c r="V3" s="2"/>
    </row>
    <row r="4" spans="1:22" s="16" customFormat="1" x14ac:dyDescent="0.2">
      <c r="A4" s="78" t="s">
        <v>136</v>
      </c>
      <c r="B4" s="79"/>
      <c r="C4" s="79"/>
      <c r="D4" s="1"/>
      <c r="E4" s="13" t="s">
        <v>8</v>
      </c>
      <c r="F4" s="15" t="s">
        <v>176</v>
      </c>
      <c r="G4" s="13" t="s">
        <v>11</v>
      </c>
      <c r="H4" s="77" t="str">
        <f>IF(LogicCommon!E4="","",LogicCommon!E4)</f>
        <v>棚・ラインマスタ登録</v>
      </c>
      <c r="I4" s="13" t="s">
        <v>142</v>
      </c>
      <c r="J4" s="6" t="s">
        <v>54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  <c r="U4" s="2"/>
      <c r="V4" s="2"/>
    </row>
    <row r="5" spans="1:22" s="16" customFormat="1" x14ac:dyDescent="0.2">
      <c r="A5" s="82" t="s">
        <v>136</v>
      </c>
      <c r="B5" s="74"/>
      <c r="C5" s="74"/>
      <c r="D5" s="30"/>
      <c r="E5" s="13" t="s">
        <v>143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  <c r="U5" s="2"/>
      <c r="V5" s="2"/>
    </row>
    <row r="6" spans="1:22" s="16" customFormat="1" x14ac:dyDescent="0.2">
      <c r="A6" s="78" t="s">
        <v>136</v>
      </c>
      <c r="B6" s="79"/>
      <c r="C6" s="79"/>
      <c r="D6" s="1" t="s">
        <v>6</v>
      </c>
      <c r="E6" s="21" t="s">
        <v>124</v>
      </c>
      <c r="F6" s="21"/>
      <c r="G6" s="21"/>
      <c r="H6" s="21"/>
      <c r="I6" s="21"/>
      <c r="J6" s="21"/>
      <c r="K6" s="21"/>
      <c r="L6" s="84" t="s">
        <v>30</v>
      </c>
      <c r="M6" s="3"/>
      <c r="N6" s="3" t="s">
        <v>30</v>
      </c>
      <c r="O6" s="3"/>
      <c r="P6" s="3" t="s">
        <v>30</v>
      </c>
      <c r="Q6" s="3"/>
      <c r="R6" s="10" t="s">
        <v>30</v>
      </c>
      <c r="S6" s="1"/>
      <c r="T6" s="32"/>
      <c r="U6" s="32"/>
      <c r="V6" s="2"/>
    </row>
    <row r="7" spans="1:22" s="16" customFormat="1" x14ac:dyDescent="0.2">
      <c r="A7" s="33" t="s">
        <v>18</v>
      </c>
      <c r="B7" s="33"/>
      <c r="C7" s="33"/>
      <c r="D7" s="34"/>
      <c r="E7" s="34"/>
      <c r="F7" s="34"/>
      <c r="G7" s="34"/>
      <c r="H7" s="34"/>
      <c r="I7" s="34" t="s">
        <v>35</v>
      </c>
      <c r="J7" s="34"/>
      <c r="K7" s="4" t="s">
        <v>36</v>
      </c>
      <c r="L7" s="5" t="s">
        <v>74</v>
      </c>
      <c r="M7" s="4" t="s">
        <v>59</v>
      </c>
      <c r="N7" s="5" t="s">
        <v>75</v>
      </c>
      <c r="O7" s="4" t="s">
        <v>59</v>
      </c>
      <c r="P7" s="5" t="s">
        <v>189</v>
      </c>
      <c r="Q7" s="4" t="s">
        <v>59</v>
      </c>
      <c r="R7" s="5" t="s">
        <v>190</v>
      </c>
      <c r="S7" s="32"/>
      <c r="T7" s="32"/>
      <c r="U7" s="32"/>
      <c r="V7" s="32"/>
    </row>
    <row r="8" spans="1:22" s="16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135</v>
      </c>
      <c r="H8" s="86" t="s">
        <v>208</v>
      </c>
      <c r="I8" s="84"/>
      <c r="J8" s="10"/>
      <c r="K8" s="4" t="s">
        <v>60</v>
      </c>
      <c r="L8" s="6" t="s">
        <v>112</v>
      </c>
      <c r="M8" s="4" t="s">
        <v>60</v>
      </c>
      <c r="N8" s="6" t="s">
        <v>113</v>
      </c>
      <c r="O8" s="4" t="s">
        <v>60</v>
      </c>
      <c r="P8" s="6" t="s">
        <v>115</v>
      </c>
      <c r="Q8" s="4" t="s">
        <v>60</v>
      </c>
      <c r="R8" s="6" t="s">
        <v>116</v>
      </c>
      <c r="S8" s="90"/>
      <c r="T8" s="91"/>
      <c r="U8" s="92" t="s">
        <v>209</v>
      </c>
      <c r="V8" s="52"/>
    </row>
    <row r="9" spans="1:22" s="16" customFormat="1" ht="60" customHeight="1" x14ac:dyDescent="0.2">
      <c r="A9" s="6" t="s">
        <v>17</v>
      </c>
      <c r="B9" s="38"/>
      <c r="C9" s="39"/>
      <c r="D9" s="86" t="s">
        <v>210</v>
      </c>
      <c r="E9" s="93" t="s">
        <v>211</v>
      </c>
      <c r="F9" s="86" t="s">
        <v>212</v>
      </c>
      <c r="G9" s="86" t="s">
        <v>213</v>
      </c>
      <c r="H9" s="86" t="s">
        <v>214</v>
      </c>
      <c r="I9" s="94" t="s">
        <v>215</v>
      </c>
      <c r="J9" s="86" t="s">
        <v>216</v>
      </c>
      <c r="K9" s="4"/>
      <c r="L9" s="4"/>
      <c r="M9" s="4"/>
      <c r="N9" s="4"/>
      <c r="O9" s="4"/>
      <c r="P9" s="4"/>
      <c r="Q9" s="4"/>
      <c r="R9" s="4"/>
      <c r="S9" s="92" t="s">
        <v>217</v>
      </c>
      <c r="T9" s="52"/>
      <c r="U9" s="92" t="s">
        <v>218</v>
      </c>
      <c r="V9" s="52"/>
    </row>
    <row r="10" spans="1:22" s="16" customFormat="1" ht="52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215</v>
      </c>
      <c r="L10" s="87" t="s">
        <v>216</v>
      </c>
      <c r="M10" s="87" t="s">
        <v>215</v>
      </c>
      <c r="N10" s="87" t="s">
        <v>216</v>
      </c>
      <c r="O10" s="4"/>
      <c r="P10" s="4"/>
      <c r="Q10" s="87" t="s">
        <v>215</v>
      </c>
      <c r="R10" s="87" t="s">
        <v>216</v>
      </c>
      <c r="S10" s="43"/>
      <c r="T10" s="43"/>
      <c r="U10" s="44"/>
      <c r="V10" s="37"/>
    </row>
    <row r="11" spans="1:22" s="16" customFormat="1" x14ac:dyDescent="0.2">
      <c r="A11" s="6">
        <v>10</v>
      </c>
      <c r="B11" s="38" t="s">
        <v>0</v>
      </c>
      <c r="C11" s="39"/>
      <c r="D11" s="31" t="s">
        <v>57</v>
      </c>
      <c r="E11" s="35" t="s">
        <v>21</v>
      </c>
      <c r="F11" s="45"/>
      <c r="G11" s="31" t="s">
        <v>72</v>
      </c>
      <c r="H11" s="56" t="s">
        <v>148</v>
      </c>
      <c r="I11" s="46"/>
      <c r="J11" s="47"/>
      <c r="K11" s="7" t="s">
        <v>117</v>
      </c>
      <c r="L11" s="7"/>
      <c r="M11" s="7" t="s">
        <v>114</v>
      </c>
      <c r="N11" s="7"/>
      <c r="O11" s="7"/>
      <c r="P11" s="7"/>
      <c r="Q11" s="7"/>
      <c r="R11" s="7"/>
      <c r="S11" s="36"/>
      <c r="T11" s="37"/>
      <c r="U11" s="72"/>
      <c r="V11" s="48"/>
    </row>
    <row r="12" spans="1:22" s="16" customFormat="1" x14ac:dyDescent="0.2">
      <c r="A12" s="6">
        <v>10</v>
      </c>
      <c r="B12" s="6"/>
      <c r="C12" s="6"/>
      <c r="D12" s="6" t="s">
        <v>66</v>
      </c>
      <c r="E12" s="49" t="s">
        <v>49</v>
      </c>
      <c r="F12" s="49"/>
      <c r="G12" s="50" t="s">
        <v>229</v>
      </c>
      <c r="H12" s="50" t="s">
        <v>133</v>
      </c>
      <c r="I12" s="6" t="s">
        <v>127</v>
      </c>
      <c r="J12" s="6"/>
      <c r="K12" s="6" t="s">
        <v>127</v>
      </c>
      <c r="L12" s="6"/>
      <c r="M12" s="6" t="s">
        <v>127</v>
      </c>
      <c r="N12" s="6"/>
      <c r="O12" s="6"/>
      <c r="P12" s="6"/>
      <c r="Q12" s="6"/>
      <c r="R12" s="6"/>
      <c r="S12" s="51"/>
      <c r="T12" s="52"/>
      <c r="U12" s="143"/>
      <c r="V12" s="144"/>
    </row>
    <row r="13" spans="1:22" s="16" customFormat="1" x14ac:dyDescent="0.2">
      <c r="A13" s="6">
        <v>10</v>
      </c>
      <c r="B13" s="6"/>
      <c r="C13" s="6"/>
      <c r="D13" s="6" t="s">
        <v>85</v>
      </c>
      <c r="E13" s="49" t="s">
        <v>86</v>
      </c>
      <c r="F13" s="49"/>
      <c r="G13" s="50" t="s">
        <v>219</v>
      </c>
      <c r="H13" s="50" t="s">
        <v>146</v>
      </c>
      <c r="I13" s="6" t="s">
        <v>127</v>
      </c>
      <c r="J13" s="6"/>
      <c r="K13" s="6" t="s">
        <v>127</v>
      </c>
      <c r="L13" s="6"/>
      <c r="M13" s="6" t="s">
        <v>127</v>
      </c>
      <c r="N13" s="6"/>
      <c r="O13" s="6"/>
      <c r="P13" s="6"/>
      <c r="Q13" s="6"/>
      <c r="R13" s="6"/>
      <c r="S13" s="51"/>
      <c r="T13" s="52"/>
      <c r="U13" s="143"/>
      <c r="V13" s="144"/>
    </row>
    <row r="14" spans="1:22" s="16" customFormat="1" x14ac:dyDescent="0.2">
      <c r="A14" s="6">
        <v>10</v>
      </c>
      <c r="B14" s="6"/>
      <c r="C14" s="6"/>
      <c r="D14" s="6" t="s">
        <v>92</v>
      </c>
      <c r="E14" s="49" t="s">
        <v>105</v>
      </c>
      <c r="F14" s="49"/>
      <c r="G14" s="50" t="s">
        <v>220</v>
      </c>
      <c r="H14" s="50" t="s">
        <v>150</v>
      </c>
      <c r="I14" s="6" t="s">
        <v>127</v>
      </c>
      <c r="J14" s="6"/>
      <c r="K14" s="6" t="s">
        <v>127</v>
      </c>
      <c r="L14" s="6"/>
      <c r="M14" s="6" t="s">
        <v>127</v>
      </c>
      <c r="N14" s="6"/>
      <c r="O14" s="6"/>
      <c r="P14" s="6"/>
      <c r="Q14" s="6"/>
      <c r="R14" s="6"/>
      <c r="S14" s="51"/>
      <c r="T14" s="52"/>
      <c r="U14" s="143"/>
      <c r="V14" s="144"/>
    </row>
    <row r="15" spans="1:22" s="16" customFormat="1" x14ac:dyDescent="0.2">
      <c r="A15" s="6">
        <v>10</v>
      </c>
      <c r="B15" s="6"/>
      <c r="C15" s="6"/>
      <c r="D15" s="6" t="s">
        <v>94</v>
      </c>
      <c r="E15" s="49" t="s">
        <v>106</v>
      </c>
      <c r="F15" s="49"/>
      <c r="G15" s="50" t="s">
        <v>223</v>
      </c>
      <c r="H15" s="50" t="s">
        <v>151</v>
      </c>
      <c r="I15" s="6" t="s">
        <v>127</v>
      </c>
      <c r="J15" s="6"/>
      <c r="K15" s="6" t="s">
        <v>127</v>
      </c>
      <c r="L15" s="6"/>
      <c r="M15" s="6" t="s">
        <v>127</v>
      </c>
      <c r="N15" s="6"/>
      <c r="O15" s="6"/>
      <c r="P15" s="6"/>
      <c r="Q15" s="6"/>
      <c r="R15" s="6"/>
      <c r="S15" s="51"/>
      <c r="T15" s="52"/>
      <c r="U15" s="143"/>
      <c r="V15" s="144"/>
    </row>
    <row r="16" spans="1:22" s="16" customFormat="1" x14ac:dyDescent="0.2">
      <c r="A16" s="6">
        <v>10</v>
      </c>
      <c r="B16" s="6"/>
      <c r="C16" s="6"/>
      <c r="D16" s="6" t="s">
        <v>95</v>
      </c>
      <c r="E16" s="49" t="s">
        <v>49</v>
      </c>
      <c r="F16" s="49"/>
      <c r="G16" s="50" t="s">
        <v>231</v>
      </c>
      <c r="H16" s="50" t="s">
        <v>147</v>
      </c>
      <c r="I16" s="6" t="s">
        <v>127</v>
      </c>
      <c r="J16" s="6"/>
      <c r="K16" s="6" t="s">
        <v>127</v>
      </c>
      <c r="L16" s="6"/>
      <c r="M16" s="6" t="s">
        <v>127</v>
      </c>
      <c r="N16" s="6"/>
      <c r="O16" s="6"/>
      <c r="P16" s="6"/>
      <c r="Q16" s="6"/>
      <c r="R16" s="6"/>
      <c r="S16" s="51"/>
      <c r="T16" s="52"/>
      <c r="U16" s="143"/>
      <c r="V16" s="144"/>
    </row>
    <row r="17" spans="1:22" s="16" customFormat="1" x14ac:dyDescent="0.2">
      <c r="A17" s="6">
        <v>10</v>
      </c>
      <c r="B17" s="6"/>
      <c r="C17" s="6"/>
      <c r="D17" s="6" t="s">
        <v>39</v>
      </c>
      <c r="E17" s="49" t="s">
        <v>41</v>
      </c>
      <c r="F17" s="49"/>
      <c r="G17" s="50" t="s">
        <v>226</v>
      </c>
      <c r="H17" s="50" t="s">
        <v>130</v>
      </c>
      <c r="I17" s="6" t="s">
        <v>127</v>
      </c>
      <c r="J17" s="6"/>
      <c r="K17" s="6" t="s">
        <v>127</v>
      </c>
      <c r="L17" s="6"/>
      <c r="M17" s="6" t="s">
        <v>127</v>
      </c>
      <c r="N17" s="6"/>
      <c r="O17" s="6"/>
      <c r="P17" s="6"/>
      <c r="Q17" s="6"/>
      <c r="R17" s="6"/>
      <c r="S17" s="51"/>
      <c r="T17" s="52"/>
      <c r="U17" s="143"/>
      <c r="V17" s="144"/>
    </row>
    <row r="18" spans="1:22" s="16" customFormat="1" x14ac:dyDescent="0.2">
      <c r="A18" s="6">
        <v>10</v>
      </c>
      <c r="B18" s="6"/>
      <c r="C18" s="6"/>
      <c r="D18" s="6" t="s">
        <v>47</v>
      </c>
      <c r="E18" s="49" t="s">
        <v>48</v>
      </c>
      <c r="F18" s="49"/>
      <c r="G18" s="50" t="s">
        <v>227</v>
      </c>
      <c r="H18" s="50" t="s">
        <v>131</v>
      </c>
      <c r="I18" s="6" t="s">
        <v>127</v>
      </c>
      <c r="J18" s="6"/>
      <c r="K18" s="6" t="s">
        <v>127</v>
      </c>
      <c r="L18" s="6"/>
      <c r="M18" s="6" t="s">
        <v>127</v>
      </c>
      <c r="N18" s="6"/>
      <c r="O18" s="6"/>
      <c r="P18" s="6"/>
      <c r="Q18" s="6"/>
      <c r="R18" s="6"/>
      <c r="S18" s="51"/>
      <c r="T18" s="52"/>
      <c r="U18" s="143"/>
      <c r="V18" s="144"/>
    </row>
    <row r="19" spans="1:22" s="16" customFormat="1" x14ac:dyDescent="0.2">
      <c r="A19" s="6">
        <v>10</v>
      </c>
      <c r="B19" s="6"/>
      <c r="C19" s="6"/>
      <c r="D19" s="6" t="s">
        <v>43</v>
      </c>
      <c r="E19" s="49" t="s">
        <v>45</v>
      </c>
      <c r="F19" s="49"/>
      <c r="G19" s="50" t="s">
        <v>228</v>
      </c>
      <c r="H19" s="50" t="s">
        <v>132</v>
      </c>
      <c r="I19" s="6" t="s">
        <v>127</v>
      </c>
      <c r="J19" s="6"/>
      <c r="K19" s="6" t="s">
        <v>127</v>
      </c>
      <c r="L19" s="6"/>
      <c r="M19" s="6" t="s">
        <v>127</v>
      </c>
      <c r="N19" s="6"/>
      <c r="O19" s="6"/>
      <c r="P19" s="6"/>
      <c r="Q19" s="6"/>
      <c r="R19" s="6"/>
      <c r="S19" s="51"/>
      <c r="T19" s="52"/>
      <c r="U19" s="143"/>
      <c r="V19" s="144"/>
    </row>
    <row r="20" spans="1:22" s="16" customFormat="1" x14ac:dyDescent="0.2">
      <c r="A20" s="6">
        <v>10</v>
      </c>
      <c r="B20" s="6"/>
      <c r="C20" s="6"/>
      <c r="D20" s="6" t="s">
        <v>70</v>
      </c>
      <c r="E20" s="49" t="s">
        <v>71</v>
      </c>
      <c r="F20" s="49"/>
      <c r="G20" s="50" t="s">
        <v>221</v>
      </c>
      <c r="H20" s="50" t="s">
        <v>145</v>
      </c>
      <c r="I20" s="6" t="s">
        <v>127</v>
      </c>
      <c r="J20" s="6"/>
      <c r="K20" s="6" t="s">
        <v>127</v>
      </c>
      <c r="L20" s="6"/>
      <c r="M20" s="6" t="s">
        <v>127</v>
      </c>
      <c r="N20" s="6"/>
      <c r="O20" s="6"/>
      <c r="P20" s="6"/>
      <c r="Q20" s="6"/>
      <c r="R20" s="6"/>
      <c r="S20" s="51"/>
      <c r="T20" s="52"/>
      <c r="U20" s="143"/>
      <c r="V20" s="144"/>
    </row>
    <row r="21" spans="1:22" s="16" customFormat="1" x14ac:dyDescent="0.2">
      <c r="A21" s="78"/>
      <c r="V21" s="55"/>
    </row>
    <row r="22" spans="1:22" s="16" customFormat="1" x14ac:dyDescent="0.2">
      <c r="A22" s="6">
        <v>20</v>
      </c>
      <c r="B22" s="38" t="s">
        <v>0</v>
      </c>
      <c r="C22" s="39"/>
      <c r="D22" s="31" t="s">
        <v>58</v>
      </c>
      <c r="E22" s="35" t="s">
        <v>21</v>
      </c>
      <c r="F22" s="45"/>
      <c r="G22" s="31" t="s">
        <v>72</v>
      </c>
      <c r="H22" s="56" t="s">
        <v>173</v>
      </c>
      <c r="I22" s="46"/>
      <c r="J22" s="47"/>
      <c r="K22" s="7"/>
      <c r="L22" s="7"/>
      <c r="M22" s="7"/>
      <c r="N22" s="7"/>
      <c r="O22" s="7" t="s">
        <v>174</v>
      </c>
      <c r="P22" s="7"/>
      <c r="Q22" s="7" t="s">
        <v>175</v>
      </c>
      <c r="R22" s="7"/>
      <c r="S22" s="36"/>
      <c r="T22" s="37"/>
      <c r="U22" s="72"/>
      <c r="V22" s="48"/>
    </row>
    <row r="23" spans="1:22" s="16" customFormat="1" x14ac:dyDescent="0.2">
      <c r="A23" s="6">
        <v>20</v>
      </c>
      <c r="B23" s="6"/>
      <c r="C23" s="6"/>
      <c r="D23" s="6" t="s">
        <v>85</v>
      </c>
      <c r="E23" s="49" t="s">
        <v>86</v>
      </c>
      <c r="F23" s="49"/>
      <c r="G23" s="50" t="s">
        <v>219</v>
      </c>
      <c r="H23" s="50" t="s">
        <v>146</v>
      </c>
      <c r="I23" s="6" t="s">
        <v>127</v>
      </c>
      <c r="J23" s="6"/>
      <c r="K23" s="6"/>
      <c r="L23" s="6"/>
      <c r="M23" s="6"/>
      <c r="N23" s="6"/>
      <c r="O23" s="6" t="s">
        <v>127</v>
      </c>
      <c r="P23" s="6"/>
      <c r="Q23" s="6" t="s">
        <v>127</v>
      </c>
      <c r="R23" s="6"/>
      <c r="S23" s="51"/>
      <c r="T23" s="52"/>
      <c r="U23" s="143"/>
      <c r="V23" s="144"/>
    </row>
    <row r="24" spans="1:22" s="16" customFormat="1" x14ac:dyDescent="0.2">
      <c r="A24" s="6">
        <v>20</v>
      </c>
      <c r="B24" s="6"/>
      <c r="C24" s="6"/>
      <c r="D24" s="6" t="s">
        <v>92</v>
      </c>
      <c r="E24" s="49" t="s">
        <v>105</v>
      </c>
      <c r="F24" s="49"/>
      <c r="G24" s="50" t="s">
        <v>220</v>
      </c>
      <c r="H24" s="50" t="s">
        <v>150</v>
      </c>
      <c r="I24" s="6" t="s">
        <v>127</v>
      </c>
      <c r="J24" s="6"/>
      <c r="K24" s="6"/>
      <c r="L24" s="6"/>
      <c r="M24" s="6"/>
      <c r="N24" s="6"/>
      <c r="O24" s="6" t="s">
        <v>127</v>
      </c>
      <c r="P24" s="6"/>
      <c r="Q24" s="6" t="s">
        <v>127</v>
      </c>
      <c r="R24" s="6"/>
      <c r="S24" s="51"/>
      <c r="T24" s="52"/>
      <c r="U24" s="143"/>
      <c r="V24" s="144"/>
    </row>
    <row r="25" spans="1:22" s="16" customFormat="1" x14ac:dyDescent="0.2">
      <c r="A25" s="6">
        <v>20</v>
      </c>
      <c r="B25" s="6"/>
      <c r="C25" s="6"/>
      <c r="D25" s="6" t="s">
        <v>91</v>
      </c>
      <c r="E25" s="49" t="s">
        <v>90</v>
      </c>
      <c r="F25" s="49"/>
      <c r="G25" s="50" t="s">
        <v>246</v>
      </c>
      <c r="H25" s="50" t="s">
        <v>149</v>
      </c>
      <c r="I25" s="6" t="s">
        <v>127</v>
      </c>
      <c r="J25" s="6"/>
      <c r="K25" s="6"/>
      <c r="L25" s="6"/>
      <c r="M25" s="6"/>
      <c r="N25" s="6"/>
      <c r="O25" s="6" t="s">
        <v>127</v>
      </c>
      <c r="P25" s="6"/>
      <c r="Q25" s="6" t="s">
        <v>127</v>
      </c>
      <c r="R25" s="6"/>
      <c r="S25" s="51"/>
      <c r="T25" s="52"/>
      <c r="U25" s="143"/>
      <c r="V25" s="144"/>
    </row>
    <row r="26" spans="1:22" s="16" customFormat="1" x14ac:dyDescent="0.2">
      <c r="A26" s="6">
        <v>20</v>
      </c>
      <c r="B26" s="6"/>
      <c r="C26" s="6"/>
      <c r="D26" s="6" t="s">
        <v>94</v>
      </c>
      <c r="E26" s="49" t="s">
        <v>106</v>
      </c>
      <c r="F26" s="49"/>
      <c r="G26" s="50" t="s">
        <v>223</v>
      </c>
      <c r="H26" s="50" t="s">
        <v>151</v>
      </c>
      <c r="I26" s="6" t="s">
        <v>127</v>
      </c>
      <c r="J26" s="6"/>
      <c r="K26" s="6"/>
      <c r="L26" s="6"/>
      <c r="M26" s="6"/>
      <c r="N26" s="6"/>
      <c r="O26" s="6" t="s">
        <v>127</v>
      </c>
      <c r="P26" s="6"/>
      <c r="Q26" s="6" t="s">
        <v>127</v>
      </c>
      <c r="R26" s="6"/>
      <c r="S26" s="51"/>
      <c r="T26" s="52"/>
      <c r="U26" s="143"/>
      <c r="V26" s="144"/>
    </row>
    <row r="27" spans="1:22" s="16" customFormat="1" x14ac:dyDescent="0.2">
      <c r="A27" s="6">
        <v>20</v>
      </c>
      <c r="B27" s="6"/>
      <c r="C27" s="6"/>
      <c r="D27" s="6" t="s">
        <v>39</v>
      </c>
      <c r="E27" s="49" t="s">
        <v>41</v>
      </c>
      <c r="F27" s="49"/>
      <c r="G27" s="50" t="s">
        <v>226</v>
      </c>
      <c r="H27" s="50" t="s">
        <v>130</v>
      </c>
      <c r="I27" s="6" t="s">
        <v>127</v>
      </c>
      <c r="J27" s="6"/>
      <c r="K27" s="6"/>
      <c r="L27" s="6"/>
      <c r="M27" s="6"/>
      <c r="N27" s="6"/>
      <c r="O27" s="6" t="s">
        <v>127</v>
      </c>
      <c r="P27" s="6"/>
      <c r="Q27" s="6" t="s">
        <v>127</v>
      </c>
      <c r="R27" s="6"/>
      <c r="S27" s="51"/>
      <c r="T27" s="52"/>
      <c r="U27" s="143"/>
      <c r="V27" s="144"/>
    </row>
    <row r="28" spans="1:22" s="16" customFormat="1" x14ac:dyDescent="0.2">
      <c r="A28" s="6">
        <v>20</v>
      </c>
      <c r="B28" s="6"/>
      <c r="C28" s="6"/>
      <c r="D28" s="6" t="s">
        <v>47</v>
      </c>
      <c r="E28" s="49" t="s">
        <v>48</v>
      </c>
      <c r="F28" s="49"/>
      <c r="G28" s="50" t="s">
        <v>227</v>
      </c>
      <c r="H28" s="50" t="s">
        <v>131</v>
      </c>
      <c r="I28" s="6" t="s">
        <v>127</v>
      </c>
      <c r="J28" s="6"/>
      <c r="K28" s="6"/>
      <c r="L28" s="6"/>
      <c r="M28" s="6"/>
      <c r="N28" s="6"/>
      <c r="O28" s="6" t="s">
        <v>127</v>
      </c>
      <c r="P28" s="6"/>
      <c r="Q28" s="6" t="s">
        <v>127</v>
      </c>
      <c r="R28" s="6"/>
      <c r="S28" s="51"/>
      <c r="T28" s="52"/>
      <c r="U28" s="143"/>
      <c r="V28" s="144"/>
    </row>
    <row r="29" spans="1:22" s="16" customFormat="1" x14ac:dyDescent="0.2">
      <c r="A29" s="6">
        <v>20</v>
      </c>
      <c r="B29" s="6"/>
      <c r="C29" s="6"/>
      <c r="D29" s="6" t="s">
        <v>43</v>
      </c>
      <c r="E29" s="49" t="s">
        <v>45</v>
      </c>
      <c r="F29" s="49"/>
      <c r="G29" s="50" t="s">
        <v>228</v>
      </c>
      <c r="H29" s="50" t="s">
        <v>132</v>
      </c>
      <c r="I29" s="6" t="s">
        <v>127</v>
      </c>
      <c r="J29" s="6"/>
      <c r="K29" s="6"/>
      <c r="L29" s="6"/>
      <c r="M29" s="6"/>
      <c r="N29" s="6"/>
      <c r="O29" s="6" t="s">
        <v>127</v>
      </c>
      <c r="P29" s="6"/>
      <c r="Q29" s="6" t="s">
        <v>127</v>
      </c>
      <c r="R29" s="6"/>
      <c r="S29" s="51"/>
      <c r="T29" s="52"/>
      <c r="U29" s="143"/>
      <c r="V29" s="144"/>
    </row>
    <row r="30" spans="1:22" s="16" customFormat="1" x14ac:dyDescent="0.2">
      <c r="A30" s="6">
        <v>20</v>
      </c>
      <c r="B30" s="6"/>
      <c r="C30" s="6"/>
      <c r="D30" s="6" t="s">
        <v>70</v>
      </c>
      <c r="E30" s="49" t="s">
        <v>71</v>
      </c>
      <c r="F30" s="49"/>
      <c r="G30" s="50" t="s">
        <v>221</v>
      </c>
      <c r="H30" s="50" t="s">
        <v>145</v>
      </c>
      <c r="I30" s="6" t="s">
        <v>127</v>
      </c>
      <c r="J30" s="6"/>
      <c r="K30" s="6"/>
      <c r="L30" s="6"/>
      <c r="M30" s="6"/>
      <c r="N30" s="6"/>
      <c r="O30" s="6" t="s">
        <v>127</v>
      </c>
      <c r="P30" s="6"/>
      <c r="Q30" s="6" t="s">
        <v>127</v>
      </c>
      <c r="R30" s="6"/>
      <c r="S30" s="51"/>
      <c r="T30" s="52"/>
      <c r="U30" s="143"/>
      <c r="V30" s="144"/>
    </row>
    <row r="31" spans="1:22" s="16" customFormat="1" x14ac:dyDescent="0.2">
      <c r="A31" s="53"/>
      <c r="B31" s="54"/>
      <c r="C31" s="54"/>
      <c r="D31" s="2" t="s">
        <v>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1"/>
      <c r="T31" s="1"/>
      <c r="U31" s="12"/>
      <c r="V31" s="27"/>
    </row>
    <row r="32" spans="1:22" s="16" customFormat="1" x14ac:dyDescent="0.2">
      <c r="A32" s="78"/>
      <c r="V32" s="55"/>
    </row>
    <row r="33" spans="1:22" s="16" customFormat="1" x14ac:dyDescent="0.2">
      <c r="A33" s="78"/>
      <c r="V33" s="55"/>
    </row>
    <row r="34" spans="1:22" s="16" customFormat="1" x14ac:dyDescent="0.2">
      <c r="A34" s="78"/>
      <c r="V34" s="55"/>
    </row>
    <row r="35" spans="1:22" s="16" customFormat="1" x14ac:dyDescent="0.2">
      <c r="A35" s="8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4"/>
    </row>
  </sheetData>
  <dataConsolidate/>
  <mergeCells count="17">
    <mergeCell ref="U12:V12"/>
    <mergeCell ref="U20:V20"/>
    <mergeCell ref="U19:V19"/>
    <mergeCell ref="U18:V18"/>
    <mergeCell ref="U28:V28"/>
    <mergeCell ref="U23:V23"/>
    <mergeCell ref="U17:V17"/>
    <mergeCell ref="U13:V13"/>
    <mergeCell ref="U14:V14"/>
    <mergeCell ref="U15:V15"/>
    <mergeCell ref="U16:V16"/>
    <mergeCell ref="U30:V30"/>
    <mergeCell ref="U29:V29"/>
    <mergeCell ref="U24:V24"/>
    <mergeCell ref="U25:V25"/>
    <mergeCell ref="U26:V26"/>
    <mergeCell ref="U27:V2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T2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44.08984375" style="32" customWidth="1"/>
    <col min="9" max="10" width="15.81640625" style="32" customWidth="1"/>
    <col min="11" max="11" width="19.36328125" style="32" bestFit="1" customWidth="1"/>
    <col min="12" max="12" width="31.1796875" style="32" customWidth="1"/>
    <col min="13" max="13" width="12.81640625" style="32" bestFit="1" customWidth="1"/>
    <col min="14" max="14" width="50.6328125" style="32" customWidth="1"/>
    <col min="15" max="15" width="12.81640625" style="32" bestFit="1" customWidth="1"/>
    <col min="16" max="16" width="35" style="32" bestFit="1" customWidth="1"/>
    <col min="17" max="17" width="30.81640625" style="2" customWidth="1"/>
    <col min="18" max="18" width="9" style="2"/>
    <col min="19" max="19" width="15.81640625" style="2" customWidth="1"/>
    <col min="20" max="16384" width="9" style="2"/>
  </cols>
  <sheetData>
    <row r="1" spans="1:20" s="16" customFormat="1" x14ac:dyDescent="0.2">
      <c r="A1" s="74" t="s">
        <v>136</v>
      </c>
      <c r="B1" s="74" t="s">
        <v>136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</row>
    <row r="2" spans="1:20" s="16" customFormat="1" ht="40" customHeight="1" x14ac:dyDescent="0.2">
      <c r="A2" s="75" t="s">
        <v>136</v>
      </c>
      <c r="B2" s="76"/>
      <c r="C2" s="76"/>
      <c r="D2" s="85" t="s">
        <v>205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MABCL0720</v>
      </c>
      <c r="I2" s="13" t="s">
        <v>137</v>
      </c>
      <c r="J2" s="6" t="s">
        <v>84</v>
      </c>
      <c r="K2" s="13" t="s">
        <v>37</v>
      </c>
      <c r="L2" s="77" t="str">
        <f>IF(LogicCommon!G2="","",LogicCommon!G2)</f>
        <v>MC</v>
      </c>
      <c r="M2" s="11" t="s">
        <v>138</v>
      </c>
      <c r="N2" s="31" t="s">
        <v>199</v>
      </c>
      <c r="O2" s="13"/>
      <c r="P2" s="13"/>
      <c r="Q2" s="1"/>
      <c r="R2" s="2"/>
      <c r="S2" s="2"/>
      <c r="T2" s="2"/>
    </row>
    <row r="3" spans="1:20" s="16" customFormat="1" x14ac:dyDescent="0.2">
      <c r="A3" s="78" t="s">
        <v>136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MABCL_StrLnReg</v>
      </c>
      <c r="I3" s="13" t="s">
        <v>139</v>
      </c>
      <c r="J3" s="6" t="s">
        <v>28</v>
      </c>
      <c r="K3" s="13" t="s">
        <v>38</v>
      </c>
      <c r="L3" s="77" t="str">
        <f>IF(LogicCommon!G3="","",LogicCommon!G3)</f>
        <v/>
      </c>
      <c r="M3" s="59" t="s">
        <v>29</v>
      </c>
      <c r="N3" s="13"/>
      <c r="O3" s="13" t="s">
        <v>140</v>
      </c>
      <c r="P3" s="6" t="s">
        <v>141</v>
      </c>
      <c r="Q3" s="1"/>
      <c r="R3" s="2"/>
      <c r="S3" s="2"/>
      <c r="T3" s="2"/>
    </row>
    <row r="4" spans="1:20" s="16" customFormat="1" x14ac:dyDescent="0.2">
      <c r="A4" s="78" t="s">
        <v>136</v>
      </c>
      <c r="B4" s="79"/>
      <c r="C4" s="79"/>
      <c r="D4" s="1"/>
      <c r="E4" s="13" t="s">
        <v>8</v>
      </c>
      <c r="F4" s="15" t="s">
        <v>176</v>
      </c>
      <c r="G4" s="13" t="s">
        <v>11</v>
      </c>
      <c r="H4" s="77" t="str">
        <f>IF(LogicCommon!E4="","",LogicCommon!E4)</f>
        <v>棚・ラインマスタ登録</v>
      </c>
      <c r="I4" s="13" t="s">
        <v>142</v>
      </c>
      <c r="J4" s="6" t="s">
        <v>53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</row>
    <row r="5" spans="1:20" s="16" customFormat="1" x14ac:dyDescent="0.2">
      <c r="A5" s="82" t="s">
        <v>136</v>
      </c>
      <c r="B5" s="74"/>
      <c r="C5" s="74"/>
      <c r="D5" s="30"/>
      <c r="E5" s="13" t="s">
        <v>143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</row>
    <row r="6" spans="1:20" s="16" customFormat="1" x14ac:dyDescent="0.2">
      <c r="A6" s="78" t="s">
        <v>136</v>
      </c>
      <c r="B6" s="79"/>
      <c r="C6" s="79"/>
      <c r="D6" s="1" t="s">
        <v>6</v>
      </c>
      <c r="E6" s="21" t="s">
        <v>125</v>
      </c>
      <c r="F6" s="21"/>
      <c r="G6" s="21"/>
      <c r="H6" s="21"/>
      <c r="I6" s="21"/>
      <c r="J6" s="21"/>
      <c r="K6" s="21"/>
      <c r="L6" s="84" t="s">
        <v>30</v>
      </c>
      <c r="M6" s="3"/>
      <c r="N6" s="3" t="s">
        <v>30</v>
      </c>
      <c r="O6" s="3"/>
      <c r="P6" s="3" t="s">
        <v>30</v>
      </c>
      <c r="Q6" s="3"/>
      <c r="R6" s="32"/>
      <c r="S6" s="32"/>
      <c r="T6" s="2"/>
    </row>
    <row r="7" spans="1:20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32</v>
      </c>
      <c r="J7" s="34"/>
      <c r="K7" s="4" t="s">
        <v>33</v>
      </c>
      <c r="L7" s="5" t="s">
        <v>76</v>
      </c>
      <c r="M7" s="4" t="s">
        <v>33</v>
      </c>
      <c r="N7" s="5" t="s">
        <v>77</v>
      </c>
      <c r="O7" s="4" t="s">
        <v>59</v>
      </c>
      <c r="P7" s="5"/>
      <c r="Q7" s="32"/>
      <c r="R7" s="32"/>
      <c r="S7" s="32"/>
      <c r="T7" s="32"/>
    </row>
    <row r="8" spans="1:20" s="16" customFormat="1" ht="60" customHeight="1" x14ac:dyDescent="0.2">
      <c r="A8" s="49" t="s">
        <v>17</v>
      </c>
      <c r="B8" s="88"/>
      <c r="C8" s="89"/>
      <c r="D8" s="86" t="s">
        <v>206</v>
      </c>
      <c r="E8" s="86" t="s">
        <v>207</v>
      </c>
      <c r="F8" s="84"/>
      <c r="G8" s="86" t="s">
        <v>135</v>
      </c>
      <c r="H8" s="86" t="s">
        <v>208</v>
      </c>
      <c r="I8" s="84"/>
      <c r="J8" s="10"/>
      <c r="K8" s="4" t="s">
        <v>16</v>
      </c>
      <c r="L8" s="6" t="s">
        <v>191</v>
      </c>
      <c r="M8" s="4" t="s">
        <v>16</v>
      </c>
      <c r="N8" s="6" t="s">
        <v>192</v>
      </c>
      <c r="O8" s="4" t="s">
        <v>60</v>
      </c>
      <c r="P8" s="6"/>
      <c r="Q8" s="90"/>
      <c r="R8" s="91"/>
      <c r="S8" s="92" t="s">
        <v>209</v>
      </c>
      <c r="T8" s="52"/>
    </row>
    <row r="9" spans="1:20" s="16" customFormat="1" ht="60" customHeight="1" x14ac:dyDescent="0.2">
      <c r="A9" s="6" t="s">
        <v>17</v>
      </c>
      <c r="B9" s="38"/>
      <c r="C9" s="39"/>
      <c r="D9" s="86" t="s">
        <v>210</v>
      </c>
      <c r="E9" s="93" t="s">
        <v>211</v>
      </c>
      <c r="F9" s="86" t="s">
        <v>212</v>
      </c>
      <c r="G9" s="86" t="s">
        <v>213</v>
      </c>
      <c r="H9" s="86" t="s">
        <v>214</v>
      </c>
      <c r="I9" s="94" t="s">
        <v>215</v>
      </c>
      <c r="J9" s="86" t="s">
        <v>216</v>
      </c>
      <c r="K9" s="4"/>
      <c r="L9" s="4"/>
      <c r="M9" s="4"/>
      <c r="N9" s="4"/>
      <c r="O9" s="4"/>
      <c r="P9" s="4"/>
      <c r="Q9" s="92" t="s">
        <v>217</v>
      </c>
      <c r="R9" s="52"/>
      <c r="S9" s="92" t="s">
        <v>218</v>
      </c>
      <c r="T9" s="52"/>
    </row>
    <row r="10" spans="1:20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215</v>
      </c>
      <c r="L10" s="87" t="s">
        <v>216</v>
      </c>
      <c r="M10" s="87" t="s">
        <v>215</v>
      </c>
      <c r="N10" s="87" t="s">
        <v>216</v>
      </c>
      <c r="O10" s="4"/>
      <c r="P10" s="4"/>
      <c r="Q10" s="43"/>
      <c r="R10" s="43"/>
      <c r="S10" s="44"/>
      <c r="T10" s="37"/>
    </row>
    <row r="11" spans="1:20" s="16" customFormat="1" x14ac:dyDescent="0.2">
      <c r="A11" s="6">
        <v>10</v>
      </c>
      <c r="B11" s="38" t="s">
        <v>0</v>
      </c>
      <c r="C11" s="39"/>
      <c r="D11" s="31" t="s">
        <v>63</v>
      </c>
      <c r="E11" s="35" t="s">
        <v>21</v>
      </c>
      <c r="F11" s="45"/>
      <c r="G11" s="31" t="s">
        <v>72</v>
      </c>
      <c r="H11" s="56" t="s">
        <v>193</v>
      </c>
      <c r="I11" s="46"/>
      <c r="J11" s="47"/>
      <c r="K11" s="7" t="s">
        <v>203</v>
      </c>
      <c r="L11" s="7"/>
      <c r="M11" s="7" t="s">
        <v>204</v>
      </c>
      <c r="N11" s="7"/>
      <c r="O11" s="7"/>
      <c r="P11" s="7"/>
      <c r="Q11" s="36"/>
      <c r="R11" s="37"/>
      <c r="S11" s="72"/>
      <c r="T11" s="48"/>
    </row>
    <row r="12" spans="1:20" s="16" customFormat="1" x14ac:dyDescent="0.2">
      <c r="A12" s="6">
        <v>10</v>
      </c>
      <c r="B12" s="6"/>
      <c r="C12" s="6"/>
      <c r="D12" s="6" t="s">
        <v>85</v>
      </c>
      <c r="E12" s="49" t="s">
        <v>86</v>
      </c>
      <c r="F12" s="49"/>
      <c r="G12" s="50" t="s">
        <v>219</v>
      </c>
      <c r="H12" s="50" t="s">
        <v>126</v>
      </c>
      <c r="I12" s="6" t="s">
        <v>127</v>
      </c>
      <c r="J12" s="6"/>
      <c r="K12" s="6" t="s">
        <v>127</v>
      </c>
      <c r="L12" s="6"/>
      <c r="M12" s="6" t="s">
        <v>128</v>
      </c>
      <c r="N12" s="6"/>
      <c r="O12" s="6"/>
      <c r="P12" s="6"/>
      <c r="Q12" s="42"/>
      <c r="R12" s="52"/>
      <c r="S12" s="143"/>
      <c r="T12" s="144"/>
    </row>
    <row r="13" spans="1:20" s="16" customFormat="1" x14ac:dyDescent="0.2">
      <c r="A13" s="6">
        <v>10</v>
      </c>
      <c r="B13" s="6"/>
      <c r="C13" s="6"/>
      <c r="D13" s="6" t="s">
        <v>92</v>
      </c>
      <c r="E13" s="49" t="s">
        <v>105</v>
      </c>
      <c r="F13" s="49"/>
      <c r="G13" s="50" t="s">
        <v>220</v>
      </c>
      <c r="H13" s="50" t="s">
        <v>150</v>
      </c>
      <c r="I13" s="6" t="s">
        <v>127</v>
      </c>
      <c r="J13" s="6"/>
      <c r="K13" s="6" t="s">
        <v>127</v>
      </c>
      <c r="L13" s="6"/>
      <c r="M13" s="6" t="s">
        <v>128</v>
      </c>
      <c r="N13" s="6"/>
      <c r="O13" s="6"/>
      <c r="P13" s="6"/>
      <c r="Q13" s="42"/>
      <c r="R13" s="52"/>
      <c r="S13" s="143"/>
      <c r="T13" s="144"/>
    </row>
    <row r="14" spans="1:20" s="16" customFormat="1" x14ac:dyDescent="0.2">
      <c r="A14" s="6">
        <v>10</v>
      </c>
      <c r="B14" s="6"/>
      <c r="C14" s="6"/>
      <c r="D14" s="6" t="s">
        <v>70</v>
      </c>
      <c r="E14" s="49" t="s">
        <v>71</v>
      </c>
      <c r="F14" s="49"/>
      <c r="G14" s="50" t="s">
        <v>221</v>
      </c>
      <c r="H14" s="50" t="s">
        <v>145</v>
      </c>
      <c r="I14" s="6" t="s">
        <v>128</v>
      </c>
      <c r="J14" s="6"/>
      <c r="K14" s="6" t="s">
        <v>128</v>
      </c>
      <c r="L14" s="6"/>
      <c r="M14" s="6" t="s">
        <v>128</v>
      </c>
      <c r="N14" s="6"/>
      <c r="O14" s="6"/>
      <c r="P14" s="6"/>
      <c r="Q14" s="44"/>
      <c r="R14" s="37"/>
      <c r="S14" s="72"/>
      <c r="T14" s="48"/>
    </row>
    <row r="15" spans="1:20" s="16" customFormat="1" x14ac:dyDescent="0.2">
      <c r="A15" s="53"/>
      <c r="B15" s="54"/>
      <c r="C15" s="54"/>
      <c r="D15" s="2" t="s">
        <v>1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1"/>
      <c r="R15" s="1"/>
      <c r="S15" s="12"/>
      <c r="T15" s="27"/>
    </row>
    <row r="16" spans="1:20" s="16" customFormat="1" x14ac:dyDescent="0.2">
      <c r="A16" s="78"/>
      <c r="T16" s="55"/>
    </row>
    <row r="17" spans="1:20" s="16" customFormat="1" x14ac:dyDescent="0.2">
      <c r="A17" s="78"/>
      <c r="T17" s="55"/>
    </row>
    <row r="18" spans="1:20" s="16" customFormat="1" x14ac:dyDescent="0.2">
      <c r="A18" s="78"/>
      <c r="T18" s="55"/>
    </row>
    <row r="19" spans="1:20" s="16" customFormat="1" x14ac:dyDescent="0.2">
      <c r="A19" s="78"/>
      <c r="T19" s="55"/>
    </row>
    <row r="20" spans="1:20" s="16" customFormat="1" x14ac:dyDescent="0.2">
      <c r="A20" s="78"/>
      <c r="T20" s="55"/>
    </row>
    <row r="21" spans="1:20" s="16" customFormat="1" x14ac:dyDescent="0.2">
      <c r="A21" s="78"/>
      <c r="T21" s="55"/>
    </row>
    <row r="22" spans="1:20" s="16" customFormat="1" x14ac:dyDescent="0.2">
      <c r="A22" s="78"/>
      <c r="T22" s="55"/>
    </row>
    <row r="23" spans="1:20" s="16" customFormat="1" x14ac:dyDescent="0.2">
      <c r="A23" s="8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4"/>
    </row>
  </sheetData>
  <dataConsolidate/>
  <mergeCells count="2">
    <mergeCell ref="S13:T13"/>
    <mergeCell ref="S12:T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99" t="s">
        <v>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33" t="s">
        <v>23</v>
      </c>
      <c r="B3" s="103"/>
      <c r="C3" s="103"/>
      <c r="D3" s="103"/>
      <c r="E3" s="103"/>
      <c r="F3" s="103"/>
      <c r="G3" s="104"/>
      <c r="H3" s="102" t="s">
        <v>24</v>
      </c>
      <c r="I3" s="103"/>
      <c r="J3" s="103"/>
      <c r="K3" s="103"/>
      <c r="L3" s="103"/>
      <c r="M3" s="103"/>
      <c r="N3" s="104"/>
      <c r="O3" s="102" t="s">
        <v>25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2" t="s">
        <v>26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34">
        <v>1</v>
      </c>
      <c r="B4" s="135"/>
      <c r="C4" s="135"/>
      <c r="D4" s="135"/>
      <c r="E4" s="135"/>
      <c r="F4" s="135"/>
      <c r="G4" s="136"/>
      <c r="H4" s="126"/>
      <c r="I4" s="127"/>
      <c r="J4" s="127"/>
      <c r="K4" s="127"/>
      <c r="L4" s="127"/>
      <c r="M4" s="127"/>
      <c r="N4" s="128"/>
      <c r="O4" s="126" t="s">
        <v>27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 x14ac:dyDescent="0.2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37" t="s">
        <v>248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249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 x14ac:dyDescent="0.2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 x14ac:dyDescent="0.2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 x14ac:dyDescent="0.2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StrLn_DelChk01</vt:lpstr>
      <vt:lpstr>StrLn_Del01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2026-03-27T05:42:46Z</dcterms:modified>
  <cp:category/>
</cp:coreProperties>
</file>